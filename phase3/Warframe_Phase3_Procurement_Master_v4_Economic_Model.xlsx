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OPTIMIZATION AUDIT" sheetId="2" state="visible" r:id="rId2"/>
    <sheet name="FRAME MOD CONFIGS" sheetId="3" state="visible" r:id="rId3"/>
    <sheet name="ARCHON SHARDS2" sheetId="4" state="visible" r:id="rId4"/>
    <sheet name="COMPANION ASSIGNMENTS" sheetId="5" state="visible" r:id="rId5"/>
    <sheet name="EXALTED BUILDS" sheetId="6" state="visible" r:id="rId6"/>
    <sheet name="WEAPON CONFIGS" sheetId="7" state="visible" r:id="rId7"/>
    <sheet name="BUILD PROCUREMENT DELTA" sheetId="8" state="visible" r:id="rId8"/>
    <sheet name="BUILD OPEN ITEMS" sheetId="9" state="visible" r:id="rId9"/>
    <sheet name="BUILD COMPLETENESS" sheetId="10" state="visible" r:id="rId10"/>
    <sheet name="FRAME BUILDS" sheetId="11" state="visible" r:id="rId11"/>
    <sheet name="ARCHON SHARDS1" sheetId="12" state="visible" r:id="rId12"/>
    <sheet name="Corrections Log" sheetId="13" state="visible" r:id="rId13"/>
    <sheet name="Live Content Reconciliation" sheetId="14" state="visible" r:id="rId14"/>
    <sheet name="Upcoming (Not Live)" sheetId="15" state="visible" r:id="rId15"/>
    <sheet name="Weapon Allocation v4" sheetId="16" state="visible" r:id="rId16"/>
    <sheet name="Roster v4 (live)" sheetId="17" state="visible" r:id="rId17"/>
    <sheet name="Open Items" sheetId="18" state="visible" r:id="rId18"/>
    <sheet name="Frames" sheetId="19" state="visible" r:id="rId19"/>
    <sheet name="Weapons" sheetId="20" state="visible" r:id="rId20"/>
    <sheet name="Adversary" sheetId="21" state="visible" r:id="rId21"/>
    <sheet name="Incarnon Genesis" sheetId="22" state="visible" r:id="rId22"/>
    <sheet name="Arcanes" sheetId="23" state="visible" r:id="rId23"/>
    <sheet name="Mods" sheetId="24" state="visible" r:id="rId24"/>
    <sheet name="Archon Shards" sheetId="25" state="visible" r:id="rId25"/>
    <sheet name="Companions" sheetId="26" state="visible" r:id="rId26"/>
    <sheet name="Account Infrastructure" sheetId="27" state="visible" r:id="rId27"/>
    <sheet name="Sources" sheetId="28" state="visible" r:id="rId28"/>
    <sheet name="Normalization Log" sheetId="29" state="visible" r:id="rId29"/>
    <sheet name="Economic Model" sheetId="30" state="visible" r:id="rId30"/>
    <sheet name="Procurement Master" sheetId="31" state="visible" r:id="rId31"/>
  </sheets>
  <definedNames>
    <definedName name="_xlnm._FilterDatabase" localSheetId="1" hidden="1">'OPTIMIZATION AUDIT'!$A$1:$I$67</definedName>
    <definedName name="_xlnm._FilterDatabase" localSheetId="2" hidden="1">'FRAME MOD CONFIGS'!$A$1:$I$681</definedName>
    <definedName name="_xlnm._FilterDatabase" localSheetId="3" hidden="1">'ARCHON SHARDS2'!$A$1:$G$331</definedName>
    <definedName name="_xlnm._FilterDatabase" localSheetId="4" hidden="1">'COMPANION ASSIGNMENTS'!$A$1:$D$67</definedName>
    <definedName name="_xlnm._FilterDatabase" localSheetId="5" hidden="1">'EXALTED BUILDS'!$A$1:$J$23</definedName>
    <definedName name="_xlnm._FilterDatabase" localSheetId="6" hidden="1">'WEAPON CONFIGS'!$A$1:$P$185</definedName>
    <definedName name="_xlnm._FilterDatabase" localSheetId="7" hidden="1">'BUILD PROCUREMENT DELTA'!$A$1:$G$61</definedName>
    <definedName name="_xlnm._FilterDatabase" localSheetId="8" hidden="1">'BUILD OPEN ITEMS'!$A$1:$B$5</definedName>
    <definedName name="_xlnm._FilterDatabase" localSheetId="9" hidden="1">'BUILD COMPLETENESS'!$A$1:$B$15</definedName>
    <definedName name="_xlnm._FilterDatabase" localSheetId="10" hidden="1">'FRAME BUILDS'!$A$1:$AN$67</definedName>
    <definedName name="_xlnm._FilterDatabase" localSheetId="11" hidden="1">'ARCHON SHARDS1'!$A$1:$G$331</definedName>
    <definedName name="_xlnm._FilterDatabase" localSheetId="12" hidden="1">'Corrections Log'!$A$1:$E$35</definedName>
    <definedName name="_xlnm._FilterDatabase" localSheetId="13" hidden="1">'Live Content Reconciliation'!$A$1:$I$135</definedName>
    <definedName name="_xlnm._FilterDatabase" localSheetId="14" hidden="1">'Upcoming (Not Live)'!$A$1:$E$7</definedName>
    <definedName name="_xlnm._FilterDatabase" localSheetId="15" hidden="1">'Weapon Allocation v4'!$A$1:$H$67</definedName>
    <definedName name="_xlnm._FilterDatabase" localSheetId="16" hidden="1">'Roster v4 (live)'!$A$1:$G$67</definedName>
    <definedName name="_xlnm._FilterDatabase" localSheetId="17" hidden="1">'Open Items'!$A$1:$C$13</definedName>
    <definedName name="_xlnm._FilterDatabase" localSheetId="22" hidden="1">'Arcanes'!$A$1:$J$30</definedName>
    <definedName name="_xlnm._FilterDatabase" localSheetId="24" hidden="1">'Archon Shards'!$A$1:$C$20</definedName>
    <definedName name="_xlnm._FilterDatabase" localSheetId="30" hidden="1">'Procurement Master'!$A$1:$AS$1865</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+ 14 Exalted/intrinsic (v4 normalized)</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25</v>
      </c>
      <c r="F8" t="inlineStr">
        <is>
          <t>14 v3 + 11 v4 weapon baseline</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Do not bulk-Forma before LIVE TEST flags are cleared. Adversary weapons need 5 Forma each for Rank 40.</t>
        </is>
      </c>
      <c r="D11" t="inlineStr">
        <is>
          <t>Adversary targets</t>
        </is>
      </c>
      <c r="E11" t="n">
        <v>12</v>
      </c>
      <c r="F11" t="inlineStr">
        <is>
          <t>v4</t>
        </is>
      </c>
    </row>
    <row r="12">
      <c r="A12" t="inlineStr">
        <is>
          <t>Shards</t>
        </is>
      </c>
      <c r="B12" t="inlineStr">
        <is>
          <t>Account-bound. Tauforged is final target; use Ascent Fusion where efficient.</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9">
      <c r="D19" t="inlineStr">
        <is>
          <t>Realistic total reconstruction Pt (v4)</t>
        </is>
      </c>
      <c r="E19">
        <f>'Economic Model'!C35</f>
        <v/>
      </c>
      <c r="F19" t="inlineStr">
        <is>
          <t>Trade + net fixed infrastructure</t>
        </is>
      </c>
    </row>
    <row r="21">
      <c r="D21" t="inlineStr">
        <is>
          <t>Frame builds (v4.3 DRAFT)</t>
        </is>
      </c>
      <c r="E21" t="inlineStr">
        <is>
          <t>66/66 mechanically valid</t>
        </is>
      </c>
      <c r="F21" t="inlineStr">
        <is>
          <t>66/66 optimization-audited - NOT FINAL</t>
        </is>
      </c>
    </row>
    <row r="22">
      <c r="D22" t="inlineStr">
        <is>
          <t>Archon Shard positions</t>
        </is>
      </c>
      <c r="E22" t="n">
        <v>330</v>
      </c>
      <c r="F22" t="inlineStr">
        <is>
          <t>79 Tauforged</t>
        </is>
      </c>
    </row>
    <row r="24">
      <c r="A24" t="inlineStr"/>
      <c r="B24" t="inlineStr"/>
      <c r="C24" t="inlineStr"/>
      <c r="D24" t="inlineStr">
        <is>
          <t>Frame builds (v4.3 DRAFT)</t>
        </is>
      </c>
      <c r="E24" t="inlineStr">
        <is>
          <t>66/66 mechanically valid</t>
        </is>
      </c>
      <c r="F24" t="inlineStr">
        <is>
          <t>66/66 optimization-audited - NOT FINAL</t>
        </is>
      </c>
    </row>
    <row r="25">
      <c r="A25" t="inlineStr"/>
      <c r="B25" t="inlineStr"/>
      <c r="C25" t="inlineStr"/>
      <c r="D25" t="inlineStr">
        <is>
          <t>Archon Shard positions</t>
        </is>
      </c>
      <c r="E25" t="n">
        <v>330</v>
      </c>
      <c r="F25" t="inlineStr">
        <is>
          <t>79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I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t>
        </is>
      </c>
      <c r="H24" s="39" t="inlineStr">
        <is>
          <t>Corroding Barrage turns Tempest Barrage into the stack engine for the passive and Plunder: permanent full armor removal plus Plunder's Corrosive buff on every weapon and ability.</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CORRECTED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 RE-REVIEW (B4): Whipclaw on an ENSNARED target re-propagates Ensnare as a NEW instance (wiki), pulling and disabling every enemy within 10m (x Range) into the cluster, including enemies freed from an earlier cast. Venari takes +150% vs ensnared. Ensnare has 30m range, no LoS and moves with the fight; Strangledome is anchored at Khora (5m dome, 26 vertices, 100 energy, full-body cast), and its +100% vulnerability does NOT apply to Whipclaw. Wiki: subsuming the 3rd ability removes only Venari marking, posture switching and instant resummon - Venari stays, keeps the movement-speed bonus and respawns on her 45s timer.</t>
        </is>
      </c>
      <c r="F28" s="39" t="inlineStr">
        <is>
          <t>The Ensnare subsume was not quantified. Weeping Wounds was low value on Whipclaw. Signature bonuses were ignored on both weapons. RE-REVIEW: the Batch 3 justification treated Ensnare as a x2 multiplier only. In practice Ensnare + Whipclaw is a self-refreshing grouping engine: every Whipclaw re-propagates and keeps pulling new enemies into its 10m explosion, so it sets target density - Roar cannot create density. Both the Strangledome and Ensnare loops are density tools; the only near-free slot is the Venari ability.</t>
        </is>
      </c>
      <c r="G28" s="39" t="inlineStr">
        <is>
          <t>Roar over VENARI (ability; Venari herself stays). Ensnare + Whipclaw propagation loop restored, Strangledome kept for anchored defence, Accumulating Whipclaw kept. Rest of the Batch 3 build unchanged (Whipclaw Prime Primed Reach, Dual Keres Prime heavy, Hystrix Prime Deadhead). LIVE TEST: which Venari posture persists once the ability is subsumed.</t>
        </is>
      </c>
      <c r="H28" s="39" t="inlineStr">
        <is>
          <t>Steel Path endurance: Ensnare + Whipclaw keeps re-pulling and disabling whole packs into one 10m blast (x2 damage on ensnared), Roar adds x1.65 on top, and the only cost is losing Venari posture control/instant revive. NO HELMINTH was competitive but leaves the near-free Venari slot unused; subsuming Strangledome or Ensnare costs a density tool.</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t>
        </is>
      </c>
      <c r="H35" s="39" t="inlineStr">
        <is>
          <t>Kill-stacked Merciless is reliable under auto-targeting, and fire rate plus multishot scale the 14.8 rps Exalted.</t>
        </is>
      </c>
      <c r="I35" s="39" t="inlineStr">
        <is>
          <t>None (Secondary Merciless and Encumber already required).</t>
        </is>
      </c>
    </row>
    <row r="36">
      <c r="A36" s="39" t="inlineStr">
        <is>
          <t>Mirage Prime</t>
        </is>
      </c>
      <c r="B36" s="39" t="inlineStr">
        <is>
          <t>REFINED</t>
        </is>
      </c>
      <c r="C36" s="39" t="inlineStr">
        <is>
          <t>Nourish over Sleight of Hand; Total Eclipse; Avenger + Molt; Kuva Bramma / Akzani on Galvanized templates</t>
        </is>
      </c>
      <c r="D36" s="39" t="inlineStr">
        <is>
          <t>No Phase 2 build record (v3 holds only the weapon allocation for this frame)</t>
        </is>
      </c>
      <c r="E36" s="39" t="inlineStr">
        <is>
          <t>Helminth restriction (wiki): Roar/Eclipse/Xata's Whisper may only replace Eclipse on Mirage, so Roar is not an option. Hall of Mirrors: 2 firing clones at 40% x Str of modded weapon damage; clones do NOT inherit Galvanized mods or Arcanes. Total Eclipse extends Eclipse to allies, clones included. Prism: Lunar/Solar Eclipse synergy.</t>
        </is>
      </c>
      <c r="F36" s="39" t="inlineStr">
        <is>
          <t>The weapon templates relied on Galvanized stacks (Chamber/Aptitude/Diffusion/Crosshairs/Shot) that the clones cannot copy, so roughly half of Mirage's output ignored those mod slots.</t>
        </is>
      </c>
      <c r="G36" s="39" t="inlineStr">
        <is>
          <t>Nourish over Sleight of Hand kept (legal; energy + Viral). Kuva Bramma: Serration, Split Chamber, Vigilante Armaments, Point Strike, Vital Sense, Hammer Shot, Primed Cryo Rounds, Malignant Force. Akzani: Hornet Strike, Barrel Diffusion, Lethal Torrent, Primed Pistol Gambit, Primed Target Cracker, Augur Pact, Deep Freeze, Pathogen Rounds.</t>
        </is>
      </c>
      <c r="H36" s="39" t="inlineStr">
        <is>
          <t>Static mods are copied by both firing clones; Galvanized stacks only ever boosted Mirage's own third of the damage.</t>
        </is>
      </c>
      <c r="I36" s="39" t="inlineStr">
        <is>
          <t>None (all mods in the collection).</t>
        </is>
      </c>
    </row>
    <row r="37">
      <c r="A37" s="39" t="inlineStr">
        <is>
          <t>Narin</t>
        </is>
      </c>
      <c r="B37" s="39" t="inlineStr">
        <is>
          <t>CORRECTED</t>
        </is>
      </c>
      <c r="C37" s="39" t="inlineStr">
        <is>
          <t>Roar over Hakchum; Energize + Molt; Viral weapon templates; Prisma Skana Guardian's Promise; LIVE TEST on Ice sustain without Hakchum</t>
        </is>
      </c>
      <c r="D37" s="39" t="inlineStr">
        <is>
          <t>No Phase 2 build record (v3 holds only the weapon allocation for this frame)</t>
        </is>
      </c>
      <c r="E37" s="39" t="inlineStr">
        <is>
          <t>Ice: Neote 7% + 0.5%/hit, Naraemagi 5% + 1%/enemy, Hakchum 1%/enemy; no Ice gain during the dance. Hakchum is the ONLY ability castable during Nurinarim: invulnerable leap, 7 Cold + ice storm (1 Cold/s, +150% x Str Cold vulnerability) that freezes enemies for Nurinarim's frozen-target explosions. Naraemagi converts Cold statuses to shields, then Overguard (15k x Str cap). Sangodae: kills with Narin Cold statuses drop Cold ammo runes. Nurinarim: 20k x Str slashes, 25 energy, no weapon modding.</t>
        </is>
      </c>
      <c r="F37" s="39" t="inlineStr">
        <is>
          <t>Subsuming Hakchum removed the dance's multiplier (+361% Cold vulnerability at 241% Str vs Roar +72%), the freeze that enables explosions, and the only in-dance defensive cast. Signature weapons' innate Cold was converted to Viral, which starves Naraemagi, Sangodae and freezing. Guardian's Promise needs Overshields (Narin gets Overguard).</t>
        </is>
      </c>
      <c r="G37" s="39" t="inlineStr">
        <is>
          <t>NO HELMINTH. Arcanes Energize + Truculence (Naraemagi Overguard &gt;3,000 -&gt; max Viral stacks). Nunchasa: pure Cold + Primary Frostbite; Aksondol: pure Cold + Secondary Shiver; Prisma Skana: Wartime Nerve / Orokin Reach / Survivor's Edge. Nurinarim ruling unchanged: ordinary Melee (Prisma Skana) kept. Former LIVE TEST closed.</t>
        </is>
      </c>
      <c r="H37" s="39" t="inlineStr">
        <is>
          <t>Each ability is a distinct node of one Cold loop (generate Ice, convert Cold to defence, multiply/freeze inside the dance, spend Ice). The LIVE TEST asked only whether Ice could be sustained without Hakchum; Hakchum is now kept for its in-dance mechanics, so the test no longer gates any decision.</t>
        </is>
      </c>
      <c r="I37" s="39" t="inlineStr">
        <is>
          <t>Arcane Truculence becomes required. Primary Frostbite / Secondary Shiver already required (Frost).</t>
        </is>
      </c>
    </row>
    <row r="38">
      <c r="A38" s="39" t="inlineStr">
        <is>
          <t>Nekros Prime</t>
        </is>
      </c>
      <c r="B38" s="39" t="inlineStr">
        <is>
          <t>REFINED</t>
        </is>
      </c>
      <c r="C38" s="39" t="inlineStr">
        <is>
          <t>Roar over Soul Punch; Shield of Shadows; Primed Flow; Energize + Molt; Smeeta</t>
        </is>
      </c>
      <c r="D38" s="39" t="inlineStr">
        <is>
          <t>No Phase 2 build record (v3 holds only the weapon allocation for this frame)</t>
        </is>
      </c>
      <c r="E38" s="39" t="inlineStr">
        <is>
          <t>Desecrate: corpses -&gt; health orbs (60%) and extra loot (54%), energy per corpse, no channel interruption of regen. Shadows of the Dead: 7 shadows with +150% x Str damage/health; Shield of Shadows gives 6% DR per shadow. Terrify: panic + armor strip (full at 167% Str). Soul Punch: marks for harvest and heals shadows when at cap.</t>
        </is>
      </c>
      <c r="F38" s="39" t="inlineStr">
        <is>
          <t>The farming loop did not convert Desecrate's health-orb stream into energy or survivability.</t>
        </is>
      </c>
      <c r="G38" s="39" t="inlineStr">
        <is>
          <t>Roar over Soul Punch kept (shadows are re-summoned by recast; Soul Punch's shadow heal is the least load-bearing effect). Primed Flow -&gt; Equilibrium (health orbs -&gt; energy). Energize -&gt; Arcane Blessing (+24 max health per health pickup, x50). Smeeta (Charm loot) kept. Tigris Prime: status confirmed; announced Tigris Incarnon not live.</t>
        </is>
      </c>
      <c r="H38" s="39" t="inlineStr">
        <is>
          <t>Desecrate's orb stream now funds energy (Equilibrium) and a growing health pool (Blessing), while Shadows + Shield of Shadows tank and Terrify strips.</t>
        </is>
      </c>
      <c r="I38" s="39" t="inlineStr">
        <is>
          <t>Arcane Blessing already in the Arcanes collection; becomes required (market-priced).</t>
        </is>
      </c>
    </row>
    <row r="39">
      <c r="A39" s="39" t="inlineStr">
        <is>
          <t>Nezha Prime</t>
        </is>
      </c>
      <c r="B39" s="39" t="inlineStr">
        <is>
          <t>REFINED</t>
        </is>
      </c>
      <c r="C39" s="39" t="inlineStr">
        <is>
          <t>Roar over Fire Walker; Divine Retribution; Viral weapon templates</t>
        </is>
      </c>
      <c r="D39" s="39" t="inlineStr">
        <is>
          <t>No Phase 2 build record (v3 holds only the weapon allocation for this frame)</t>
        </is>
      </c>
      <c r="E39" s="39" t="inlineStr">
        <is>
          <t>Divine Retribution: statuses spread to all speared enemies; spear explosions scale x1.5 per remaining Slash/Toxin/Heat status. Blazing Chakram: guaranteed Heat + mark. Warding Halo: health from armor.</t>
        </is>
      </c>
      <c r="F39" s="39" t="inlineStr">
        <is>
          <t>Weapons combined Toxin into Viral, which Divine Retribution does not scale.</t>
        </is>
      </c>
      <c r="G39" s="39" t="inlineStr">
        <is>
          <t>Roar over Fire Walker kept. Proboscis Cernos and Zakti Prime: raw Toxin builds (Heat comes from Chakram).</t>
        </is>
      </c>
      <c r="H39" s="39" t="inlineStr">
        <is>
          <t>Raw Toxin (+ Slash) stacks are exactly what Divine Retribution multiplies.</t>
        </is>
      </c>
      <c r="I39" s="39" t="inlineStr">
        <is>
          <t>None.</t>
        </is>
      </c>
    </row>
    <row r="40">
      <c r="A40" s="39" t="inlineStr">
        <is>
          <t>Nidus Prime</t>
        </is>
      </c>
      <c r="B40" s="39" t="inlineStr">
        <is>
          <t>CORRECTED</t>
        </is>
      </c>
      <c r="C40" s="39" t="inlineStr">
        <is>
          <t>Roar over Parasitic Link; Larva Burst; Primed Flow; Umbral x3</t>
        </is>
      </c>
      <c r="D40" s="39" t="inlineStr">
        <is>
          <t>No Phase 2 build record (v3 holds only the weapon allocation for this frame)</t>
        </is>
      </c>
      <c r="E40" s="39" t="inlineStr">
        <is>
          <t>Mutation: 1/5 stack per Virulence hit, Larva-held kill (100% at 200% Str) and maggot explosion; Ravenous costs 3 stacks; Undying at 15 stacks. Parasitic Link to a companion: +25% x (1+Str) Ability Strength and weapon damage, and a second Virulence instance from the linked target (doubled stack gain). Parasitic Vitality: +4% max health per stack while linked.</t>
        </is>
      </c>
      <c r="F40" s="39" t="inlineStr">
        <is>
          <t>Subsuming Parasitic Link traded a Str/weapon buff PLUS doubled Virulence/Mutation gain for a smaller Roar.</t>
        </is>
      </c>
      <c r="G40" s="39" t="inlineStr">
        <is>
          <t>NO HELMINTH. Parasitic Vitality added; it is incompatible with Umbral Vitality, so Umbral Vitality -&gt; Augur Secrets and Primed Flow is removed (Virulence refunds energy). Str 219% keeps Larva's guaranteed stack.</t>
        </is>
      </c>
      <c r="H40" s="39" t="inlineStr">
        <is>
          <t>Link is the stack accelerator and buff; Vitality turns 200 stacks into ~+800% health on a shieldless frame.</t>
        </is>
      </c>
      <c r="I40" s="39" t="inlineStr">
        <is>
          <t>None.</t>
        </is>
      </c>
    </row>
    <row r="41">
      <c r="A41" s="39" t="inlineStr">
        <is>
          <t>Nokko</t>
        </is>
      </c>
      <c r="B41" s="39" t="inlineStr">
        <is>
          <t>CORRECTED</t>
        </is>
      </c>
      <c r="C41" s="39" t="inlineStr">
        <is>
          <t>Roar over Sporespring; Energize + Molt; Ocucor status Arcane on crit mods</t>
        </is>
      </c>
      <c r="D41" s="39" t="inlineStr">
        <is>
          <t>Phase 2 information incomplete (user note). Full current kit established from live wiki before judging.</t>
        </is>
      </c>
      <c r="E41" s="39" t="inlineStr">
        <is>
          <t>Passive Vital Decay: on fatal damage with a mushroom placed, Sprodling revive. Stinkbrain (x4): 100% Viral + 3s Sleep + finisher vulnerability. Brightbonnet (x2): energy + Str buff (cap +150%, doubled when invigorated). Reroot: invulnerable/invisible Sprodling, counts for Crepuscular. Sporespring: 2,500 Toxin x1.5 per bounce (10 bounces), 75% crit, invigorates mushrooms it bounces off. Arbucep (signature archgun) also invigorates.</t>
        </is>
      </c>
      <c r="F41" s="39" t="inlineStr">
        <is>
          <t>v4.2 subsumed Sporespring, the nuke and the mechanism that invigorates mushrooms (doubled Str buff, faster pulses).</t>
        </is>
      </c>
      <c r="G41" s="39" t="inlineStr">
        <is>
          <t>NO HELMINTH. Arcanes Crepuscular + Molt Augmented (Crepuscular's x3 final crit applies to Sporespring hits landing during Reroot). Ocucor: crit + Merciless. Sporothrix: status confirmed.</t>
        </is>
      </c>
      <c r="H41" s="39" t="inlineStr">
        <is>
          <t>Stinkbrain's Viral/Sleep and bounce targets, Brightbonnet's Str/energy and Reroot's survival all feed Sporespring; Roar (x1.65) is smaller than any one of those nodes.</t>
        </is>
      </c>
      <c r="I41" s="39" t="inlineStr">
        <is>
          <t>None (Crepuscular already required).</t>
        </is>
      </c>
    </row>
    <row r="42">
      <c r="A42" s="39" t="inlineStr">
        <is>
          <t>Nova Prime</t>
        </is>
      </c>
      <c r="B42" s="39" t="inlineStr">
        <is>
          <t>CORRECTED</t>
        </is>
      </c>
      <c r="C42" s="39" t="inlineStr">
        <is>
          <t>Roar over Null Star while running Molecular Fission; Augur Reach</t>
        </is>
      </c>
      <c r="D42" s="39" t="inlineStr">
        <is>
          <t>No Phase 2 build record (v3 holds only the weapon allocation for this frame)</t>
        </is>
      </c>
      <c r="E42" s="39" t="inlineStr">
        <is>
          <t>Molecular Fission: enemies hit by NULL STARS are primed and refund Null Star charges. Null Star: 5% DR per particle (90% cap), particle count scales with Duration. Molecular Prime: +100% vulnerability, wave radius = 5 + 5 x 6 x Duration, slow cap 75% at 150% Str.</t>
        </is>
      </c>
      <c r="F42" s="39" t="inlineStr">
        <is>
          <t>The augment's effect required the subsumed ability (validator only checked the augment's own target). Nova also lost her particle DR. Range was prioritised although Molecular Prime scales on Duration.</t>
        </is>
      </c>
      <c r="G42" s="39" t="inlineStr">
        <is>
          <t>Roar over Antimatter Drop; Null Star + Molecular Fission restored; Augur Reach -&gt; Augur Message (Duration 189%). Soma Prime: Fortifying Bloodshed (Fortress Salvo needs &gt;450 armor).</t>
        </is>
      </c>
      <c r="H42" s="39" t="inlineStr">
        <is>
          <t>Antimatter Drop is the least load-bearing ability (25k absorb cap); Null Star is both the defence and the Molecular Fission engine.</t>
        </is>
      </c>
      <c r="I42" s="39" t="inlineStr">
        <is>
          <t>None.</t>
        </is>
      </c>
    </row>
    <row r="43">
      <c r="A43" s="39" t="inlineStr">
        <is>
          <t>Nyx Prime</t>
        </is>
      </c>
      <c r="B43" s="39" t="inlineStr">
        <is>
          <t>CONFIRMED</t>
        </is>
      </c>
      <c r="C43" s="39" t="inlineStr">
        <is>
          <t>Roar over Mind Control; Pacifying Bolts; Topaz Radiation shard</t>
        </is>
      </c>
      <c r="D43" s="39" t="inlineStr">
        <is>
          <t>No Phase 2 build record (v3 holds only the weapon allocation for this frame)</t>
        </is>
      </c>
      <c r="E43" s="39" t="inlineStr">
        <is>
          <t>Rework: passive +40% weapon crit per confused enemy (200% at 5). Chaos: 10 Radiation statuses (confusion) in 25m. Psychic Bolts: 100% defense strip at 125% Str plus defense steal. Mind Control: single target, converts damage into a large bonus. Absorb: invulnerable, stores Chaos/MC damage, weapon damage buff. Pacifying Bolts: extra bolts with guaranteed Radiation + 10s confusion.</t>
        </is>
      </c>
      <c r="F43" s="39" t="inlineStr">
        <is>
          <t>None. Chaos + Pacifying Bolts supply the confusion count; Mind Control adds only one.</t>
        </is>
      </c>
      <c r="G43" s="39" t="inlineStr">
        <is>
          <t>Unchanged (Hikou Prime status confirmed - passive crit is a multiplier on a 6% base).</t>
        </is>
      </c>
      <c r="H43" s="39" t="inlineStr">
        <is>
          <t>Chaos/Pacifying Bolts feed the passive across groups, Psychic Bolts strip, Absorb protects and buffs; Mind Control is the single-target outlier.</t>
        </is>
      </c>
      <c r="I43" s="39" t="inlineStr">
        <is>
          <t>None.</t>
        </is>
      </c>
    </row>
    <row r="44">
      <c r="A44" s="39" t="inlineStr">
        <is>
          <t>Oberon Prime</t>
        </is>
      </c>
      <c r="B44" s="39" t="inlineStr">
        <is>
          <t>REFINED</t>
        </is>
      </c>
      <c r="C44" s="39" t="inlineStr">
        <is>
          <t>NO HELMINTH; Hallowed Reckoning; Sicarus Prime King's Gambit</t>
        </is>
      </c>
      <c r="D44" s="39" t="inlineStr">
        <is>
          <t>No Phase 2 build record (v3 holds only the weapon allocation for this frame)</t>
        </is>
      </c>
      <c r="E44" s="39" t="inlineStr">
        <is>
          <t>Righteous Negation (health orb -&gt; up to 3 block charges). Smite: 100% armor + Overguard removal, % current health (cap 75% at 215% Str). Hallowed Ground: full circle, 100% Radiation, status immunity, doubles Renewal. Renewal: mobile channel, armor +50% x Str (cap at 200%). Reckoning: permanent armor reduction (full at 167% Str), health orbs feed Righteous Negation.</t>
        </is>
      </c>
      <c r="F44" s="39" t="inlineStr">
        <is>
          <t>Helminth decision was deliberate and correct; build Str 217% clears Smite's 215% cap and Reckoning's 167%. Weapon issue: King's Gambit sets body-shot crit to x0 on a non-weak-point frame.</t>
        </is>
      </c>
      <c r="G44" s="39" t="inlineStr">
        <is>
          <t>NO HELMINTH confirmed. Sicarus Prime: Feigned Retreat / Void's Guidance / Commodore's Fortune.</t>
        </is>
      </c>
      <c r="H44" s="39" t="inlineStr">
        <is>
          <t>Every ability feeds another (Radiation -&gt; Reckoning, orbs -&gt; Negation, armor -&gt; Renewal); no ability is replaceable.</t>
        </is>
      </c>
      <c r="I44" s="39" t="inlineStr">
        <is>
          <t>None.</t>
        </is>
      </c>
    </row>
    <row r="45">
      <c r="A45" s="39" t="inlineStr">
        <is>
          <t>Octavia Prime</t>
        </is>
      </c>
      <c r="B45" s="39" t="inlineStr">
        <is>
          <t>CONFIRMED</t>
        </is>
      </c>
      <c r="C45" s="39" t="inlineStr">
        <is>
          <t>NO HELMINTH; Partitioned Mallet; Conductor</t>
        </is>
      </c>
      <c r="D45" s="39" t="inlineStr">
        <is>
          <t>No Phase 2 build record (v3 holds only the weapon allocation for this frame)</t>
        </is>
      </c>
      <c r="E45" s="39" t="inlineStr">
        <is>
          <t>Helminth restriction: Roar/Eclipse/Xata's Whisper may only replace AMP on Octavia. Mallet reflects absorbed damage (2.5x x Str). Resonator carries the Mallet and makes charmed enemies attack it. Metronome: Nocturne invisibility, Opera multishot, armor. Amp: +25% to +200% x Str weapon/melee damage (additive with Serration) and doubles Mallet range when Mallet hovers over the field. Inspiration passive: 1 energy/s.</t>
        </is>
      </c>
      <c r="F45" s="39" t="inlineStr">
        <is>
          <t>None. The only legal Roar slot is Amp; Amp's weapon buff (up to +360% at 180% Str) exceeds Roar's x1.54 on weapons, and Mallet/Resonator/Metronome are the damage, aggro and stealth core.</t>
        </is>
      </c>
      <c r="G45" s="39" t="inlineStr">
        <is>
          <t>Unchanged.</t>
        </is>
      </c>
      <c r="H45" s="39" t="inlineStr">
        <is>
          <t>Replacing Mallet or Resonator breaks the reflect engine, Metronome removes Nocturne survival, and Amp is the only Roar-legal slot but out-buffs Roar for weapons.</t>
        </is>
      </c>
      <c r="I45" s="39" t="inlineStr">
        <is>
          <t>None.</t>
        </is>
      </c>
    </row>
    <row r="46">
      <c r="A46" s="39" t="inlineStr">
        <is>
          <t>Oraxia</t>
        </is>
      </c>
      <c r="B46" s="39" t="inlineStr">
        <is>
          <t>CORRECTED</t>
        </is>
      </c>
      <c r="C46" s="39" t="inlineStr">
        <is>
          <t>Roar over Mercy's Kiss</t>
        </is>
      </c>
      <c r="D46" s="39" t="inlineStr">
        <is>
          <t>No Phase 2 build record (v3 holds only the weapon allocation for this frame)</t>
        </is>
      </c>
      <c r="E46" s="39" t="inlineStr">
        <is>
          <t>Wiki Helminth restriction: Roar may only replace Silken Stride on Oraxia, so v4.2 was ILLEGAL. Silken Stride: health x(1+Str), status immunity, Toxin extra hit on guns, kill explosions, Mercy's Kiss via melee. Mercy's Kiss: invulnerable pounce; instant kill below 50% health or the Mercy threshold; orbs. Webbed Embrace: cocoons + damage vulnerability. Widow's Brood: darts + Scuttlers (forced Impact raises the Mercy threshold). Passive: wall-latch invisibility.</t>
        </is>
      </c>
      <c r="F46" s="39" t="inlineStr">
        <is>
          <t>Illegal Helminth placement that the validator did not model. Mercy's Kiss classification was inherited: it has no weapon entry in Module:Weapons and no mod/Arcane slot; it counts as a finisher (Parazon on-kill mods, finisher Arcanes).</t>
        </is>
      </c>
      <c r="G46" s="39" t="inlineStr">
        <is>
          <t>NO HELMINTH (the only legal Roar slot is Silken Stride, which is core). Mercy's Kiss: NOT separately moddable / not pseudo-Exalted. Torid now classified on its Incarnon Form (29% crit).</t>
        </is>
      </c>
      <c r="H46" s="39" t="inlineStr">
        <is>
          <t>Webbed vulnerability -&gt; Brood/Scuttler Impact -&gt; Mercy threshold -&gt; Mercy's Kiss kills -&gt; Silken explosions is a single loop.</t>
        </is>
      </c>
      <c r="I46" s="39" t="inlineStr">
        <is>
          <t>None.</t>
        </is>
      </c>
    </row>
    <row r="47">
      <c r="A47" s="39" t="inlineStr">
        <is>
          <t>Protea Prime</t>
        </is>
      </c>
      <c r="B47" s="39" t="inlineStr">
        <is>
          <t>REFINED</t>
        </is>
      </c>
      <c r="C47" s="39" t="inlineStr">
        <is>
          <t>Roar over Grenade Fan + Temporal Artillery (v4 fix of the contradictory Roar over Temporal Anchor + Temporal Artillery)</t>
        </is>
      </c>
      <c r="D47" s="39" t="inlineStr">
        <is>
          <t>No Phase 2 build record (v3 holds only the weapon allocation for this frame) (known open correction)</t>
        </is>
      </c>
      <c r="E47" s="39" t="inlineStr">
        <is>
          <t>Passive: every 4th cast +100% Str. Blaze Artillery: +100% damage per enemy hit, stacking; infinite punch through, 3 shots/s. Temporal Artillery: anchoring attaches one turret and freezes its timer (combo cap 20x). Temporal Erosion: while anchored, each Grenade Fan OR Blaze Artillery strike strips 10% armor. Temporal Anchor: 3s invulnerability, records 25% x Str of damage, death-gate rewind. Dispensary: empowered health, ammo and energy orbs every 6s.</t>
        </is>
      </c>
      <c r="F47" s="39" t="inlineStr">
        <is>
          <t>Compared configurations: (A) v4.3 Roar over Grenade Fan + Temporal Artillery - legal but no armor strip. (B) NO HELMINTH + Artillery + Erosion keeps Shield Satellites/Shrapnel CC but has no multiplier. (C) Roar over Dispensary removes energy/health sustain. (D) Roar over Temporal Anchor makes Temporal Artillery/Erosion dead (the old contradiction). Blaze strikes alone satisfy Erosion, so Grenade Fan is not needed for the strip.</t>
        </is>
      </c>
      <c r="G47" s="39" t="inlineStr">
        <is>
          <t>Roar over Grenade Fan + Temporal Artillery + Temporal Erosion; Primed Flow removed (Dispensary energy orbs). Empower the 4th cast onto Blaze Artillery or Temporal Anchor.</t>
        </is>
      </c>
      <c r="H47" s="39" t="inlineStr">
        <is>
          <t>An anchored 20x Blaze turret that strips 10% armor per strike, multiplied by Roar and recorded into the anchor implosion, is the strongest legal loop; Dispensary keeps sustain.</t>
        </is>
      </c>
      <c r="I47" s="39" t="inlineStr">
        <is>
          <t>None (Temporal Erosion in the all-mods collection).</t>
        </is>
      </c>
    </row>
    <row r="48">
      <c r="A48" s="39" t="inlineStr">
        <is>
          <t>Qorvex</t>
        </is>
      </c>
      <c r="B48" s="39" t="inlineStr">
        <is>
          <t>REFINED</t>
        </is>
      </c>
      <c r="C48" s="39" t="inlineStr">
        <is>
          <t>Roar over Disometric Guard; Wrecking Wall; Felarx crit shotgun template; Bronco Prime Speeding Bullet</t>
        </is>
      </c>
      <c r="D48" s="39" t="inlineStr">
        <is>
          <t>No Phase 2 build record (v3 holds only the weapon allocation for this frame)</t>
        </is>
      </c>
      <c r="E48" s="39" t="inlineStr">
        <is>
          <t>Passive: +3 weapon Punch Through (not the pre-release Radiation weapon bonus). Chyrinka Pillar Radiation pulses; Containment Wall Radiation stacks; Crucible Blast explosions scale per Radiation stack and empower Pillars into chain reactions; Wrecking Wall strips 50% armor/shields and restarts Pillars. Disometric Guard: status-negation plates.</t>
        </is>
      </c>
      <c r="F48" s="39" t="inlineStr">
        <is>
          <t>Felarx's Devastating Attrition (+2000% on NON-crit hits, 50%) was paired with crit mods. Bronco Speeding Bullet needs sprint &gt;=1.2.</t>
        </is>
      </c>
      <c r="G48" s="39" t="inlineStr">
        <is>
          <t>Roar over Disometric Guard kept (875 armor tank; Pillar/Wall/Crucible are the Radiation chain). Felarx: status template, Racking Wrath + Devastating Attrition (Incarnon Form innate Radiation feeds the chain). Bronco Prime: Infused Shots / Extended Volley / Rain of Lead.</t>
        </is>
      </c>
      <c r="H48" s="39" t="inlineStr">
        <is>
          <t>The Incarnon perk inverts the crit rule for Felarx; the Punch Through passive favours beams/projectiles already allocated.</t>
        </is>
      </c>
      <c r="I48" s="39" t="inlineStr">
        <is>
          <t>None.</t>
        </is>
      </c>
    </row>
    <row r="49">
      <c r="A49" s="39" t="inlineStr">
        <is>
          <t>Revenant Prime</t>
        </is>
      </c>
      <c r="B49" s="39" t="inlineStr">
        <is>
          <t>CORRECTED</t>
        </is>
      </c>
      <c r="C49" s="39" t="inlineStr">
        <is>
          <t>Roar over Enthrall; Mesmer Shield</t>
        </is>
      </c>
      <c r="D49" s="39" t="inlineStr">
        <is>
          <t>No Phase 2 build record (v3 holds only the weapon allocation for this frame)</t>
        </is>
      </c>
      <c r="E49" s="39" t="inlineStr">
        <is>
          <t>Mesmer Skin: reflect + stun charges (6 x Str), recastable. Reave restores 1 Mesmer charge per THRALL passed through and drains 5x from thralls. Enthrall on a Mesmer-stunned enemy costs 0. Danse Macabre stores damage including Mesmer-reflected damage; thrall kills drop overshield pickups; beams pop thrall pillars. Radiation status turns thralls back to enemies.</t>
        </is>
      </c>
      <c r="F49" s="39" t="inlineStr">
        <is>
          <t>Subsuming Enthrall cut the Reave -&gt; Mesmer charge regeneration, so Mesmer had to be rebought with energy. Tenet Cycron's mods paired Electricity with innate Heat = Radiation, which un-thralls Enthrall targets.</t>
        </is>
      </c>
      <c r="G49" s="39" t="inlineStr">
        <is>
          <t>NO HELMINTH; Mesmer Shield kept. Tenet Cycron: status mods without Electricity (Viral + Heat). Signature Phantasma Prime / Tatsu Prime carry innate Radiation (documented conflict, kept as signatures).</t>
        </is>
      </c>
      <c r="H49" s="39" t="inlineStr">
        <is>
          <t>Mesmer/Reave/Enthrall is the defining survivability loop and Danse Macabre feeds off it; no ability is generic.</t>
        </is>
      </c>
      <c r="I49" s="39" t="inlineStr">
        <is>
          <t>None.</t>
        </is>
      </c>
    </row>
    <row r="50">
      <c r="A50" s="39" t="inlineStr">
        <is>
          <t>Rhino Prime</t>
        </is>
      </c>
      <c r="B50" s="39" t="inlineStr">
        <is>
          <t>CORRECTED</t>
        </is>
      </c>
      <c r="C50" s="39" t="inlineStr">
        <is>
          <t>Nourish over Rhino Charge; Reinforcing Stomp</t>
        </is>
      </c>
      <c r="D50" s="39" t="inlineStr">
        <is>
          <t>v3 augment list: Ironclad Charge (+ prior known architecture: Ironclad Charge + Reinforcing Stomp, NO HELMINTH)</t>
        </is>
      </c>
      <c r="E50" s="39" t="inlineStr">
        <is>
          <t>Iron Skin Overguard = (base + 2.5 x total armor) x Str + absorbed. Ironclad Charge: +50% armor per enemy hit by Rhino Charge for 10s. Rhino Charge: combo chain, Blast procs with Iron Skin, x2 on stomped enemies. Reinforcing Stomp: refills Iron Skin 4% per enemy. Roar native (full strength, not the subsumed cap).</t>
        </is>
      </c>
      <c r="F50" s="39" t="inlineStr">
        <is>
          <t>Subsuming Rhino Charge removed Ironclad Charge, the armor multiplier that scales Iron Skin, for Nourish's energy/Viral.</t>
        </is>
      </c>
      <c r="G50" s="39" t="inlineStr">
        <is>
          <t>NO HELMINTH; Ironclad Charge + Reinforcing Stomp (Stretch removed). Boltor Prime classified on its Incarnon Form (24% / 3x crit): Crimson Overture / Rapid Reinforcement / Survivor's Edge.</t>
        </is>
      </c>
      <c r="H50" s="39" t="inlineStr">
        <is>
          <t>Charge into a pack -&gt; +50% armor per enemy -&gt; Iron Skin Overguard scales 2.5x that armor -&gt; Stomp refills it. Nourish cannot match an armor multiplier on the frame's own defence.</t>
        </is>
      </c>
      <c r="I50" s="39" t="inlineStr">
        <is>
          <t>None (Ironclad Charge in the all-mods collection).</t>
        </is>
      </c>
    </row>
    <row r="51">
      <c r="A51" s="39" t="inlineStr">
        <is>
          <t>Saryn Prime</t>
        </is>
      </c>
      <c r="B51" s="39" t="inlineStr">
        <is>
          <t>CORRECTED</t>
        </is>
      </c>
      <c r="C51" s="39" t="inlineStr">
        <is>
          <t>Roar over Toxic Lash; Venom Dose</t>
        </is>
      </c>
      <c r="D51" s="39" t="inlineStr">
        <is>
          <t>KNOWN BASELINE: Roar over Molt, preserving Toxic Lash</t>
        </is>
      </c>
      <c r="E51" s="39" t="inlineStr">
        <is>
          <t>Spores: any weapon/ability hit bursts and spreads spores; growth per infected enemy. Toxic Lash: every weapon hit bursts spores (whole body, no direct spore hit needed); Toxin Extra Hit (30% x Str, doubled for melee) with guaranteed Toxin proc per multishot pellet, triggering TWICE on spored enemies; every Toxin mod multiplies its ticks even when combined; faction mods triple-dip. Molt: decoy + cleanse + speed, explosion bursts spores. Miasma: 400% vs spored targets.</t>
        </is>
      </c>
      <c r="F51" s="39" t="inlineStr">
        <is>
          <t>v4.2 removed the weapon half of the spore loop (Toxic Lash) to get Roar. Compared: (A) v4.2 Roar over Toxic Lash - weapons no longer burst spores or add Toxin stacks; (B) NO HELMINTH - keeps Molt's decoy/cleanse but has no multiplier; (C) Phase 2 Roar over Molt - keeps the full Spores/Toxic Lash/Miasma loop and adds x1.62.</t>
        </is>
      </c>
      <c r="G51" s="39" t="inlineStr">
        <is>
          <t>Roar over Molt (Phase 2 baseline). Toxic Lash kept; Venom Dose kept. Kuva Ogris status confirmed; Dual Ichor Alchemist's Wrath / Poison Parasite now active via Toxic Lash Toxin.</t>
        </is>
      </c>
      <c r="H51" s="39" t="inlineStr">
        <is>
          <t>Toxic Lash is the spore weapon engine; Molt is the only ability whose role (escape/cleanse) is not part of the damage loop.</t>
        </is>
      </c>
      <c r="I51" s="39" t="inlineStr">
        <is>
          <t>None.</t>
        </is>
      </c>
    </row>
    <row r="52">
      <c r="A52" s="39" t="inlineStr">
        <is>
          <t>Sevagoth Prime</t>
        </is>
      </c>
      <c r="B52" s="39" t="inlineStr">
        <is>
          <t>CORRECTED</t>
        </is>
      </c>
      <c r="C52" s="39" t="inlineStr">
        <is>
          <t>Roar over Sow; Shadow Haze; Shadow config "no Arcane/shard slots"; Shadow Claws generic</t>
        </is>
      </c>
      <c r="D52" s="39" t="inlineStr">
        <is>
          <t>No Phase 2 build record (v3 holds only the weapon allocation for this frame)</t>
        </is>
      </c>
      <c r="E52" s="39" t="inlineStr">
        <is>
          <t>Reap x Sow: Reap on a Sown enemy deals 25% current health as True damage and the target detonates for 25% of its current health on others. Sow: True DoT. Gloom: slow (95% at 272% Str), lifesteal, persists during Exalted Shadow. Exalted Shadow: separately moddable Warframe that uses its OWN Mods and Arcanes (Shards and Focus apply normally); Shadow Claws Prime 38% crit / 2.6x. All abilities fill the Death Well.</t>
        </is>
      </c>
      <c r="F52" s="39" t="inlineStr">
        <is>
          <t>Subsuming Sow removed the Reap detonation (% current health, spreading). The Shadow was treated as having no Arcane slots.</t>
        </is>
      </c>
      <c r="G52" s="39" t="inlineStr">
        <is>
          <t>NO HELMINTH. Shadow: own Arcanes Arcane Fury + Arcane Reaper, Steel Charge aura. Shadow Claws Prime: combo crit + Melee Duplicate.</t>
        </is>
      </c>
      <c r="H52" s="39" t="inlineStr">
        <is>
          <t>Reap/Sow is the % health engine, Gloom the sustain, Exalted Shadow the melee form; no generic slot.</t>
        </is>
      </c>
      <c r="I52" s="39" t="inlineStr">
        <is>
          <t>None (Fury/Reaper already required).</t>
        </is>
      </c>
    </row>
    <row r="53">
      <c r="A53" s="39" t="inlineStr">
        <is>
          <t>Sirius &amp; Orion</t>
        </is>
      </c>
      <c r="B53" s="39" t="inlineStr">
        <is>
          <t>REFINED</t>
        </is>
      </c>
      <c r="C53" s="39" t="inlineStr">
        <is>
          <t>Roar over Coronal Ejection; Orion config with Growing Power; 3 LIVE TESTs (Helminth on Primary Son, Orion Reactor, Orion Arcanes/shards)</t>
        </is>
      </c>
      <c r="D53" s="39" t="inlineStr">
        <is>
          <t>No Phase 2 build record (v3 holds only the weapon allocation for this frame)</t>
        </is>
      </c>
      <c r="E53" s="39" t="inlineStr">
        <is>
          <t>Wiki: separate upgrade loadouts (Mods, Aura, Arcanes) per son; Archon Shards and Decrees SHARED; Orion has a pre-installed Orokin Reactor; Forma/Exilus adapter on both; Helminth only on the Primary Son (swapping Primary Son restores the default ability; subsuming Celestial Clash disables it for both); Primary/Secondary/Melee and their mods/Arcanes SHARED; uncontrolled son fires at 0.25x and cannot trigger conditional Arcanes; identical Auras on both sons do not stack; Pride/Wrath have no Signature bonus with S&amp;O. Gravitic Slash: full armor/shield strip at 200% Str (164% with Corrosive Projection).</t>
        </is>
      </c>
      <c r="F53" s="39" t="inlineStr">
        <is>
          <t>Both sons ran Growing Power, so the second copy was dead. Orion's Arcanes were unassigned. The three LIVE TESTs were externally answerable.</t>
        </is>
      </c>
      <c r="G53" s="39" t="inlineStr">
        <is>
          <t>Primary Son Sirius; Roar over Coronal Ejection kept (hold-swap from Sirius slot 1 lost, swaps via slots 2/3 remain; Celestial Clash untouched). Orion: Corrosive Projection aura, Arcane Energize + Molt Augmented. Shards: one shared set of 5. Spectra Vandal crit + Merciless. All three LIVE TESTs closed.</t>
        </is>
      </c>
      <c r="H53" s="39" t="inlineStr">
        <is>
          <t>Two distinct auras both apply; Orion reaches 241% Str (strip breakpoint 164%).</t>
        </is>
      </c>
      <c r="I53" s="39" t="inlineStr">
        <is>
          <t>None (no extra Reactor - pre-installed; Arcane copies reusable across configs).</t>
        </is>
      </c>
    </row>
    <row r="54">
      <c r="A54" s="39" t="inlineStr">
        <is>
          <t>Styanax Prime</t>
        </is>
      </c>
      <c r="B54" s="39" t="inlineStr">
        <is>
          <t>CORRECTED</t>
        </is>
      </c>
      <c r="C54" s="39" t="inlineStr">
        <is>
          <t>Roar over Rally Point; Tharros Lethality</t>
        </is>
      </c>
      <c r="D54" s="39" t="inlineStr">
        <is>
          <t>KNOWN BASELINE: Nourish over Axios Javelin; Rally Point + Final Stand/Intrepid Stand</t>
        </is>
      </c>
      <c r="E54" s="39" t="inlineStr">
        <is>
          <t>Passive: +1% weapon crit per 40 shields incl. Overshields (doubled on spearguns). Rally Point: 3 x Str energy/s + 50 x Str shields per kill. Final Stand: javelin barrage; Intrepid Stand +60 Overguard per hit. Tharros Strike: full defense strip at 200% Str. Axios Javelin: impale/vortex.</t>
        </is>
      </c>
      <c r="F54" s="39" t="inlineStr">
        <is>
          <t>v4.2 removed Rally Point, the energy and shield engine that feeds the passive crit. Compared with Phase 2: both subsume Axios Javelin; Nourish's energy multiplier is redundant once Rally Point supplies ~6.5 energy/s, while Roar's x1.65 multiplies Final Stand and every weapon.</t>
        </is>
      </c>
      <c r="G54" s="39" t="inlineStr">
        <is>
          <t>Roar over Axios Javelin; Rally Point kept; Intrepid Stand + Tharros Lethality (Primed Flow removed - Rally Point energy). Str 217% (Tharros 200% met).</t>
        </is>
      </c>
      <c r="H54" s="39" t="inlineStr">
        <is>
          <t>Rally Point sustains energy and the shield-crit passive; Final Stand + Intrepid Stand is the Overguard loop; Roar beats Nourish once energy is covered.</t>
        </is>
      </c>
      <c r="I54" s="39" t="inlineStr">
        <is>
          <t>None.</t>
        </is>
      </c>
    </row>
    <row r="55">
      <c r="A55" s="39" t="inlineStr">
        <is>
          <t>Temple</t>
        </is>
      </c>
      <c r="B55" s="39" t="inlineStr">
        <is>
          <t>REFINED</t>
        </is>
      </c>
      <c r="C55" s="39" t="inlineStr">
        <is>
          <t>NO HELMINTH; Lizzie generic rifle template, no Exilus</t>
        </is>
      </c>
      <c r="D55" s="39" t="inlineStr">
        <is>
          <t>No Phase 2 build record (v3 holds only the weapon allocation for this frame)</t>
        </is>
      </c>
      <c r="E55" s="39" t="inlineStr">
        <is>
          <t>Helminth restriction: Roar may only replace Ripper's Wail (invulnerability, overshield heal, up to 750% weapon Heat). Backbeat casts fuel Lizzie (55 ammo each) and add per-ability bonuses; Overdrive adds final crit-chance vulnerability. Lizzie: 35% crit / 2.3x / 35% status Heat beam, 10m, Primary mods + Arcanes, Primary Exalted (Exilus).</t>
        </is>
      </c>
      <c r="F55" s="39" t="inlineStr">
        <is>
          <t>Lizzie had no Exilus; beam length 10m is its limiter.</t>
        </is>
      </c>
      <c r="G55" s="39" t="inlineStr">
        <is>
          <t>NO HELMINTH confirmed (the only Roar slot is Ripper's Wail; every other cast fuels Lizzie). Lizzie keeps the Primary replacement; Exilus Sinister Reach (+12m beam); Primary Merciless. Riot-848 Secondary.</t>
        </is>
      </c>
      <c r="H55" s="39" t="inlineStr">
        <is>
          <t>All four abilities feed the Backbeat/Lizzie loop.</t>
        </is>
      </c>
      <c r="I55" s="39" t="inlineStr">
        <is>
          <t>None.</t>
        </is>
      </c>
    </row>
    <row r="56">
      <c r="A56" s="39" t="inlineStr">
        <is>
          <t>Titania Prime</t>
        </is>
      </c>
      <c r="B56" s="39" t="inlineStr">
        <is>
          <t>CORRECTED</t>
        </is>
      </c>
      <c r="C56" s="39" t="inlineStr">
        <is>
          <t>Roar over Spellbind (the brief described the current state as Nourish over Lantern; the workbook actually held Roar over Spellbind)</t>
        </is>
      </c>
      <c r="D56" s="39" t="inlineStr">
        <is>
          <t>No Phase 2 build record (v3 holds only the weapon allocation for this frame)</t>
        </is>
      </c>
      <c r="E56" s="39" t="inlineStr">
        <is>
          <t>Razorwing: permanent flight, 5 x Eff/Dur energy drain; most energy sources blocked; Energy Orbs, Arcane Energize and Spellbound Harvest still work. Spellbind: CC + status immunity (also blocks Razorwing collision lock-out); Spellbound Harvest +50 energy per 4+ hits. Tribute: Thorns DR/reflect etc. Lantern: charm/grouping + Heat burst. Dex Pixia: base damage x Str, 10% crit, 60-round regenerating mag. Diwata: 20% crit Puncture sword.</t>
        </is>
      </c>
      <c r="F56" s="39" t="inlineStr">
        <is>
          <t>Subsuming Spellbind removed status immunity and the only ability-based energy source usable inside Razorwing. Compared: Nourish over Lantern (energy multiplier + Viral) vs Roar over Lantern - with Spellbound Harvest covering energy, Roar's x1.65 on Dex Pixia/Diwata wins.</t>
        </is>
      </c>
      <c r="G56" s="39" t="inlineStr">
        <is>
          <t>Roar over Lantern; Spellbind + Spellbound Harvest (Stretch removed); Razorwing Blitz kept. Permanent Razorwing kept. Dex Pixia: Lethal Torrent instead of Galvanized Crosshairs; Exilus Primed Steady Hands; Secondary Merciless. Diwata: combo crit + Melee Duplicate. No ordinary Primary/Secondary/Melee reintroduced.</t>
        </is>
      </c>
      <c r="H56" s="39" t="inlineStr">
        <is>
          <t>Spellbind is Razorwing's defence and energy loop; Lantern is the expendable CC.</t>
        </is>
      </c>
      <c r="I56" s="39" t="inlineStr">
        <is>
          <t>None.</t>
        </is>
      </c>
    </row>
    <row r="57">
      <c r="A57" s="39" t="inlineStr">
        <is>
          <t>Trinity Prime</t>
        </is>
      </c>
      <c r="B57" s="39" t="inlineStr">
        <is>
          <t>REFINED</t>
        </is>
      </c>
      <c r="C57" s="39" t="inlineStr">
        <is>
          <t>Roar over Well of Life; Champion's Blessing; Akbronco status Arcane; Boar Fortress Salvo</t>
        </is>
      </c>
      <c r="D57" s="39" t="inlineStr">
        <is>
          <t>No Phase 2 build record (v3 holds only the weapon allocation for this frame)</t>
        </is>
      </c>
      <c r="E57" s="39" t="inlineStr">
        <is>
          <t>Lifegiver passive: +50% of energy pool as health. Energy Vampire: energy pulses. Link: 75% damage + status redirection. Blessing: 80% x Str restore, 75% DR at 150% Str. Champion's Blessing: +350% primary/secondary crit, self-heal and companions count (wiki). Well of Life: heal/lifesteal on one target.</t>
        </is>
      </c>
      <c r="F57" s="39" t="inlineStr">
        <is>
          <t>Weapons ignored Champion's Blessing (+350% additive crit). Boar Fortress Salvo needs &gt;450 armor (Trinity 135).</t>
        </is>
      </c>
      <c r="G57" s="39" t="inlineStr">
        <is>
          <t>Roar over Well of Life kept (its heal overlaps Blessing; Link/Blessing/Energy Vampire are the defence and energy core). Akbronco Prime: crit + Merciless (threshold override). Boar Prime: Reified Bane / Ready Retaliation / Critical Parallel.</t>
        </is>
      </c>
      <c r="H57" s="39" t="inlineStr">
        <is>
          <t>Champion's Blessing turns her into a crit-weapon frame.</t>
        </is>
      </c>
      <c r="I57" s="39" t="inlineStr">
        <is>
          <t>None.</t>
        </is>
      </c>
    </row>
    <row r="58">
      <c r="A58" s="39" t="inlineStr">
        <is>
          <t>Uriel</t>
        </is>
      </c>
      <c r="B58" s="39" t="inlineStr">
        <is>
          <t>CORRECTED</t>
        </is>
      </c>
      <c r="C58" s="39" t="inlineStr">
        <is>
          <t>NO HELMINTH ("Demon kit requires all abilities"); Infernum; Arcane Camisado</t>
        </is>
      </c>
      <c r="D58" s="39" t="inlineStr">
        <is>
          <t>No Phase 2 build record (v3 holds only the weapon allocation for this frame)</t>
        </is>
      </c>
      <c r="E58" s="39" t="inlineStr">
        <is>
          <t>Helminth restriction: Roar may only replace Demonium on Uriel. Wiki: replacing an ability does NOT remove its Demon - Vythelas keeps making runes (+30% fire rate, +30% Heat extra hit) at default stats. Demonium: costs 10% demon health per soul volley, small Brimstone charge. Vinquibus occupies Primary + Melee; Kuva Twin Stubbas is the separate Secondary.</t>
        </is>
      </c>
      <c r="F58" s="39" t="inlineStr">
        <is>
          <t>NO HELMINTH left the one legal Roar slot unused, assuming the Demon would be lost.</t>
        </is>
      </c>
      <c r="G58" s="39" t="inlineStr">
        <is>
          <t>Roar over Demonium (Vythelas and runes stay). Vinquibus dual-slot preserved; Kuva Twin Stubbas crit + Merciless.</t>
        </is>
      </c>
      <c r="H58" s="39" t="inlineStr">
        <is>
          <t>Losing Demonium's projectiles and Vythelas's Str scaling costs less than x1.65 on Vinquibus, Stubbas, Infernalis and Brimstone.</t>
        </is>
      </c>
      <c r="I58" s="39" t="inlineStr">
        <is>
          <t>None.</t>
        </is>
      </c>
    </row>
    <row r="59">
      <c r="A59" s="39" t="inlineStr">
        <is>
          <t>Valkyr Prime</t>
        </is>
      </c>
      <c r="B59" s="39" t="inlineStr">
        <is>
          <t>CORRECTED</t>
        </is>
      </c>
      <c r="C59" s="39" t="inlineStr">
        <is>
          <t>Roar over Paralysis; Eternal War; Twin Vipers Wraith Secondary Outburst</t>
        </is>
      </c>
      <c r="D59" s="39" t="inlineStr">
        <is>
          <t>No Phase 2 build record (v3 holds only the weapon allocation for this frame)</t>
        </is>
      </c>
      <c r="E59" s="39" t="inlineStr">
        <is>
          <t>Hysteria Talons: 50% crit / 2x, heal per hit, status immunity, Rage passive. Paralysis: +50% x Str melee vulnerability (~+100%), slow, 3s stun -&gt; finishers (biggest Rage gain). Warcry: attack speed + armor (x3 during Hysteria). Rip Line: grapple/pull.</t>
        </is>
      </c>
      <c r="F59" s="39" t="inlineStr">
        <is>
          <t>Paralysis is a melee-specific vulnerability larger than subsumed Roar and the finisher/Rage enabler. Outburst consumed the Talons' combo.</t>
        </is>
      </c>
      <c r="G59" s="39" t="inlineStr">
        <is>
          <t>Roar over Rip Line; Paralysis restored. Valkyr Prime Talons: combo crit + Melee Duplicate (base 50% crit). Twin Vipers Wraith: Secondary Dexterity.</t>
        </is>
      </c>
      <c r="H59" s="39" t="inlineStr">
        <is>
          <t>Hysteria + Warcry + Paralysis is one melee architecture; Rip Line is mobility; parkour and Hysteria slide attacks cover gap-closing.</t>
        </is>
      </c>
      <c r="I59" s="39" t="inlineStr">
        <is>
          <t>None.</t>
        </is>
      </c>
    </row>
    <row r="60">
      <c r="A60" s="39" t="inlineStr">
        <is>
          <t>Vauban Prime</t>
        </is>
      </c>
      <c r="B60" s="39" t="inlineStr">
        <is>
          <t>REFINED</t>
        </is>
      </c>
      <c r="C60" s="39" t="inlineStr">
        <is>
          <t>Roar over Tesla Nervos; Enduring Bastille; Kulstar status Arcane on crit mods</t>
        </is>
      </c>
      <c r="D60" s="39" t="inlineStr">
        <is>
          <t>No Phase 2 build record (v3 holds only the weapon allocation for this frame)</t>
        </is>
      </c>
      <c r="E60" s="39" t="inlineStr">
        <is>
          <t>Bastille/Vortex: suspension + armor drain, vortex pull; Minelayer tethers/pads feed Bastille; Photon Strike scales with enemy level (x ceil(level/10)); stunned/held enemies +25% damage from Vauban. Kulstar: no Incarnon exists.</t>
        </is>
      </c>
      <c r="F60" s="39" t="inlineStr">
        <is>
          <t>Helminth correct but unjustified. Kulstar Arcane mismatch. Kulstar Incarnon check: absent from WEAPON CONFIGS, Incarnon Genesis and procurement (verified).</t>
        </is>
      </c>
      <c r="G60" s="39" t="inlineStr">
        <is>
          <t>Roar over Tesla Nervos kept (single-target stuns are the most replaceable; Bastille/Minelayer/Photon Strike are the CC and nuke). Kulstar: crit + Merciless.</t>
        </is>
      </c>
      <c r="H60" s="39" t="inlineStr">
        <is>
          <t>Bastille + Minelayer group, Photon Strike scales into Steel Path.</t>
        </is>
      </c>
      <c r="I60" s="39" t="inlineStr">
        <is>
          <t>None.</t>
        </is>
      </c>
    </row>
    <row r="61">
      <c r="A61" s="39" t="inlineStr">
        <is>
          <t>Volt Prime</t>
        </is>
      </c>
      <c r="B61" s="39" t="inlineStr">
        <is>
          <t>REFINED</t>
        </is>
      </c>
      <c r="C61" s="39" t="inlineStr">
        <is>
          <t>Roar over Shock; Capacitance; Violet ability-damage shards x2</t>
        </is>
      </c>
      <c r="D61" s="39" t="inlineStr">
        <is>
          <t>No Phase 2 build record (v3 holds only the weapon allocation for this frame)</t>
        </is>
      </c>
      <c r="E61" s="39" t="inlineStr">
        <is>
          <t>Passive: up to +1000 Electricity on the next hit from movement. Electric Shield: x2 crit damage (multiplicative) + 50% Electricity per shield for shots through it. Speed: movement/attack speed. Discharge: AoE stun + Capacitance shields. Shock: chain + overcharge on Discharged targets.</t>
        </is>
      </c>
      <c r="F61" s="39" t="inlineStr">
        <is>
          <t>Shards bought ability damage on a frame whose damage engine is weapons through Electric Shield.</t>
        </is>
      </c>
      <c r="G61" s="39" t="inlineStr">
        <is>
          <t>Roar over Shock kept (Electric Shield/Speed/Discharge are the weapon, mobility and CC core). Shards: Violet Primary-Electricity x2 instead of ability-damage x2. Rubico Prime through the shield.</t>
        </is>
      </c>
      <c r="H61" s="39" t="inlineStr">
        <is>
          <t>Electric Shield doubles crit damage; Roar multiplies the same weapons.</t>
        </is>
      </c>
      <c r="I61" s="39" t="inlineStr">
        <is>
          <t>None (shards account-bound).</t>
        </is>
      </c>
    </row>
    <row r="62">
      <c r="A62" s="39" t="inlineStr">
        <is>
          <t>Voruna Prime</t>
        </is>
      </c>
      <c r="B62" s="39" t="inlineStr">
        <is>
          <t>CORRECTED</t>
        </is>
      </c>
      <c r="C62" s="39" t="inlineStr">
        <is>
          <t>Roar over Shroud of Dynar; Ulfrun's Endurance; Grimoire Secondary Outburst</t>
        </is>
      </c>
      <c r="D62" s="39" t="inlineStr">
        <is>
          <t>No Phase 2 build record (v3 holds only the weapon allocation for this frame)</t>
        </is>
      </c>
      <c r="E62" s="39" t="inlineStr">
        <is>
          <t>Shroud of Dynar: invisibility, melee +100% flat crit, +2x flat crit damage, +100% status, forced Slash; sets Ulfrun's Descent to 100% crit. Fangs: 5 statuses x10. Ulfrun's Descent: ability lunges, more damage per status. Lycath's Hunt: orbs, extended by 5-status kills. Passives selectable on hold.</t>
        </is>
      </c>
      <c r="F62" s="39" t="inlineStr">
        <is>
          <t>Subsuming Shroud removed the melee and Ulfrun crit engine. Outburst consumed melee combo.</t>
        </is>
      </c>
      <c r="G62" s="39" t="inlineStr">
        <is>
          <t>NO HELMINTH. Ulfrun's Descent stays an ability attack; Sarofang Prime remains the ordinary Melee (heavy + Animosity); Perigale Prime Deadhead; Grimoire Secondary Dexterity.</t>
        </is>
      </c>
      <c r="H62" s="39" t="inlineStr">
        <is>
          <t>Shroud -&gt; Fangs -&gt; Ulfrun -&gt; Lycath is one loop.</t>
        </is>
      </c>
      <c r="I62" s="39" t="inlineStr">
        <is>
          <t>None.</t>
        </is>
      </c>
    </row>
    <row r="63">
      <c r="A63" s="39" t="inlineStr">
        <is>
          <t>Wisp Prime</t>
        </is>
      </c>
      <c r="B63" s="39" t="inlineStr">
        <is>
          <t>REFINED</t>
        </is>
      </c>
      <c r="C63" s="39" t="inlineStr">
        <is>
          <t>Roar over Wil-O-Wisp; Critical Surge + Fused Reservoir; Furis Prelude of Might on a crit template</t>
        </is>
      </c>
      <c r="D63" s="39" t="inlineStr">
        <is>
          <t>No Phase 2 build record (v3 holds only the weapon allocation for this frame)</t>
        </is>
      </c>
      <c r="E63" s="39" t="inlineStr">
        <is>
          <t>Passive: airborne invisibility. Reservoirs: motes (health, haste, shock). Breach Surge: blind, sparks (100% crit); Critical Surge: reservoir teleport -&gt; up to +250% primary crit. Sol Gate: ramping beam, motes x1.5 damage, Haste mote = Corrosive. Wil-O-Wisp: decoy/teleport/3s invulnerability.</t>
        </is>
      </c>
      <c r="F63" s="39" t="inlineStr">
        <is>
          <t>Helminth was not Sol Gate (the brief's concern) - v4.2 already subsumed Wil-O-Wisp, which the passive's invisibility largely duplicates. Weapon issue: Prelude of Might (+3x crit multiplier below 40% crit) was paired with crit-chance mods that push Furis to ~75%.</t>
        </is>
      </c>
      <c r="G63" s="39" t="inlineStr">
        <is>
          <t>Roar over Wil-O-Wisp confirmed (Sol Gate and Breach Surge are the damage, Reservoirs the buff/teleport network). Furis: no crit-chance mods (stays below 40%), Stormburst / Practiced Grip / Prelude of Might.</t>
        </is>
      </c>
      <c r="H63" s="39" t="inlineStr">
        <is>
          <t>Losing Wil-O-Wisp costs only a decoy/teleport already covered by the passive and reservoir teleports.</t>
        </is>
      </c>
      <c r="I63" s="39" t="inlineStr">
        <is>
          <t>None.</t>
        </is>
      </c>
    </row>
    <row r="64">
      <c r="A64" s="39" t="inlineStr">
        <is>
          <t>Wukong Prime</t>
        </is>
      </c>
      <c r="B64" s="39" t="inlineStr">
        <is>
          <t>CORRECTED</t>
        </is>
      </c>
      <c r="C64" s="39" t="inlineStr">
        <is>
          <t>Roar over Cloud Walker; Primal Rage; Ballistica Secondary Outburst</t>
        </is>
      </c>
      <c r="D64" s="39" t="inlineStr">
        <is>
          <t>No Phase 2 build record (v3 holds only the weapon allocation for this frame)</t>
        </is>
      </c>
      <c r="E64" s="39" t="inlineStr">
        <is>
          <t>Cloud Walker: 25 energy, invulnerable, cleanses statuses, heals per meter, +300% movement, protects/heals the Twin, castable during Primal Fury. Defy: 2s rooted taunt -&gt; spin + up to 1500 armor. Celestial Twin: weapon-wielding summon (also uses Iron Staff). Primal Fury: Iron Staff (25% crit, 30% status, +0.5m range per combo). Passive: 3 random death-avoidance techniques.</t>
        </is>
      </c>
      <c r="F64" s="39" t="inlineStr">
        <is>
          <t>Cloud Walker is the kit's only cleanse and on-demand invulnerability; its value is utility, not DPS. Outburst drained Iron Staff combo (range and damage).</t>
        </is>
      </c>
      <c r="G64" s="39" t="inlineStr">
        <is>
          <t>Roar over Defy; Cloud Walker restored (Arcane Reaper +660 armor on melee kills partly replaces Defy armor). Iron Staff Prime: combo crit + Melee Duplicate. Ballistica Prime: Secondary Dexterity, Headcracker (Prolific Perforation needs punch-through).</t>
        </is>
      </c>
      <c r="H64" s="39" t="inlineStr">
        <is>
          <t>Mobile invulnerability + cleanse + healing beats a rooted armor buff for a staff brawler.</t>
        </is>
      </c>
      <c r="I64" s="39" t="inlineStr">
        <is>
          <t>None.</t>
        </is>
      </c>
    </row>
    <row r="65">
      <c r="A65" s="39" t="inlineStr">
        <is>
          <t>Xaku Prime</t>
        </is>
      </c>
      <c r="B65" s="39" t="inlineStr">
        <is>
          <t>CORRECTED</t>
        </is>
      </c>
      <c r="C65" s="39" t="inlineStr">
        <is>
          <t>Roar over Xata's Whisper (forced slot); Untime Rift; Laetum crit template with non-crit perks</t>
        </is>
      </c>
      <c r="D65" s="39" t="inlineStr">
        <is>
          <t>No Phase 2 build record (v3 holds only the weapon allocation for this frame)</t>
        </is>
      </c>
      <c r="E65" s="39" t="inlineStr">
        <is>
          <t>Helminth restriction: Roar only over Xata's Whisper. Xata's Whisper: Void Extra Hit of 26% x Str of total weapon damage (~+56% at 217%), double-dips faction and body-part multipliers, Void status (bullet attractor), timer paused by Vast Untime, x1.5 from Untime's Void vulnerability (x2 debuffs with Untime Rift). Grasp of Lohk: intrinsic Void replicas (no slot). The Lost: Accuse/Gaze/Deny. Vast Untime: 75% dodge/AoE DR, slow, Void vulnerability.</t>
        </is>
      </c>
      <c r="F65" s="39" t="inlineStr">
        <is>
          <t>Roar (additive with faction mods, no Untime synergy) is a sidegrade-down from Xata on Xaku's weapons. Laetum carried Devouring Attrition (non-crit only) and Elemental Excess (-10% crit) with crit mods.</t>
        </is>
      </c>
      <c r="G65" s="39" t="inlineStr">
        <is>
          <t>NO HELMINTH. Laetum: status template + Encumber (Marksman's Hand / Lethal Rearmament / Elemental Excess / Devouring Attrition). Grasp of Lohk remains intrinsic.</t>
        </is>
      </c>
      <c r="H65" s="39" t="inlineStr">
        <is>
          <t>Xata's Whisper is the native weapon multiplier and is amplified by Untime; Roar cannot double-dip or be paused/amplified.</t>
        </is>
      </c>
      <c r="I65" s="39" t="inlineStr">
        <is>
          <t>None.</t>
        </is>
      </c>
    </row>
    <row r="66">
      <c r="A66" s="39" t="inlineStr">
        <is>
          <t>Yareli Prime</t>
        </is>
      </c>
      <c r="B66" s="39" t="inlineStr">
        <is>
          <t>CORRECTED</t>
        </is>
      </c>
      <c r="C66" s="39" t="inlineStr">
        <is>
          <t>Roar over Sea Snares while running Merulina Guardian</t>
        </is>
      </c>
      <c r="D66" s="39" t="inlineStr">
        <is>
          <t>No Phase 2 build record (v3 holds only the weapon allocation for this frame)</t>
        </is>
      </c>
      <c r="E66" s="39" t="inlineStr">
        <is>
          <t>Passive Critical Flow: +200% secondary crit while moving (always on aboard Merulina). Merulina: K-Drive mount, 90% damage redirected to its health pool, fire secondaries while riding. Merulina Guardian: kills DURING Sea Snares heal Merulina 20% and grant +200% secondary reload/fire rate. Aquablades: castable without stopping on Merulina. Riptide: grouping burst.</t>
        </is>
      </c>
      <c r="F66" s="39" t="inlineStr">
        <is>
          <t>The augment's trigger needed the subsumed ability (caught by the new dependency rule once Merulina Guardian was added). Secondary Arcane was status-oriented on a crit-led weapon.</t>
        </is>
      </c>
      <c r="G66" s="39" t="inlineStr">
        <is>
          <t>Roar over Riptide; Sea Snares + Merulina Guardian restored. Kompressa Prime: crit + Secondary Merciless (weak-point Deadhead unreliable from Merulina; Outburst irrelevant).</t>
        </is>
      </c>
      <c r="H66" s="39" t="inlineStr">
        <is>
          <t>Merulina + Sea Snares + Critical Flow is the secondary engine; Riptide is the stationary nuke that Merulina play uses least.</t>
        </is>
      </c>
      <c r="I66" s="39" t="inlineStr">
        <is>
          <t>None.</t>
        </is>
      </c>
    </row>
    <row r="67">
      <c r="A67" s="39" t="inlineStr">
        <is>
          <t>Zephyr Prime</t>
        </is>
      </c>
      <c r="B67" s="39" t="inlineStr">
        <is>
          <t>CORRECTED</t>
        </is>
      </c>
      <c r="C67" s="39" t="inlineStr">
        <is>
          <t>Roar over Tail Wind; Jet Stream; Nataruk Primary Deadhead</t>
        </is>
      </c>
      <c r="D67" s="39" t="inlineStr">
        <is>
          <t>No Phase 2 build record (v3 holds only the weapon allocation for this frame)</t>
        </is>
      </c>
      <c r="E67" s="39" t="inlineStr">
        <is>
          <t>Passive: +150% weapon crit while airborne (additive). Tornado: shooting a tornado distributes 100% of the hit (crits included) to all trapped enemies, crit damage x2 inside, elemental adaptation. Tail Wind: 12.5 energy airborne dash/dive bomb - the airborne upkeep tool. Airburst: pull/push grouping. Turbulence: projectile deflection; Jet Stream +100% projectile speed.</t>
        </is>
      </c>
      <c r="F67" s="39" t="inlineStr">
        <is>
          <t>Subsuming Tail Wind removed the cheap airborne upkeep that keeps the +150% crit passive active; Airburst's grouping duplicates Tornado's pull. Deadhead does not fit Tornado distribution.</t>
        </is>
      </c>
      <c r="G67" s="39" t="inlineStr">
        <is>
          <t>Roar over Airburst; Tail Wind restored. Nataruk: crit + Primary Merciless; shoot tornadoes (x2 crit distribution).</t>
        </is>
      </c>
      <c r="H67" s="39" t="inlineStr">
        <is>
          <t>Airborne crit + Tornado crit doubling is the weapon engine; Airburst is the redundant grouping tool.</t>
        </is>
      </c>
      <c r="I67" s="39" t="inlineStr">
        <is>
          <t>None.</t>
        </is>
      </c>
    </row>
  </sheetData>
  <autoFilter ref="A1:I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Corroding Barrage</t>
        </is>
      </c>
      <c r="D231" s="39" t="n">
        <v>3</v>
      </c>
      <c r="E231" s="39" t="inlineStr">
        <is>
          <t>Zenurik</t>
        </is>
      </c>
      <c r="F231" s="39" t="n">
        <v>9</v>
      </c>
      <c r="G231" s="39" t="inlineStr">
        <is>
          <t>Hydroid</t>
        </is>
      </c>
      <c r="H231" s="39" t="inlineStr">
        <is>
          <t>Yes</t>
        </is>
      </c>
      <c r="I231" s="39" t="inlineStr">
        <is>
          <t>Tempest Barrage Augment: Each projectile has a 100% chance of inflicting a &lt;DT_CORROSIVE_COLOR&gt;Corrosive Status Effect. Tempest Barrage gains 100% Ability Stren</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Equilibrium</t>
        </is>
      </c>
      <c r="D370" s="39" t="n">
        <v>10</v>
      </c>
      <c r="E370" s="39" t="inlineStr">
        <is>
          <t>Naramon</t>
        </is>
      </c>
      <c r="F370" s="39" t="n">
        <v>14</v>
      </c>
      <c r="G370" s="39" t="inlineStr">
        <is>
          <t>Warframe</t>
        </is>
      </c>
      <c r="H370" s="39" t="inlineStr">
        <is>
          <t>Yes</t>
        </is>
      </c>
      <c r="I370" s="39" t="inlineStr">
        <is>
          <t>Health pickups give +110% Energy. Energy pickups give +110% Health.</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Augur Secrets</t>
        </is>
      </c>
      <c r="D386" s="39" t="n">
        <v>5</v>
      </c>
      <c r="E386" s="39" t="inlineStr">
        <is>
          <t>Naramon</t>
        </is>
      </c>
      <c r="F386" s="39" t="n">
        <v>7</v>
      </c>
      <c r="G386" s="39" t="inlineStr">
        <is>
          <t>Warframe</t>
        </is>
      </c>
      <c r="H386" s="39" t="inlineStr">
        <is>
          <t>Yes</t>
        </is>
      </c>
      <c r="I386" s="39" t="inlineStr">
        <is>
          <t>+24% Ability Strength</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Parasitic Vitality</t>
        </is>
      </c>
      <c r="D390" s="39" t="n">
        <v>3</v>
      </c>
      <c r="E390" s="39" t="inlineStr">
        <is>
          <t>Zenurik</t>
        </is>
      </c>
      <c r="F390" s="39" t="n">
        <v>9</v>
      </c>
      <c r="G390" s="39" t="inlineStr">
        <is>
          <t>Nidus</t>
        </is>
      </c>
      <c r="H390" s="39" t="inlineStr">
        <is>
          <t>Yes</t>
        </is>
      </c>
      <c r="I390" s="39" t="inlineStr">
        <is>
          <t>Parasitic Link Augment: Nidus and any ally he's bound to gain 4% Max Health per Mutation during Parasitic Link.</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Message</t>
        </is>
      </c>
      <c r="D408" s="39" t="n">
        <v>5</v>
      </c>
      <c r="E408" s="39" t="inlineStr">
        <is>
          <t>Naramon</t>
        </is>
      </c>
      <c r="F408" s="39" t="n">
        <v>7</v>
      </c>
      <c r="G408" s="39" t="inlineStr">
        <is>
          <t>Warframe</t>
        </is>
      </c>
      <c r="H408" s="39" t="inlineStr">
        <is>
          <t>Yes</t>
        </is>
      </c>
      <c r="I408" s="39" t="inlineStr">
        <is>
          <t>+24% Ability Duration</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Temporal Erosion</t>
        </is>
      </c>
      <c r="D460" s="39" t="n">
        <v>3</v>
      </c>
      <c r="E460" s="39" t="inlineStr">
        <is>
          <t>Zenurik</t>
        </is>
      </c>
      <c r="F460" s="39" t="n">
        <v>9</v>
      </c>
      <c r="G460" s="39" t="inlineStr">
        <is>
          <t>Protea</t>
        </is>
      </c>
      <c r="H460" s="39" t="inlineStr">
        <is>
          <t>Yes</t>
        </is>
      </c>
      <c r="I460" s="39" t="inlineStr">
        <is>
          <t>Temporal Anchor Augment: While Temporal Anchor is active, each strike of Grenade Fan and Blaze Artillery strips 10% Armor from enemies.</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Ironclad Charge</t>
        </is>
      </c>
      <c r="D489" s="39" t="n">
        <v>3</v>
      </c>
      <c r="E489" s="39" t="inlineStr">
        <is>
          <t>Zenurik</t>
        </is>
      </c>
      <c r="F489" s="39" t="n">
        <v>9</v>
      </c>
      <c r="G489" s="39" t="inlineStr">
        <is>
          <t>Rhino</t>
        </is>
      </c>
      <c r="H489" s="39" t="inlineStr">
        <is>
          <t>Yes</t>
        </is>
      </c>
      <c r="I489" s="39" t="inlineStr">
        <is>
          <t>Rhino Charge Augment: Each enemy hit increases Rhino's Armor Rating by 50% for 10s.</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Intrepid Stand</t>
        </is>
      </c>
      <c r="D530" s="39" t="n">
        <v>3</v>
      </c>
      <c r="E530" s="39" t="inlineStr">
        <is>
          <t>Zenurik</t>
        </is>
      </c>
      <c r="F530" s="39" t="n">
        <v>9</v>
      </c>
      <c r="G530" s="39" t="inlineStr">
        <is>
          <t>Styanax</t>
        </is>
      </c>
      <c r="H530" s="39" t="inlineStr">
        <is>
          <t>Yes</t>
        </is>
      </c>
      <c r="I530" s="39" t="inlineStr">
        <is>
          <t>Final Stand Augment: Each javelin that damages an enemy grants 60 Overguard to Styanax and 30 Overguard to his allies within Affinity Range.</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Spellbound Harvest</t>
        </is>
      </c>
      <c r="D551" s="39" t="n">
        <v>3</v>
      </c>
      <c r="E551" s="39" t="inlineStr">
        <is>
          <t>Zenurik</t>
        </is>
      </c>
      <c r="F551" s="39" t="n">
        <v>9</v>
      </c>
      <c r="G551" s="39" t="inlineStr">
        <is>
          <t>Titania</t>
        </is>
      </c>
      <c r="H551" s="39" t="inlineStr">
        <is>
          <t>Yes</t>
        </is>
      </c>
      <c r="I551" s="39" t="inlineStr">
        <is>
          <t>Spellbind Augment: Hitting at least 4 enemies with Spellbind grants Titania 50&lt;ENERGY&gt;. The next cast has +40%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Corrosive Projection</t>
        </is>
      </c>
      <c r="D672" s="39" t="n">
        <v>5</v>
      </c>
      <c r="E672" s="39" t="inlineStr">
        <is>
          <t>Naramon</t>
        </is>
      </c>
      <c r="F672" s="39" t="n">
        <v>3</v>
      </c>
      <c r="G672" s="39" t="inlineStr">
        <is>
          <t>Aura</t>
        </is>
      </c>
      <c r="H672" s="39" t="inlineStr">
        <is>
          <t>Yes</t>
        </is>
      </c>
      <c r="I672" s="39" t="inlineStr">
        <is>
          <t>Enemies lose -18% Armor</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Tauforged</t>
        </is>
      </c>
      <c r="F32" s="39" t="n">
        <v>15</v>
      </c>
      <c r="G32" s="39" t="inlineStr"/>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Tauforged</t>
        </is>
      </c>
      <c r="F102" s="39" t="n">
        <v>15</v>
      </c>
      <c r="G102" s="39" t="inlineStr"/>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Tauforged</t>
        </is>
      </c>
      <c r="F107" s="39" t="n">
        <v>15</v>
      </c>
      <c r="G107" s="39" t="inlineStr"/>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Tauforged</t>
        </is>
      </c>
      <c r="F137" s="39" t="n">
        <v>15</v>
      </c>
      <c r="G137" s="39" t="inlineStr"/>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is>
          <t>cooldown build</t>
        </is>
      </c>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Tauforged</t>
        </is>
      </c>
      <c r="F152" s="39" t="n">
        <v>15</v>
      </c>
      <c r="G152" s="39" t="inlineStr"/>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Tauforged</t>
        </is>
      </c>
      <c r="F157" s="39" t="n">
        <v>15</v>
      </c>
      <c r="G157" s="39" t="inlineStr"/>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Tauforged</t>
        </is>
      </c>
      <c r="F182" s="39" t="n">
        <v>15</v>
      </c>
      <c r="G182" s="39" t="inlineStr"/>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Tauforged</t>
        </is>
      </c>
      <c r="F207" s="39" t="n">
        <v>15</v>
      </c>
      <c r="G207" s="39" t="inlineStr"/>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is>
          <t>200% Renewal cap met without Tau</t>
        </is>
      </c>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Tauforged</t>
        </is>
      </c>
      <c r="F217" s="39" t="n">
        <v>15</v>
      </c>
      <c r="G217" s="39" t="inlineStr"/>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Tauforged</t>
        </is>
      </c>
      <c r="F272" s="39" t="n">
        <v>15</v>
      </c>
      <c r="G272" s="39" t="inlineStr"/>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Tauforged</t>
        </is>
      </c>
      <c r="F277" s="39" t="n">
        <v>15</v>
      </c>
      <c r="G277" s="39" t="inlineStr"/>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Tauforged</t>
        </is>
      </c>
      <c r="F292" s="39" t="n">
        <v>15</v>
      </c>
      <c r="G292" s="39" t="inlineStr"/>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Primary Electricity Damage</t>
        </is>
      </c>
      <c r="E298" s="39" t="inlineStr">
        <is>
          <t>Normal</t>
        </is>
      </c>
      <c r="F298" s="39" t="n">
        <v>30</v>
      </c>
      <c r="G298" s="39" t="inlineStr"/>
    </row>
    <row r="299">
      <c r="A299" s="39" t="inlineStr">
        <is>
          <t>Volt Prime</t>
        </is>
      </c>
      <c r="B299" s="39" t="n">
        <v>3</v>
      </c>
      <c r="C299" s="39" t="inlineStr">
        <is>
          <t>Violet</t>
        </is>
      </c>
      <c r="D299" s="39" t="inlineStr">
        <is>
          <t>Primary Electricity Damage</t>
        </is>
      </c>
      <c r="E299" s="39" t="inlineStr">
        <is>
          <t>Normal</t>
        </is>
      </c>
      <c r="F299" s="39" t="n">
        <v>30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Tauforged</t>
        </is>
      </c>
      <c r="F307" s="39" t="n">
        <v>15</v>
      </c>
      <c r="G307" s="39" t="inlineStr"/>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Tauforged</t>
        </is>
      </c>
      <c r="F327" s="39" t="n">
        <v>15</v>
      </c>
      <c r="G327" s="39" t="inlineStr"/>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3">
      <c r="A333" t="inlineStr">
        <is>
          <t>TOTAL POSITIONS</t>
        </is>
      </c>
      <c r="B333" t="n">
        <v>330</v>
      </c>
    </row>
    <row r="334">
      <c r="A334" t="inlineStr">
        <is>
          <t>Tauforged</t>
        </is>
      </c>
      <c r="B334" t="n">
        <v>79</v>
      </c>
    </row>
    <row r="335">
      <c r="A335" t="inlineStr">
        <is>
          <t>Normal</t>
        </is>
      </c>
      <c r="B335" t="n">
        <v>251</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55</v>
      </c>
    </row>
    <row r="345">
      <c r="A345" t="inlineStr">
        <is>
          <t>Total</t>
        </is>
      </c>
      <c r="C345" t="inlineStr">
        <is>
          <t>Crimson</t>
        </is>
      </c>
      <c r="D345" t="inlineStr">
        <is>
          <t>Ability Strength</t>
        </is>
      </c>
      <c r="E345" t="inlineStr">
        <is>
          <t>Tauforged</t>
        </is>
      </c>
      <c r="F345" t="n">
        <v>70</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2</v>
      </c>
    </row>
    <row r="354">
      <c r="A354" t="inlineStr">
        <is>
          <t>Total</t>
        </is>
      </c>
      <c r="C354" t="inlineStr">
        <is>
          <t>Violet</t>
        </is>
      </c>
      <c r="D354" t="inlineStr">
        <is>
          <t>Primary Electricity Damage</t>
        </is>
      </c>
      <c r="E354" t="inlineStr">
        <is>
          <t>Normal</t>
        </is>
      </c>
      <c r="F354" t="n">
        <v>2</v>
      </c>
    </row>
  </sheetData>
  <autoFilter ref="A1:G3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Enhanced Vitality</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Enhanced Vitality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Enhanced Vitality</t>
        </is>
      </c>
      <c r="C73" t="n">
        <v>1</v>
      </c>
      <c r="D73" t="inlineStr">
        <is>
          <t>Huras Claws</t>
        </is>
      </c>
    </row>
    <row r="74">
      <c r="A74" t="inlineStr">
        <is>
          <t>Dethcube Prime</t>
        </is>
      </c>
      <c r="B74" t="inlineStr">
        <is>
          <t>Energy Generator | Vaporize | Swift Deth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Metal Fiber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9">
      <c r="A79" t="inlineStr">
        <is>
          <t>COMPANION WEAPON BUILDS</t>
        </is>
      </c>
      <c r="B79" t="inlineStr">
        <is>
          <t>Mods</t>
        </is>
      </c>
    </row>
    <row r="80">
      <c r="A80" t="inlineStr">
        <is>
          <t>Beast claws (Adarza/Panzer/Smeeta/Huras)</t>
        </is>
      </c>
      <c r="B80" t="inlineStr">
        <is>
          <t>Bite | Maul | Bell Ringer | Hunter Synergy | Sepsis Claws | Shocking Claws | Venom Teeth | Precision Conditioning</t>
        </is>
      </c>
    </row>
    <row r="81">
      <c r="A81" t="inlineStr">
        <is>
          <t>Sentinel rifles (Deth Machine Rifle Prime, Deconstructor Prime*, Prime Laser Rifle, Vulklok)</t>
        </is>
      </c>
      <c r="B81" t="inlineStr">
        <is>
          <t>Serration | Split Chamber | Point Strike | Vital Sense | Hellfire | Malignant Force | High Voltage | Galvanized Aptitude</t>
        </is>
      </c>
    </row>
    <row r="82">
      <c r="A82" t="inlineStr">
        <is>
          <t>Note</t>
        </is>
      </c>
      <c r="B82" t="inlineStr">
        <is>
          <t>* Deconstructor Prime is a glaive-type sentinel weapon: use melee-style template (Primed Pressure Point, Blood Rush...) if rifle mods do not equip -&gt; verify in Arsenal</t>
        </is>
      </c>
    </row>
  </sheetData>
  <autoFilter ref="A1:D6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AUDITED</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Sinister Reach</t>
        </is>
      </c>
      <c r="G4" s="39" t="inlineStr">
        <is>
          <t>Primary Merciless</t>
        </is>
      </c>
      <c r="H4" s="39" t="inlineStr">
        <is>
          <t>Viral + Heat</t>
        </is>
      </c>
      <c r="I4" s="39" t="inlineStr">
        <is>
          <t>Exalted Solo flamethrower beam (35% crit / 2.3x / 35% status, 10m beam) accepts Primary mods/Arcanes; Exilus Sinister Reach (+12m beam range); Viral + innate Heat; Ripper's Wail adds up to 750% Heat (does not combine); Overdrive adds final crit vulnerability</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AUDITED</t>
        </is>
      </c>
      <c r="B7" s="39" t="inlineStr">
        <is>
          <t>Dex Pixia Prime</t>
        </is>
      </c>
      <c r="C7" s="39" t="inlineStr">
        <is>
          <t>Titania Prime</t>
        </is>
      </c>
      <c r="D7" s="39" t="inlineStr">
        <is>
          <t>Secondary</t>
        </is>
      </c>
      <c r="E7" s="39" t="inlineStr">
        <is>
          <t>Hornet Strike | Galvanized Diffusion | Lethal Torrent | Primed Pistol Gambit | Primed Target Cracker | Galvanized Shot | Deep Freeze | Pathogen Rounds</t>
        </is>
      </c>
      <c r="F7" s="39" t="inlineStr">
        <is>
          <t>Primed Steady Hands</t>
        </is>
      </c>
      <c r="G7" s="39" t="inlineStr">
        <is>
          <t>Secondary Merciless</t>
        </is>
      </c>
      <c r="H7" s="39" t="inlineStr">
        <is>
          <t>Viral</t>
        </is>
      </c>
      <c r="I7" s="39" t="inlineStr">
        <is>
          <t>Razorwing machine pistols: base damage scales with Str (multiplicative with Hornet Strike); 10% crit -&gt; Primed Pistol Gambit + Avenger flat crit; Galvanized Crosshairs (aimed weak points) replaced by Lethal Torrent; Exilus Primed Steady Hands (recoil)</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none assigned</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AUDITED</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Shadow's Exalted claws (38% crit / 2.6x): combo crit; the Shadow itself carries Arcane Fury + Arcane Reaper (own Arcane slots)</t>
        </is>
      </c>
      <c r="J13" s="39" t="inlineStr">
        <is>
          <t>Catalyst pre-installed; Arcane slot (U38.5); Forma ~3</t>
        </is>
      </c>
    </row>
    <row r="14">
      <c r="A14" s="39" t="inlineStr">
        <is>
          <t>AUDITED</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(50% base crit -&gt; Melee Duplicate on base crits); Warcry attack speed + Paralysis melee vulnerability; Eternal War extends Warcry</t>
        </is>
      </c>
      <c r="J14" s="39" t="inlineStr">
        <is>
          <t>Catalyst pre-installed; Arcane slot (U38.5); Forma ~3</t>
        </is>
      </c>
    </row>
    <row r="15">
      <c r="A15" s="39" t="inlineStr">
        <is>
          <t>AUDITED</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(25% crit / 30% status, +0.5m range per combo): combo template; Celestial Twin also wields it; Primal Rage crit on kill</t>
        </is>
      </c>
      <c r="J15" s="39" t="inlineStr">
        <is>
          <t>Catalyst pre-installed; Arcane slot (U38.5); Forma ~3</t>
        </is>
      </c>
    </row>
    <row r="16">
      <c r="A16" s="39" t="inlineStr">
        <is>
          <t>AUDITED</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(20% crit / Puncture-heavy): combo crit template; attack speed applies</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AUDITED</t>
        </is>
      </c>
      <c r="B22" s="39" t="inlineStr">
        <is>
          <t>Sevagoth Prime's Shadow</t>
        </is>
      </c>
      <c r="C22" s="39" t="inlineStr">
        <is>
          <t>Sevagoth Prime</t>
        </is>
      </c>
      <c r="D22" s="39" t="inlineStr">
        <is>
          <t>Exalted Warframe (separately moddable)</t>
        </is>
      </c>
      <c r="E22" s="39" t="inlineStr">
        <is>
          <t>Umbral Intensify | Umbral Vitality | Umbral Fiber | Primed Continuity | Stretch | Primed Flow | Streamline | Rolling Guard | Aura: Steel Charge</t>
        </is>
      </c>
      <c r="F22" s="39" t="inlineStr">
        <is>
          <t>-</t>
        </is>
      </c>
      <c r="G22" s="39" t="inlineStr">
        <is>
          <t>Arcane Fury + Arcane Reaper</t>
        </is>
      </c>
      <c r="H22" s="39" t="inlineStr">
        <is>
          <t>-</t>
        </is>
      </c>
      <c r="I22" s="39" t="inlineStr">
        <is>
          <t>Separately moddable Exalted Warframe with its OWN Arcane slots (wiki: the Shadow 'utilizes its equipped Mods and Arcanes'); Archon Shards and Focus apply normally (Sevagoth's shared set). Uses Shadow Claws Prime. Sevagoth's gear passives do not carry over.</t>
        </is>
      </c>
      <c r="J22" s="39" t="inlineStr">
        <is>
          <t>Forma ~3</t>
        </is>
      </c>
    </row>
    <row r="23">
      <c r="A23" s="39" t="inlineStr">
        <is>
          <t>AUDITED</t>
        </is>
      </c>
      <c r="B23" s="39" t="inlineStr">
        <is>
          <t>Orion</t>
        </is>
      </c>
      <c r="C23" s="39" t="inlineStr">
        <is>
          <t>Sirius &amp; Orion</t>
        </is>
      </c>
      <c r="D23" s="39" t="inlineStr">
        <is>
          <t>Exalted Warframe (separately moddable)</t>
        </is>
      </c>
      <c r="E23" s="39" t="inlineStr">
        <is>
          <t>Umbral Intensify | Umbral Vitality | Umbral Fiber | Primed Continuity | Stretch | Primed Flow | Streamline | Augur Secrets | Aura: Corrosive Projection</t>
        </is>
      </c>
      <c r="F23" s="39" t="inlineStr">
        <is>
          <t>Power Drift</t>
        </is>
      </c>
      <c r="G23" s="39" t="inlineStr">
        <is>
          <t>Arcane Energize + Molt Augmented</t>
        </is>
      </c>
      <c r="H23" s="39" t="inlineStr">
        <is>
          <t>-</t>
        </is>
      </c>
      <c r="I23" s="39" t="inlineStr">
        <is>
          <t>Separate upgrade loadout: own Mods, Aura and Arcanes (wiki). Archon Shards SHARED with Sirius (5 total). Pre-installed Orokin Reactor (no extra cost). Helminth only on the Primary Son. Identical Auras on both sons do not stack -&gt; Corrosive Projection (Gravitic Slash full strip at 164% instead of 200%).</t>
        </is>
      </c>
      <c r="J23" s="39" t="inlineStr">
        <is>
          <t>Forma ~3; Reactor pre-installed</t>
        </is>
      </c>
    </row>
  </sheetData>
  <autoFilter ref="A1:J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21" customWidth="1" style="26" min="2" max="2"/>
    <col width="40" customWidth="1" style="26" min="3" max="3"/>
    <col width="10" customWidth="1" style="26" min="4" max="4"/>
    <col width="10" customWidth="1" style="26" min="5" max="5"/>
    <col width="10" customWidth="1" style="26" min="6" max="6"/>
    <col width="10" customWidth="1" style="26" min="7" max="7"/>
    <col width="10" customWidth="1" style="26" min="8" max="8"/>
    <col width="10" customWidth="1" style="26" min="9" max="9"/>
    <col width="12" customWidth="1" style="26" min="10" max="10"/>
    <col width="14" customWidth="1" style="26" min="11" max="11"/>
    <col width="80" customWidth="1" style="26" min="12" max="12"/>
    <col width="15" customWidth="1" style="26" min="13" max="13"/>
    <col width="45" customWidth="1" style="26" min="14" max="14"/>
    <col width="55" customWidth="1" style="26" min="15" max="15"/>
    <col width="20" customWidth="1" style="26" min="16" max="16"/>
  </cols>
  <sheetData>
    <row r="1">
      <c r="A1" s="51" t="inlineStr">
        <is>
          <t>Optimization audit</t>
        </is>
      </c>
      <c r="B1" s="51" t="inlineStr">
        <is>
          <t>Review / audit note</t>
        </is>
      </c>
      <c r="C1" s="51" t="inlineStr">
        <is>
          <t>Classification flags (threshold / Incarnon form)</t>
        </is>
      </c>
      <c r="D1" s="51" t="inlineStr">
        <is>
          <t>Frame</t>
        </is>
      </c>
      <c r="E1" s="51" t="inlineStr">
        <is>
          <t>Slot</t>
        </is>
      </c>
      <c r="F1" s="51" t="inlineStr">
        <is>
          <t>Weapon</t>
        </is>
      </c>
      <c r="G1" s="51" t="inlineStr">
        <is>
          <t>Class</t>
        </is>
      </c>
      <c r="H1" s="51" t="inlineStr">
        <is>
          <t>Base CC</t>
        </is>
      </c>
      <c r="I1" s="51" t="inlineStr">
        <is>
          <t>Base SC</t>
        </is>
      </c>
      <c r="J1" s="51" t="inlineStr">
        <is>
          <t>Build type</t>
        </is>
      </c>
      <c r="K1" s="51" t="inlineStr">
        <is>
          <t>Mod template</t>
        </is>
      </c>
      <c r="L1" s="51" t="inlineStr">
        <is>
          <t>Template mods</t>
        </is>
      </c>
      <c r="M1" s="51" t="inlineStr">
        <is>
          <t>Weapon Arcane</t>
        </is>
      </c>
      <c r="N1" s="51" t="inlineStr">
        <is>
          <t>Element / status</t>
        </is>
      </c>
      <c r="O1" s="51" t="inlineStr">
        <is>
          <t>Incarnon evolutions</t>
        </is>
      </c>
      <c r="P1" s="51" t="inlineStr">
        <is>
          <t>Forma / investment</t>
        </is>
      </c>
    </row>
    <row r="2">
      <c r="A2" s="39" t="inlineStr">
        <is>
          <t>AUDITED</t>
        </is>
      </c>
      <c r="B2" s="39" t="inlineStr">
        <is>
          <t>AUDITED: no weapon/frame mechanic overrides the default</t>
        </is>
      </c>
      <c r="C2" s="39" t="inlineStr">
        <is>
          <t>Incarnon Form 35% crit / 30% status (base 30%/30%)</t>
        </is>
      </c>
      <c r="D2" s="39" t="inlineStr">
        <is>
          <t>Ash Prime</t>
        </is>
      </c>
      <c r="E2" s="39" t="inlineStr">
        <is>
          <t>Primary</t>
        </is>
      </c>
      <c r="F2" s="39" t="inlineStr">
        <is>
          <t>Vectis Prime</t>
        </is>
      </c>
      <c r="G2" s="39" t="inlineStr">
        <is>
          <t>Sniper Rifle</t>
        </is>
      </c>
      <c r="H2" s="39" t="n">
        <v>0.3</v>
      </c>
      <c r="I2" s="39" t="n">
        <v>0.3</v>
      </c>
      <c r="J2" s="39" t="inlineStr">
        <is>
          <t>crit</t>
        </is>
      </c>
      <c r="K2" s="39" t="inlineStr">
        <is>
          <t>RIFLE_CRIT</t>
        </is>
      </c>
      <c r="L2" s="39" t="inlineStr">
        <is>
          <t>Serration | Galvanized Chamber | Point Strike | Vital Sense | Hammer Shot | Galvanized Aptitude | Primed Cryo Rounds | Malignant Force</t>
        </is>
      </c>
      <c r="M2" s="39" t="inlineStr">
        <is>
          <t>Primary Deadhead</t>
        </is>
      </c>
      <c r="N2" s="39" t="inlineStr">
        <is>
          <t>Viral</t>
        </is>
      </c>
      <c r="O2" s="39" t="inlineStr">
        <is>
          <t>EVO2: Lone Enforcer; EVO3: Rapid Reinforcement; EVO4: Critical Parallel</t>
        </is>
      </c>
      <c r="P2" s="39" t="inlineStr">
        <is>
          <t>~4 (Incarnon)</t>
        </is>
      </c>
    </row>
    <row r="3">
      <c r="A3" s="39" t="inlineStr">
        <is>
          <t>AUDITED</t>
        </is>
      </c>
      <c r="B3" s="39" t="inlineStr">
        <is>
          <t>AUDITED: Outburst consumes Melee Combo, which Ash does not build on normal melee</t>
        </is>
      </c>
      <c r="C3" s="39" t="inlineStr">
        <is>
          <t>-</t>
        </is>
      </c>
      <c r="D3" s="39" t="inlineStr">
        <is>
          <t>Ash Prime</t>
        </is>
      </c>
      <c r="E3" s="39" t="inlineStr">
        <is>
          <t>Secondary</t>
        </is>
      </c>
      <c r="F3" s="39" t="inlineStr">
        <is>
          <t>Tenet Plinx</t>
        </is>
      </c>
      <c r="G3" s="39" t="inlineStr">
        <is>
          <t>Pistol</t>
        </is>
      </c>
      <c r="H3" s="39" t="n">
        <v>0.44</v>
      </c>
      <c r="I3" s="39" t="n">
        <v>0.12</v>
      </c>
      <c r="J3" s="39" t="inlineStr">
        <is>
          <t>crit</t>
        </is>
      </c>
      <c r="K3" s="39" t="inlineStr">
        <is>
          <t>PISTOL_CRIT</t>
        </is>
      </c>
      <c r="L3" s="39" t="inlineStr">
        <is>
          <t>Hornet Strike | Galvanized Diffusion | Primed Pistol Gambit | Primed Target Cracker | Galvanized Crosshairs | Galvanized Shot | Deep Freeze | Pathogen Rounds</t>
        </is>
      </c>
      <c r="M3" s="39" t="inlineStr">
        <is>
          <t>Secondary Merciless</t>
        </is>
      </c>
      <c r="N3" s="39" t="inlineStr">
        <is>
          <t>Viral + Heat</t>
        </is>
      </c>
      <c r="O3" s="39" t="inlineStr">
        <is>
          <t>-</t>
        </is>
      </c>
      <c r="P3" s="39" t="inlineStr">
        <is>
          <t>5 Forma to Rank 40 + ~3 polarization</t>
        </is>
      </c>
    </row>
    <row r="4">
      <c r="A4" s="39" t="inlineStr">
        <is>
          <t>AUDITED</t>
        </is>
      </c>
      <c r="B4" s="39" t="inlineStr">
        <is>
          <t>AUDITED: Teleport-finisher loop: finisher damage, combo on finisher, finisher stun</t>
        </is>
      </c>
      <c r="C4" s="39" t="inlineStr">
        <is>
          <t>-</t>
        </is>
      </c>
      <c r="D4" s="39" t="inlineStr">
        <is>
          <t>Ash Prime</t>
        </is>
      </c>
      <c r="E4" s="39" t="inlineStr">
        <is>
          <t>Melee</t>
        </is>
      </c>
      <c r="F4" s="39" t="inlineStr">
        <is>
          <t>Innodem</t>
        </is>
      </c>
      <c r="G4" s="39" t="inlineStr">
        <is>
          <t>Dagger</t>
        </is>
      </c>
      <c r="H4" s="39" t="n">
        <v>0.22</v>
      </c>
      <c r="I4" s="39" t="n">
        <v>0.22</v>
      </c>
      <c r="J4" s="39" t="inlineStr">
        <is>
          <t>crit</t>
        </is>
      </c>
      <c r="K4" s="39" t="inlineStr">
        <is>
          <t>MELEE_CRIT</t>
        </is>
      </c>
      <c r="L4" s="39" t="inlineStr">
        <is>
          <t>Primed Pressure Point | Blood Rush | Weeping Wounds | Organ Shatter | Berserker Fury | Condition Overload | North Wind | Virulent Scourge</t>
        </is>
      </c>
      <c r="M4" s="39" t="inlineStr">
        <is>
          <t>Melee Crescendo</t>
        </is>
      </c>
      <c r="N4" s="39" t="inlineStr">
        <is>
          <t>Viral</t>
        </is>
      </c>
      <c r="O4" s="39" t="inlineStr">
        <is>
          <t>EVO2: Bladed Harmony; EVO3: Blade Twister; EVO4: Protracted Execution; EVO5: Stunning Brutality</t>
        </is>
      </c>
      <c r="P4" s="39" t="inlineStr">
        <is>
          <t>~4 (Incarnon)</t>
        </is>
      </c>
    </row>
    <row r="5">
      <c r="A5" s="39" t="inlineStr">
        <is>
          <t>AUDITED</t>
        </is>
      </c>
      <c r="B5" s="39" t="inlineStr">
        <is>
          <t>AUDITED: no weapon/frame mechanic overrides the default</t>
        </is>
      </c>
      <c r="C5" s="39" t="inlineStr">
        <is>
          <t>-</t>
        </is>
      </c>
      <c r="D5" s="39" t="inlineStr">
        <is>
          <t>Atlas Prime</t>
        </is>
      </c>
      <c r="E5" s="39" t="inlineStr">
        <is>
          <t>Primary</t>
        </is>
      </c>
      <c r="F5" s="39" t="inlineStr">
        <is>
          <t>Kuva Hek</t>
        </is>
      </c>
      <c r="G5" s="39" t="inlineStr">
        <is>
          <t>Shotgun</t>
        </is>
      </c>
      <c r="H5" s="39" t="n">
        <v>0.23</v>
      </c>
      <c r="I5" s="39" t="n">
        <v>0.133</v>
      </c>
      <c r="J5" s="39" t="inlineStr">
        <is>
          <t>crit</t>
        </is>
      </c>
      <c r="K5" s="39" t="inlineStr">
        <is>
          <t>SHOTGUN</t>
        </is>
      </c>
      <c r="L5" s="39" t="inlineStr">
        <is>
          <t>Primed Point Blank | Galvanized Hell | Primed Ravage | Critical Deceleration | Galvanized Savvy | Chilling Grasp | Toxic Barrage | Primed Charged Shell</t>
        </is>
      </c>
      <c r="M5" s="39" t="inlineStr">
        <is>
          <t>Shotgun Vendetta</t>
        </is>
      </c>
      <c r="N5" s="39" t="inlineStr">
        <is>
          <t>Viral + Electricity</t>
        </is>
      </c>
      <c r="O5" s="39" t="inlineStr">
        <is>
          <t>-</t>
        </is>
      </c>
      <c r="P5" s="39" t="inlineStr">
        <is>
          <t>5 Forma to Rank 40 + ~3 polarization</t>
        </is>
      </c>
    </row>
    <row r="6">
      <c r="A6" s="39" t="inlineStr">
        <is>
          <t>AUDITED</t>
        </is>
      </c>
      <c r="B6" s="39" t="inlineStr">
        <is>
          <t>AUDITED: Paladin Virtue needs &gt;700 max energy; Atlas reaches ~613</t>
        </is>
      </c>
      <c r="C6" s="39" t="inlineStr">
        <is>
          <t>Incarnon Form 18% crit / 41% status (base 15%/21%)</t>
        </is>
      </c>
      <c r="D6" s="39" t="inlineStr">
        <is>
          <t>Atlas Prime</t>
        </is>
      </c>
      <c r="E6" s="39" t="inlineStr">
        <is>
          <t>Secondary</t>
        </is>
      </c>
      <c r="F6" s="39" t="inlineStr">
        <is>
          <t>Atomos</t>
        </is>
      </c>
      <c r="G6" s="39" t="inlineStr">
        <is>
          <t>Pistol</t>
        </is>
      </c>
      <c r="H6" s="39" t="n">
        <v>0.15</v>
      </c>
      <c r="I6" s="39" t="n">
        <v>0.21</v>
      </c>
      <c r="J6" s="39" t="inlineStr">
        <is>
          <t>status</t>
        </is>
      </c>
      <c r="K6" s="39" t="inlineStr">
        <is>
          <t>PISTOL_CRIT</t>
        </is>
      </c>
      <c r="L6" s="39" t="inlineStr">
        <is>
          <t>Hornet Strike | Galvanized Diffusion | Primed Pistol Gambit | Primed Target Cracker | Galvanized Crosshairs | Galvanized Shot | Deep Freeze | Pathogen Rounds</t>
        </is>
      </c>
      <c r="M6" s="39" t="inlineStr">
        <is>
          <t>Secondary Encumber</t>
        </is>
      </c>
      <c r="N6" s="39" t="inlineStr">
        <is>
          <t>Viral + Heat</t>
        </is>
      </c>
      <c r="O6" s="39" t="inlineStr">
        <is>
          <t>EVO2: Hoplite Virtue; EVO3: Moonrise Velocity; EVO4: Elemental Balance</t>
        </is>
      </c>
      <c r="P6" s="39" t="inlineStr">
        <is>
          <t>~4 (Incarnon)</t>
        </is>
      </c>
    </row>
    <row r="7">
      <c r="A7" s="39" t="inlineStr">
        <is>
          <t>AUDITED</t>
        </is>
      </c>
      <c r="B7" s="39" t="inlineStr">
        <is>
          <t>AUDITED: no weapon/frame mechanic overrides the default</t>
        </is>
      </c>
      <c r="C7" s="39" t="inlineStr">
        <is>
          <t>-</t>
        </is>
      </c>
      <c r="D7" s="39" t="inlineStr">
        <is>
          <t>Atlas Prime</t>
        </is>
      </c>
      <c r="E7" s="39" t="inlineStr">
        <is>
          <t>Melee</t>
        </is>
      </c>
      <c r="F7" s="39" t="inlineStr">
        <is>
          <t>Tekko Prime</t>
        </is>
      </c>
      <c r="G7" s="39" t="inlineStr">
        <is>
          <t>Fist</t>
        </is>
      </c>
      <c r="H7" s="39" t="n">
        <v>0.3</v>
      </c>
      <c r="I7" s="39" t="n">
        <v>0.26</v>
      </c>
      <c r="J7" s="39" t="inlineStr">
        <is>
          <t>crit</t>
        </is>
      </c>
      <c r="K7" s="39" t="inlineStr">
        <is>
          <t>MELEE_CRIT</t>
        </is>
      </c>
      <c r="L7" s="39" t="inlineStr">
        <is>
          <t>Primed Pressure Point | Blood Rush | Weeping Wounds | Organ Shatter | Berserker Fury | Condition Overload | North Wind | Virulent Scourge</t>
        </is>
      </c>
      <c r="M7" s="39" t="inlineStr">
        <is>
          <t>Melee Duplicate</t>
        </is>
      </c>
      <c r="N7" s="39" t="inlineStr">
        <is>
          <t>Viral</t>
        </is>
      </c>
      <c r="O7" s="39" t="inlineStr">
        <is>
          <t>-</t>
        </is>
      </c>
      <c r="P7" s="39" t="inlineStr">
        <is>
          <t>~3</t>
        </is>
      </c>
    </row>
    <row r="8">
      <c r="A8" s="39" t="inlineStr">
        <is>
          <t>AUDITED</t>
        </is>
      </c>
      <c r="B8" s="39" t="inlineStr">
        <is>
          <t>AUDITED: Sonar spots are weak points (Deadhead); Flensing Spikes redundant with Sonic Boom full strip</t>
        </is>
      </c>
      <c r="C8" s="39" t="inlineStr">
        <is>
          <t>Incarnon Form 44% crit / 30% status (base 22%/26%)</t>
        </is>
      </c>
      <c r="D8" s="39" t="inlineStr">
        <is>
          <t>Banshee Prime</t>
        </is>
      </c>
      <c r="E8" s="39" t="inlineStr">
        <is>
          <t>Primary</t>
        </is>
      </c>
      <c r="F8" s="39" t="inlineStr">
        <is>
          <t>Latron Prime</t>
        </is>
      </c>
      <c r="G8" s="39" t="inlineStr">
        <is>
          <t>Rifle</t>
        </is>
      </c>
      <c r="H8" s="39" t="n">
        <v>0.22</v>
      </c>
      <c r="I8" s="39" t="n">
        <v>0.26</v>
      </c>
      <c r="J8" s="39" t="inlineStr">
        <is>
          <t>crit</t>
        </is>
      </c>
      <c r="K8" s="39" t="inlineStr">
        <is>
          <t>RIFLE_CRIT</t>
        </is>
      </c>
      <c r="L8" s="39" t="inlineStr">
        <is>
          <t>Serration | Galvanized Chamber | Point Strike | Vital Sense | Hammer Shot | Galvanized Aptitude | Primed Cryo Rounds | Malignant Force</t>
        </is>
      </c>
      <c r="M8" s="39" t="inlineStr">
        <is>
          <t>Primary Deadhead</t>
        </is>
      </c>
      <c r="N8" s="39" t="inlineStr">
        <is>
          <t>Viral</t>
        </is>
      </c>
      <c r="O8" s="39" t="inlineStr">
        <is>
          <t>EVO2: Riddled Target; EVO3: Marksman's Hand; EVO4: Critical Parallel</t>
        </is>
      </c>
      <c r="P8" s="39" t="inlineStr">
        <is>
          <t>~4 (Incarnon)</t>
        </is>
      </c>
    </row>
    <row r="9">
      <c r="A9" s="39" t="inlineStr">
        <is>
          <t>AUDITED</t>
        </is>
      </c>
      <c r="B9" s="39" t="inlineStr">
        <is>
          <t>AUDITED: Sonar weak points</t>
        </is>
      </c>
      <c r="C9" s="39" t="inlineStr">
        <is>
          <t>-</t>
        </is>
      </c>
      <c r="D9" s="39" t="inlineStr">
        <is>
          <t>Banshee Prime</t>
        </is>
      </c>
      <c r="E9" s="39" t="inlineStr">
        <is>
          <t>Secondary</t>
        </is>
      </c>
      <c r="F9" s="39" t="inlineStr">
        <is>
          <t>Euphona Prime</t>
        </is>
      </c>
      <c r="G9" s="39" t="inlineStr">
        <is>
          <t>Shotgun Sidearm</t>
        </is>
      </c>
      <c r="H9" s="39" t="n">
        <v>0.3</v>
      </c>
      <c r="I9" s="39" t="n">
        <v>0.02</v>
      </c>
      <c r="J9" s="39" t="inlineStr">
        <is>
          <t>crit</t>
        </is>
      </c>
      <c r="K9" s="39" t="inlineStr">
        <is>
          <t>PISTOL_CRIT</t>
        </is>
      </c>
      <c r="L9" s="39" t="inlineStr">
        <is>
          <t>Hornet Strike | Galvanized Diffusion | Primed Pistol Gambit | Primed Target Cracker | Galvanized Crosshairs | Galvanized Shot | Deep Freeze | Pathogen Rounds</t>
        </is>
      </c>
      <c r="M9" s="39" t="inlineStr">
        <is>
          <t>Secondary Deadhead</t>
        </is>
      </c>
      <c r="N9" s="39" t="inlineStr">
        <is>
          <t>Viral</t>
        </is>
      </c>
      <c r="O9" s="39" t="inlineStr">
        <is>
          <t>-</t>
        </is>
      </c>
      <c r="P9" s="39" t="inlineStr">
        <is>
          <t>~3</t>
        </is>
      </c>
    </row>
    <row r="10">
      <c r="A10" s="39" t="inlineStr">
        <is>
          <t>AUDITED</t>
        </is>
      </c>
      <c r="B10" s="39" t="inlineStr">
        <is>
          <t>AUDITED: no weapon/frame mechanic overrides the default</t>
        </is>
      </c>
      <c r="C10" s="39" t="inlineStr">
        <is>
          <t>-</t>
        </is>
      </c>
      <c r="D10" s="39" t="inlineStr">
        <is>
          <t>Banshee Prime</t>
        </is>
      </c>
      <c r="E10" s="39" t="inlineStr">
        <is>
          <t>Melee</t>
        </is>
      </c>
      <c r="F10" s="39" t="inlineStr">
        <is>
          <t>Kogake Prime</t>
        </is>
      </c>
      <c r="G10" s="39" t="inlineStr">
        <is>
          <t>Sparring</t>
        </is>
      </c>
      <c r="H10" s="39" t="n">
        <v>0.16</v>
      </c>
      <c r="I10" s="39" t="n">
        <v>0.38</v>
      </c>
      <c r="J10" s="39" t="inlineStr">
        <is>
          <t>status</t>
        </is>
      </c>
      <c r="K10" s="39" t="inlineStr">
        <is>
          <t>MELEE_INFLUENCE</t>
        </is>
      </c>
      <c r="L10" s="39" t="inlineStr">
        <is>
          <t>Primed Pressure Point | Blood Rush | Weeping Wounds | Organ Shatter | Condition Overload | North Wind | Virulent Scourge | Voltaic Strike</t>
        </is>
      </c>
      <c r="M10" s="39" t="inlineStr">
        <is>
          <t>Melee Influence</t>
        </is>
      </c>
      <c r="N10" s="39" t="inlineStr">
        <is>
          <t>Viral + Electricity</t>
        </is>
      </c>
      <c r="O10" s="39" t="inlineStr">
        <is>
          <t>-</t>
        </is>
      </c>
      <c r="P10" s="39" t="inlineStr">
        <is>
          <t>~3</t>
        </is>
      </c>
    </row>
    <row r="11">
      <c r="A11" s="39" t="inlineStr">
        <is>
          <t>AUDITED</t>
        </is>
      </c>
      <c r="B11" s="39" t="inlineStr">
        <is>
          <t>AUDITED: Baruuk Prime sprint 1.2 activates Deadly Pace (+80% fire rate); bow projectile speed; first-shot crit</t>
        </is>
      </c>
      <c r="C11" s="39" t="inlineStr">
        <is>
          <t>Incarnon Form 50% crit / 20% status (base 45%/20%)</t>
        </is>
      </c>
      <c r="D11" s="39" t="inlineStr">
        <is>
          <t>Baruuk Prime</t>
        </is>
      </c>
      <c r="E11" s="39" t="inlineStr">
        <is>
          <t>Primary</t>
        </is>
      </c>
      <c r="F11" s="39" t="inlineStr">
        <is>
          <t>Paris Prime</t>
        </is>
      </c>
      <c r="G11" s="39" t="inlineStr">
        <is>
          <t>Bow</t>
        </is>
      </c>
      <c r="H11" s="39" t="n">
        <v>0.45</v>
      </c>
      <c r="I11" s="39" t="n">
        <v>0.2</v>
      </c>
      <c r="J11" s="39" t="inlineStr">
        <is>
          <t>crit</t>
        </is>
      </c>
      <c r="K11" s="39" t="inlineStr">
        <is>
          <t>RIFLE_CRIT</t>
        </is>
      </c>
      <c r="L11" s="39" t="inlineStr">
        <is>
          <t>Serration | Galvanized Chamber | Point Strike | Vital Sense | Hammer Shot | Galvanized Aptitude | Primed Cryo Rounds | Malignant Force</t>
        </is>
      </c>
      <c r="M11" s="39" t="inlineStr">
        <is>
          <t>Primary Deadhead</t>
        </is>
      </c>
      <c r="N11" s="39" t="inlineStr">
        <is>
          <t>Viral</t>
        </is>
      </c>
      <c r="O11" s="39" t="inlineStr">
        <is>
          <t>EVO2: Deadly Pace; EVO3: Swift Deliverance; EVO4: Vicious Promise</t>
        </is>
      </c>
      <c r="P11" s="39" t="inlineStr">
        <is>
          <t>~4 (Incarnon)</t>
        </is>
      </c>
    </row>
    <row r="12">
      <c r="A12" s="39" t="inlineStr">
        <is>
          <t>AUDITED</t>
        </is>
      </c>
      <c r="B12" s="39" t="inlineStr">
        <is>
          <t>AUDITED: SYSTEMIC FIX (B5): Secondary Outburst would consume the melee/Exalted combo this frame depends on -&gt; Secondary Dexterity</t>
        </is>
      </c>
      <c r="C12" s="39" t="inlineStr">
        <is>
          <t>-</t>
        </is>
      </c>
      <c r="D12" s="39" t="inlineStr">
        <is>
          <t>Baruuk Prime</t>
        </is>
      </c>
      <c r="E12" s="39" t="inlineStr">
        <is>
          <t>Secondary</t>
        </is>
      </c>
      <c r="F12" s="39" t="inlineStr">
        <is>
          <t>Tenet Diplos</t>
        </is>
      </c>
      <c r="G12" s="39" t="inlineStr">
        <is>
          <t>Dual Pistols</t>
        </is>
      </c>
      <c r="H12" s="39" t="n">
        <v>0.36</v>
      </c>
      <c r="I12" s="39" t="n">
        <v>0.14</v>
      </c>
      <c r="J12" s="39" t="inlineStr">
        <is>
          <t>crit</t>
        </is>
      </c>
      <c r="K12" s="39" t="inlineStr">
        <is>
          <t>PISTOL_CRIT</t>
        </is>
      </c>
      <c r="L12" s="39" t="inlineStr">
        <is>
          <t>Hornet Strike | Galvanized Diffusion | Primed Pistol Gambit | Primed Target Cracker | Galvanized Crosshairs | Galvanized Shot | Deep Freeze | Pathogen Rounds</t>
        </is>
      </c>
      <c r="M12" s="39" t="inlineStr">
        <is>
          <t>Secondary Dexterity</t>
        </is>
      </c>
      <c r="N12" s="39" t="inlineStr">
        <is>
          <t>Viral</t>
        </is>
      </c>
      <c r="O12" s="39" t="inlineStr">
        <is>
          <t>-</t>
        </is>
      </c>
      <c r="P12" s="39" t="inlineStr">
        <is>
          <t>5 Forma to Rank 40 + ~3 polarization</t>
        </is>
      </c>
    </row>
    <row r="13">
      <c r="A13" s="39" t="inlineStr">
        <is>
          <t>AUDITED</t>
        </is>
      </c>
      <c r="B13" s="39" t="inlineStr">
        <is>
          <t>AUDITED: no weapon/frame mechanic overrides the default</t>
        </is>
      </c>
      <c r="C13" s="39" t="inlineStr">
        <is>
          <t>-</t>
        </is>
      </c>
      <c r="D13" s="39" t="inlineStr">
        <is>
          <t>Caliban Prime</t>
        </is>
      </c>
      <c r="E13" s="39" t="inlineStr">
        <is>
          <t>Primary</t>
        </is>
      </c>
      <c r="F13" s="39" t="inlineStr">
        <is>
          <t>Vadarya Prime</t>
        </is>
      </c>
      <c r="G13" s="39" t="inlineStr">
        <is>
          <t>Sniper Rifle</t>
        </is>
      </c>
      <c r="H13" s="39" t="n">
        <v>0.4</v>
      </c>
      <c r="I13" s="39" t="n">
        <v>0.18</v>
      </c>
      <c r="J13" s="39" t="inlineStr">
        <is>
          <t>crit</t>
        </is>
      </c>
      <c r="K13" s="39" t="inlineStr">
        <is>
          <t>RIFLE_CRIT</t>
        </is>
      </c>
      <c r="L13" s="39" t="inlineStr">
        <is>
          <t>Serration | Galvanized Chamber | Point Strike | Vital Sense | Hammer Shot | Galvanized Aptitude | Primed Cryo Rounds | Malignant Force</t>
        </is>
      </c>
      <c r="M13" s="39" t="inlineStr">
        <is>
          <t>Primary Deadhead</t>
        </is>
      </c>
      <c r="N13" s="39" t="inlineStr">
        <is>
          <t>Viral + Electricity</t>
        </is>
      </c>
      <c r="O13" s="39" t="inlineStr">
        <is>
          <t>-</t>
        </is>
      </c>
      <c r="P13" s="39" t="inlineStr">
        <is>
          <t>~3</t>
        </is>
      </c>
    </row>
    <row r="14">
      <c r="A14" s="39" t="inlineStr">
        <is>
          <t>AUDITED</t>
        </is>
      </c>
      <c r="B14" s="39" t="inlineStr">
        <is>
          <t>AUDITED: no weapon/frame mechanic overrides the default</t>
        </is>
      </c>
      <c r="C14" s="39" t="inlineStr">
        <is>
          <t>-</t>
        </is>
      </c>
      <c r="D14" s="39" t="inlineStr">
        <is>
          <t>Caliban Prime</t>
        </is>
      </c>
      <c r="E14" s="39" t="inlineStr">
        <is>
          <t>Secondary</t>
        </is>
      </c>
      <c r="F14" s="39" t="inlineStr">
        <is>
          <t>Tenet Detron</t>
        </is>
      </c>
      <c r="G14" s="39" t="inlineStr">
        <is>
          <t>Shotgun Sidearm</t>
        </is>
      </c>
      <c r="H14" s="39" t="n">
        <v>0.18</v>
      </c>
      <c r="I14" s="39" t="n">
        <v>0.1</v>
      </c>
      <c r="J14" s="39" t="inlineStr">
        <is>
          <t>crit</t>
        </is>
      </c>
      <c r="K14" s="39" t="inlineStr">
        <is>
          <t>PISTOL_CRIT</t>
        </is>
      </c>
      <c r="L14" s="39" t="inlineStr">
        <is>
          <t>Hornet Strike | Galvanized Diffusion | Primed Pistol Gambit | Primed Target Cracker | Galvanized Crosshairs | Galvanized Shot | Deep Freeze | Pathogen Rounds</t>
        </is>
      </c>
      <c r="M14" s="39" t="inlineStr">
        <is>
          <t>Secondary Merciless</t>
        </is>
      </c>
      <c r="N14" s="39" t="inlineStr">
        <is>
          <t>Viral + Radiation</t>
        </is>
      </c>
      <c r="O14" s="39" t="inlineStr">
        <is>
          <t>-</t>
        </is>
      </c>
      <c r="P14" s="39" t="inlineStr">
        <is>
          <t>5 Forma to Rank 40 + ~3 polarization</t>
        </is>
      </c>
    </row>
    <row r="15">
      <c r="A15" s="39" t="inlineStr">
        <is>
          <t>AUDITED</t>
        </is>
      </c>
      <c r="B15" s="39" t="inlineStr">
        <is>
          <t>AUDITED: Venato signature boosts combo-count chance on normal attacks, not heavy attacks</t>
        </is>
      </c>
      <c r="C15" s="39" t="inlineStr">
        <is>
          <t>-</t>
        </is>
      </c>
      <c r="D15" s="39" t="inlineStr">
        <is>
          <t>Caliban Prime</t>
        </is>
      </c>
      <c r="E15" s="39" t="inlineStr">
        <is>
          <t>Melee</t>
        </is>
      </c>
      <c r="F15" s="39" t="inlineStr">
        <is>
          <t>Venato Prime</t>
        </is>
      </c>
      <c r="G15" s="39" t="inlineStr">
        <is>
          <t>Scythe</t>
        </is>
      </c>
      <c r="H15" s="39" t="n">
        <v>0.34</v>
      </c>
      <c r="I15" s="39" t="n">
        <v>0.32</v>
      </c>
      <c r="J15" s="39" t="inlineStr">
        <is>
          <t>crit</t>
        </is>
      </c>
      <c r="K15" s="39" t="inlineStr">
        <is>
          <t>MELEE_CRIT</t>
        </is>
      </c>
      <c r="L15" s="39" t="inlineStr">
        <is>
          <t>Primed Pressure Point | Blood Rush | Weeping Wounds | Organ Shatter | Berserker Fury | Condition Overload | North Wind | Virulent Scourge</t>
        </is>
      </c>
      <c r="M15" s="39" t="inlineStr">
        <is>
          <t>Melee Duplicate</t>
        </is>
      </c>
      <c r="N15" s="39" t="inlineStr">
        <is>
          <t>Viral</t>
        </is>
      </c>
      <c r="O15" s="39" t="inlineStr">
        <is>
          <t>-</t>
        </is>
      </c>
      <c r="P15" s="39" t="inlineStr">
        <is>
          <t>~3</t>
        </is>
      </c>
    </row>
    <row r="16">
      <c r="A16" s="39" t="inlineStr">
        <is>
          <t>AUDITED</t>
        </is>
      </c>
      <c r="B16" s="39" t="inlineStr">
        <is>
          <t>AUDITED: no weapon/frame mechanic overrides the default</t>
        </is>
      </c>
      <c r="C16" s="39" t="inlineStr">
        <is>
          <t>-</t>
        </is>
      </c>
      <c r="D16" s="39" t="inlineStr">
        <is>
          <t>Chroma Prime</t>
        </is>
      </c>
      <c r="E16" s="39" t="inlineStr">
        <is>
          <t>Primary</t>
        </is>
      </c>
      <c r="F16" s="39" t="inlineStr">
        <is>
          <t>Opticor Vandal</t>
        </is>
      </c>
      <c r="G16" s="39" t="inlineStr">
        <is>
          <t>Rifle</t>
        </is>
      </c>
      <c r="H16" s="39" t="n">
        <v>0.24</v>
      </c>
      <c r="I16" s="39" t="n">
        <v>0.3</v>
      </c>
      <c r="J16" s="39" t="inlineStr">
        <is>
          <t>crit</t>
        </is>
      </c>
      <c r="K16" s="39" t="inlineStr">
        <is>
          <t>RIFLE_CRIT</t>
        </is>
      </c>
      <c r="L16" s="39" t="inlineStr">
        <is>
          <t>Serration | Galvanized Chamber | Point Strike | Vital Sense | Hammer Shot | Galvanized Aptitude | Primed Cryo Rounds | Malignant Force</t>
        </is>
      </c>
      <c r="M16" s="39" t="inlineStr">
        <is>
          <t>Primary Merciless</t>
        </is>
      </c>
      <c r="N16" s="39" t="inlineStr">
        <is>
          <t>Viral</t>
        </is>
      </c>
      <c r="O16" s="39" t="inlineStr">
        <is>
          <t>-</t>
        </is>
      </c>
      <c r="P16" s="39" t="inlineStr">
        <is>
          <t>~3</t>
        </is>
      </c>
    </row>
    <row r="17">
      <c r="A17" s="39" t="inlineStr">
        <is>
          <t>AUDITED</t>
        </is>
      </c>
      <c r="B17" s="39" t="inlineStr">
        <is>
          <t>AUDITED: Haven Foray needs Overshields (Chroma has none); always-on perks</t>
        </is>
      </c>
      <c r="C17" s="39" t="inlineStr">
        <is>
          <t>Incarnon Form 34% crit / 10% status (base 26%/10%)</t>
        </is>
      </c>
      <c r="D17" s="39" t="inlineStr">
        <is>
          <t>Chroma Prime</t>
        </is>
      </c>
      <c r="E17" s="39" t="inlineStr">
        <is>
          <t>Secondary</t>
        </is>
      </c>
      <c r="F17" s="39" t="inlineStr">
        <is>
          <t>Lato Vandal</t>
        </is>
      </c>
      <c r="G17" s="39" t="inlineStr">
        <is>
          <t>Pistol</t>
        </is>
      </c>
      <c r="H17" s="39" t="n">
        <v>0.26</v>
      </c>
      <c r="I17" s="39" t="n">
        <v>0.1</v>
      </c>
      <c r="J17" s="39" t="inlineStr">
        <is>
          <t>crit</t>
        </is>
      </c>
      <c r="K17" s="39" t="inlineStr">
        <is>
          <t>PISTOL_CRIT</t>
        </is>
      </c>
      <c r="L17" s="39" t="inlineStr">
        <is>
          <t>Hornet Strike | Galvanized Diffusion | Primed Pistol Gambit | Primed Target Cracker | Galvanized Crosshairs | Galvanized Shot | Deep Freeze | Pathogen Rounds</t>
        </is>
      </c>
      <c r="M17" s="39" t="inlineStr">
        <is>
          <t>Secondary Merciless</t>
        </is>
      </c>
      <c r="N17" s="39" t="inlineStr">
        <is>
          <t>Viral</t>
        </is>
      </c>
      <c r="O17" s="39" t="inlineStr">
        <is>
          <t>EVO2: Reified Bane; EVO3: Exact Penance; EVO4: Survivor's Edge</t>
        </is>
      </c>
      <c r="P17" s="39" t="inlineStr">
        <is>
          <t>~4 (Incarnon)</t>
        </is>
      </c>
    </row>
    <row r="18">
      <c r="A18" s="39" t="inlineStr">
        <is>
          <t>AUDITED</t>
        </is>
      </c>
      <c r="B18" s="39" t="inlineStr">
        <is>
          <t>AUDITED: no weapon/frame mechanic overrides the default</t>
        </is>
      </c>
      <c r="C18" s="39" t="inlineStr">
        <is>
          <t>-</t>
        </is>
      </c>
      <c r="D18" s="39" t="inlineStr">
        <is>
          <t>Chroma Prime</t>
        </is>
      </c>
      <c r="E18" s="39" t="inlineStr">
        <is>
          <t>Melee</t>
        </is>
      </c>
      <c r="F18" s="39" t="inlineStr">
        <is>
          <t>Gram Prime</t>
        </is>
      </c>
      <c r="G18" s="39" t="inlineStr">
        <is>
          <t>Heavy Blade</t>
        </is>
      </c>
      <c r="H18" s="39" t="n">
        <v>0.32</v>
      </c>
      <c r="I18" s="39" t="n">
        <v>0.32</v>
      </c>
      <c r="J18" s="39" t="inlineStr">
        <is>
          <t>crit</t>
        </is>
      </c>
      <c r="K18" s="39" t="inlineStr">
        <is>
          <t>MELEE_CRIT</t>
        </is>
      </c>
      <c r="L18" s="39" t="inlineStr">
        <is>
          <t>Primed Pressure Point | Blood Rush | Weeping Wounds | Organ Shatter | Berserker Fury | Condition Overload | North Wind | Virulent Scourge</t>
        </is>
      </c>
      <c r="M18" s="39" t="inlineStr">
        <is>
          <t>Melee Animosity</t>
        </is>
      </c>
      <c r="N18" s="39" t="inlineStr">
        <is>
          <t>Viral</t>
        </is>
      </c>
      <c r="O18" s="39" t="inlineStr">
        <is>
          <t>-</t>
        </is>
      </c>
      <c r="P18" s="39" t="inlineStr">
        <is>
          <t>~3</t>
        </is>
      </c>
    </row>
    <row r="19">
      <c r="A19" s="39" t="inlineStr">
        <is>
          <t>AUDITED</t>
        </is>
      </c>
      <c r="B19" s="39" t="inlineStr">
        <is>
          <t>AUDITED: no weapon/frame mechanic overrides the default</t>
        </is>
      </c>
      <c r="C19" s="39" t="inlineStr">
        <is>
          <t>-</t>
        </is>
      </c>
      <c r="D19" s="39" t="inlineStr">
        <is>
          <t>Citrine Prime</t>
        </is>
      </c>
      <c r="E19" s="39" t="inlineStr">
        <is>
          <t>Primary</t>
        </is>
      </c>
      <c r="F19" s="39" t="inlineStr">
        <is>
          <t>Steflos Prime</t>
        </is>
      </c>
      <c r="G19" s="39" t="inlineStr">
        <is>
          <t>Shotgun</t>
        </is>
      </c>
      <c r="H19" s="39" t="n">
        <v>0.18</v>
      </c>
      <c r="I19" s="39" t="n">
        <v>0.28</v>
      </c>
      <c r="J19" s="39" t="inlineStr">
        <is>
          <t>status</t>
        </is>
      </c>
      <c r="K19" s="39" t="inlineStr">
        <is>
          <t>SHOTGUN</t>
        </is>
      </c>
      <c r="L19" s="39" t="inlineStr">
        <is>
          <t>Primed Point Blank | Galvanized Hell | Primed Ravage | Critical Deceleration | Galvanized Savvy | Chilling Grasp | Toxic Barrage | Primed Charged Shell</t>
        </is>
      </c>
      <c r="M19" s="39" t="inlineStr">
        <is>
          <t>Shotgun Vendetta</t>
        </is>
      </c>
      <c r="N19" s="39" t="inlineStr">
        <is>
          <t>Viral + Radiation</t>
        </is>
      </c>
      <c r="O19" s="39" t="inlineStr">
        <is>
          <t>-</t>
        </is>
      </c>
      <c r="P19" s="39" t="inlineStr">
        <is>
          <t>~3</t>
        </is>
      </c>
    </row>
    <row r="20">
      <c r="A20" s="39" t="inlineStr">
        <is>
          <t>AUDITED</t>
        </is>
      </c>
      <c r="B20" s="39" t="inlineStr">
        <is>
          <t>AUDITED: THRESHOLD REVIEW: Catabolyst 11% crit; Prismatic Gem adds +100% x Str status chance -&gt; status build confirmed</t>
        </is>
      </c>
      <c r="C20" s="39" t="inlineStr">
        <is>
          <t>THRESHOLD FLAG: &lt;15% crit -&gt; status template proposed; needs weapon-specific review</t>
        </is>
      </c>
      <c r="D20" s="39" t="inlineStr">
        <is>
          <t>Citrine Prime</t>
        </is>
      </c>
      <c r="E20" s="39" t="inlineStr">
        <is>
          <t>Secondary</t>
        </is>
      </c>
      <c r="F20" s="39" t="inlineStr">
        <is>
          <t>Catabolyst</t>
        </is>
      </c>
      <c r="G20" s="39" t="inlineStr">
        <is>
          <t>Pistol</t>
        </is>
      </c>
      <c r="H20" s="39" t="n">
        <v>0.11</v>
      </c>
      <c r="I20" s="39" t="n">
        <v>0.43</v>
      </c>
      <c r="J20" s="39" t="inlineStr">
        <is>
          <t>status</t>
        </is>
      </c>
      <c r="K20" s="39" t="inlineStr">
        <is>
          <t>PISTOL_STATUS</t>
        </is>
      </c>
      <c r="L20" s="39" t="inlineStr">
        <is>
          <t>Hornet Strike | Augur Pact | Galvanized Diffusion | Lethal Torrent | Galvanized Shot | Frostbite | Pistol Pestilence | Jolt</t>
        </is>
      </c>
      <c r="M20" s="39" t="inlineStr">
        <is>
          <t>Secondary Encumber</t>
        </is>
      </c>
      <c r="N20" s="39" t="inlineStr">
        <is>
          <t>Viral + Electricity + Corrosive</t>
        </is>
      </c>
      <c r="O20" s="39" t="inlineStr">
        <is>
          <t>-</t>
        </is>
      </c>
      <c r="P20" s="39" t="inlineStr">
        <is>
          <t>~3</t>
        </is>
      </c>
    </row>
    <row r="21">
      <c r="A21" s="39" t="inlineStr">
        <is>
          <t>AUDITED</t>
        </is>
      </c>
      <c r="B21" s="39" t="inlineStr">
        <is>
          <t>AUDITED: no weapon/frame mechanic overrides the default</t>
        </is>
      </c>
      <c r="C21" s="39" t="inlineStr">
        <is>
          <t>-</t>
        </is>
      </c>
      <c r="D21" s="39" t="inlineStr">
        <is>
          <t>Citrine Prime</t>
        </is>
      </c>
      <c r="E21" s="39" t="inlineStr">
        <is>
          <t>Melee</t>
        </is>
      </c>
      <c r="F21" s="39" t="inlineStr">
        <is>
          <t>Corufell Prime</t>
        </is>
      </c>
      <c r="G21" s="39" t="inlineStr">
        <is>
          <t>Heavy Scythe</t>
        </is>
      </c>
      <c r="H21" s="39" t="n">
        <v>0.3</v>
      </c>
      <c r="I21" s="39" t="n">
        <v>0.2</v>
      </c>
      <c r="J21" s="39" t="inlineStr">
        <is>
          <t>crit</t>
        </is>
      </c>
      <c r="K21" s="39" t="inlineStr">
        <is>
          <t>MELEE_CRIT</t>
        </is>
      </c>
      <c r="L21" s="39" t="inlineStr">
        <is>
          <t>Primed Pressure Point | Blood Rush | Weeping Wounds | Organ Shatter | Berserker Fury | Condition Overload | North Wind | Virulent Scourge</t>
        </is>
      </c>
      <c r="M21" s="39" t="inlineStr">
        <is>
          <t>Melee Animosity</t>
        </is>
      </c>
      <c r="N21" s="39" t="inlineStr">
        <is>
          <t>Viral</t>
        </is>
      </c>
      <c r="O21" s="39" t="inlineStr">
        <is>
          <t>-</t>
        </is>
      </c>
      <c r="P21" s="39" t="inlineStr">
        <is>
          <t>~3</t>
        </is>
      </c>
    </row>
    <row r="22">
      <c r="A22" s="39" t="inlineStr">
        <is>
          <t>AUDITED</t>
        </is>
      </c>
      <c r="B22" s="39" t="inlineStr">
        <is>
          <t>AUDITED: Weak-point frame; Trusty Sidearm needs a channeled ability (none)</t>
        </is>
      </c>
      <c r="C22" s="39" t="inlineStr">
        <is>
          <t>Incarnon Form 35% crit / 44% status (base 25%/25%)</t>
        </is>
      </c>
      <c r="D22" s="39" t="inlineStr">
        <is>
          <t>Cyte-09</t>
        </is>
      </c>
      <c r="E22" s="39" t="inlineStr">
        <is>
          <t>Secondary</t>
        </is>
      </c>
      <c r="F22" s="39" t="inlineStr">
        <is>
          <t>Lex Prime</t>
        </is>
      </c>
      <c r="G22" s="39" t="inlineStr">
        <is>
          <t>Pistol</t>
        </is>
      </c>
      <c r="H22" s="39" t="n">
        <v>0.25</v>
      </c>
      <c r="I22" s="39" t="n">
        <v>0.25</v>
      </c>
      <c r="J22" s="39" t="inlineStr">
        <is>
          <t>crit</t>
        </is>
      </c>
      <c r="K22" s="39" t="inlineStr">
        <is>
          <t>PISTOL_CRIT</t>
        </is>
      </c>
      <c r="L22" s="39" t="inlineStr">
        <is>
          <t>Hornet Strike | Galvanized Diffusion | Primed Pistol Gambit | Primed Target Cracker | Galvanized Crosshairs | Galvanized Shot | Deep Freeze | Pathogen Rounds</t>
        </is>
      </c>
      <c r="M22" s="39" t="inlineStr">
        <is>
          <t>Secondary Deadhead</t>
        </is>
      </c>
      <c r="N22" s="39" t="inlineStr">
        <is>
          <t>Viral</t>
        </is>
      </c>
      <c r="O22" s="39" t="inlineStr">
        <is>
          <t>EVO2: Hoplite Virtue; EVO3: Lex Talionis; EVO4: Critical Parallel</t>
        </is>
      </c>
      <c r="P22" s="39" t="inlineStr">
        <is>
          <t>~4 (Incarnon)</t>
        </is>
      </c>
    </row>
    <row r="23">
      <c r="A23" s="39" t="inlineStr">
        <is>
          <t>AUDITED</t>
        </is>
      </c>
      <c r="B23" s="39" t="inlineStr">
        <is>
          <t>AUDITED: no weapon/frame mechanic overrides the default</t>
        </is>
      </c>
      <c r="C23" s="39" t="inlineStr">
        <is>
          <t>-</t>
        </is>
      </c>
      <c r="D23" s="39" t="inlineStr">
        <is>
          <t>Cyte-09</t>
        </is>
      </c>
      <c r="E23" s="39" t="inlineStr">
        <is>
          <t>Melee</t>
        </is>
      </c>
      <c r="F23" s="39" t="inlineStr">
        <is>
          <t>Rakta Dark Dagger</t>
        </is>
      </c>
      <c r="G23" s="39" t="inlineStr">
        <is>
          <t>Dagger</t>
        </is>
      </c>
      <c r="H23" s="39" t="n">
        <v>0.12</v>
      </c>
      <c r="I23" s="39" t="n">
        <v>0.3</v>
      </c>
      <c r="J23" s="39" t="inlineStr">
        <is>
          <t>status</t>
        </is>
      </c>
      <c r="K23" s="39" t="inlineStr">
        <is>
          <t>MELEE_INFLUENCE</t>
        </is>
      </c>
      <c r="L23" s="39" t="inlineStr">
        <is>
          <t>Primed Pressure Point | Blood Rush | Weeping Wounds | Organ Shatter | Condition Overload | North Wind | Virulent Scourge | Voltaic Strike</t>
        </is>
      </c>
      <c r="M23" s="39" t="inlineStr">
        <is>
          <t>Melee Influence</t>
        </is>
      </c>
      <c r="N23" s="39" t="inlineStr">
        <is>
          <t>Viral + Electricity + Radiation</t>
        </is>
      </c>
      <c r="O23" s="39" t="inlineStr">
        <is>
          <t>-</t>
        </is>
      </c>
      <c r="P23" s="39" t="inlineStr">
        <is>
          <t>~3</t>
        </is>
      </c>
    </row>
    <row r="24">
      <c r="A24" s="39" t="inlineStr">
        <is>
          <t>AUDITED</t>
        </is>
      </c>
      <c r="B24" s="39" t="inlineStr">
        <is>
          <t>AUDITED: Grave Spirit adds +50% x Str crit damage to all weapons</t>
        </is>
      </c>
      <c r="C24" s="39" t="inlineStr">
        <is>
          <t>-</t>
        </is>
      </c>
      <c r="D24" s="39" t="inlineStr">
        <is>
          <t>Dagath</t>
        </is>
      </c>
      <c r="E24" s="39" t="inlineStr">
        <is>
          <t>Primary</t>
        </is>
      </c>
      <c r="F24" s="39" t="inlineStr">
        <is>
          <t>Cinta</t>
        </is>
      </c>
      <c r="G24" s="39" t="inlineStr">
        <is>
          <t>Bow</t>
        </is>
      </c>
      <c r="H24" s="39" t="n">
        <v>0.2</v>
      </c>
      <c r="I24" s="39" t="n">
        <v>0.3</v>
      </c>
      <c r="J24" s="39" t="inlineStr">
        <is>
          <t>crit</t>
        </is>
      </c>
      <c r="K24" s="39" t="inlineStr">
        <is>
          <t>RIFLE_CRIT</t>
        </is>
      </c>
      <c r="L24" s="39" t="inlineStr">
        <is>
          <t>Serration | Galvanized Chamber | Point Strike | Vital Sense | Hammer Shot | Galvanized Aptitude | Primed Cryo Rounds | Malignant Force</t>
        </is>
      </c>
      <c r="M24" s="39" t="inlineStr">
        <is>
          <t>Primary Deadhead</t>
        </is>
      </c>
      <c r="N24" s="39" t="inlineStr">
        <is>
          <t>Viral</t>
        </is>
      </c>
      <c r="O24" s="39" t="inlineStr">
        <is>
          <t>-</t>
        </is>
      </c>
      <c r="P24" s="39" t="inlineStr">
        <is>
          <t>~3</t>
        </is>
      </c>
    </row>
    <row r="25">
      <c r="A25" s="39" t="inlineStr">
        <is>
          <t>AUDITED</t>
        </is>
      </c>
      <c r="B25" s="39" t="inlineStr">
        <is>
          <t>AUDITED: Reload-from-empty crit damage (satisfiable); Doom Viral + weapon statuses feed Fatal Affliction</t>
        </is>
      </c>
      <c r="C25" s="39" t="inlineStr">
        <is>
          <t>Incarnon Form 26% crit / 40% status (base 12%/36%)</t>
        </is>
      </c>
      <c r="D25" s="39" t="inlineStr">
        <is>
          <t>Dagath</t>
        </is>
      </c>
      <c r="E25" s="39" t="inlineStr">
        <is>
          <t>Secondary</t>
        </is>
      </c>
      <c r="F25" s="39" t="inlineStr">
        <is>
          <t>Zylok Prime</t>
        </is>
      </c>
      <c r="G25" s="39" t="inlineStr">
        <is>
          <t>Pistol</t>
        </is>
      </c>
      <c r="H25" s="39" t="n">
        <v>0.12</v>
      </c>
      <c r="I25" s="39" t="n">
        <v>0.36</v>
      </c>
      <c r="J25" s="39" t="inlineStr">
        <is>
          <t>crit</t>
        </is>
      </c>
      <c r="K25" s="39" t="inlineStr">
        <is>
          <t>PISTOL_CRIT</t>
        </is>
      </c>
      <c r="L25" s="39" t="inlineStr">
        <is>
          <t>Hornet Strike | Galvanized Diffusion | Primed Pistol Gambit | Primed Target Cracker | Galvanized Crosshairs | Galvanized Shot | Deep Freeze | Pathogen Rounds</t>
        </is>
      </c>
      <c r="M25" s="39" t="inlineStr">
        <is>
          <t>Secondary Merciless</t>
        </is>
      </c>
      <c r="N25" s="39" t="inlineStr">
        <is>
          <t>Viral</t>
        </is>
      </c>
      <c r="O25" s="39" t="inlineStr">
        <is>
          <t>EVO2: Mauler's Magazine; EVO3: Rapid Reinforcement; EVO4: Fatal Affliction</t>
        </is>
      </c>
      <c r="P25" s="39" t="inlineStr">
        <is>
          <t>~4 (Incarnon)</t>
        </is>
      </c>
    </row>
    <row r="26">
      <c r="A26" s="39" t="inlineStr">
        <is>
          <t>AUDITED</t>
        </is>
      </c>
      <c r="B26" s="39" t="inlineStr">
        <is>
          <t>AUDITED: no weapon/frame mechanic overrides the default</t>
        </is>
      </c>
      <c r="C26" s="39" t="inlineStr">
        <is>
          <t>-</t>
        </is>
      </c>
      <c r="D26" s="39" t="inlineStr">
        <is>
          <t>Dagath</t>
        </is>
      </c>
      <c r="E26" s="39" t="inlineStr">
        <is>
          <t>Melee</t>
        </is>
      </c>
      <c r="F26" s="39" t="inlineStr">
        <is>
          <t>Dorrclave</t>
        </is>
      </c>
      <c r="G26" s="39" t="inlineStr">
        <is>
          <t>Blade and Whip</t>
        </is>
      </c>
      <c r="H26" s="39" t="n">
        <v>0.26</v>
      </c>
      <c r="I26" s="39" t="n">
        <v>0.24</v>
      </c>
      <c r="J26" s="39" t="inlineStr">
        <is>
          <t>crit</t>
        </is>
      </c>
      <c r="K26" s="39" t="inlineStr">
        <is>
          <t>MELEE_CRIT</t>
        </is>
      </c>
      <c r="L26" s="39" t="inlineStr">
        <is>
          <t>Primed Pressure Point | Blood Rush | Weeping Wounds | Organ Shatter | Berserker Fury | Condition Overload | North Wind | Virulent Scourge</t>
        </is>
      </c>
      <c r="M26" s="39" t="inlineStr">
        <is>
          <t>Melee Duplicate</t>
        </is>
      </c>
      <c r="N26" s="39" t="inlineStr">
        <is>
          <t>Viral</t>
        </is>
      </c>
      <c r="O26" s="39" t="inlineStr">
        <is>
          <t>-</t>
        </is>
      </c>
      <c r="P26" s="39" t="inlineStr">
        <is>
          <t>~3</t>
        </is>
      </c>
    </row>
    <row r="27">
      <c r="A27" s="39" t="inlineStr">
        <is>
          <t>AUDITED</t>
        </is>
      </c>
      <c r="B27" s="39" t="inlineStr">
        <is>
          <t>AUDITED: Dante +50% status on scanned targets and Pageflight vulnerability favour status; Devouring Attrition rewards non-crit hits</t>
        </is>
      </c>
      <c r="C27" s="39" t="inlineStr">
        <is>
          <t>Incarnon Form 20% crit / 20% status (base 20%/20%)</t>
        </is>
      </c>
      <c r="D27" s="39" t="inlineStr">
        <is>
          <t>Dante</t>
        </is>
      </c>
      <c r="E27" s="39" t="inlineStr">
        <is>
          <t>Primary</t>
        </is>
      </c>
      <c r="F27" s="39" t="inlineStr">
        <is>
          <t>Phenmor</t>
        </is>
      </c>
      <c r="G27" s="39" t="inlineStr">
        <is>
          <t>Rifle</t>
        </is>
      </c>
      <c r="H27" s="39" t="n">
        <v>0.2</v>
      </c>
      <c r="I27" s="39" t="n">
        <v>0.2</v>
      </c>
      <c r="J27" s="39" t="inlineStr">
        <is>
          <t>status</t>
        </is>
      </c>
      <c r="K27" s="39" t="inlineStr">
        <is>
          <t>RIFLE_CRIT</t>
        </is>
      </c>
      <c r="L27" s="39" t="inlineStr">
        <is>
          <t>Serration | Galvanized Chamber | Point Strike | Vital Sense | Hammer Shot | Galvanized Aptitude | Primed Cryo Rounds | Malignant Force</t>
        </is>
      </c>
      <c r="M27" s="39" t="inlineStr">
        <is>
          <t>Primary Merciless</t>
        </is>
      </c>
      <c r="N27" s="39" t="inlineStr">
        <is>
          <t>Viral</t>
        </is>
      </c>
      <c r="O27" s="39" t="inlineStr">
        <is>
          <t>EVO2: Rapid Wrath; EVO3: Retribution's Vessel; EVO4: Elemental Excess; EVO5: Devouring Attrition</t>
        </is>
      </c>
      <c r="P27" s="39" t="inlineStr">
        <is>
          <t>~4 (Incarnon)</t>
        </is>
      </c>
    </row>
    <row r="28">
      <c r="A28" s="39" t="inlineStr">
        <is>
          <t>AUDITED</t>
        </is>
      </c>
      <c r="B28" s="39" t="inlineStr">
        <is>
          <t>AUDITED: THRESHOLD REVIEW (B4): Incarnon Form 14% crit / 18% status - neither axis strong; locked Batch 2 crit build kept (Primed Pistol Gambit -&gt; ~40%); damage comes from the punch-through perks (Lethal Lance -&gt; Impaler's Ferocity)</t>
        </is>
      </c>
      <c r="C28" s="39" t="inlineStr">
        <is>
          <t>Incarnon Form 14% crit / 18% status (base 26%/22%)</t>
        </is>
      </c>
      <c r="D28" s="39" t="inlineStr">
        <is>
          <t>Dante</t>
        </is>
      </c>
      <c r="E28" s="39" t="inlineStr">
        <is>
          <t>Secondary</t>
        </is>
      </c>
      <c r="F28" s="39" t="inlineStr">
        <is>
          <t>Onos</t>
        </is>
      </c>
      <c r="G28" s="39" t="inlineStr">
        <is>
          <t>Pistol</t>
        </is>
      </c>
      <c r="H28" s="39" t="n">
        <v>0.26</v>
      </c>
      <c r="I28" s="39" t="n">
        <v>0.22</v>
      </c>
      <c r="J28" s="39" t="inlineStr">
        <is>
          <t>crit</t>
        </is>
      </c>
      <c r="K28" s="39" t="inlineStr">
        <is>
          <t>PISTOL_CRIT</t>
        </is>
      </c>
      <c r="L28" s="39" t="inlineStr">
        <is>
          <t>Hornet Strike | Galvanized Diffusion | Primed Pistol Gambit | Primed Target Cracker | Galvanized Crosshairs | Galvanized Shot | Deep Freeze | Pathogen Rounds</t>
        </is>
      </c>
      <c r="M28" s="39" t="inlineStr">
        <is>
          <t>Secondary Merciless</t>
        </is>
      </c>
      <c r="N28" s="39" t="inlineStr">
        <is>
          <t>Viral</t>
        </is>
      </c>
      <c r="O28" s="39" t="inlineStr">
        <is>
          <t>EVO2: Rapid Wrath; EVO3: Rapid Reinforcement; EVO4: Lethal Lance; EVO5: Impaler's Ferocity</t>
        </is>
      </c>
      <c r="P28" s="39" t="inlineStr">
        <is>
          <t>~4 (Incarnon)</t>
        </is>
      </c>
    </row>
    <row r="29">
      <c r="A29" s="39" t="inlineStr">
        <is>
          <t>AUDITED</t>
        </is>
      </c>
      <c r="B29" s="39" t="inlineStr">
        <is>
          <t>AUDITED: Status-oriented Dante; impaled +35% flat status</t>
        </is>
      </c>
      <c r="C29" s="39" t="inlineStr">
        <is>
          <t>-</t>
        </is>
      </c>
      <c r="D29" s="39" t="inlineStr">
        <is>
          <t>Dante</t>
        </is>
      </c>
      <c r="E29" s="39" t="inlineStr">
        <is>
          <t>Melee</t>
        </is>
      </c>
      <c r="F29" s="39" t="inlineStr">
        <is>
          <t>Ruvox</t>
        </is>
      </c>
      <c r="G29" s="39" t="inlineStr">
        <is>
          <t>Fist</t>
        </is>
      </c>
      <c r="H29" s="39" t="n">
        <v>0.26</v>
      </c>
      <c r="I29" s="39" t="n">
        <v>0.2</v>
      </c>
      <c r="J29" s="39" t="inlineStr">
        <is>
          <t>crit</t>
        </is>
      </c>
      <c r="K29" s="39" t="inlineStr">
        <is>
          <t>MELEE_CRIT</t>
        </is>
      </c>
      <c r="L29" s="39" t="inlineStr">
        <is>
          <t>Primed Pressure Point | Blood Rush | Weeping Wounds | Organ Shatter | Berserker Fury | Condition Overload | North Wind | Virulent Scourge</t>
        </is>
      </c>
      <c r="M29" s="39" t="inlineStr">
        <is>
          <t>Melee Duplicate</t>
        </is>
      </c>
      <c r="N29" s="39" t="inlineStr">
        <is>
          <t>Viral</t>
        </is>
      </c>
      <c r="O29" s="39" t="inlineStr">
        <is>
          <t>EVO2: Lethal Impetus; EVO3: Adept Reflexes; EVO4: Swift Transmute; EVO5: Vulnerability Serum</t>
        </is>
      </c>
      <c r="P29" s="39" t="inlineStr">
        <is>
          <t>~4 (Incarnon)</t>
        </is>
      </c>
    </row>
    <row r="30">
      <c r="A30" s="39" t="inlineStr">
        <is>
          <t>AUDITED</t>
        </is>
      </c>
      <c r="B30" s="39" t="inlineStr">
        <is>
          <t>AUDITED: no weapon/frame mechanic overrides the default</t>
        </is>
      </c>
      <c r="C30" s="39" t="inlineStr">
        <is>
          <t>-</t>
        </is>
      </c>
      <c r="D30" s="39" t="inlineStr">
        <is>
          <t>Ember Prime</t>
        </is>
      </c>
      <c r="E30" s="39" t="inlineStr">
        <is>
          <t>Primary</t>
        </is>
      </c>
      <c r="F30" s="39" t="inlineStr">
        <is>
          <t>Ignis Wraith</t>
        </is>
      </c>
      <c r="G30" s="39" t="inlineStr">
        <is>
          <t>Rifle</t>
        </is>
      </c>
      <c r="H30" s="39" t="n">
        <v>0.17</v>
      </c>
      <c r="I30" s="39" t="n">
        <v>0.29</v>
      </c>
      <c r="J30" s="39" t="inlineStr">
        <is>
          <t>status</t>
        </is>
      </c>
      <c r="K30" s="39" t="inlineStr">
        <is>
          <t>RIFLE_CRIT</t>
        </is>
      </c>
      <c r="L30" s="39" t="inlineStr">
        <is>
          <t>Serration | Galvanized Chamber | Point Strike | Vital Sense | Hammer Shot | Galvanized Aptitude | Primed Cryo Rounds | Malignant Force</t>
        </is>
      </c>
      <c r="M30" s="39" t="inlineStr">
        <is>
          <t>Primary Merciless</t>
        </is>
      </c>
      <c r="N30" s="39" t="inlineStr">
        <is>
          <t>Viral + Heat</t>
        </is>
      </c>
      <c r="O30" s="39" t="inlineStr">
        <is>
          <t>-</t>
        </is>
      </c>
      <c r="P30" s="39" t="inlineStr">
        <is>
          <t>~3</t>
        </is>
      </c>
    </row>
    <row r="31">
      <c r="A31" s="39" t="inlineStr">
        <is>
          <t>AUDITED</t>
        </is>
      </c>
      <c r="B31" s="39" t="inlineStr">
        <is>
          <t>AUDITED: 7% crit x5 multiplier + flat crit from Arcane Hot Shot and Topaz heat-kill shards; Heat element target</t>
        </is>
      </c>
      <c r="C31" s="39" t="inlineStr">
        <is>
          <t>-</t>
        </is>
      </c>
      <c r="D31" s="39" t="inlineStr">
        <is>
          <t>Ember Prime</t>
        </is>
      </c>
      <c r="E31" s="39" t="inlineStr">
        <is>
          <t>Secondary</t>
        </is>
      </c>
      <c r="F31" s="39" t="inlineStr">
        <is>
          <t>Kuva Nukor</t>
        </is>
      </c>
      <c r="G31" s="39" t="inlineStr">
        <is>
          <t>Pistol</t>
        </is>
      </c>
      <c r="H31" s="39" t="n">
        <v>0.07000000000000001</v>
      </c>
      <c r="I31" s="39" t="n">
        <v>0.5</v>
      </c>
      <c r="J31" s="39" t="inlineStr">
        <is>
          <t>crit</t>
        </is>
      </c>
      <c r="K31" s="39" t="inlineStr">
        <is>
          <t>PISTOL_CRIT</t>
        </is>
      </c>
      <c r="L31" s="39" t="inlineStr">
        <is>
          <t>Hornet Strike | Galvanized Diffusion | Primed Pistol Gambit | Primed Target Cracker | Galvanized Crosshairs | Galvanized Shot | Deep Freeze | Pathogen Rounds</t>
        </is>
      </c>
      <c r="M31" s="39" t="inlineStr">
        <is>
          <t>Secondary Merciless</t>
        </is>
      </c>
      <c r="N31" s="39" t="inlineStr">
        <is>
          <t>Viral + Heat + Radiation</t>
        </is>
      </c>
      <c r="O31" s="39" t="inlineStr">
        <is>
          <t>-</t>
        </is>
      </c>
      <c r="P31" s="39" t="inlineStr">
        <is>
          <t>5 Forma to Rank 40 + ~3 polarization</t>
        </is>
      </c>
    </row>
    <row r="32">
      <c r="A32" s="39" t="inlineStr">
        <is>
          <t>AUDITED</t>
        </is>
      </c>
      <c r="B32" s="39" t="inlineStr">
        <is>
          <t>AUDITED: no weapon/frame mechanic overrides the default</t>
        </is>
      </c>
      <c r="C32" s="39" t="inlineStr">
        <is>
          <t>-</t>
        </is>
      </c>
      <c r="D32" s="39" t="inlineStr">
        <is>
          <t>Ember Prime</t>
        </is>
      </c>
      <c r="E32" s="39" t="inlineStr">
        <is>
          <t>Melee</t>
        </is>
      </c>
      <c r="F32" s="39" t="inlineStr">
        <is>
          <t>Jat Kittag</t>
        </is>
      </c>
      <c r="G32" s="39" t="inlineStr">
        <is>
          <t>Hammer</t>
        </is>
      </c>
      <c r="H32" s="39" t="n">
        <v>0.15</v>
      </c>
      <c r="I32" s="39" t="n">
        <v>0.25</v>
      </c>
      <c r="J32" s="39" t="inlineStr">
        <is>
          <t>status</t>
        </is>
      </c>
      <c r="K32" s="39" t="inlineStr">
        <is>
          <t>MELEE_INFLUENCE</t>
        </is>
      </c>
      <c r="L32" s="39" t="inlineStr">
        <is>
          <t>Primed Pressure Point | Blood Rush | Weeping Wounds | Organ Shatter | Condition Overload | North Wind | Virulent Scourge | Voltaic Strike</t>
        </is>
      </c>
      <c r="M32" s="39" t="inlineStr">
        <is>
          <t>Melee Influence</t>
        </is>
      </c>
      <c r="N32" s="39" t="inlineStr">
        <is>
          <t>Viral + Electricity</t>
        </is>
      </c>
      <c r="O32" s="39" t="inlineStr">
        <is>
          <t>-</t>
        </is>
      </c>
      <c r="P32" s="39" t="inlineStr">
        <is>
          <t>~3</t>
        </is>
      </c>
    </row>
    <row r="33">
      <c r="A33" s="39" t="inlineStr">
        <is>
          <t>AUDITED</t>
        </is>
      </c>
      <c r="B33" s="39" t="inlineStr">
        <is>
          <t>AUDITED: Fortress Salvo needs &gt;450 armor (not reached); Maim slash procs + weapon statuses</t>
        </is>
      </c>
      <c r="C33" s="39" t="inlineStr">
        <is>
          <t>Incarnon Form 28% crit / 30% status (base 18%/30%)</t>
        </is>
      </c>
      <c r="D33" s="39" t="inlineStr">
        <is>
          <t>Equinox Prime</t>
        </is>
      </c>
      <c r="E33" s="39" t="inlineStr">
        <is>
          <t>Primary</t>
        </is>
      </c>
      <c r="F33" s="39" t="inlineStr">
        <is>
          <t>Burston Prime</t>
        </is>
      </c>
      <c r="G33" s="39" t="inlineStr">
        <is>
          <t>Rifle</t>
        </is>
      </c>
      <c r="H33" s="39" t="n">
        <v>0.18</v>
      </c>
      <c r="I33" s="39" t="n">
        <v>0.3</v>
      </c>
      <c r="J33" s="39" t="inlineStr">
        <is>
          <t>crit</t>
        </is>
      </c>
      <c r="K33" s="39" t="inlineStr">
        <is>
          <t>RIFLE_CRIT</t>
        </is>
      </c>
      <c r="L33" s="39" t="inlineStr">
        <is>
          <t>Serration | Galvanized Chamber | Point Strike | Vital Sense | Hammer Shot | Galvanized Aptitude | Primed Cryo Rounds | Malignant Force</t>
        </is>
      </c>
      <c r="M33" s="39" t="inlineStr">
        <is>
          <t>Primary Merciless</t>
        </is>
      </c>
      <c r="N33" s="39" t="inlineStr">
        <is>
          <t>Viral</t>
        </is>
      </c>
      <c r="O33" s="39" t="inlineStr">
        <is>
          <t>EVO2: Forceful Finality; EVO3: Extended Volley; EVO4: Fatal Affliction</t>
        </is>
      </c>
      <c r="P33" s="39" t="inlineStr">
        <is>
          <t>~4 (Incarnon)</t>
        </is>
      </c>
    </row>
    <row r="34">
      <c r="A34" s="39" t="inlineStr">
        <is>
          <t>AUDITED</t>
        </is>
      </c>
      <c r="B34" s="39" t="inlineStr">
        <is>
          <t>AUDITED: THRESHOLD REVIEW (B4): Incarnon Form 11% crit / 43% status -&gt; status template now matches the Batch 2 status perks (Neurotoxin)</t>
        </is>
      </c>
      <c r="C34" s="39" t="inlineStr">
        <is>
          <t>Incarnon Form 11% crit / 43% status (base 5%/37%); THRESHOLD FLAG: &lt;15% crit -&gt; status template proposed; needs weapon-specific review</t>
        </is>
      </c>
      <c r="D34" s="39" t="inlineStr">
        <is>
          <t>Equinox Prime</t>
        </is>
      </c>
      <c r="E34" s="39" t="inlineStr">
        <is>
          <t>Secondary</t>
        </is>
      </c>
      <c r="F34" s="39" t="inlineStr">
        <is>
          <t>Dual Toxocyst</t>
        </is>
      </c>
      <c r="G34" s="39" t="inlineStr">
        <is>
          <t>Dual Pistols</t>
        </is>
      </c>
      <c r="H34" s="39" t="n">
        <v>0.05</v>
      </c>
      <c r="I34" s="39" t="n">
        <v>0.37</v>
      </c>
      <c r="J34" s="39" t="inlineStr">
        <is>
          <t>status</t>
        </is>
      </c>
      <c r="K34" s="39" t="inlineStr">
        <is>
          <t>PISTOL_STATUS</t>
        </is>
      </c>
      <c r="L34" s="39" t="inlineStr">
        <is>
          <t>Hornet Strike | Augur Pact | Galvanized Diffusion | Lethal Torrent | Galvanized Shot | Frostbite | Pistol Pestilence | Jolt</t>
        </is>
      </c>
      <c r="M34" s="39" t="inlineStr">
        <is>
          <t>Secondary Encumber</t>
        </is>
      </c>
      <c r="N34" s="39" t="inlineStr">
        <is>
          <t>Viral + Electricity</t>
        </is>
      </c>
      <c r="O34" s="39" t="inlineStr">
        <is>
          <t>EVO2: Carnage Reign; EVO3: Evolved Autoloader; EVO4: Neurotoxin</t>
        </is>
      </c>
      <c r="P34" s="39" t="inlineStr">
        <is>
          <t>~4 (Incarnon)</t>
        </is>
      </c>
    </row>
    <row r="35">
      <c r="A35" s="39" t="inlineStr">
        <is>
          <t>AUDITED</t>
        </is>
      </c>
      <c r="B35" s="39" t="inlineStr">
        <is>
          <t>AUDITED: no weapon/frame mechanic overrides the default</t>
        </is>
      </c>
      <c r="C35" s="39" t="inlineStr">
        <is>
          <t>-</t>
        </is>
      </c>
      <c r="D35" s="39" t="inlineStr">
        <is>
          <t>Equinox Prime</t>
        </is>
      </c>
      <c r="E35" s="39" t="inlineStr">
        <is>
          <t>Melee</t>
        </is>
      </c>
      <c r="F35" s="39" t="inlineStr">
        <is>
          <t>Lesion</t>
        </is>
      </c>
      <c r="G35" s="39" t="inlineStr">
        <is>
          <t>Polearm</t>
        </is>
      </c>
      <c r="H35" s="39" t="n">
        <v>0.15</v>
      </c>
      <c r="I35" s="39" t="n">
        <v>0.37</v>
      </c>
      <c r="J35" s="39" t="inlineStr">
        <is>
          <t>status</t>
        </is>
      </c>
      <c r="K35" s="39" t="inlineStr">
        <is>
          <t>MELEE_INFLUENCE</t>
        </is>
      </c>
      <c r="L35" s="39" t="inlineStr">
        <is>
          <t>Primed Pressure Point | Blood Rush | Weeping Wounds | Organ Shatter | Condition Overload | North Wind | Virulent Scourge | Voltaic Strike</t>
        </is>
      </c>
      <c r="M35" s="39" t="inlineStr">
        <is>
          <t>Melee Influence</t>
        </is>
      </c>
      <c r="N35" s="39" t="inlineStr">
        <is>
          <t>Viral + Electricity</t>
        </is>
      </c>
      <c r="O35" s="39" t="inlineStr">
        <is>
          <t>-</t>
        </is>
      </c>
      <c r="P35" s="39" t="inlineStr">
        <is>
          <t>~3</t>
        </is>
      </c>
    </row>
    <row r="36">
      <c r="A36" s="39" t="inlineStr">
        <is>
          <t>AUDITED</t>
        </is>
      </c>
      <c r="B36" s="39" t="inlineStr">
        <is>
          <t>AUDITED: Daring Reverie needs a channeled ability</t>
        </is>
      </c>
      <c r="C36" s="39" t="inlineStr">
        <is>
          <t>Incarnon Form 30% crit / 30% status (base 12%/26%)</t>
        </is>
      </c>
      <c r="D36" s="39" t="inlineStr">
        <is>
          <t>Excalibur Umbra</t>
        </is>
      </c>
      <c r="E36" s="39" t="inlineStr">
        <is>
          <t>Primary</t>
        </is>
      </c>
      <c r="F36" s="39" t="inlineStr">
        <is>
          <t>Braton Prime</t>
        </is>
      </c>
      <c r="G36" s="39" t="inlineStr">
        <is>
          <t>Rifle</t>
        </is>
      </c>
      <c r="H36" s="39" t="n">
        <v>0.12</v>
      </c>
      <c r="I36" s="39" t="n">
        <v>0.26</v>
      </c>
      <c r="J36" s="39" t="inlineStr">
        <is>
          <t>crit</t>
        </is>
      </c>
      <c r="K36" s="39" t="inlineStr">
        <is>
          <t>RIFLE_CRIT</t>
        </is>
      </c>
      <c r="L36" s="39" t="inlineStr">
        <is>
          <t>Serration | Galvanized Chamber | Point Strike | Vital Sense | Hammer Shot | Galvanized Aptitude | Primed Cryo Rounds | Malignant Force</t>
        </is>
      </c>
      <c r="M36" s="39" t="inlineStr">
        <is>
          <t>Primary Merciless</t>
        </is>
      </c>
      <c r="N36" s="39" t="inlineStr">
        <is>
          <t>Viral</t>
        </is>
      </c>
      <c r="O36" s="39" t="inlineStr">
        <is>
          <t>EVO2: Munitions Grit; EVO3: Void's Guidance; EVO4: Critical Parallel</t>
        </is>
      </c>
      <c r="P36" s="39" t="inlineStr">
        <is>
          <t>~4 (Incarnon)</t>
        </is>
      </c>
    </row>
    <row r="37">
      <c r="A37" s="39" t="inlineStr">
        <is>
          <t>AUDITED</t>
        </is>
      </c>
      <c r="B37" s="39" t="inlineStr">
        <is>
          <t>AUDITED: Lone Gun needs no Primary equipped (Umbra carries Braton Prime); SYSTEMIC FIX (B5): Secondary Outburst would consume the melee/Exalted combo this frame depends on -&gt; Secondary Dexterity</t>
        </is>
      </c>
      <c r="C37" s="39" t="inlineStr">
        <is>
          <t>Incarnon Form 30% crit / 7% status (base 22%/22%)</t>
        </is>
      </c>
      <c r="D37" s="39" t="inlineStr">
        <is>
          <t>Excalibur Umbra</t>
        </is>
      </c>
      <c r="E37" s="39" t="inlineStr">
        <is>
          <t>Secondary</t>
        </is>
      </c>
      <c r="F37" s="39" t="inlineStr">
        <is>
          <t>Vasto Prime</t>
        </is>
      </c>
      <c r="G37" s="39" t="inlineStr">
        <is>
          <t>Pistol</t>
        </is>
      </c>
      <c r="H37" s="39" t="n">
        <v>0.22</v>
      </c>
      <c r="I37" s="39" t="n">
        <v>0.22</v>
      </c>
      <c r="J37" s="39" t="inlineStr">
        <is>
          <t>crit</t>
        </is>
      </c>
      <c r="K37" s="39" t="inlineStr">
        <is>
          <t>PISTOL_CRIT</t>
        </is>
      </c>
      <c r="L37" s="39" t="inlineStr">
        <is>
          <t>Hornet Strike | Galvanized Diffusion | Primed Pistol Gambit | Primed Target Cracker | Galvanized Crosshairs | Galvanized Shot | Deep Freeze | Pathogen Rounds</t>
        </is>
      </c>
      <c r="M37" s="39" t="inlineStr">
        <is>
          <t>Secondary Dexterity</t>
        </is>
      </c>
      <c r="N37" s="39" t="inlineStr">
        <is>
          <t>Viral</t>
        </is>
      </c>
      <c r="O37" s="39" t="inlineStr">
        <is>
          <t>EVO2: Deathtrap Trigger; EVO3: Awakened Readiness; EVO4: Commodore's Fortune</t>
        </is>
      </c>
      <c r="P37" s="39" t="inlineStr">
        <is>
          <t>~4 (Incarnon)</t>
        </is>
      </c>
    </row>
    <row r="38">
      <c r="A38" s="39" t="inlineStr">
        <is>
          <t>AUDITED</t>
        </is>
      </c>
      <c r="B38" s="39" t="inlineStr">
        <is>
          <t>AUDITED: Signature: alt-fire applies Inkblot; siphons ammo from ability Inkblot - keep Enkaus alt-fire in the loop</t>
        </is>
      </c>
      <c r="C38" s="39" t="inlineStr">
        <is>
          <t>-</t>
        </is>
      </c>
      <c r="D38" s="39" t="inlineStr">
        <is>
          <t>Follie</t>
        </is>
      </c>
      <c r="E38" s="39" t="inlineStr">
        <is>
          <t>Primary</t>
        </is>
      </c>
      <c r="F38" s="39" t="inlineStr">
        <is>
          <t>Enkaus</t>
        </is>
      </c>
      <c r="G38" s="39" t="inlineStr">
        <is>
          <t>Rifle</t>
        </is>
      </c>
      <c r="H38" s="39" t="n">
        <v>0.16</v>
      </c>
      <c r="I38" s="39" t="n">
        <v>0.32</v>
      </c>
      <c r="J38" s="39" t="inlineStr">
        <is>
          <t>status</t>
        </is>
      </c>
      <c r="K38" s="39" t="inlineStr">
        <is>
          <t>RIFLE_CRIT</t>
        </is>
      </c>
      <c r="L38" s="39" t="inlineStr">
        <is>
          <t>Serration | Galvanized Chamber | Point Strike | Vital Sense | Hammer Shot | Galvanized Aptitude | Primed Cryo Rounds | Malignant Force</t>
        </is>
      </c>
      <c r="M38" s="39" t="inlineStr">
        <is>
          <t>Primary Merciless</t>
        </is>
      </c>
      <c r="N38" s="39" t="inlineStr">
        <is>
          <t>Viral + Corrosive</t>
        </is>
      </c>
      <c r="O38" s="39" t="inlineStr">
        <is>
          <t>-</t>
        </is>
      </c>
      <c r="P38" s="39" t="inlineStr">
        <is>
          <t>~3</t>
        </is>
      </c>
    </row>
    <row r="39">
      <c r="A39" s="39" t="inlineStr">
        <is>
          <t>AUDITED</t>
        </is>
      </c>
      <c r="B39" s="39" t="inlineStr">
        <is>
          <t>AUDITED: THRESHOLD REVIEW: Staticor 14% crit, AoE charged orbs; no flat-crit source on Follie -&gt; status build confirmed</t>
        </is>
      </c>
      <c r="C39" s="39" t="inlineStr">
        <is>
          <t>THRESHOLD FLAG: &lt;15% crit -&gt; status template proposed; needs weapon-specific review</t>
        </is>
      </c>
      <c r="D39" s="39" t="inlineStr">
        <is>
          <t>Follie</t>
        </is>
      </c>
      <c r="E39" s="39" t="inlineStr">
        <is>
          <t>Secondary</t>
        </is>
      </c>
      <c r="F39" s="39" t="inlineStr">
        <is>
          <t>Staticor</t>
        </is>
      </c>
      <c r="G39" s="39" t="inlineStr">
        <is>
          <t>Thrown</t>
        </is>
      </c>
      <c r="H39" s="39" t="n">
        <v>0.14</v>
      </c>
      <c r="I39" s="39" t="n">
        <v>0.28</v>
      </c>
      <c r="J39" s="39" t="inlineStr">
        <is>
          <t>status</t>
        </is>
      </c>
      <c r="K39" s="39" t="inlineStr">
        <is>
          <t>PISTOL_STATUS</t>
        </is>
      </c>
      <c r="L39" s="39" t="inlineStr">
        <is>
          <t>Hornet Strike | Augur Pact | Galvanized Diffusion | Lethal Torrent | Galvanized Shot | Frostbite | Pistol Pestilence | Jolt</t>
        </is>
      </c>
      <c r="M39" s="39" t="inlineStr">
        <is>
          <t>Secondary Encumber</t>
        </is>
      </c>
      <c r="N39" s="39" t="inlineStr">
        <is>
          <t>Viral + Electricity + Radiation</t>
        </is>
      </c>
      <c r="O39" s="39" t="inlineStr">
        <is>
          <t>-</t>
        </is>
      </c>
      <c r="P39" s="39" t="inlineStr">
        <is>
          <t>~3</t>
        </is>
      </c>
    </row>
    <row r="40">
      <c r="A40" s="39" t="inlineStr">
        <is>
          <t>AUDITED</t>
        </is>
      </c>
      <c r="B40" s="39" t="inlineStr">
        <is>
          <t>AUDITED: no weapon/frame mechanic overrides the default</t>
        </is>
      </c>
      <c r="C40" s="39" t="inlineStr">
        <is>
          <t>-</t>
        </is>
      </c>
      <c r="D40" s="39" t="inlineStr">
        <is>
          <t>Follie</t>
        </is>
      </c>
      <c r="E40" s="39" t="inlineStr">
        <is>
          <t>Melee</t>
        </is>
      </c>
      <c r="F40" s="39" t="inlineStr">
        <is>
          <t>Keratinos</t>
        </is>
      </c>
      <c r="G40" s="39" t="inlineStr">
        <is>
          <t>Claws</t>
        </is>
      </c>
      <c r="H40" s="39" t="n">
        <v>0.13</v>
      </c>
      <c r="I40" s="39" t="n">
        <v>0.29</v>
      </c>
      <c r="J40" s="39" t="inlineStr">
        <is>
          <t>status</t>
        </is>
      </c>
      <c r="K40" s="39" t="inlineStr">
        <is>
          <t>MELEE_INFLUENCE</t>
        </is>
      </c>
      <c r="L40" s="39" t="inlineStr">
        <is>
          <t>Primed Pressure Point | Blood Rush | Weeping Wounds | Organ Shatter | Condition Overload | North Wind | Virulent Scourge | Voltaic Strike</t>
        </is>
      </c>
      <c r="M40" s="39" t="inlineStr">
        <is>
          <t>Melee Influence</t>
        </is>
      </c>
      <c r="N40" s="39" t="inlineStr">
        <is>
          <t>Viral + Electricity</t>
        </is>
      </c>
      <c r="O40" s="39" t="inlineStr">
        <is>
          <t>-</t>
        </is>
      </c>
      <c r="P40" s="39" t="inlineStr">
        <is>
          <t>~3</t>
        </is>
      </c>
    </row>
    <row r="41">
      <c r="A41" s="39" t="inlineStr">
        <is>
          <t>AUDITED</t>
        </is>
      </c>
      <c r="B41" s="39" t="inlineStr">
        <is>
          <t>AUDITED: SYSTEMIC FIX (B3 element validator): Primary Frostbite triggers on Cold status, but the Viral template consumed Glaxion Vandal's Cold; pure Cold kept. Batch 2 decision unchanged</t>
        </is>
      </c>
      <c r="C41" s="39" t="inlineStr">
        <is>
          <t>THRESHOLD FLAG: &lt;15% crit -&gt; status template proposed; needs weapon-specific review</t>
        </is>
      </c>
      <c r="D41" s="39" t="inlineStr">
        <is>
          <t>Frost Prime</t>
        </is>
      </c>
      <c r="E41" s="39" t="inlineStr">
        <is>
          <t>Primary</t>
        </is>
      </c>
      <c r="F41" s="39" t="inlineStr">
        <is>
          <t>Glaxion Vandal</t>
        </is>
      </c>
      <c r="G41" s="39" t="inlineStr">
        <is>
          <t>Rifle</t>
        </is>
      </c>
      <c r="H41" s="39" t="n">
        <v>0.14</v>
      </c>
      <c r="I41" s="39" t="n">
        <v>0.38</v>
      </c>
      <c r="J41" s="39" t="inlineStr">
        <is>
          <t>status</t>
        </is>
      </c>
      <c r="K41" s="39" t="inlineStr">
        <is>
          <t>RIFLE_COLD</t>
        </is>
      </c>
      <c r="L41" s="39" t="inlineStr">
        <is>
          <t>Serration | Galvanized Chamber | Vigilante Armaments | Galvanized Aptitude | Primed Shred | Primed Cryo Rounds | Rime Rounds | Hammer Shot</t>
        </is>
      </c>
      <c r="M41" s="39" t="inlineStr">
        <is>
          <t>Primary Frostbite</t>
        </is>
      </c>
      <c r="N41" s="39" t="inlineStr">
        <is>
          <t>Cold</t>
        </is>
      </c>
      <c r="O41" s="39" t="inlineStr">
        <is>
          <t>-</t>
        </is>
      </c>
      <c r="P41" s="39" t="inlineStr">
        <is>
          <t>~3</t>
        </is>
      </c>
    </row>
    <row r="42">
      <c r="A42" s="39" t="inlineStr">
        <is>
          <t>AUDITED</t>
        </is>
      </c>
      <c r="B42" s="39" t="inlineStr">
        <is>
          <t>AUDITED: Frost stacks Cold statuses (Ice Wave/Globe/Avalanche); +45% damage per Cold status</t>
        </is>
      </c>
      <c r="C42" s="39" t="inlineStr">
        <is>
          <t>THRESHOLD FLAG: &lt;15% crit -&gt; status template proposed; needs weapon-specific review</t>
        </is>
      </c>
      <c r="D42" s="39" t="inlineStr">
        <is>
          <t>Frost Prime</t>
        </is>
      </c>
      <c r="E42" s="39" t="inlineStr">
        <is>
          <t>Secondary</t>
        </is>
      </c>
      <c r="F42" s="39" t="inlineStr">
        <is>
          <t>Twin Kohmak</t>
        </is>
      </c>
      <c r="G42" s="39" t="inlineStr">
        <is>
          <t>Dual Shotguns</t>
        </is>
      </c>
      <c r="H42" s="39" t="n">
        <v>0.11</v>
      </c>
      <c r="I42" s="39" t="n">
        <v>0.6899999999999999</v>
      </c>
      <c r="J42" s="39" t="inlineStr">
        <is>
          <t>status</t>
        </is>
      </c>
      <c r="K42" s="39" t="inlineStr">
        <is>
          <t>PISTOL_STATUS</t>
        </is>
      </c>
      <c r="L42" s="39" t="inlineStr">
        <is>
          <t>Hornet Strike | Augur Pact | Galvanized Diffusion | Lethal Torrent | Galvanized Shot | Frostbite | Pistol Pestilence | Jolt</t>
        </is>
      </c>
      <c r="M42" s="39" t="inlineStr">
        <is>
          <t>Secondary Shiver</t>
        </is>
      </c>
      <c r="N42" s="39" t="inlineStr">
        <is>
          <t>Viral + Electricity</t>
        </is>
      </c>
      <c r="O42" s="39" t="inlineStr">
        <is>
          <t>-</t>
        </is>
      </c>
      <c r="P42" s="39" t="inlineStr">
        <is>
          <t>~3</t>
        </is>
      </c>
    </row>
    <row r="43">
      <c r="A43" s="39" t="inlineStr">
        <is>
          <t>AUDITED</t>
        </is>
      </c>
      <c r="B43" s="39" t="inlineStr">
        <is>
          <t>AUDITED: Cold-target combo perks satisfied by Frost; heavy-attack hammer</t>
        </is>
      </c>
      <c r="C43" s="39" t="inlineStr">
        <is>
          <t>-</t>
        </is>
      </c>
      <c r="D43" s="39" t="inlineStr">
        <is>
          <t>Frost Prime</t>
        </is>
      </c>
      <c r="E43" s="39" t="inlineStr">
        <is>
          <t>Melee</t>
        </is>
      </c>
      <c r="F43" s="39" t="inlineStr">
        <is>
          <t>Sibear</t>
        </is>
      </c>
      <c r="G43" s="39" t="inlineStr">
        <is>
          <t>Hammer</t>
        </is>
      </c>
      <c r="H43" s="39" t="n">
        <v>0.15</v>
      </c>
      <c r="I43" s="39" t="n">
        <v>0.3</v>
      </c>
      <c r="J43" s="39" t="inlineStr">
        <is>
          <t>status</t>
        </is>
      </c>
      <c r="K43" s="39" t="inlineStr">
        <is>
          <t>MELEE_CRIT</t>
        </is>
      </c>
      <c r="L43" s="39" t="inlineStr">
        <is>
          <t>Primed Pressure Point | Blood Rush | Weeping Wounds | Organ Shatter | Berserker Fury | Condition Overload | North Wind | Virulent Scourge</t>
        </is>
      </c>
      <c r="M43" s="39" t="inlineStr">
        <is>
          <t>Melee Animosity</t>
        </is>
      </c>
      <c r="N43" s="39" t="inlineStr">
        <is>
          <t>Viral</t>
        </is>
      </c>
      <c r="O43" s="39" t="inlineStr">
        <is>
          <t>EVO2: Master's Shatter; EVO3: Kinetic Harmony; EVO4: Mounting Avalanche</t>
        </is>
      </c>
      <c r="P43" s="39" t="inlineStr">
        <is>
          <t>~4 (Incarnon)</t>
        </is>
      </c>
    </row>
    <row r="44">
      <c r="A44" s="39" t="inlineStr">
        <is>
          <t>AUDITED</t>
        </is>
      </c>
      <c r="B44" s="39" t="inlineStr">
        <is>
          <t>AUDITED: no weapon/frame mechanic overrides the default</t>
        </is>
      </c>
      <c r="C44" s="39" t="inlineStr">
        <is>
          <t>-</t>
        </is>
      </c>
      <c r="D44" s="39" t="inlineStr">
        <is>
          <t>Gara Prime</t>
        </is>
      </c>
      <c r="E44" s="39" t="inlineStr">
        <is>
          <t>Primary</t>
        </is>
      </c>
      <c r="F44" s="39" t="inlineStr">
        <is>
          <t>Astilla Prime</t>
        </is>
      </c>
      <c r="G44" s="39" t="inlineStr">
        <is>
          <t>Shotgun</t>
        </is>
      </c>
      <c r="H44" s="39" t="n">
        <v>0.21</v>
      </c>
      <c r="I44" s="39" t="n">
        <v>0.37</v>
      </c>
      <c r="J44" s="39" t="inlineStr">
        <is>
          <t>status</t>
        </is>
      </c>
      <c r="K44" s="39" t="inlineStr">
        <is>
          <t>SHOTGUN</t>
        </is>
      </c>
      <c r="L44" s="39" t="inlineStr">
        <is>
          <t>Primed Point Blank | Galvanized Hell | Primed Ravage | Critical Deceleration | Galvanized Savvy | Chilling Grasp | Toxic Barrage | Primed Charged Shell</t>
        </is>
      </c>
      <c r="M44" s="39" t="inlineStr">
        <is>
          <t>Shotgun Vendetta</t>
        </is>
      </c>
      <c r="N44" s="39" t="inlineStr">
        <is>
          <t>Viral + Electricity</t>
        </is>
      </c>
      <c r="O44" s="39" t="inlineStr">
        <is>
          <t>-</t>
        </is>
      </c>
      <c r="P44" s="39" t="inlineStr">
        <is>
          <t>~3</t>
        </is>
      </c>
    </row>
    <row r="45">
      <c r="A45" s="39" t="inlineStr">
        <is>
          <t>AUDITED</t>
        </is>
      </c>
      <c r="B45" s="39" t="inlineStr">
        <is>
          <t>AUDITED: no weapon/frame mechanic overrides the default</t>
        </is>
      </c>
      <c r="C45" s="39" t="inlineStr">
        <is>
          <t>-</t>
        </is>
      </c>
      <c r="D45" s="39" t="inlineStr">
        <is>
          <t>Gara Prime</t>
        </is>
      </c>
      <c r="E45" s="39" t="inlineStr">
        <is>
          <t>Secondary</t>
        </is>
      </c>
      <c r="F45" s="39" t="inlineStr">
        <is>
          <t>Fusilai</t>
        </is>
      </c>
      <c r="G45" s="39" t="inlineStr">
        <is>
          <t>Thrown</t>
        </is>
      </c>
      <c r="H45" s="39" t="n">
        <v>0.23</v>
      </c>
      <c r="I45" s="39" t="n">
        <v>0.29</v>
      </c>
      <c r="J45" s="39" t="inlineStr">
        <is>
          <t>status</t>
        </is>
      </c>
      <c r="K45" s="39" t="inlineStr">
        <is>
          <t>PISTOL_CRIT</t>
        </is>
      </c>
      <c r="L45" s="39" t="inlineStr">
        <is>
          <t>Hornet Strike | Galvanized Diffusion | Primed Pistol Gambit | Primed Target Cracker | Galvanized Crosshairs | Galvanized Shot | Deep Freeze | Pathogen Rounds</t>
        </is>
      </c>
      <c r="M45" s="39" t="inlineStr">
        <is>
          <t>Secondary Encumber</t>
        </is>
      </c>
      <c r="N45" s="39" t="inlineStr">
        <is>
          <t>Viral</t>
        </is>
      </c>
      <c r="O45" s="39" t="inlineStr">
        <is>
          <t>-</t>
        </is>
      </c>
      <c r="P45" s="39" t="inlineStr">
        <is>
          <t>~3</t>
        </is>
      </c>
    </row>
    <row r="46">
      <c r="A46" s="39" t="inlineStr">
        <is>
          <t>AUDITED</t>
        </is>
      </c>
      <c r="B46" s="39" t="inlineStr">
        <is>
          <t>AUDITED: Volnus Prime signature +100% radial slam -&gt; heavy slam build</t>
        </is>
      </c>
      <c r="C46" s="39" t="inlineStr">
        <is>
          <t>-</t>
        </is>
      </c>
      <c r="D46" s="39" t="inlineStr">
        <is>
          <t>Gara Prime</t>
        </is>
      </c>
      <c r="E46" s="39" t="inlineStr">
        <is>
          <t>Melee</t>
        </is>
      </c>
      <c r="F46" s="39" t="inlineStr">
        <is>
          <t>Volnus Prime</t>
        </is>
      </c>
      <c r="G46" s="39" t="inlineStr">
        <is>
          <t>Hammer</t>
        </is>
      </c>
      <c r="H46" s="39" t="n">
        <v>0.2</v>
      </c>
      <c r="I46" s="39" t="n">
        <v>0.34</v>
      </c>
      <c r="J46" s="39" t="inlineStr">
        <is>
          <t>status</t>
        </is>
      </c>
      <c r="K46" s="39" t="inlineStr">
        <is>
          <t>MELEE_CRIT</t>
        </is>
      </c>
      <c r="L46" s="39" t="inlineStr">
        <is>
          <t>Primed Pressure Point | Blood Rush | Weeping Wounds | Organ Shatter | Berserker Fury | Condition Overload | North Wind | Virulent Scourge</t>
        </is>
      </c>
      <c r="M46" s="39" t="inlineStr">
        <is>
          <t>Melee Animosity</t>
        </is>
      </c>
      <c r="N46" s="39" t="inlineStr">
        <is>
          <t>Viral</t>
        </is>
      </c>
      <c r="O46" s="39" t="inlineStr">
        <is>
          <t>-</t>
        </is>
      </c>
      <c r="P46" s="39" t="inlineStr">
        <is>
          <t>~3</t>
        </is>
      </c>
    </row>
    <row r="47">
      <c r="A47" s="39" t="inlineStr">
        <is>
          <t>AUDITED</t>
        </is>
      </c>
      <c r="B47" s="39" t="inlineStr">
        <is>
          <t>AUDITED: no weapon/frame mechanic overrides the default</t>
        </is>
      </c>
      <c r="C47" s="39" t="inlineStr">
        <is>
          <t>-</t>
        </is>
      </c>
      <c r="D47" s="39" t="inlineStr">
        <is>
          <t>Garuda Prime</t>
        </is>
      </c>
      <c r="E47" s="39" t="inlineStr">
        <is>
          <t>Primary</t>
        </is>
      </c>
      <c r="F47" s="39" t="inlineStr">
        <is>
          <t>Nagantaka Prime</t>
        </is>
      </c>
      <c r="G47" s="39" t="inlineStr">
        <is>
          <t>Crossbow</t>
        </is>
      </c>
      <c r="H47" s="39" t="n">
        <v>0.25</v>
      </c>
      <c r="I47" s="39" t="n">
        <v>0.39</v>
      </c>
      <c r="J47" s="39" t="inlineStr">
        <is>
          <t>crit</t>
        </is>
      </c>
      <c r="K47" s="39" t="inlineStr">
        <is>
          <t>RIFLE_CRIT</t>
        </is>
      </c>
      <c r="L47" s="39" t="inlineStr">
        <is>
          <t>Serration | Galvanized Chamber | Point Strike | Vital Sense | Hammer Shot | Galvanized Aptitude | Primed Cryo Rounds | Malignant Force</t>
        </is>
      </c>
      <c r="M47" s="39" t="inlineStr">
        <is>
          <t>Primary Deadhead</t>
        </is>
      </c>
      <c r="N47" s="39" t="inlineStr">
        <is>
          <t>Viral</t>
        </is>
      </c>
      <c r="O47" s="39" t="inlineStr">
        <is>
          <t>-</t>
        </is>
      </c>
      <c r="P47" s="39" t="inlineStr">
        <is>
          <t>~3</t>
        </is>
      </c>
    </row>
    <row r="48">
      <c r="A48" s="39" t="inlineStr">
        <is>
          <t>AUDITED</t>
        </is>
      </c>
      <c r="B48" s="39" t="inlineStr">
        <is>
          <t>AUDITED: Stalker's Vendetta needs Dread and Hate equipped; SYSTEMIC FIX (B5): Secondary Outburst would consume the melee/Exalted combo this frame depends on -&gt; Secondary Dexterity</t>
        </is>
      </c>
      <c r="C48" s="39" t="inlineStr">
        <is>
          <t>Incarnon Form 30% crit / 20% status (base 16%/16%)</t>
        </is>
      </c>
      <c r="D48" s="39" t="inlineStr">
        <is>
          <t>Garuda Prime</t>
        </is>
      </c>
      <c r="E48" s="39" t="inlineStr">
        <is>
          <t>Secondary</t>
        </is>
      </c>
      <c r="F48" s="39" t="inlineStr">
        <is>
          <t>Despair</t>
        </is>
      </c>
      <c r="G48" s="39" t="inlineStr">
        <is>
          <t>Thrown</t>
        </is>
      </c>
      <c r="H48" s="39" t="n">
        <v>0.16</v>
      </c>
      <c r="I48" s="39" t="n">
        <v>0.16</v>
      </c>
      <c r="J48" s="39" t="inlineStr">
        <is>
          <t>crit</t>
        </is>
      </c>
      <c r="K48" s="39" t="inlineStr">
        <is>
          <t>PISTOL_CRIT</t>
        </is>
      </c>
      <c r="L48" s="39" t="inlineStr">
        <is>
          <t>Hornet Strike | Galvanized Diffusion | Primed Pistol Gambit | Primed Target Cracker | Galvanized Crosshairs | Galvanized Shot | Deep Freeze | Pathogen Rounds</t>
        </is>
      </c>
      <c r="M48" s="39" t="inlineStr">
        <is>
          <t>Secondary Dexterity</t>
        </is>
      </c>
      <c r="N48" s="39" t="inlineStr">
        <is>
          <t>Viral</t>
        </is>
      </c>
      <c r="O48" s="39" t="inlineStr">
        <is>
          <t>EVO2: Fatal Affliction; EVO3: Rapid Reinforcement; EVO4: Critical Parallel</t>
        </is>
      </c>
      <c r="P48" s="39" t="inlineStr">
        <is>
          <t>~4 (Incarnon)</t>
        </is>
      </c>
    </row>
    <row r="49">
      <c r="A49" s="39" t="inlineStr">
        <is>
          <t>AUDITED</t>
        </is>
      </c>
      <c r="B49" s="39" t="inlineStr">
        <is>
          <t>AUDITED: no weapon/frame mechanic overrides the default</t>
        </is>
      </c>
      <c r="C49" s="39" t="inlineStr">
        <is>
          <t>-</t>
        </is>
      </c>
      <c r="D49" s="39" t="inlineStr">
        <is>
          <t>Gauss Prime</t>
        </is>
      </c>
      <c r="E49" s="39" t="inlineStr">
        <is>
          <t>Primary</t>
        </is>
      </c>
      <c r="F49" s="39" t="inlineStr">
        <is>
          <t>Acceltra Prime</t>
        </is>
      </c>
      <c r="G49" s="39" t="inlineStr">
        <is>
          <t>Rifle</t>
        </is>
      </c>
      <c r="H49" s="39" t="n">
        <v>0.34</v>
      </c>
      <c r="I49" s="39" t="n">
        <v>0.18</v>
      </c>
      <c r="J49" s="39" t="inlineStr">
        <is>
          <t>crit</t>
        </is>
      </c>
      <c r="K49" s="39" t="inlineStr">
        <is>
          <t>RIFLE_CRIT</t>
        </is>
      </c>
      <c r="L49" s="39" t="inlineStr">
        <is>
          <t>Serration | Galvanized Chamber | Point Strike | Vital Sense | Hammer Shot | Galvanized Aptitude | Primed Cryo Rounds | Malignant Force</t>
        </is>
      </c>
      <c r="M49" s="39" t="inlineStr">
        <is>
          <t>Primary Merciless</t>
        </is>
      </c>
      <c r="N49" s="39" t="inlineStr">
        <is>
          <t>Viral</t>
        </is>
      </c>
      <c r="O49" s="39" t="inlineStr">
        <is>
          <t>-</t>
        </is>
      </c>
      <c r="P49" s="39" t="inlineStr">
        <is>
          <t>~3</t>
        </is>
      </c>
    </row>
    <row r="50">
      <c r="A50" s="39" t="inlineStr">
        <is>
          <t>AUDITED</t>
        </is>
      </c>
      <c r="B50" s="39" t="inlineStr">
        <is>
          <t>AUDITED: Explosive kill-chaining under Redline</t>
        </is>
      </c>
      <c r="C50" s="39" t="inlineStr">
        <is>
          <t>-</t>
        </is>
      </c>
      <c r="D50" s="39" t="inlineStr">
        <is>
          <t>Gauss Prime</t>
        </is>
      </c>
      <c r="E50" s="39" t="inlineStr">
        <is>
          <t>Secondary</t>
        </is>
      </c>
      <c r="F50" s="39" t="inlineStr">
        <is>
          <t>Akarius Prime</t>
        </is>
      </c>
      <c r="G50" s="39" t="inlineStr">
        <is>
          <t>Dual Pistols</t>
        </is>
      </c>
      <c r="H50" s="39" t="n">
        <v>0.18</v>
      </c>
      <c r="I50" s="39" t="n">
        <v>0.34</v>
      </c>
      <c r="J50" s="39" t="inlineStr">
        <is>
          <t>status</t>
        </is>
      </c>
      <c r="K50" s="39" t="inlineStr">
        <is>
          <t>PISTOL_CRIT</t>
        </is>
      </c>
      <c r="L50" s="39" t="inlineStr">
        <is>
          <t>Hornet Strike | Galvanized Diffusion | Primed Pistol Gambit | Primed Target Cracker | Galvanized Crosshairs | Galvanized Shot | Deep Freeze | Pathogen Rounds</t>
        </is>
      </c>
      <c r="M50" s="39" t="inlineStr">
        <is>
          <t>Secondary Merciless</t>
        </is>
      </c>
      <c r="N50" s="39" t="inlineStr">
        <is>
          <t>Viral</t>
        </is>
      </c>
      <c r="O50" s="39" t="inlineStr">
        <is>
          <t>-</t>
        </is>
      </c>
      <c r="P50" s="39" t="inlineStr">
        <is>
          <t>~3</t>
        </is>
      </c>
    </row>
    <row r="51">
      <c r="A51" s="39" t="inlineStr">
        <is>
          <t>AUDITED</t>
        </is>
      </c>
      <c r="B51" s="39" t="inlineStr">
        <is>
          <t>AUDITED: Attack speed + heavy wind-up</t>
        </is>
      </c>
      <c r="C51" s="39" t="inlineStr">
        <is>
          <t>-</t>
        </is>
      </c>
      <c r="D51" s="39" t="inlineStr">
        <is>
          <t>Gauss Prime</t>
        </is>
      </c>
      <c r="E51" s="39" t="inlineStr">
        <is>
          <t>Melee</t>
        </is>
      </c>
      <c r="F51" s="39" t="inlineStr">
        <is>
          <t>Praedos</t>
        </is>
      </c>
      <c r="G51" s="39" t="inlineStr">
        <is>
          <t>Tonfa</t>
        </is>
      </c>
      <c r="H51" s="39" t="n">
        <v>0.2</v>
      </c>
      <c r="I51" s="39" t="n">
        <v>0.2</v>
      </c>
      <c r="J51" s="39" t="inlineStr">
        <is>
          <t>crit</t>
        </is>
      </c>
      <c r="K51" s="39" t="inlineStr">
        <is>
          <t>MELEE_CRIT</t>
        </is>
      </c>
      <c r="L51" s="39" t="inlineStr">
        <is>
          <t>Primed Pressure Point | Blood Rush | Weeping Wounds | Organ Shatter | Berserker Fury | Condition Overload | North Wind | Virulent Scourge</t>
        </is>
      </c>
      <c r="M51" s="39" t="inlineStr">
        <is>
          <t>Melee Duplicate</t>
        </is>
      </c>
      <c r="N51" s="39" t="inlineStr">
        <is>
          <t>Viral</t>
        </is>
      </c>
      <c r="O51" s="39" t="inlineStr">
        <is>
          <t>EVO2: Whirling Flurry; EVO3: Adept Reflexes; EVO4: Swift Transmute; EVO5: Kinetic Harmony</t>
        </is>
      </c>
      <c r="P51" s="39" t="inlineStr">
        <is>
          <t>~4 (Incarnon)</t>
        </is>
      </c>
    </row>
    <row r="52">
      <c r="A52" s="39" t="inlineStr">
        <is>
          <t>AUDITED</t>
        </is>
      </c>
      <c r="B52" s="39" t="inlineStr">
        <is>
          <t>AUDITED: no weapon/frame mechanic overrides the default</t>
        </is>
      </c>
      <c r="C52" s="39" t="inlineStr">
        <is>
          <t>-</t>
        </is>
      </c>
      <c r="D52" s="39" t="inlineStr">
        <is>
          <t>Grendel Prime</t>
        </is>
      </c>
      <c r="E52" s="39" t="inlineStr">
        <is>
          <t>Primary</t>
        </is>
      </c>
      <c r="F52" s="39" t="inlineStr">
        <is>
          <t>Trumna</t>
        </is>
      </c>
      <c r="G52" s="39" t="inlineStr">
        <is>
          <t>Rifle</t>
        </is>
      </c>
      <c r="H52" s="39" t="n">
        <v>0.24</v>
      </c>
      <c r="I52" s="39" t="n">
        <v>0.3</v>
      </c>
      <c r="J52" s="39" t="inlineStr">
        <is>
          <t>crit</t>
        </is>
      </c>
      <c r="K52" s="39" t="inlineStr">
        <is>
          <t>RIFLE_CRIT</t>
        </is>
      </c>
      <c r="L52" s="39" t="inlineStr">
        <is>
          <t>Serration | Galvanized Chamber | Point Strike | Vital Sense | Hammer Shot | Galvanized Aptitude | Primed Cryo Rounds | Malignant Force</t>
        </is>
      </c>
      <c r="M52" s="39" t="inlineStr">
        <is>
          <t>Primary Merciless</t>
        </is>
      </c>
      <c r="N52" s="39" t="inlineStr">
        <is>
          <t>Viral + Heat</t>
        </is>
      </c>
      <c r="O52" s="39" t="inlineStr">
        <is>
          <t>-</t>
        </is>
      </c>
      <c r="P52" s="39" t="inlineStr">
        <is>
          <t>~3</t>
        </is>
      </c>
    </row>
    <row r="53">
      <c r="A53" s="39" t="inlineStr">
        <is>
          <t>AUDITED</t>
        </is>
      </c>
      <c r="B53" s="39" t="inlineStr">
        <is>
          <t>AUDITED: no weapon/frame mechanic overrides the default</t>
        </is>
      </c>
      <c r="C53" s="39" t="inlineStr">
        <is>
          <t>-</t>
        </is>
      </c>
      <c r="D53" s="39" t="inlineStr">
        <is>
          <t>Grendel Prime</t>
        </is>
      </c>
      <c r="E53" s="39" t="inlineStr">
        <is>
          <t>Secondary</t>
        </is>
      </c>
      <c r="F53" s="39" t="inlineStr">
        <is>
          <t>Sepulcrum</t>
        </is>
      </c>
      <c r="G53" s="39" t="inlineStr">
        <is>
          <t>Pistol</t>
        </is>
      </c>
      <c r="H53" s="39" t="n">
        <v>0.3</v>
      </c>
      <c r="I53" s="39" t="n">
        <v>0.14</v>
      </c>
      <c r="J53" s="39" t="inlineStr">
        <is>
          <t>crit</t>
        </is>
      </c>
      <c r="K53" s="39" t="inlineStr">
        <is>
          <t>PISTOL_CRIT</t>
        </is>
      </c>
      <c r="L53" s="39" t="inlineStr">
        <is>
          <t>Hornet Strike | Galvanized Diffusion | Primed Pistol Gambit | Primed Target Cracker | Galvanized Crosshairs | Galvanized Shot | Deep Freeze | Pathogen Rounds</t>
        </is>
      </c>
      <c r="M53" s="39" t="inlineStr">
        <is>
          <t>Secondary Merciless</t>
        </is>
      </c>
      <c r="N53" s="39" t="inlineStr">
        <is>
          <t>Viral</t>
        </is>
      </c>
      <c r="O53" s="39" t="inlineStr">
        <is>
          <t>-</t>
        </is>
      </c>
      <c r="P53" s="39" t="inlineStr">
        <is>
          <t>~3</t>
        </is>
      </c>
    </row>
    <row r="54">
      <c r="A54" s="39" t="inlineStr">
        <is>
          <t>AUDITED</t>
        </is>
      </c>
      <c r="B54" s="39" t="inlineStr">
        <is>
          <t>AUDITED: no weapon/frame mechanic overrides the default</t>
        </is>
      </c>
      <c r="C54" s="39" t="inlineStr">
        <is>
          <t>-</t>
        </is>
      </c>
      <c r="D54" s="39" t="inlineStr">
        <is>
          <t>Grendel Prime</t>
        </is>
      </c>
      <c r="E54" s="39" t="inlineStr">
        <is>
          <t>Melee</t>
        </is>
      </c>
      <c r="F54" s="39" t="inlineStr">
        <is>
          <t>Masseter Prime</t>
        </is>
      </c>
      <c r="G54" s="39" t="inlineStr">
        <is>
          <t>Heavy Blade</t>
        </is>
      </c>
      <c r="H54" s="39" t="n">
        <v>0.26</v>
      </c>
      <c r="I54" s="39" t="n">
        <v>0.36</v>
      </c>
      <c r="J54" s="39" t="inlineStr">
        <is>
          <t>crit</t>
        </is>
      </c>
      <c r="K54" s="39" t="inlineStr">
        <is>
          <t>MELEE_CRIT</t>
        </is>
      </c>
      <c r="L54" s="39" t="inlineStr">
        <is>
          <t>Primed Pressure Point | Blood Rush | Weeping Wounds | Organ Shatter | Berserker Fury | Condition Overload | North Wind | Virulent Scourge</t>
        </is>
      </c>
      <c r="M54" s="39" t="inlineStr">
        <is>
          <t>Melee Animosity</t>
        </is>
      </c>
      <c r="N54" s="39" t="inlineStr">
        <is>
          <t>Viral</t>
        </is>
      </c>
      <c r="O54" s="39" t="inlineStr">
        <is>
          <t>-</t>
        </is>
      </c>
      <c r="P54" s="39" t="inlineStr">
        <is>
          <t>~3</t>
        </is>
      </c>
    </row>
    <row r="55">
      <c r="A55" s="39" t="inlineStr">
        <is>
          <t>AUDITED</t>
        </is>
      </c>
      <c r="B55" s="39" t="inlineStr">
        <is>
          <t>AUDITED: Cathode Grace adds +50% x Str weapon crit chance (additive with Point Strike); innate Electricity left unpaired after Viral feeds the passive (+10% ability crit per Electricity stack)</t>
        </is>
      </c>
      <c r="C55" s="39" t="inlineStr">
        <is>
          <t>-</t>
        </is>
      </c>
      <c r="D55" s="39" t="inlineStr">
        <is>
          <t>Gyre Prime</t>
        </is>
      </c>
      <c r="E55" s="39" t="inlineStr">
        <is>
          <t>Primary</t>
        </is>
      </c>
      <c r="F55" s="39" t="inlineStr">
        <is>
          <t>Alternox Prime</t>
        </is>
      </c>
      <c r="G55" s="39" t="inlineStr">
        <is>
          <t>Rifle</t>
        </is>
      </c>
      <c r="H55" s="39" t="n">
        <v>0.2</v>
      </c>
      <c r="I55" s="39" t="n">
        <v>0.4</v>
      </c>
      <c r="J55" s="39" t="inlineStr">
        <is>
          <t>crit</t>
        </is>
      </c>
      <c r="K55" s="39" t="inlineStr">
        <is>
          <t>RIFLE_CRIT</t>
        </is>
      </c>
      <c r="L55" s="39" t="inlineStr">
        <is>
          <t>Serration | Galvanized Chamber | Point Strike | Vital Sense | Hammer Shot | Galvanized Aptitude | Primed Cryo Rounds | Malignant Force</t>
        </is>
      </c>
      <c r="M55" s="39" t="inlineStr">
        <is>
          <t>Primary Merciless</t>
        </is>
      </c>
      <c r="N55" s="39" t="inlineStr">
        <is>
          <t>Viral + Electricity</t>
        </is>
      </c>
      <c r="O55" s="39" t="inlineStr">
        <is>
          <t>-</t>
        </is>
      </c>
      <c r="P55" s="39" t="inlineStr">
        <is>
          <t>~3</t>
        </is>
      </c>
    </row>
    <row r="56">
      <c r="A56" s="39" t="inlineStr">
        <is>
          <t>AUDITED</t>
        </is>
      </c>
      <c r="B56" s="39" t="inlineStr">
        <is>
          <t>AUDITED: Haven Foray needs Overshields (Gyre has no source); Paladin Virtue +75 base unconditional and its &gt;700 energy crit bonus is met (285 x 2.85 Primed Flow = 812); Cathode Grace makes crit the scaling axis</t>
        </is>
      </c>
      <c r="C56" s="39" t="inlineStr">
        <is>
          <t>Incarnon Form 26% crit / 20% status (base 18%/26%)</t>
        </is>
      </c>
      <c r="D56" s="39" t="inlineStr">
        <is>
          <t>Gyre Prime</t>
        </is>
      </c>
      <c r="E56" s="39" t="inlineStr">
        <is>
          <t>Secondary</t>
        </is>
      </c>
      <c r="F56" s="39" t="inlineStr">
        <is>
          <t>Prisma Angstrum</t>
        </is>
      </c>
      <c r="G56" s="39" t="inlineStr">
        <is>
          <t>Pistol</t>
        </is>
      </c>
      <c r="H56" s="39" t="n">
        <v>0.18</v>
      </c>
      <c r="I56" s="39" t="n">
        <v>0.26</v>
      </c>
      <c r="J56" s="39" t="inlineStr">
        <is>
          <t>crit</t>
        </is>
      </c>
      <c r="K56" s="39" t="inlineStr">
        <is>
          <t>PISTOL_CRIT</t>
        </is>
      </c>
      <c r="L56" s="39" t="inlineStr">
        <is>
          <t>Hornet Strike | Galvanized Diffusion | Primed Pistol Gambit | Primed Target Cracker | Galvanized Crosshairs | Galvanized Shot | Deep Freeze | Pathogen Rounds</t>
        </is>
      </c>
      <c r="M56" s="39" t="inlineStr">
        <is>
          <t>Secondary Merciless</t>
        </is>
      </c>
      <c r="N56" s="39" t="inlineStr">
        <is>
          <t>Viral + Blast</t>
        </is>
      </c>
      <c r="O56" s="39" t="inlineStr">
        <is>
          <t>EVO2: Paladin Virtue; EVO3: Swift Deliverance; EVO4: Critical Parallel</t>
        </is>
      </c>
      <c r="P56" s="39" t="inlineStr">
        <is>
          <t>~4 (Incarnon)</t>
        </is>
      </c>
    </row>
    <row r="57">
      <c r="A57" s="39" t="inlineStr">
        <is>
          <t>AUDITED</t>
        </is>
      </c>
      <c r="B57" s="39" t="inlineStr">
        <is>
          <t>AUDITED: Melee Influence spreads Electricity (Voltaic Strike unpaired) -&gt; Gyre passive ability-crit stacks</t>
        </is>
      </c>
      <c r="C57" s="39" t="inlineStr">
        <is>
          <t>-</t>
        </is>
      </c>
      <c r="D57" s="39" t="inlineStr">
        <is>
          <t>Gyre Prime</t>
        </is>
      </c>
      <c r="E57" s="39" t="inlineStr">
        <is>
          <t>Melee</t>
        </is>
      </c>
      <c r="F57" s="39" t="inlineStr">
        <is>
          <t>Kestrel Prime</t>
        </is>
      </c>
      <c r="G57" s="39" t="inlineStr">
        <is>
          <t>Glaive</t>
        </is>
      </c>
      <c r="H57" s="39" t="n">
        <v>0.2</v>
      </c>
      <c r="I57" s="39" t="n">
        <v>0.4</v>
      </c>
      <c r="J57" s="39" t="inlineStr">
        <is>
          <t>status</t>
        </is>
      </c>
      <c r="K57" s="39" t="inlineStr">
        <is>
          <t>MELEE_INFLUENCE</t>
        </is>
      </c>
      <c r="L57" s="39" t="inlineStr">
        <is>
          <t>Primed Pressure Point | Blood Rush | Weeping Wounds | Organ Shatter | Condition Overload | North Wind | Virulent Scourge | Voltaic Strike</t>
        </is>
      </c>
      <c r="M57" s="39" t="inlineStr">
        <is>
          <t>Melee Influence</t>
        </is>
      </c>
      <c r="N57" s="39" t="inlineStr">
        <is>
          <t>Viral + Electricity</t>
        </is>
      </c>
      <c r="O57" s="39" t="inlineStr">
        <is>
          <t>-</t>
        </is>
      </c>
      <c r="P57" s="39" t="inlineStr">
        <is>
          <t>~3</t>
        </is>
      </c>
    </row>
    <row r="58">
      <c r="A58" s="39" t="inlineStr">
        <is>
          <t>AUDITED</t>
        </is>
      </c>
      <c r="B58" s="39" t="inlineStr">
        <is>
          <t>AUDITED: Covenant adds up to +200% FLAT crit on weak points (Condemn exposes heads): crit-damage mods pay off on a 10% base; Deadhead on weak-point kills</t>
        </is>
      </c>
      <c r="C58" s="39" t="inlineStr">
        <is>
          <t>THRESHOLD FLAG: &lt;15% crit -&gt; status template proposed; needs weapon-specific review</t>
        </is>
      </c>
      <c r="D58" s="39" t="inlineStr">
        <is>
          <t>Harrow Prime</t>
        </is>
      </c>
      <c r="E58" s="39" t="inlineStr">
        <is>
          <t>Primary</t>
        </is>
      </c>
      <c r="F58" s="39" t="inlineStr">
        <is>
          <t>Scourge Prime</t>
        </is>
      </c>
      <c r="G58" s="39" t="inlineStr">
        <is>
          <t>Speargun</t>
        </is>
      </c>
      <c r="H58" s="39" t="n">
        <v>0.1</v>
      </c>
      <c r="I58" s="39" t="n">
        <v>0.3</v>
      </c>
      <c r="J58" s="39" t="inlineStr">
        <is>
          <t>status</t>
        </is>
      </c>
      <c r="K58" s="39" t="inlineStr">
        <is>
          <t>RIFLE_COVENANT</t>
        </is>
      </c>
      <c r="L58" s="39" t="inlineStr">
        <is>
          <t>Serration | Galvanized Chamber | Vital Sense | Hammer Shot | Galvanized Aptitude | Rime Rounds | Malignant Force | High Voltage</t>
        </is>
      </c>
      <c r="M58" s="39" t="inlineStr">
        <is>
          <t>Primary Deadhead</t>
        </is>
      </c>
      <c r="N58" s="39" t="inlineStr">
        <is>
          <t>Viral + Electricity + Corrosive</t>
        </is>
      </c>
      <c r="O58" s="39" t="inlineStr">
        <is>
          <t>-</t>
        </is>
      </c>
      <c r="P58" s="39" t="inlineStr">
        <is>
          <t>~3</t>
        </is>
      </c>
    </row>
    <row r="59">
      <c r="A59" s="39" t="inlineStr">
        <is>
          <t>AUDITED</t>
        </is>
      </c>
      <c r="B59" s="39" t="inlineStr">
        <is>
          <t>AUDITED: Knell signature (+1 magazine), headshot weapon; Covenant weak-point crit</t>
        </is>
      </c>
      <c r="C59" s="39" t="inlineStr">
        <is>
          <t>-</t>
        </is>
      </c>
      <c r="D59" s="39" t="inlineStr">
        <is>
          <t>Harrow Prime</t>
        </is>
      </c>
      <c r="E59" s="39" t="inlineStr">
        <is>
          <t>Secondary</t>
        </is>
      </c>
      <c r="F59" s="39" t="inlineStr">
        <is>
          <t>Knell Prime</t>
        </is>
      </c>
      <c r="G59" s="39" t="inlineStr">
        <is>
          <t>Pistol</t>
        </is>
      </c>
      <c r="H59" s="39" t="n">
        <v>0.4</v>
      </c>
      <c r="I59" s="39" t="n">
        <v>0.1</v>
      </c>
      <c r="J59" s="39" t="inlineStr">
        <is>
          <t>crit</t>
        </is>
      </c>
      <c r="K59" s="39" t="inlineStr">
        <is>
          <t>PISTOL_CRIT</t>
        </is>
      </c>
      <c r="L59" s="39" t="inlineStr">
        <is>
          <t>Hornet Strike | Galvanized Diffusion | Primed Pistol Gambit | Primed Target Cracker | Galvanized Crosshairs | Galvanized Shot | Deep Freeze | Pathogen Rounds</t>
        </is>
      </c>
      <c r="M59" s="39" t="inlineStr">
        <is>
          <t>Secondary Deadhead</t>
        </is>
      </c>
      <c r="N59" s="39" t="inlineStr">
        <is>
          <t>Viral</t>
        </is>
      </c>
      <c r="O59" s="39" t="inlineStr">
        <is>
          <t>-</t>
        </is>
      </c>
      <c r="P59" s="39" t="inlineStr">
        <is>
          <t>~3</t>
        </is>
      </c>
    </row>
    <row r="60">
      <c r="A60" s="39" t="inlineStr">
        <is>
          <t>AUDITED</t>
        </is>
      </c>
      <c r="B60" s="39" t="inlineStr">
        <is>
          <t>AUDITED: no weapon/frame mechanic overrides the default</t>
        </is>
      </c>
      <c r="C60" s="39" t="inlineStr">
        <is>
          <t>-</t>
        </is>
      </c>
      <c r="D60" s="39" t="inlineStr">
        <is>
          <t>Harrow Prime</t>
        </is>
      </c>
      <c r="E60" s="39" t="inlineStr">
        <is>
          <t>Melee</t>
        </is>
      </c>
      <c r="F60" s="39" t="inlineStr">
        <is>
          <t>Dual Keres</t>
        </is>
      </c>
      <c r="G60" s="39" t="inlineStr">
        <is>
          <t>Dual Swords</t>
        </is>
      </c>
      <c r="H60" s="39" t="n">
        <v>0.28</v>
      </c>
      <c r="I60" s="39" t="n">
        <v>0.14</v>
      </c>
      <c r="J60" s="39" t="inlineStr">
        <is>
          <t>crit</t>
        </is>
      </c>
      <c r="K60" s="39" t="inlineStr">
        <is>
          <t>MELEE_CRIT</t>
        </is>
      </c>
      <c r="L60" s="39" t="inlineStr">
        <is>
          <t>Primed Pressure Point | Blood Rush | Weeping Wounds | Organ Shatter | Berserker Fury | Condition Overload | North Wind | Virulent Scourge</t>
        </is>
      </c>
      <c r="M60" s="39" t="inlineStr">
        <is>
          <t>Melee Duplicate</t>
        </is>
      </c>
      <c r="N60" s="39" t="inlineStr">
        <is>
          <t>Viral</t>
        </is>
      </c>
      <c r="O60" s="39" t="inlineStr">
        <is>
          <t>-</t>
        </is>
      </c>
      <c r="P60" s="39" t="inlineStr">
        <is>
          <t>~3</t>
        </is>
      </c>
    </row>
    <row r="61">
      <c r="A61" s="39" t="inlineStr">
        <is>
          <t>AUDITED</t>
        </is>
      </c>
      <c r="B61" s="39" t="inlineStr">
        <is>
          <t>AUDITED: EVO2 taken for base damage only: Hunter's Mantra conditional needs an ENERGY-draining channel (Haven drains shields - inactive); Hoplite Virtue needs personal shield break (rare on ~4000 shields)</t>
        </is>
      </c>
      <c r="C61" s="39" t="inlineStr">
        <is>
          <t>Incarnon Form 19% crit / 27% status (base 15%/21%)</t>
        </is>
      </c>
      <c r="D61" s="39" t="inlineStr">
        <is>
          <t>Hildryn Prime</t>
        </is>
      </c>
      <c r="E61" s="39" t="inlineStr">
        <is>
          <t>Primary</t>
        </is>
      </c>
      <c r="F61" s="39" t="inlineStr">
        <is>
          <t>Gorgon Wraith</t>
        </is>
      </c>
      <c r="G61" s="39" t="inlineStr">
        <is>
          <t>Rifle</t>
        </is>
      </c>
      <c r="H61" s="39" t="n">
        <v>0.15</v>
      </c>
      <c r="I61" s="39" t="n">
        <v>0.21</v>
      </c>
      <c r="J61" s="39" t="inlineStr">
        <is>
          <t>status</t>
        </is>
      </c>
      <c r="K61" s="39" t="inlineStr">
        <is>
          <t>RIFLE_CRIT</t>
        </is>
      </c>
      <c r="L61" s="39" t="inlineStr">
        <is>
          <t>Serration | Galvanized Chamber | Point Strike | Vital Sense | Hammer Shot | Galvanized Aptitude | Primed Cryo Rounds | Malignant Force</t>
        </is>
      </c>
      <c r="M61" s="39" t="inlineStr">
        <is>
          <t>Primary Merciless</t>
        </is>
      </c>
      <c r="N61" s="39" t="inlineStr">
        <is>
          <t>Viral</t>
        </is>
      </c>
      <c r="O61" s="39" t="inlineStr">
        <is>
          <t>EVO2: Hunter's Mantra; EVO3: Resonant Restore; EVO4: Survivor's Edge</t>
        </is>
      </c>
      <c r="P61" s="39" t="inlineStr">
        <is>
          <t>~4 (Incarnon)</t>
        </is>
      </c>
    </row>
    <row r="62">
      <c r="A62" s="39" t="inlineStr">
        <is>
          <t>AUDITED</t>
        </is>
      </c>
      <c r="B62" s="39" t="inlineStr">
        <is>
          <t>AUDITED: no weapon/frame mechanic overrides the default</t>
        </is>
      </c>
      <c r="C62" s="39" t="inlineStr">
        <is>
          <t>-</t>
        </is>
      </c>
      <c r="D62" s="39" t="inlineStr">
        <is>
          <t>Hildryn Prime</t>
        </is>
      </c>
      <c r="E62" s="39" t="inlineStr">
        <is>
          <t>Melee</t>
        </is>
      </c>
      <c r="F62" s="39" t="inlineStr">
        <is>
          <t>Hirudo</t>
        </is>
      </c>
      <c r="G62" s="39" t="inlineStr">
        <is>
          <t>Sparring</t>
        </is>
      </c>
      <c r="H62" s="39" t="n">
        <v>0.3</v>
      </c>
      <c r="I62" s="39" t="n">
        <v>0.11</v>
      </c>
      <c r="J62" s="39" t="inlineStr">
        <is>
          <t>crit</t>
        </is>
      </c>
      <c r="K62" s="39" t="inlineStr">
        <is>
          <t>MELEE_CRIT</t>
        </is>
      </c>
      <c r="L62" s="39" t="inlineStr">
        <is>
          <t>Primed Pressure Point | Blood Rush | Weeping Wounds | Organ Shatter | Berserker Fury | Condition Overload | North Wind | Virulent Scourge</t>
        </is>
      </c>
      <c r="M62" s="39" t="inlineStr">
        <is>
          <t>Melee Duplicate</t>
        </is>
      </c>
      <c r="N62" s="39" t="inlineStr">
        <is>
          <t>Viral</t>
        </is>
      </c>
      <c r="O62" s="39" t="inlineStr">
        <is>
          <t>-</t>
        </is>
      </c>
      <c r="P62" s="39" t="inlineStr">
        <is>
          <t>~3</t>
        </is>
      </c>
    </row>
    <row r="63">
      <c r="A63" s="39" t="inlineStr">
        <is>
          <t>AUDITED</t>
        </is>
      </c>
      <c r="B63" s="39" t="inlineStr">
        <is>
          <t>AUDITED: no weapon/frame mechanic overrides the default</t>
        </is>
      </c>
      <c r="C63" s="39" t="inlineStr">
        <is>
          <t>-</t>
        </is>
      </c>
      <c r="D63" s="39" t="inlineStr">
        <is>
          <t>Hydroid Prime</t>
        </is>
      </c>
      <c r="E63" s="39" t="inlineStr">
        <is>
          <t>Primary</t>
        </is>
      </c>
      <c r="F63" s="39" t="inlineStr">
        <is>
          <t>Kuva Sobek</t>
        </is>
      </c>
      <c r="G63" s="39" t="inlineStr">
        <is>
          <t>Shotgun</t>
        </is>
      </c>
      <c r="H63" s="39" t="n">
        <v>0.21</v>
      </c>
      <c r="I63" s="39" t="n">
        <v>0.21</v>
      </c>
      <c r="J63" s="39" t="inlineStr">
        <is>
          <t>crit</t>
        </is>
      </c>
      <c r="K63" s="39" t="inlineStr">
        <is>
          <t>SHOTGUN</t>
        </is>
      </c>
      <c r="L63" s="39" t="inlineStr">
        <is>
          <t>Primed Point Blank | Galvanized Hell | Primed Ravage | Critical Deceleration | Galvanized Savvy | Chilling Grasp | Toxic Barrage | Primed Charged Shell</t>
        </is>
      </c>
      <c r="M63" s="39" t="inlineStr">
        <is>
          <t>Shotgun Vendetta</t>
        </is>
      </c>
      <c r="N63" s="39" t="inlineStr">
        <is>
          <t>Viral + Electricity</t>
        </is>
      </c>
      <c r="O63" s="39" t="inlineStr">
        <is>
          <t>-</t>
        </is>
      </c>
      <c r="P63" s="39" t="inlineStr">
        <is>
          <t>5 Forma to Rank 40 + ~3 polarization</t>
        </is>
      </c>
    </row>
    <row r="64">
      <c r="A64" s="39" t="inlineStr">
        <is>
          <t>AUDITED</t>
        </is>
      </c>
      <c r="B64" s="39" t="inlineStr">
        <is>
          <t>AUDITED: THRESHOLD REVIEW: Pox 1% crit, Toxin AoE -&gt; status build confirmed</t>
        </is>
      </c>
      <c r="C64" s="39" t="inlineStr">
        <is>
          <t>THRESHOLD FLAG: &lt;15% crit -&gt; status template proposed; needs weapon-specific review</t>
        </is>
      </c>
      <c r="D64" s="39" t="inlineStr">
        <is>
          <t>Hydroid Prime</t>
        </is>
      </c>
      <c r="E64" s="39" t="inlineStr">
        <is>
          <t>Secondary</t>
        </is>
      </c>
      <c r="F64" s="39" t="inlineStr">
        <is>
          <t>Pox</t>
        </is>
      </c>
      <c r="G64" s="39" t="inlineStr">
        <is>
          <t>Thrown</t>
        </is>
      </c>
      <c r="H64" s="39" t="n">
        <v>0.01</v>
      </c>
      <c r="I64" s="39" t="n">
        <v>0.35</v>
      </c>
      <c r="J64" s="39" t="inlineStr">
        <is>
          <t>status</t>
        </is>
      </c>
      <c r="K64" s="39" t="inlineStr">
        <is>
          <t>PISTOL_STATUS</t>
        </is>
      </c>
      <c r="L64" s="39" t="inlineStr">
        <is>
          <t>Hornet Strike | Augur Pact | Galvanized Diffusion | Lethal Torrent | Galvanized Shot | Frostbite | Pistol Pestilence | Jolt</t>
        </is>
      </c>
      <c r="M64" s="39" t="inlineStr">
        <is>
          <t>Secondary Encumber</t>
        </is>
      </c>
      <c r="N64" s="39" t="inlineStr">
        <is>
          <t>Viral + Electricity</t>
        </is>
      </c>
      <c r="O64" s="39" t="inlineStr">
        <is>
          <t>-</t>
        </is>
      </c>
      <c r="P64" s="39" t="inlineStr">
        <is>
          <t>~3</t>
        </is>
      </c>
    </row>
    <row r="65">
      <c r="A65" s="39" t="inlineStr">
        <is>
          <t>AUDITED</t>
        </is>
      </c>
      <c r="B65" s="39" t="inlineStr">
        <is>
          <t>AUDITED: no weapon/frame mechanic overrides the default</t>
        </is>
      </c>
      <c r="C65" s="39" t="inlineStr">
        <is>
          <t>-</t>
        </is>
      </c>
      <c r="D65" s="39" t="inlineStr">
        <is>
          <t>Hydroid Prime</t>
        </is>
      </c>
      <c r="E65" s="39" t="inlineStr">
        <is>
          <t>Melee</t>
        </is>
      </c>
      <c r="F65" s="39" t="inlineStr">
        <is>
          <t>Nami Skyla Prime</t>
        </is>
      </c>
      <c r="G65" s="39" t="inlineStr">
        <is>
          <t>Dual Swords</t>
        </is>
      </c>
      <c r="H65" s="39" t="n">
        <v>0.22</v>
      </c>
      <c r="I65" s="39" t="n">
        <v>0.34</v>
      </c>
      <c r="J65" s="39" t="inlineStr">
        <is>
          <t>status</t>
        </is>
      </c>
      <c r="K65" s="39" t="inlineStr">
        <is>
          <t>MELEE_INFLUENCE</t>
        </is>
      </c>
      <c r="L65" s="39" t="inlineStr">
        <is>
          <t>Primed Pressure Point | Blood Rush | Weeping Wounds | Organ Shatter | Condition Overload | North Wind | Virulent Scourge | Voltaic Strike</t>
        </is>
      </c>
      <c r="M65" s="39" t="inlineStr">
        <is>
          <t>Melee Influence</t>
        </is>
      </c>
      <c r="N65" s="39" t="inlineStr">
        <is>
          <t>Viral + Electricity</t>
        </is>
      </c>
      <c r="O65" s="39" t="inlineStr">
        <is>
          <t>-</t>
        </is>
      </c>
      <c r="P65" s="39" t="inlineStr">
        <is>
          <t>~3</t>
        </is>
      </c>
    </row>
    <row r="66">
      <c r="A66" s="39" t="inlineStr">
        <is>
          <t>AUDITED</t>
        </is>
      </c>
      <c r="B66" s="39" t="inlineStr">
        <is>
          <t>AUDITED: no weapon/frame mechanic overrides the default</t>
        </is>
      </c>
      <c r="C66" s="39" t="inlineStr">
        <is>
          <t>-</t>
        </is>
      </c>
      <c r="D66" s="39" t="inlineStr">
        <is>
          <t>Inaros Prime</t>
        </is>
      </c>
      <c r="E66" s="39" t="inlineStr">
        <is>
          <t>Primary</t>
        </is>
      </c>
      <c r="F66" s="39" t="inlineStr">
        <is>
          <t>Panthera Prime</t>
        </is>
      </c>
      <c r="G66" s="39" t="inlineStr">
        <is>
          <t>Rifle</t>
        </is>
      </c>
      <c r="H66" s="39" t="n">
        <v>0.18</v>
      </c>
      <c r="I66" s="39" t="n">
        <v>0.3</v>
      </c>
      <c r="J66" s="39" t="inlineStr">
        <is>
          <t>status</t>
        </is>
      </c>
      <c r="K66" s="39" t="inlineStr">
        <is>
          <t>RIFLE_CRIT</t>
        </is>
      </c>
      <c r="L66" s="39" t="inlineStr">
        <is>
          <t>Serration | Galvanized Chamber | Point Strike | Vital Sense | Hammer Shot | Galvanized Aptitude | Primed Cryo Rounds | Malignant Force</t>
        </is>
      </c>
      <c r="M66" s="39" t="inlineStr">
        <is>
          <t>Primary Merciless</t>
        </is>
      </c>
      <c r="N66" s="39" t="inlineStr">
        <is>
          <t>Viral</t>
        </is>
      </c>
      <c r="O66" s="39" t="inlineStr">
        <is>
          <t>-</t>
        </is>
      </c>
      <c r="P66" s="39" t="inlineStr">
        <is>
          <t>~3</t>
        </is>
      </c>
    </row>
    <row r="67">
      <c r="A67" s="39" t="inlineStr">
        <is>
          <t>AUDITED</t>
        </is>
      </c>
      <c r="B67" s="39" t="inlineStr">
        <is>
          <t>AUDITED: THRESHOLD REVIEW: Zymos 5% crit; no flat-crit source on Inaros -&gt; status build confirmed</t>
        </is>
      </c>
      <c r="C67" s="39" t="inlineStr">
        <is>
          <t>THRESHOLD FLAG: &lt;15% crit -&gt; status template proposed; needs weapon-specific review</t>
        </is>
      </c>
      <c r="D67" s="39" t="inlineStr">
        <is>
          <t>Inaros Prime</t>
        </is>
      </c>
      <c r="E67" s="39" t="inlineStr">
        <is>
          <t>Secondary</t>
        </is>
      </c>
      <c r="F67" s="39" t="inlineStr">
        <is>
          <t>Zymos</t>
        </is>
      </c>
      <c r="G67" s="39" t="inlineStr">
        <is>
          <t>Pistol</t>
        </is>
      </c>
      <c r="H67" s="39" t="n">
        <v>0.05</v>
      </c>
      <c r="I67" s="39" t="n">
        <v>0.3</v>
      </c>
      <c r="J67" s="39" t="inlineStr">
        <is>
          <t>status</t>
        </is>
      </c>
      <c r="K67" s="39" t="inlineStr">
        <is>
          <t>PISTOL_STATUS</t>
        </is>
      </c>
      <c r="L67" s="39" t="inlineStr">
        <is>
          <t>Hornet Strike | Augur Pact | Galvanized Diffusion | Lethal Torrent | Galvanized Shot | Frostbite | Pistol Pestilence | Jolt</t>
        </is>
      </c>
      <c r="M67" s="39" t="inlineStr">
        <is>
          <t>Secondary Encumber</t>
        </is>
      </c>
      <c r="N67" s="39" t="inlineStr">
        <is>
          <t>Viral + Electricity</t>
        </is>
      </c>
      <c r="O67" s="39" t="inlineStr">
        <is>
          <t>-</t>
        </is>
      </c>
      <c r="P67" s="39" t="inlineStr">
        <is>
          <t>~3</t>
        </is>
      </c>
    </row>
    <row r="68">
      <c r="A68" s="39" t="inlineStr">
        <is>
          <t>AUDITED</t>
        </is>
      </c>
      <c r="B68" s="39" t="inlineStr">
        <is>
          <t>AUDITED: Desiccation blind + Sandstorm knockdown -&gt; finisher loop (passive heals 20% per finisher kill); Crescendo stacks combo on finisher kills</t>
        </is>
      </c>
      <c r="C68" s="39" t="inlineStr">
        <is>
          <t>-</t>
        </is>
      </c>
      <c r="D68" s="39" t="inlineStr">
        <is>
          <t>Inaros Prime</t>
        </is>
      </c>
      <c r="E68" s="39" t="inlineStr">
        <is>
          <t>Melee</t>
        </is>
      </c>
      <c r="F68" s="39" t="inlineStr">
        <is>
          <t>Karyst Prime</t>
        </is>
      </c>
      <c r="G68" s="39" t="inlineStr">
        <is>
          <t>Dagger</t>
        </is>
      </c>
      <c r="H68" s="39" t="n">
        <v>0.24</v>
      </c>
      <c r="I68" s="39" t="n">
        <v>0.3</v>
      </c>
      <c r="J68" s="39" t="inlineStr">
        <is>
          <t>crit</t>
        </is>
      </c>
      <c r="K68" s="39" t="inlineStr">
        <is>
          <t>MELEE_CRIT</t>
        </is>
      </c>
      <c r="L68" s="39" t="inlineStr">
        <is>
          <t>Primed Pressure Point | Blood Rush | Weeping Wounds | Organ Shatter | Berserker Fury | Condition Overload | North Wind | Virulent Scourge</t>
        </is>
      </c>
      <c r="M68" s="39" t="inlineStr">
        <is>
          <t>Melee Crescendo</t>
        </is>
      </c>
      <c r="N68" s="39" t="inlineStr">
        <is>
          <t>Viral</t>
        </is>
      </c>
      <c r="O68" s="39" t="inlineStr">
        <is>
          <t>-</t>
        </is>
      </c>
      <c r="P68" s="39" t="inlineStr">
        <is>
          <t>~3</t>
        </is>
      </c>
    </row>
    <row r="69">
      <c r="A69" s="39" t="inlineStr">
        <is>
          <t>AUDITED</t>
        </is>
      </c>
      <c r="B69" s="39" t="inlineStr">
        <is>
          <t>AUDITED: Prowl +40% x Str headshot damage and Crepuscular x3 final crit: weak-point crit sidearm</t>
        </is>
      </c>
      <c r="C69" s="39" t="inlineStr">
        <is>
          <t>-</t>
        </is>
      </c>
      <c r="D69" s="39" t="inlineStr">
        <is>
          <t>Ivara Prime</t>
        </is>
      </c>
      <c r="E69" s="39" t="inlineStr">
        <is>
          <t>Secondary</t>
        </is>
      </c>
      <c r="F69" s="39" t="inlineStr">
        <is>
          <t>Akstiletto Prime</t>
        </is>
      </c>
      <c r="G69" s="39" t="inlineStr">
        <is>
          <t>Dual Pistols</t>
        </is>
      </c>
      <c r="H69" s="39" t="n">
        <v>0.15</v>
      </c>
      <c r="I69" s="39" t="n">
        <v>0.3</v>
      </c>
      <c r="J69" s="39" t="inlineStr">
        <is>
          <t>crit</t>
        </is>
      </c>
      <c r="K69" s="39" t="inlineStr">
        <is>
          <t>PISTOL_CRIT</t>
        </is>
      </c>
      <c r="L69" s="39" t="inlineStr">
        <is>
          <t>Hornet Strike | Galvanized Diffusion | Primed Pistol Gambit | Primed Target Cracker | Galvanized Crosshairs | Galvanized Shot | Deep Freeze | Pathogen Rounds</t>
        </is>
      </c>
      <c r="M69" s="39" t="inlineStr">
        <is>
          <t>Secondary Deadhead</t>
        </is>
      </c>
      <c r="N69" s="39" t="inlineStr">
        <is>
          <t>Viral</t>
        </is>
      </c>
      <c r="O69" s="39" t="inlineStr">
        <is>
          <t>-</t>
        </is>
      </c>
      <c r="P69" s="39" t="inlineStr">
        <is>
          <t>~3</t>
        </is>
      </c>
    </row>
    <row r="70">
      <c r="A70" s="39" t="inlineStr">
        <is>
          <t>AUDITED</t>
        </is>
      </c>
      <c r="B70" s="39" t="inlineStr">
        <is>
          <t>AUDITED: no weapon/frame mechanic overrides the default</t>
        </is>
      </c>
      <c r="C70" s="39" t="inlineStr">
        <is>
          <t>-</t>
        </is>
      </c>
      <c r="D70" s="39" t="inlineStr">
        <is>
          <t>Ivara Prime</t>
        </is>
      </c>
      <c r="E70" s="39" t="inlineStr">
        <is>
          <t>Melee</t>
        </is>
      </c>
      <c r="F70" s="39" t="inlineStr">
        <is>
          <t>Cerata</t>
        </is>
      </c>
      <c r="G70" s="39" t="inlineStr">
        <is>
          <t>Glaive</t>
        </is>
      </c>
      <c r="H70" s="39" t="n">
        <v>0.15</v>
      </c>
      <c r="I70" s="39" t="n">
        <v>0.3</v>
      </c>
      <c r="J70" s="39" t="inlineStr">
        <is>
          <t>status</t>
        </is>
      </c>
      <c r="K70" s="39" t="inlineStr">
        <is>
          <t>MELEE_INFLUENCE</t>
        </is>
      </c>
      <c r="L70" s="39" t="inlineStr">
        <is>
          <t>Primed Pressure Point | Blood Rush | Weeping Wounds | Organ Shatter | Condition Overload | North Wind | Virulent Scourge | Voltaic Strike</t>
        </is>
      </c>
      <c r="M70" s="39" t="inlineStr">
        <is>
          <t>Melee Influence</t>
        </is>
      </c>
      <c r="N70" s="39" t="inlineStr">
        <is>
          <t>Viral + Electricity</t>
        </is>
      </c>
      <c r="O70" s="39" t="inlineStr">
        <is>
          <t>-</t>
        </is>
      </c>
      <c r="P70" s="39" t="inlineStr">
        <is>
          <t>~3</t>
        </is>
      </c>
    </row>
    <row r="71">
      <c r="A71" s="39" t="inlineStr">
        <is>
          <t>AUDITED</t>
        </is>
      </c>
      <c r="B71" s="39" t="inlineStr">
        <is>
          <t>AUDITED: no weapon/frame mechanic overrides the default</t>
        </is>
      </c>
      <c r="C71" s="39" t="inlineStr">
        <is>
          <t>-</t>
        </is>
      </c>
      <c r="D71" s="39" t="inlineStr">
        <is>
          <t>Jade</t>
        </is>
      </c>
      <c r="E71" s="39" t="inlineStr">
        <is>
          <t>Primary</t>
        </is>
      </c>
      <c r="F71" s="39" t="inlineStr">
        <is>
          <t>Evensong</t>
        </is>
      </c>
      <c r="G71" s="39" t="inlineStr">
        <is>
          <t>Bow</t>
        </is>
      </c>
      <c r="H71" s="39" t="n">
        <v>0.25</v>
      </c>
      <c r="I71" s="39" t="n">
        <v>0.38</v>
      </c>
      <c r="J71" s="39" t="inlineStr">
        <is>
          <t>crit</t>
        </is>
      </c>
      <c r="K71" s="39" t="inlineStr">
        <is>
          <t>RIFLE_CRIT</t>
        </is>
      </c>
      <c r="L71" s="39" t="inlineStr">
        <is>
          <t>Serration | Galvanized Chamber | Point Strike | Vital Sense | Hammer Shot | Galvanized Aptitude | Primed Cryo Rounds | Malignant Force</t>
        </is>
      </c>
      <c r="M71" s="39" t="inlineStr">
        <is>
          <t>Primary Deadhead</t>
        </is>
      </c>
      <c r="N71" s="39" t="inlineStr">
        <is>
          <t>Viral</t>
        </is>
      </c>
      <c r="O71" s="39" t="inlineStr">
        <is>
          <t>-</t>
        </is>
      </c>
      <c r="P71" s="39" t="inlineStr">
        <is>
          <t>~3</t>
        </is>
      </c>
    </row>
    <row r="72">
      <c r="A72" s="39" t="inlineStr">
        <is>
          <t>AUDITED</t>
        </is>
      </c>
      <c r="B72" s="39" t="inlineStr">
        <is>
          <t>AUDITED: Cantare 18% crit: crit template; Judgments +50% vulnerability</t>
        </is>
      </c>
      <c r="C72" s="39" t="inlineStr">
        <is>
          <t>-</t>
        </is>
      </c>
      <c r="D72" s="39" t="inlineStr">
        <is>
          <t>Jade</t>
        </is>
      </c>
      <c r="E72" s="39" t="inlineStr">
        <is>
          <t>Secondary</t>
        </is>
      </c>
      <c r="F72" s="39" t="inlineStr">
        <is>
          <t>Cantare</t>
        </is>
      </c>
      <c r="G72" s="39" t="inlineStr">
        <is>
          <t>Thrown</t>
        </is>
      </c>
      <c r="H72" s="39" t="n">
        <v>0.18</v>
      </c>
      <c r="I72" s="39" t="n">
        <v>0.22</v>
      </c>
      <c r="J72" s="39" t="inlineStr">
        <is>
          <t>crit</t>
        </is>
      </c>
      <c r="K72" s="39" t="inlineStr">
        <is>
          <t>PISTOL_CRIT</t>
        </is>
      </c>
      <c r="L72" s="39" t="inlineStr">
        <is>
          <t>Hornet Strike | Galvanized Diffusion | Primed Pistol Gambit | Primed Target Cracker | Galvanized Crosshairs | Galvanized Shot | Deep Freeze | Pathogen Rounds</t>
        </is>
      </c>
      <c r="M72" s="39" t="inlineStr">
        <is>
          <t>Secondary Merciless</t>
        </is>
      </c>
      <c r="N72" s="39" t="inlineStr">
        <is>
          <t>Viral</t>
        </is>
      </c>
      <c r="O72" s="39" t="inlineStr">
        <is>
          <t>-</t>
        </is>
      </c>
      <c r="P72" s="39" t="inlineStr">
        <is>
          <t>~3</t>
        </is>
      </c>
    </row>
    <row r="73">
      <c r="A73" s="39" t="inlineStr">
        <is>
          <t>AUDITED</t>
        </is>
      </c>
      <c r="B73" s="39" t="inlineStr">
        <is>
          <t>AUDITED: no weapon/frame mechanic overrides the default</t>
        </is>
      </c>
      <c r="C73" s="39" t="inlineStr">
        <is>
          <t>-</t>
        </is>
      </c>
      <c r="D73" s="39" t="inlineStr">
        <is>
          <t>Jade</t>
        </is>
      </c>
      <c r="E73" s="39" t="inlineStr">
        <is>
          <t>Melee</t>
        </is>
      </c>
      <c r="F73" s="39" t="inlineStr">
        <is>
          <t>Harmony</t>
        </is>
      </c>
      <c r="G73" s="39" t="inlineStr">
        <is>
          <t>Scythe</t>
        </is>
      </c>
      <c r="H73" s="39" t="n">
        <v>0.2</v>
      </c>
      <c r="I73" s="39" t="n">
        <v>0.36</v>
      </c>
      <c r="J73" s="39" t="inlineStr">
        <is>
          <t>status</t>
        </is>
      </c>
      <c r="K73" s="39" t="inlineStr">
        <is>
          <t>MELEE_INFLUENCE</t>
        </is>
      </c>
      <c r="L73" s="39" t="inlineStr">
        <is>
          <t>Primed Pressure Point | Blood Rush | Weeping Wounds | Organ Shatter | Condition Overload | North Wind | Virulent Scourge | Voltaic Strike</t>
        </is>
      </c>
      <c r="M73" s="39" t="inlineStr">
        <is>
          <t>Melee Influence</t>
        </is>
      </c>
      <c r="N73" s="39" t="inlineStr">
        <is>
          <t>Viral + Electricity</t>
        </is>
      </c>
      <c r="O73" s="39" t="inlineStr">
        <is>
          <t>-</t>
        </is>
      </c>
      <c r="P73" s="39" t="inlineStr">
        <is>
          <t>~3</t>
        </is>
      </c>
    </row>
    <row r="74">
      <c r="A74" s="39" t="inlineStr">
        <is>
          <t>AUDITED</t>
        </is>
      </c>
      <c r="B74" s="39" t="inlineStr">
        <is>
          <t>AUDITED: no weapon/frame mechanic overrides the default</t>
        </is>
      </c>
      <c r="C74" s="39" t="inlineStr">
        <is>
          <t>-</t>
        </is>
      </c>
      <c r="D74" s="39" t="inlineStr">
        <is>
          <t>Khora Prime</t>
        </is>
      </c>
      <c r="E74" s="39" t="inlineStr">
        <is>
          <t>Primary</t>
        </is>
      </c>
      <c r="F74" s="39" t="inlineStr">
        <is>
          <t>Corinth Prime</t>
        </is>
      </c>
      <c r="G74" s="39" t="inlineStr">
        <is>
          <t>Shotgun</t>
        </is>
      </c>
      <c r="H74" s="39" t="n">
        <v>0.3</v>
      </c>
      <c r="I74" s="39" t="n">
        <v>0.09</v>
      </c>
      <c r="J74" s="39" t="inlineStr">
        <is>
          <t>crit</t>
        </is>
      </c>
      <c r="K74" s="39" t="inlineStr">
        <is>
          <t>SHOTGUN</t>
        </is>
      </c>
      <c r="L74" s="39" t="inlineStr">
        <is>
          <t>Primed Point Blank | Galvanized Hell | Primed Ravage | Critical Deceleration | Galvanized Savvy | Chilling Grasp | Toxic Barrage | Primed Charged Shell</t>
        </is>
      </c>
      <c r="M74" s="39" t="inlineStr">
        <is>
          <t>Shotgun Vendetta</t>
        </is>
      </c>
      <c r="N74" s="39" t="inlineStr">
        <is>
          <t>Viral + Electricity</t>
        </is>
      </c>
      <c r="O74" s="39" t="inlineStr">
        <is>
          <t>-</t>
        </is>
      </c>
      <c r="P74" s="39" t="inlineStr">
        <is>
          <t>~3</t>
        </is>
      </c>
    </row>
    <row r="75">
      <c r="A75" s="39" t="inlineStr">
        <is>
          <t>AUDITED</t>
        </is>
      </c>
      <c r="B75" s="39" t="inlineStr">
        <is>
          <t>AUDITED: Hystrix Prime signature: 8% instant reload on headshot -&gt; headshot/weak-point play</t>
        </is>
      </c>
      <c r="C75" s="39" t="inlineStr">
        <is>
          <t>-</t>
        </is>
      </c>
      <c r="D75" s="39" t="inlineStr">
        <is>
          <t>Khora Prime</t>
        </is>
      </c>
      <c r="E75" s="39" t="inlineStr">
        <is>
          <t>Secondary</t>
        </is>
      </c>
      <c r="F75" s="39" t="inlineStr">
        <is>
          <t>Hystrix Prime</t>
        </is>
      </c>
      <c r="G75" s="39" t="inlineStr">
        <is>
          <t>Pistol</t>
        </is>
      </c>
      <c r="H75" s="39" t="n">
        <v>0.28</v>
      </c>
      <c r="I75" s="39" t="n">
        <v>0.2</v>
      </c>
      <c r="J75" s="39" t="inlineStr">
        <is>
          <t>crit</t>
        </is>
      </c>
      <c r="K75" s="39" t="inlineStr">
        <is>
          <t>PISTOL_CRIT</t>
        </is>
      </c>
      <c r="L75" s="39" t="inlineStr">
        <is>
          <t>Hornet Strike | Galvanized Diffusion | Primed Pistol Gambit | Primed Target Cracker | Galvanized Crosshairs | Galvanized Shot | Deep Freeze | Pathogen Rounds</t>
        </is>
      </c>
      <c r="M75" s="39" t="inlineStr">
        <is>
          <t>Secondary Deadhead</t>
        </is>
      </c>
      <c r="N75" s="39" t="inlineStr">
        <is>
          <t>Viral</t>
        </is>
      </c>
      <c r="O75" s="39" t="inlineStr">
        <is>
          <t>-</t>
        </is>
      </c>
      <c r="P75" s="39" t="inlineStr">
        <is>
          <t>~3</t>
        </is>
      </c>
    </row>
    <row r="76">
      <c r="A76" s="39" t="inlineStr">
        <is>
          <t>AUDITED</t>
        </is>
      </c>
      <c r="B76" s="39" t="inlineStr">
        <is>
          <t>AUDITED: Dual Keres Prime signature: +20% Heavy Attack Efficiency -&gt; heavy-attack build (Galvanized Reflex); Whipclaw remains the primary damage</t>
        </is>
      </c>
      <c r="C76" s="39" t="inlineStr">
        <is>
          <t>-</t>
        </is>
      </c>
      <c r="D76" s="39" t="inlineStr">
        <is>
          <t>Khora Prime</t>
        </is>
      </c>
      <c r="E76" s="39" t="inlineStr">
        <is>
          <t>Melee</t>
        </is>
      </c>
      <c r="F76" s="39" t="inlineStr">
        <is>
          <t>Dual Keres Prime</t>
        </is>
      </c>
      <c r="G76" s="39" t="inlineStr">
        <is>
          <t>Dual Swords</t>
        </is>
      </c>
      <c r="H76" s="39" t="n">
        <v>0.32</v>
      </c>
      <c r="I76" s="39" t="n">
        <v>0.24</v>
      </c>
      <c r="J76" s="39" t="inlineStr">
        <is>
          <t>crit</t>
        </is>
      </c>
      <c r="K76" s="39" t="inlineStr">
        <is>
          <t>HEAVY_ATTACK</t>
        </is>
      </c>
      <c r="L76" s="39" t="inlineStr">
        <is>
          <t>Primed Pressure Point | Killing Blow | Blood Rush | Organ Shatter | Galvanized Reflex | Condition Overload | North Wind | Virulent Scourge</t>
        </is>
      </c>
      <c r="M76" s="39" t="inlineStr">
        <is>
          <t>Melee Animosity</t>
        </is>
      </c>
      <c r="N76" s="39" t="inlineStr">
        <is>
          <t>Viral</t>
        </is>
      </c>
      <c r="O76" s="39" t="inlineStr">
        <is>
          <t>-</t>
        </is>
      </c>
      <c r="P76" s="39" t="inlineStr">
        <is>
          <t>~3</t>
        </is>
      </c>
    </row>
    <row r="77">
      <c r="A77" s="39" t="inlineStr">
        <is>
          <t>AUDITED</t>
        </is>
      </c>
      <c r="B77" s="39" t="inlineStr">
        <is>
          <t>AUDITED: no weapon/frame mechanic overrides the default</t>
        </is>
      </c>
      <c r="C77" s="39" t="inlineStr">
        <is>
          <t>-</t>
        </is>
      </c>
      <c r="D77" s="39" t="inlineStr">
        <is>
          <t>Koumei</t>
        </is>
      </c>
      <c r="E77" s="39" t="inlineStr">
        <is>
          <t>Primary</t>
        </is>
      </c>
      <c r="F77" s="39" t="inlineStr">
        <is>
          <t>Higasa</t>
        </is>
      </c>
      <c r="G77" s="39" t="inlineStr">
        <is>
          <t>Rifle</t>
        </is>
      </c>
      <c r="H77" s="39" t="n">
        <v>0.24</v>
      </c>
      <c r="I77" s="39" t="n">
        <v>0.18</v>
      </c>
      <c r="J77" s="39" t="inlineStr">
        <is>
          <t>crit</t>
        </is>
      </c>
      <c r="K77" s="39" t="inlineStr">
        <is>
          <t>RIFLE_CRIT</t>
        </is>
      </c>
      <c r="L77" s="39" t="inlineStr">
        <is>
          <t>Serration | Galvanized Chamber | Point Strike | Vital Sense | Hammer Shot | Galvanized Aptitude | Primed Cryo Rounds | Malignant Force</t>
        </is>
      </c>
      <c r="M77" s="39" t="inlineStr">
        <is>
          <t>Primary Merciless</t>
        </is>
      </c>
      <c r="N77" s="39" t="inlineStr">
        <is>
          <t>Viral</t>
        </is>
      </c>
      <c r="O77" s="39" t="inlineStr">
        <is>
          <t>-</t>
        </is>
      </c>
      <c r="P77" s="39" t="inlineStr">
        <is>
          <t>~3</t>
        </is>
      </c>
    </row>
    <row r="78">
      <c r="A78" s="39" t="inlineStr">
        <is>
          <t>AUDITED</t>
        </is>
      </c>
      <c r="B78" s="39" t="inlineStr">
        <is>
          <t>AUDITED: Sage's Resolve needs a channeled ability (Koumei has none); Deathtrap Trigger only lasts 4s after swapping from Primary (bugged as permanent in Arsenal)</t>
        </is>
      </c>
      <c r="C78" s="39" t="inlineStr">
        <is>
          <t>Incarnon Form 18% crit / 16% status (base 8%/8%)</t>
        </is>
      </c>
      <c r="D78" s="39" t="inlineStr">
        <is>
          <t>Koumei</t>
        </is>
      </c>
      <c r="E78" s="39" t="inlineStr">
        <is>
          <t>Secondary</t>
        </is>
      </c>
      <c r="F78" s="39" t="inlineStr">
        <is>
          <t>Kunai</t>
        </is>
      </c>
      <c r="G78" s="39" t="inlineStr">
        <is>
          <t>Thrown</t>
        </is>
      </c>
      <c r="H78" s="39" t="n">
        <v>0.08</v>
      </c>
      <c r="I78" s="39" t="n">
        <v>0.08</v>
      </c>
      <c r="J78" s="39" t="inlineStr">
        <is>
          <t>crit</t>
        </is>
      </c>
      <c r="K78" s="39" t="inlineStr">
        <is>
          <t>PISTOL_CRIT</t>
        </is>
      </c>
      <c r="L78" s="39" t="inlineStr">
        <is>
          <t>Hornet Strike | Galvanized Diffusion | Primed Pistol Gambit | Primed Target Cracker | Galvanized Crosshairs | Galvanized Shot | Deep Freeze | Pathogen Rounds</t>
        </is>
      </c>
      <c r="M78" s="39" t="inlineStr">
        <is>
          <t>Secondary Merciless</t>
        </is>
      </c>
      <c r="N78" s="39" t="inlineStr">
        <is>
          <t>Viral</t>
        </is>
      </c>
      <c r="O78" s="39" t="inlineStr">
        <is>
          <t>EVO2: Swift Conclusion; EVO3: Swift Deliverance; EVO4: Survivor's Edge</t>
        </is>
      </c>
      <c r="P78" s="39" t="inlineStr">
        <is>
          <t>~4 (Incarnon)</t>
        </is>
      </c>
    </row>
    <row r="79">
      <c r="A79" s="39" t="inlineStr">
        <is>
          <t>AUDITED</t>
        </is>
      </c>
      <c r="B79" s="39" t="inlineStr">
        <is>
          <t>AUDITED: no weapon/frame mechanic overrides the default</t>
        </is>
      </c>
      <c r="C79" s="39" t="inlineStr">
        <is>
          <t>-</t>
        </is>
      </c>
      <c r="D79" s="39" t="inlineStr">
        <is>
          <t>Koumei</t>
        </is>
      </c>
      <c r="E79" s="39" t="inlineStr">
        <is>
          <t>Melee</t>
        </is>
      </c>
      <c r="F79" s="39" t="inlineStr">
        <is>
          <t>Amanata</t>
        </is>
      </c>
      <c r="G79" s="39" t="inlineStr">
        <is>
          <t>Polearm</t>
        </is>
      </c>
      <c r="H79" s="39" t="n">
        <v>0.24</v>
      </c>
      <c r="I79" s="39" t="n">
        <v>0.24</v>
      </c>
      <c r="J79" s="39" t="inlineStr">
        <is>
          <t>crit</t>
        </is>
      </c>
      <c r="K79" s="39" t="inlineStr">
        <is>
          <t>MELEE_CRIT</t>
        </is>
      </c>
      <c r="L79" s="39" t="inlineStr">
        <is>
          <t>Primed Pressure Point | Blood Rush | Weeping Wounds | Organ Shatter | Berserker Fury | Condition Overload | North Wind | Virulent Scourge</t>
        </is>
      </c>
      <c r="M79" s="39" t="inlineStr">
        <is>
          <t>Melee Duplicate</t>
        </is>
      </c>
      <c r="N79" s="39" t="inlineStr">
        <is>
          <t>Viral</t>
        </is>
      </c>
      <c r="O79" s="39" t="inlineStr">
        <is>
          <t>-</t>
        </is>
      </c>
      <c r="P79" s="39" t="inlineStr">
        <is>
          <t>~3</t>
        </is>
      </c>
    </row>
    <row r="80">
      <c r="A80" s="39" t="inlineStr">
        <is>
          <t>AUDITED</t>
        </is>
      </c>
      <c r="B80" s="39" t="inlineStr">
        <is>
          <t>AUDITED: Melee-centric frame: melee kills fuel +60% primary damage stacks and +7.5s combo (Rauta signature +7s combo duration)</t>
        </is>
      </c>
      <c r="C80" s="39" t="inlineStr">
        <is>
          <t>THRESHOLD FLAG: &lt;15% crit -&gt; status template proposed; needs weapon-specific review</t>
        </is>
      </c>
      <c r="D80" s="39" t="inlineStr">
        <is>
          <t>Kullervo</t>
        </is>
      </c>
      <c r="E80" s="39" t="inlineStr">
        <is>
          <t>Primary</t>
        </is>
      </c>
      <c r="F80" s="39" t="inlineStr">
        <is>
          <t>Rauta</t>
        </is>
      </c>
      <c r="G80" s="39" t="inlineStr">
        <is>
          <t>Shotgun</t>
        </is>
      </c>
      <c r="H80" s="39" t="n">
        <v>0.06</v>
      </c>
      <c r="I80" s="39" t="n">
        <v>0.12</v>
      </c>
      <c r="J80" s="39" t="inlineStr">
        <is>
          <t>status</t>
        </is>
      </c>
      <c r="K80" s="39" t="inlineStr">
        <is>
          <t>SHOTGUN_STATUS</t>
        </is>
      </c>
      <c r="L80" s="39" t="inlineStr">
        <is>
          <t>Primed Point Blank | Vicious Spread | Galvanized Hell | Galvanized Savvy | Shotgun Barrage | Frigid Blast | Toxic Barrage | Primed Charged Shell</t>
        </is>
      </c>
      <c r="M80" s="39" t="inlineStr">
        <is>
          <t>Primary Dexterity</t>
        </is>
      </c>
      <c r="N80" s="39" t="inlineStr">
        <is>
          <t>Viral + Electricity</t>
        </is>
      </c>
      <c r="O80" s="39" t="inlineStr">
        <is>
          <t>-</t>
        </is>
      </c>
      <c r="P80" s="39" t="inlineStr">
        <is>
          <t>~3</t>
        </is>
      </c>
    </row>
    <row r="81">
      <c r="A81" s="39" t="inlineStr">
        <is>
          <t>AUDITED</t>
        </is>
      </c>
      <c r="B81" s="39" t="inlineStr">
        <is>
          <t>AUDITED: Secondary Outburst would consume the combo Kullervo banks for Wrathful Advance heavy attacks</t>
        </is>
      </c>
      <c r="C81" s="39" t="inlineStr">
        <is>
          <t>-</t>
        </is>
      </c>
      <c r="D81" s="39" t="inlineStr">
        <is>
          <t>Kullervo</t>
        </is>
      </c>
      <c r="E81" s="39" t="inlineStr">
        <is>
          <t>Secondary</t>
        </is>
      </c>
      <c r="F81" s="39" t="inlineStr">
        <is>
          <t>Epitaph</t>
        </is>
      </c>
      <c r="G81" s="39" t="inlineStr">
        <is>
          <t>Pistol</t>
        </is>
      </c>
      <c r="H81" s="39" t="n">
        <v>0.48</v>
      </c>
      <c r="I81" s="39" t="n">
        <v>0.04</v>
      </c>
      <c r="J81" s="39" t="inlineStr">
        <is>
          <t>crit</t>
        </is>
      </c>
      <c r="K81" s="39" t="inlineStr">
        <is>
          <t>PISTOL_CRIT</t>
        </is>
      </c>
      <c r="L81" s="39" t="inlineStr">
        <is>
          <t>Hornet Strike | Galvanized Diffusion | Primed Pistol Gambit | Primed Target Cracker | Galvanized Crosshairs | Galvanized Shot | Deep Freeze | Pathogen Rounds</t>
        </is>
      </c>
      <c r="M81" s="39" t="inlineStr">
        <is>
          <t>Secondary Dexterity</t>
        </is>
      </c>
      <c r="N81" s="39" t="inlineStr">
        <is>
          <t>Viral</t>
        </is>
      </c>
      <c r="O81" s="39" t="inlineStr">
        <is>
          <t>-</t>
        </is>
      </c>
      <c r="P81" s="39" t="inlineStr">
        <is>
          <t>~3</t>
        </is>
      </c>
    </row>
    <row r="82">
      <c r="A82" s="39" t="inlineStr">
        <is>
          <t>AUDITED</t>
        </is>
      </c>
      <c r="B82" s="39" t="inlineStr">
        <is>
          <t>AUDITED: Wrathful Advance = heavy attack with +200% x Str flat final crit; passive +75% heavy efficiency/+100% wind-up -&gt; Berserker Fury/Weeping Wounds dead; Collective Curse spreads the hit</t>
        </is>
      </c>
      <c r="C82" s="39" t="inlineStr">
        <is>
          <t>-</t>
        </is>
      </c>
      <c r="D82" s="39" t="inlineStr">
        <is>
          <t>Kullervo</t>
        </is>
      </c>
      <c r="E82" s="39" t="inlineStr">
        <is>
          <t>Melee</t>
        </is>
      </c>
      <c r="F82" s="39" t="inlineStr">
        <is>
          <t>Azothane</t>
        </is>
      </c>
      <c r="G82" s="39" t="inlineStr">
        <is>
          <t>Two-Handed Nikana</t>
        </is>
      </c>
      <c r="H82" s="39" t="n">
        <v>0.34</v>
      </c>
      <c r="I82" s="39" t="n">
        <v>0.22</v>
      </c>
      <c r="J82" s="39" t="inlineStr">
        <is>
          <t>crit</t>
        </is>
      </c>
      <c r="K82" s="39" t="inlineStr">
        <is>
          <t>HEAVY_KULLERVO</t>
        </is>
      </c>
      <c r="L82" s="39" t="inlineStr">
        <is>
          <t>Primed Pressure Point | Killing Blow | Blood Rush | Organ Shatter | Primed Reach | Condition Overload | North Wind | Virulent Scourge</t>
        </is>
      </c>
      <c r="M82" s="39" t="inlineStr">
        <is>
          <t>Melee Duplicate</t>
        </is>
      </c>
      <c r="N82" s="39" t="inlineStr">
        <is>
          <t>Viral</t>
        </is>
      </c>
      <c r="O82" s="39" t="inlineStr">
        <is>
          <t>-</t>
        </is>
      </c>
      <c r="P82" s="39" t="inlineStr">
        <is>
          <t>~3</t>
        </is>
      </c>
    </row>
    <row r="83">
      <c r="A83" s="39" t="inlineStr">
        <is>
          <t>AUDITED</t>
        </is>
      </c>
      <c r="B83" s="39" t="inlineStr">
        <is>
          <t>AUDITED: no weapon/frame mechanic overrides the default</t>
        </is>
      </c>
      <c r="C83" s="39" t="inlineStr">
        <is>
          <t>-</t>
        </is>
      </c>
      <c r="D83" s="39" t="inlineStr">
        <is>
          <t>Lavos Prime</t>
        </is>
      </c>
      <c r="E83" s="39" t="inlineStr">
        <is>
          <t>Primary</t>
        </is>
      </c>
      <c r="F83" s="39" t="inlineStr">
        <is>
          <t>Cedo Prime</t>
        </is>
      </c>
      <c r="G83" s="39" t="inlineStr">
        <is>
          <t>Shotgun</t>
        </is>
      </c>
      <c r="H83" s="39" t="n">
        <v>0.24</v>
      </c>
      <c r="I83" s="39" t="n">
        <v>0.02</v>
      </c>
      <c r="J83" s="39" t="inlineStr">
        <is>
          <t>crit</t>
        </is>
      </c>
      <c r="K83" s="39" t="inlineStr">
        <is>
          <t>SHOTGUN</t>
        </is>
      </c>
      <c r="L83" s="39" t="inlineStr">
        <is>
          <t>Primed Point Blank | Galvanized Hell | Primed Ravage | Critical Deceleration | Galvanized Savvy | Chilling Grasp | Toxic Barrage | Primed Charged Shell</t>
        </is>
      </c>
      <c r="M83" s="39" t="inlineStr">
        <is>
          <t>Shotgun Vendetta</t>
        </is>
      </c>
      <c r="N83" s="39" t="inlineStr">
        <is>
          <t>Viral + Electricity</t>
        </is>
      </c>
      <c r="O83" s="39" t="inlineStr">
        <is>
          <t>-</t>
        </is>
      </c>
      <c r="P83" s="39" t="inlineStr">
        <is>
          <t>~3</t>
        </is>
      </c>
    </row>
    <row r="84">
      <c r="A84" s="39" t="inlineStr">
        <is>
          <t>AUDITED</t>
        </is>
      </c>
      <c r="B84" s="39" t="inlineStr">
        <is>
          <t>AUDITED: THRESHOLD REVIEW: Cyanex 8% crit; Valence Formation adds a guaranteed-status element -&gt; status build confirmed</t>
        </is>
      </c>
      <c r="C84" s="39" t="inlineStr">
        <is>
          <t>THRESHOLD FLAG: &lt;15% crit -&gt; status template proposed; needs weapon-specific review</t>
        </is>
      </c>
      <c r="D84" s="39" t="inlineStr">
        <is>
          <t>Lavos Prime</t>
        </is>
      </c>
      <c r="E84" s="39" t="inlineStr">
        <is>
          <t>Secondary</t>
        </is>
      </c>
      <c r="F84" s="39" t="inlineStr">
        <is>
          <t>Cyanex</t>
        </is>
      </c>
      <c r="G84" s="39" t="inlineStr">
        <is>
          <t>Pistol</t>
        </is>
      </c>
      <c r="H84" s="39" t="n">
        <v>0.08</v>
      </c>
      <c r="I84" s="39" t="n">
        <v>0.32</v>
      </c>
      <c r="J84" s="39" t="inlineStr">
        <is>
          <t>status</t>
        </is>
      </c>
      <c r="K84" s="39" t="inlineStr">
        <is>
          <t>PISTOL_STATUS</t>
        </is>
      </c>
      <c r="L84" s="39" t="inlineStr">
        <is>
          <t>Hornet Strike | Augur Pact | Galvanized Diffusion | Lethal Torrent | Galvanized Shot | Frostbite | Pistol Pestilence | Jolt</t>
        </is>
      </c>
      <c r="M84" s="39" t="inlineStr">
        <is>
          <t>Secondary Encumber</t>
        </is>
      </c>
      <c r="N84" s="39" t="inlineStr">
        <is>
          <t>Viral + Electricity</t>
        </is>
      </c>
      <c r="O84" s="39" t="inlineStr">
        <is>
          <t>-</t>
        </is>
      </c>
      <c r="P84" s="39" t="inlineStr">
        <is>
          <t>~3</t>
        </is>
      </c>
    </row>
    <row r="85">
      <c r="A85" s="39" t="inlineStr">
        <is>
          <t>AUDITED</t>
        </is>
      </c>
      <c r="B85" s="39" t="inlineStr">
        <is>
          <t>AUDITED: no weapon/frame mechanic overrides the default</t>
        </is>
      </c>
      <c r="C85" s="39" t="inlineStr">
        <is>
          <t>-</t>
        </is>
      </c>
      <c r="D85" s="39" t="inlineStr">
        <is>
          <t>Lavos Prime</t>
        </is>
      </c>
      <c r="E85" s="39" t="inlineStr">
        <is>
          <t>Melee</t>
        </is>
      </c>
      <c r="F85" s="39" t="inlineStr">
        <is>
          <t>Dual Zoren Prime</t>
        </is>
      </c>
      <c r="G85" s="39" t="inlineStr">
        <is>
          <t>Dual Swords</t>
        </is>
      </c>
      <c r="H85" s="39" t="n">
        <v>0.3</v>
      </c>
      <c r="I85" s="39" t="n">
        <v>0.22</v>
      </c>
      <c r="J85" s="39" t="inlineStr">
        <is>
          <t>crit</t>
        </is>
      </c>
      <c r="K85" s="39" t="inlineStr">
        <is>
          <t>MELEE_CRIT</t>
        </is>
      </c>
      <c r="L85" s="39" t="inlineStr">
        <is>
          <t>Primed Pressure Point | Blood Rush | Weeping Wounds | Organ Shatter | Berserker Fury | Condition Overload | North Wind | Virulent Scourge</t>
        </is>
      </c>
      <c r="M85" s="39" t="inlineStr">
        <is>
          <t>Melee Duplicate</t>
        </is>
      </c>
      <c r="N85" s="39" t="inlineStr">
        <is>
          <t>Viral</t>
        </is>
      </c>
      <c r="O85" s="39" t="inlineStr">
        <is>
          <t>-</t>
        </is>
      </c>
      <c r="P85" s="39" t="inlineStr">
        <is>
          <t>~3</t>
        </is>
      </c>
    </row>
    <row r="86">
      <c r="A86" s="39" t="inlineStr">
        <is>
          <t>AUDITED</t>
        </is>
      </c>
      <c r="B86" s="39" t="inlineStr">
        <is>
          <t>AUDITED: no weapon/frame mechanic overrides the default</t>
        </is>
      </c>
      <c r="C86" s="39" t="inlineStr">
        <is>
          <t>Incarnon Form 30% crit / 30% status (base 25%/30%)</t>
        </is>
      </c>
      <c r="D86" s="39" t="inlineStr">
        <is>
          <t>Limbo Prime</t>
        </is>
      </c>
      <c r="E86" s="39" t="inlineStr">
        <is>
          <t>Primary</t>
        </is>
      </c>
      <c r="F86" s="39" t="inlineStr">
        <is>
          <t>Vectis</t>
        </is>
      </c>
      <c r="G86" s="39" t="inlineStr">
        <is>
          <t>Sniper Rifle</t>
        </is>
      </c>
      <c r="H86" s="39" t="n">
        <v>0.25</v>
      </c>
      <c r="I86" s="39" t="n">
        <v>0.3</v>
      </c>
      <c r="J86" s="39" t="inlineStr">
        <is>
          <t>crit</t>
        </is>
      </c>
      <c r="K86" s="39" t="inlineStr">
        <is>
          <t>RIFLE_CRIT</t>
        </is>
      </c>
      <c r="L86" s="39" t="inlineStr">
        <is>
          <t>Serration | Galvanized Chamber | Point Strike | Vital Sense | Hammer Shot | Galvanized Aptitude | Primed Cryo Rounds | Malignant Force</t>
        </is>
      </c>
      <c r="M86" s="39" t="inlineStr">
        <is>
          <t>Primary Deadhead</t>
        </is>
      </c>
      <c r="N86" s="39" t="inlineStr">
        <is>
          <t>Viral</t>
        </is>
      </c>
      <c r="O86" s="39" t="inlineStr">
        <is>
          <t>EVO2: Lone Enforcer; EVO3: Rapid Reinforcement; EVO4: Critical Parallel</t>
        </is>
      </c>
      <c r="P86" s="39" t="inlineStr">
        <is>
          <t>~4 (Incarnon)</t>
        </is>
      </c>
    </row>
    <row r="87">
      <c r="A87" s="39" t="inlineStr">
        <is>
          <t>AUDITED</t>
        </is>
      </c>
      <c r="B87" s="39" t="inlineStr">
        <is>
          <t>AUDITED: no weapon/frame mechanic overrides the default</t>
        </is>
      </c>
      <c r="C87" s="39" t="inlineStr">
        <is>
          <t>-</t>
        </is>
      </c>
      <c r="D87" s="39" t="inlineStr">
        <is>
          <t>Limbo Prime</t>
        </is>
      </c>
      <c r="E87" s="39" t="inlineStr">
        <is>
          <t>Secondary</t>
        </is>
      </c>
      <c r="F87" s="39" t="inlineStr">
        <is>
          <t>Pyrana Prime</t>
        </is>
      </c>
      <c r="G87" s="39" t="inlineStr">
        <is>
          <t>Shotgun Sidearm</t>
        </is>
      </c>
      <c r="H87" s="39" t="n">
        <v>0.24</v>
      </c>
      <c r="I87" s="39" t="n">
        <v>0.036</v>
      </c>
      <c r="J87" s="39" t="inlineStr">
        <is>
          <t>crit</t>
        </is>
      </c>
      <c r="K87" s="39" t="inlineStr">
        <is>
          <t>PISTOL_CRIT</t>
        </is>
      </c>
      <c r="L87" s="39" t="inlineStr">
        <is>
          <t>Hornet Strike | Galvanized Diffusion | Primed Pistol Gambit | Primed Target Cracker | Galvanized Crosshairs | Galvanized Shot | Deep Freeze | Pathogen Rounds</t>
        </is>
      </c>
      <c r="M87" s="39" t="inlineStr">
        <is>
          <t>Secondary Merciless</t>
        </is>
      </c>
      <c r="N87" s="39" t="inlineStr">
        <is>
          <t>Viral</t>
        </is>
      </c>
      <c r="O87" s="39" t="inlineStr">
        <is>
          <t>-</t>
        </is>
      </c>
      <c r="P87" s="39" t="inlineStr">
        <is>
          <t>~3</t>
        </is>
      </c>
    </row>
    <row r="88">
      <c r="A88" s="39" t="inlineStr">
        <is>
          <t>AUDITED</t>
        </is>
      </c>
      <c r="B88" s="39" t="inlineStr">
        <is>
          <t>AUDITED: no weapon/frame mechanic overrides the default</t>
        </is>
      </c>
      <c r="C88" s="39" t="inlineStr">
        <is>
          <t>-</t>
        </is>
      </c>
      <c r="D88" s="39" t="inlineStr">
        <is>
          <t>Limbo Prime</t>
        </is>
      </c>
      <c r="E88" s="39" t="inlineStr">
        <is>
          <t>Melee</t>
        </is>
      </c>
      <c r="F88" s="39" t="inlineStr">
        <is>
          <t>Destreza Prime</t>
        </is>
      </c>
      <c r="G88" s="39" t="inlineStr">
        <is>
          <t>Rapier</t>
        </is>
      </c>
      <c r="H88" s="39" t="n">
        <v>0.32</v>
      </c>
      <c r="I88" s="39" t="n">
        <v>0.2</v>
      </c>
      <c r="J88" s="39" t="inlineStr">
        <is>
          <t>crit</t>
        </is>
      </c>
      <c r="K88" s="39" t="inlineStr">
        <is>
          <t>MELEE_CRIT</t>
        </is>
      </c>
      <c r="L88" s="39" t="inlineStr">
        <is>
          <t>Primed Pressure Point | Blood Rush | Weeping Wounds | Organ Shatter | Berserker Fury | Condition Overload | North Wind | Virulent Scourge</t>
        </is>
      </c>
      <c r="M88" s="39" t="inlineStr">
        <is>
          <t>Melee Duplicate</t>
        </is>
      </c>
      <c r="N88" s="39" t="inlineStr">
        <is>
          <t>Viral</t>
        </is>
      </c>
      <c r="O88" s="39" t="inlineStr">
        <is>
          <t>EVO2: Weighted Impetus; EVO3: Orokin Reach; EVO4: Critical Forte</t>
        </is>
      </c>
      <c r="P88" s="39" t="inlineStr">
        <is>
          <t>~4 (Incarnon)</t>
        </is>
      </c>
    </row>
    <row r="89">
      <c r="A89" s="39" t="inlineStr">
        <is>
          <t>AUDITED</t>
        </is>
      </c>
      <c r="B89" s="39" t="inlineStr">
        <is>
          <t>AUDITED: no weapon/frame mechanic overrides the default</t>
        </is>
      </c>
      <c r="C89" s="39" t="inlineStr">
        <is>
          <t>-</t>
        </is>
      </c>
      <c r="D89" s="39" t="inlineStr">
        <is>
          <t>Loki Prime</t>
        </is>
      </c>
      <c r="E89" s="39" t="inlineStr">
        <is>
          <t>Primary</t>
        </is>
      </c>
      <c r="F89" s="39" t="inlineStr">
        <is>
          <t>Baza Prime</t>
        </is>
      </c>
      <c r="G89" s="39" t="inlineStr">
        <is>
          <t>Rifle</t>
        </is>
      </c>
      <c r="H89" s="39" t="n">
        <v>0.28</v>
      </c>
      <c r="I89" s="39" t="n">
        <v>0.14</v>
      </c>
      <c r="J89" s="39" t="inlineStr">
        <is>
          <t>crit</t>
        </is>
      </c>
      <c r="K89" s="39" t="inlineStr">
        <is>
          <t>RIFLE_CRIT</t>
        </is>
      </c>
      <c r="L89" s="39" t="inlineStr">
        <is>
          <t>Serration | Galvanized Chamber | Point Strike | Vital Sense | Hammer Shot | Galvanized Aptitude | Primed Cryo Rounds | Malignant Force</t>
        </is>
      </c>
      <c r="M89" s="39" t="inlineStr">
        <is>
          <t>Primary Merciless</t>
        </is>
      </c>
      <c r="N89" s="39" t="inlineStr">
        <is>
          <t>Viral</t>
        </is>
      </c>
      <c r="O89" s="39" t="inlineStr">
        <is>
          <t>-</t>
        </is>
      </c>
      <c r="P89" s="39" t="inlineStr">
        <is>
          <t>~3</t>
        </is>
      </c>
    </row>
    <row r="90">
      <c r="A90" s="39" t="inlineStr">
        <is>
          <t>AUDITED</t>
        </is>
      </c>
      <c r="B90" s="39" t="inlineStr">
        <is>
          <t>AUDITED: no weapon/frame mechanic overrides the default</t>
        </is>
      </c>
      <c r="C90" s="39" t="inlineStr">
        <is>
          <t>-</t>
        </is>
      </c>
      <c r="D90" s="39" t="inlineStr">
        <is>
          <t>Loki Prime</t>
        </is>
      </c>
      <c r="E90" s="39" t="inlineStr">
        <is>
          <t>Secondary</t>
        </is>
      </c>
      <c r="F90" s="39" t="inlineStr">
        <is>
          <t>Spira Prime</t>
        </is>
      </c>
      <c r="G90" s="39" t="inlineStr">
        <is>
          <t>Thrown</t>
        </is>
      </c>
      <c r="H90" s="39" t="n">
        <v>0.3</v>
      </c>
      <c r="I90" s="39" t="n">
        <v>0.14</v>
      </c>
      <c r="J90" s="39" t="inlineStr">
        <is>
          <t>crit</t>
        </is>
      </c>
      <c r="K90" s="39" t="inlineStr">
        <is>
          <t>PISTOL_CRIT</t>
        </is>
      </c>
      <c r="L90" s="39" t="inlineStr">
        <is>
          <t>Hornet Strike | Galvanized Diffusion | Primed Pistol Gambit | Primed Target Cracker | Galvanized Crosshairs | Galvanized Shot | Deep Freeze | Pathogen Rounds</t>
        </is>
      </c>
      <c r="M90" s="39" t="inlineStr">
        <is>
          <t>Secondary Merciless</t>
        </is>
      </c>
      <c r="N90" s="39" t="inlineStr">
        <is>
          <t>Viral</t>
        </is>
      </c>
      <c r="O90" s="39" t="inlineStr">
        <is>
          <t>-</t>
        </is>
      </c>
      <c r="P90" s="39" t="inlineStr">
        <is>
          <t>~3</t>
        </is>
      </c>
    </row>
    <row r="91">
      <c r="A91" s="39" t="inlineStr">
        <is>
          <t>AUDITED</t>
        </is>
      </c>
      <c r="B91" s="39" t="inlineStr">
        <is>
          <t>AUDITED: no weapon/frame mechanic overrides the default</t>
        </is>
      </c>
      <c r="C91" s="39" t="inlineStr">
        <is>
          <t>-</t>
        </is>
      </c>
      <c r="D91" s="39" t="inlineStr">
        <is>
          <t>Loki Prime</t>
        </is>
      </c>
      <c r="E91" s="39" t="inlineStr">
        <is>
          <t>Melee</t>
        </is>
      </c>
      <c r="F91" s="39" t="inlineStr">
        <is>
          <t>Nikana Prime</t>
        </is>
      </c>
      <c r="G91" s="39" t="inlineStr">
        <is>
          <t>Nikana</t>
        </is>
      </c>
      <c r="H91" s="39" t="n">
        <v>0.28</v>
      </c>
      <c r="I91" s="39" t="n">
        <v>0.28</v>
      </c>
      <c r="J91" s="39" t="inlineStr">
        <is>
          <t>crit</t>
        </is>
      </c>
      <c r="K91" s="39" t="inlineStr">
        <is>
          <t>MELEE_CRIT</t>
        </is>
      </c>
      <c r="L91" s="39" t="inlineStr">
        <is>
          <t>Primed Pressure Point | Blood Rush | Weeping Wounds | Organ Shatter | Berserker Fury | Condition Overload | North Wind | Virulent Scourge</t>
        </is>
      </c>
      <c r="M91" s="39" t="inlineStr">
        <is>
          <t>Melee Duplicate</t>
        </is>
      </c>
      <c r="N91" s="39" t="inlineStr">
        <is>
          <t>Viral</t>
        </is>
      </c>
      <c r="O91" s="39" t="inlineStr">
        <is>
          <t>-</t>
        </is>
      </c>
      <c r="P91" s="39" t="inlineStr">
        <is>
          <t>~3</t>
        </is>
      </c>
    </row>
    <row r="92">
      <c r="A92" s="39" t="inlineStr">
        <is>
          <t>AUDITED</t>
        </is>
      </c>
      <c r="B92" s="39" t="inlineStr">
        <is>
          <t>AUDITED: no weapon/frame mechanic overrides the default</t>
        </is>
      </c>
      <c r="C92" s="39" t="inlineStr">
        <is>
          <t>-</t>
        </is>
      </c>
      <c r="D92" s="39" t="inlineStr">
        <is>
          <t>Mag Prime</t>
        </is>
      </c>
      <c r="E92" s="39" t="inlineStr">
        <is>
          <t>Primary</t>
        </is>
      </c>
      <c r="F92" s="39" t="inlineStr">
        <is>
          <t>Tenet Arca Plasmor</t>
        </is>
      </c>
      <c r="G92" s="39" t="inlineStr">
        <is>
          <t>Shotgun</t>
        </is>
      </c>
      <c r="H92" s="39" t="n">
        <v>0.22</v>
      </c>
      <c r="I92" s="39" t="n">
        <v>0.34</v>
      </c>
      <c r="J92" s="39" t="inlineStr">
        <is>
          <t>status</t>
        </is>
      </c>
      <c r="K92" s="39" t="inlineStr">
        <is>
          <t>SHOTGUN</t>
        </is>
      </c>
      <c r="L92" s="39" t="inlineStr">
        <is>
          <t>Primed Point Blank | Galvanized Hell | Primed Ravage | Critical Deceleration | Galvanized Savvy | Chilling Grasp | Toxic Barrage | Primed Charged Shell</t>
        </is>
      </c>
      <c r="M92" s="39" t="inlineStr">
        <is>
          <t>Shotgun Vendetta</t>
        </is>
      </c>
      <c r="N92" s="39" t="inlineStr">
        <is>
          <t>Viral + Electricity + Radiation</t>
        </is>
      </c>
      <c r="O92" s="39" t="inlineStr">
        <is>
          <t>-</t>
        </is>
      </c>
      <c r="P92" s="39" t="inlineStr">
        <is>
          <t>5 Forma to Rank 40 + ~3 polarization</t>
        </is>
      </c>
    </row>
    <row r="93">
      <c r="A93" s="39" t="inlineStr">
        <is>
          <t>AUDITED</t>
        </is>
      </c>
      <c r="B93" s="39" t="inlineStr">
        <is>
          <t>AUDITED: THRESHOLD REVIEW: Mara Detron 8% crit / 1.5x -&gt; status build confirmed</t>
        </is>
      </c>
      <c r="C93" s="39" t="inlineStr">
        <is>
          <t>THRESHOLD FLAG: &lt;15% crit -&gt; status template proposed; needs weapon-specific review</t>
        </is>
      </c>
      <c r="D93" s="39" t="inlineStr">
        <is>
          <t>Mag Prime</t>
        </is>
      </c>
      <c r="E93" s="39" t="inlineStr">
        <is>
          <t>Secondary</t>
        </is>
      </c>
      <c r="F93" s="39" t="inlineStr">
        <is>
          <t>Mara Detron</t>
        </is>
      </c>
      <c r="G93" s="39" t="inlineStr">
        <is>
          <t>Shotgun Sidearm</t>
        </is>
      </c>
      <c r="H93" s="39" t="n">
        <v>0.08</v>
      </c>
      <c r="I93" s="39" t="n">
        <v>0.1371</v>
      </c>
      <c r="J93" s="39" t="inlineStr">
        <is>
          <t>status</t>
        </is>
      </c>
      <c r="K93" s="39" t="inlineStr">
        <is>
          <t>PISTOL_STATUS</t>
        </is>
      </c>
      <c r="L93" s="39" t="inlineStr">
        <is>
          <t>Hornet Strike | Augur Pact | Galvanized Diffusion | Lethal Torrent | Galvanized Shot | Frostbite | Pistol Pestilence | Jolt</t>
        </is>
      </c>
      <c r="M93" s="39" t="inlineStr">
        <is>
          <t>Secondary Encumber</t>
        </is>
      </c>
      <c r="N93" s="39" t="inlineStr">
        <is>
          <t>Viral + Electricity + Radiation</t>
        </is>
      </c>
      <c r="O93" s="39" t="inlineStr">
        <is>
          <t>-</t>
        </is>
      </c>
      <c r="P93" s="39" t="inlineStr">
        <is>
          <t>~3</t>
        </is>
      </c>
    </row>
    <row r="94">
      <c r="A94" s="39" t="inlineStr">
        <is>
          <t>AUDITED</t>
        </is>
      </c>
      <c r="B94" s="39" t="inlineStr">
        <is>
          <t>AUDITED: no weapon/frame mechanic overrides the default</t>
        </is>
      </c>
      <c r="C94" s="39" t="inlineStr">
        <is>
          <t>-</t>
        </is>
      </c>
      <c r="D94" s="39" t="inlineStr">
        <is>
          <t>Mag Prime</t>
        </is>
      </c>
      <c r="E94" s="39" t="inlineStr">
        <is>
          <t>Melee</t>
        </is>
      </c>
      <c r="F94" s="39" t="inlineStr">
        <is>
          <t>Dakra Prime</t>
        </is>
      </c>
      <c r="G94" s="39" t="inlineStr">
        <is>
          <t>Sword</t>
        </is>
      </c>
      <c r="H94" s="39" t="n">
        <v>0.36</v>
      </c>
      <c r="I94" s="39" t="n">
        <v>0.18</v>
      </c>
      <c r="J94" s="39" t="inlineStr">
        <is>
          <t>crit</t>
        </is>
      </c>
      <c r="K94" s="39" t="inlineStr">
        <is>
          <t>MELEE_CRIT</t>
        </is>
      </c>
      <c r="L94" s="39" t="inlineStr">
        <is>
          <t>Primed Pressure Point | Blood Rush | Weeping Wounds | Organ Shatter | Berserker Fury | Condition Overload | North Wind | Virulent Scourge</t>
        </is>
      </c>
      <c r="M94" s="39" t="inlineStr">
        <is>
          <t>Melee Duplicate</t>
        </is>
      </c>
      <c r="N94" s="39" t="inlineStr">
        <is>
          <t>Viral</t>
        </is>
      </c>
      <c r="O94" s="39" t="inlineStr">
        <is>
          <t>-</t>
        </is>
      </c>
      <c r="P94" s="39" t="inlineStr">
        <is>
          <t>~3</t>
        </is>
      </c>
    </row>
    <row r="95">
      <c r="A95" s="39" t="inlineStr">
        <is>
          <t>AUDITED</t>
        </is>
      </c>
      <c r="B95" s="39" t="inlineStr">
        <is>
          <t>AUDITED: no weapon/frame mechanic overrides the default</t>
        </is>
      </c>
      <c r="C95" s="39" t="inlineStr">
        <is>
          <t>-</t>
        </is>
      </c>
      <c r="D95" s="39" t="inlineStr">
        <is>
          <t>Mesa Prime</t>
        </is>
      </c>
      <c r="E95" s="39" t="inlineStr">
        <is>
          <t>Primary</t>
        </is>
      </c>
      <c r="F95" s="39" t="inlineStr">
        <is>
          <t>Cedo</t>
        </is>
      </c>
      <c r="G95" s="39" t="inlineStr">
        <is>
          <t>Shotgun</t>
        </is>
      </c>
      <c r="H95" s="39" t="n">
        <v>0.2</v>
      </c>
      <c r="I95" s="39" t="n">
        <v>0.003</v>
      </c>
      <c r="J95" s="39" t="inlineStr">
        <is>
          <t>crit</t>
        </is>
      </c>
      <c r="K95" s="39" t="inlineStr">
        <is>
          <t>SHOTGUN</t>
        </is>
      </c>
      <c r="L95" s="39" t="inlineStr">
        <is>
          <t>Primed Point Blank | Galvanized Hell | Primed Ravage | Critical Deceleration | Galvanized Savvy | Chilling Grasp | Toxic Barrage | Primed Charged Shell</t>
        </is>
      </c>
      <c r="M95" s="39" t="inlineStr">
        <is>
          <t>Shotgun Vendetta</t>
        </is>
      </c>
      <c r="N95" s="39" t="inlineStr">
        <is>
          <t>Viral + Electricity</t>
        </is>
      </c>
      <c r="O95" s="39" t="inlineStr">
        <is>
          <t>-</t>
        </is>
      </c>
      <c r="P95" s="39" t="inlineStr">
        <is>
          <t>~3</t>
        </is>
      </c>
    </row>
    <row r="96">
      <c r="A96" s="39" t="inlineStr">
        <is>
          <t>AUDITED</t>
        </is>
      </c>
      <c r="B96" s="39" t="inlineStr">
        <is>
          <t>AUDITED: Akjagara Prime 32% status, Slash-weighted burst; Mesa passive +15% fire rate dual-wield. Regulators carry the crit role</t>
        </is>
      </c>
      <c r="C96" s="39" t="inlineStr">
        <is>
          <t>-</t>
        </is>
      </c>
      <c r="D96" s="39" t="inlineStr">
        <is>
          <t>Mesa Prime</t>
        </is>
      </c>
      <c r="E96" s="39" t="inlineStr">
        <is>
          <t>Secondary</t>
        </is>
      </c>
      <c r="F96" s="39" t="inlineStr">
        <is>
          <t>Akjagara Prime</t>
        </is>
      </c>
      <c r="G96" s="39" t="inlineStr">
        <is>
          <t>Dual Pistols</t>
        </is>
      </c>
      <c r="H96" s="39" t="n">
        <v>0.18</v>
      </c>
      <c r="I96" s="39" t="n">
        <v>0.32</v>
      </c>
      <c r="J96" s="39" t="inlineStr">
        <is>
          <t>status</t>
        </is>
      </c>
      <c r="K96" s="39" t="inlineStr">
        <is>
          <t>PISTOL_STATUS</t>
        </is>
      </c>
      <c r="L96" s="39" t="inlineStr">
        <is>
          <t>Hornet Strike | Augur Pact | Galvanized Diffusion | Lethal Torrent | Galvanized Shot | Frostbite | Pistol Pestilence | Jolt</t>
        </is>
      </c>
      <c r="M96" s="39" t="inlineStr">
        <is>
          <t>Secondary Encumber</t>
        </is>
      </c>
      <c r="N96" s="39" t="inlineStr">
        <is>
          <t>Viral + Electricity</t>
        </is>
      </c>
      <c r="O96" s="39" t="inlineStr">
        <is>
          <t>-</t>
        </is>
      </c>
      <c r="P96" s="39" t="inlineStr">
        <is>
          <t>~3</t>
        </is>
      </c>
    </row>
    <row r="97">
      <c r="A97" s="39" t="inlineStr">
        <is>
          <t>AUDITED</t>
        </is>
      </c>
      <c r="B97" s="39" t="inlineStr">
        <is>
          <t>AUDITED: Hall of Mirrors clones copy modded stats but NOT Galvanized mods or Arcanes (wiki) -&gt; static Split Chamber/Vigilante instead of Galvanized; Kuva Bramma Heat progenitor</t>
        </is>
      </c>
      <c r="C97" s="39" t="inlineStr">
        <is>
          <t>-</t>
        </is>
      </c>
      <c r="D97" s="39" t="inlineStr">
        <is>
          <t>Mirage Prime</t>
        </is>
      </c>
      <c r="E97" s="39" t="inlineStr">
        <is>
          <t>Primary</t>
        </is>
      </c>
      <c r="F97" s="39" t="inlineStr">
        <is>
          <t>Kuva Bramma</t>
        </is>
      </c>
      <c r="G97" s="39" t="inlineStr">
        <is>
          <t>Bow</t>
        </is>
      </c>
      <c r="H97" s="39" t="n">
        <v>0.35</v>
      </c>
      <c r="I97" s="39" t="n">
        <v>0.21</v>
      </c>
      <c r="J97" s="39" t="inlineStr">
        <is>
          <t>crit</t>
        </is>
      </c>
      <c r="K97" s="39" t="inlineStr">
        <is>
          <t>MIRAGE_CLONE_SAFE</t>
        </is>
      </c>
      <c r="L97" s="39" t="inlineStr">
        <is>
          <t>Serration | Split Chamber | Vigilante Armaments | Point Strike | Vital Sense | Hammer Shot | Primed Cryo Rounds | Malignant Force</t>
        </is>
      </c>
      <c r="M97" s="39" t="inlineStr">
        <is>
          <t>Primary Deadhead</t>
        </is>
      </c>
      <c r="N97" s="39" t="inlineStr">
        <is>
          <t>Viral + Heat</t>
        </is>
      </c>
      <c r="O97" s="39" t="inlineStr">
        <is>
          <t>-</t>
        </is>
      </c>
      <c r="P97" s="39" t="inlineStr">
        <is>
          <t>5 Forma to Rank 40 + ~3 polarization</t>
        </is>
      </c>
    </row>
    <row r="98">
      <c r="A98" s="39" t="inlineStr">
        <is>
          <t>AUDITED</t>
        </is>
      </c>
      <c r="B98" s="39" t="inlineStr">
        <is>
          <t>AUDITED: Clone-safe: Barrel Diffusion/Lethal Torrent/Augur Pact instead of Galvanized Diffusion/Crosshairs/Shot (not inherited by clones)</t>
        </is>
      </c>
      <c r="C98" s="39" t="inlineStr">
        <is>
          <t>-</t>
        </is>
      </c>
      <c r="D98" s="39" t="inlineStr">
        <is>
          <t>Mirage Prime</t>
        </is>
      </c>
      <c r="E98" s="39" t="inlineStr">
        <is>
          <t>Secondary</t>
        </is>
      </c>
      <c r="F98" s="39" t="inlineStr">
        <is>
          <t>Akzani</t>
        </is>
      </c>
      <c r="G98" s="39" t="inlineStr">
        <is>
          <t>Dual Pistols</t>
        </is>
      </c>
      <c r="H98" s="39" t="n">
        <v>0.14</v>
      </c>
      <c r="I98" s="39" t="n">
        <v>0.14</v>
      </c>
      <c r="J98" s="39" t="inlineStr">
        <is>
          <t>crit</t>
        </is>
      </c>
      <c r="K98" s="39" t="inlineStr">
        <is>
          <t>MIRAGE_CLONE_SAFE</t>
        </is>
      </c>
      <c r="L98" s="39" t="inlineStr">
        <is>
          <t>Hornet Strike | Barrel Diffusion | Lethal Torrent | Primed Pistol Gambit | Primed Target Cracker | Augur Pact | Deep Freeze | Pathogen Rounds</t>
        </is>
      </c>
      <c r="M98" s="39" t="inlineStr">
        <is>
          <t>Secondary Merciless</t>
        </is>
      </c>
      <c r="N98" s="39" t="inlineStr">
        <is>
          <t>Viral</t>
        </is>
      </c>
      <c r="O98" s="39" t="inlineStr">
        <is>
          <t>-</t>
        </is>
      </c>
      <c r="P98" s="39" t="inlineStr">
        <is>
          <t>~3</t>
        </is>
      </c>
    </row>
    <row r="99">
      <c r="A99" s="39" t="inlineStr">
        <is>
          <t>AUDITED</t>
        </is>
      </c>
      <c r="B99" s="39" t="inlineStr">
        <is>
          <t>AUDITED: no weapon/frame mechanic overrides the default</t>
        </is>
      </c>
      <c r="C99" s="39" t="inlineStr">
        <is>
          <t>-</t>
        </is>
      </c>
      <c r="D99" s="39" t="inlineStr">
        <is>
          <t>Mirage Prime</t>
        </is>
      </c>
      <c r="E99" s="39" t="inlineStr">
        <is>
          <t>Melee</t>
        </is>
      </c>
      <c r="F99" s="39" t="inlineStr">
        <is>
          <t>Glaive Prime</t>
        </is>
      </c>
      <c r="G99" s="39" t="inlineStr">
        <is>
          <t>Glaive</t>
        </is>
      </c>
      <c r="H99" s="39" t="n">
        <v>0.22</v>
      </c>
      <c r="I99" s="39" t="n">
        <v>0.3</v>
      </c>
      <c r="J99" s="39" t="inlineStr">
        <is>
          <t>status</t>
        </is>
      </c>
      <c r="K99" s="39" t="inlineStr">
        <is>
          <t>MELEE_INFLUENCE</t>
        </is>
      </c>
      <c r="L99" s="39" t="inlineStr">
        <is>
          <t>Primed Pressure Point | Blood Rush | Weeping Wounds | Organ Shatter | Condition Overload | North Wind | Virulent Scourge | Voltaic Strike</t>
        </is>
      </c>
      <c r="M99" s="39" t="inlineStr">
        <is>
          <t>Melee Influence</t>
        </is>
      </c>
      <c r="N99" s="39" t="inlineStr">
        <is>
          <t>Viral + Electricity</t>
        </is>
      </c>
      <c r="O99" s="39" t="inlineStr">
        <is>
          <t>-</t>
        </is>
      </c>
      <c r="P99" s="39" t="inlineStr">
        <is>
          <t>~3</t>
        </is>
      </c>
    </row>
    <row r="100">
      <c r="A100" s="39" t="inlineStr">
        <is>
          <t>AUDITED</t>
        </is>
      </c>
      <c r="B100" s="39" t="inlineStr">
        <is>
          <t>AUDITED: Nunchasa innate Cold kept pure: weapon Cold procs feed Naraemagi absorption, Sangodae drops (1%/Cold stack) and freeze for Nurinarim explosions; Primary Frostbite on Cold</t>
        </is>
      </c>
      <c r="C100" s="39" t="inlineStr">
        <is>
          <t>-</t>
        </is>
      </c>
      <c r="D100" s="39" t="inlineStr">
        <is>
          <t>Narin</t>
        </is>
      </c>
      <c r="E100" s="39" t="inlineStr">
        <is>
          <t>Primary</t>
        </is>
      </c>
      <c r="F100" s="39" t="inlineStr">
        <is>
          <t>Nunchasa</t>
        </is>
      </c>
      <c r="G100" s="39" t="inlineStr">
        <is>
          <t>Bow</t>
        </is>
      </c>
      <c r="H100" s="39" t="n">
        <v>0.32</v>
      </c>
      <c r="I100" s="39" t="n">
        <v>0.32</v>
      </c>
      <c r="J100" s="39" t="inlineStr">
        <is>
          <t>crit</t>
        </is>
      </c>
      <c r="K100" s="39" t="inlineStr">
        <is>
          <t>COLD_PURE</t>
        </is>
      </c>
      <c r="L100" s="39" t="inlineStr">
        <is>
          <t>Serration | Galvanized Chamber | Point Strike | Vital Sense | Galvanized Aptitude | Hammer Shot | Primed Cryo Rounds | Rime Rounds</t>
        </is>
      </c>
      <c r="M100" s="39" t="inlineStr">
        <is>
          <t>Primary Frostbite</t>
        </is>
      </c>
      <c r="N100" s="39" t="inlineStr">
        <is>
          <t>Cold</t>
        </is>
      </c>
      <c r="O100" s="39" t="inlineStr">
        <is>
          <t>-</t>
        </is>
      </c>
      <c r="P100" s="39" t="inlineStr">
        <is>
          <t>~3</t>
        </is>
      </c>
    </row>
    <row r="101">
      <c r="A101" s="39" t="inlineStr">
        <is>
          <t>AUDITED</t>
        </is>
      </c>
      <c r="B101" s="39" t="inlineStr">
        <is>
          <t>AUDITED: Aksondol innate Cold kept pure (same loop); Secondary Shiver +45% per Cold status</t>
        </is>
      </c>
      <c r="C101" s="39" t="inlineStr">
        <is>
          <t>-</t>
        </is>
      </c>
      <c r="D101" s="39" t="inlineStr">
        <is>
          <t>Narin</t>
        </is>
      </c>
      <c r="E101" s="39" t="inlineStr">
        <is>
          <t>Secondary</t>
        </is>
      </c>
      <c r="F101" s="39" t="inlineStr">
        <is>
          <t>Aksondol</t>
        </is>
      </c>
      <c r="G101" s="39" t="inlineStr">
        <is>
          <t>Dual Pistols</t>
        </is>
      </c>
      <c r="H101" s="39" t="n">
        <v>0.24</v>
      </c>
      <c r="I101" s="39" t="n">
        <v>0.22</v>
      </c>
      <c r="J101" s="39" t="inlineStr">
        <is>
          <t>crit</t>
        </is>
      </c>
      <c r="K101" s="39" t="inlineStr">
        <is>
          <t>COLD_PURE</t>
        </is>
      </c>
      <c r="L101" s="39" t="inlineStr">
        <is>
          <t>Hornet Strike | Galvanized Diffusion | Primed Pistol Gambit | Primed Target Cracker | Galvanized Shot | Lethal Torrent | Deep Freeze | Frostbite</t>
        </is>
      </c>
      <c r="M101" s="39" t="inlineStr">
        <is>
          <t>Secondary Shiver</t>
        </is>
      </c>
      <c r="N101" s="39" t="inlineStr">
        <is>
          <t>Cold</t>
        </is>
      </c>
      <c r="O101" s="39" t="inlineStr">
        <is>
          <t>-</t>
        </is>
      </c>
      <c r="P101" s="39" t="inlineStr">
        <is>
          <t>~3</t>
        </is>
      </c>
    </row>
    <row r="102">
      <c r="A102" s="39" t="inlineStr">
        <is>
          <t>AUDITED</t>
        </is>
      </c>
      <c r="B102" s="39" t="inlineStr">
        <is>
          <t>AUDITED: Guardian's Promise needs Overshields - Narin generates Overguard, not Overshields -&gt; Wartime Nerve</t>
        </is>
      </c>
      <c r="C102" s="39" t="inlineStr">
        <is>
          <t>-</t>
        </is>
      </c>
      <c r="D102" s="39" t="inlineStr">
        <is>
          <t>Narin</t>
        </is>
      </c>
      <c r="E102" s="39" t="inlineStr">
        <is>
          <t>Melee</t>
        </is>
      </c>
      <c r="F102" s="39" t="inlineStr">
        <is>
          <t>Prisma Skana</t>
        </is>
      </c>
      <c r="G102" s="39" t="inlineStr">
        <is>
          <t>Sword</t>
        </is>
      </c>
      <c r="H102" s="39" t="n">
        <v>0.28</v>
      </c>
      <c r="I102" s="39" t="n">
        <v>0.16</v>
      </c>
      <c r="J102" s="39" t="inlineStr">
        <is>
          <t>crit</t>
        </is>
      </c>
      <c r="K102" s="39" t="inlineStr">
        <is>
          <t>MELEE_CRIT</t>
        </is>
      </c>
      <c r="L102" s="39" t="inlineStr">
        <is>
          <t>Primed Pressure Point | Blood Rush | Weeping Wounds | Organ Shatter | Berserker Fury | Condition Overload | North Wind | Virulent Scourge</t>
        </is>
      </c>
      <c r="M102" s="39" t="inlineStr">
        <is>
          <t>Melee Duplicate</t>
        </is>
      </c>
      <c r="N102" s="39" t="inlineStr">
        <is>
          <t>Viral</t>
        </is>
      </c>
      <c r="O102" s="39" t="inlineStr">
        <is>
          <t>EVO2: Wartime Nerve; EVO3: Orokin Reach; EVO4: Survivor's Edge</t>
        </is>
      </c>
      <c r="P102" s="39" t="inlineStr">
        <is>
          <t>~4 (Incarnon)</t>
        </is>
      </c>
    </row>
    <row r="103">
      <c r="A103" s="39" t="inlineStr">
        <is>
          <t>AUDITED</t>
        </is>
      </c>
      <c r="B103" s="39" t="inlineStr">
        <is>
          <t>AUDITED: THRESHOLD REVIEW: Tigris Prime 10% crit, Slash-weighted double barrel -&gt; status/Slash build confirmed. Announced Tigris Incarnon is NOT live (Upcoming ledger) - no evolutions assigned</t>
        </is>
      </c>
      <c r="C103" s="39" t="inlineStr">
        <is>
          <t>THRESHOLD FLAG: &lt;15% crit -&gt; status template proposed; needs weapon-specific review</t>
        </is>
      </c>
      <c r="D103" s="39" t="inlineStr">
        <is>
          <t>Nekros Prime</t>
        </is>
      </c>
      <c r="E103" s="39" t="inlineStr">
        <is>
          <t>Primary</t>
        </is>
      </c>
      <c r="F103" s="39" t="inlineStr">
        <is>
          <t>Tigris Prime</t>
        </is>
      </c>
      <c r="G103" s="39" t="inlineStr">
        <is>
          <t>Shotgun</t>
        </is>
      </c>
      <c r="H103" s="39" t="n">
        <v>0.1</v>
      </c>
      <c r="I103" s="39" t="n">
        <v>0.1125</v>
      </c>
      <c r="J103" s="39" t="inlineStr">
        <is>
          <t>status</t>
        </is>
      </c>
      <c r="K103" s="39" t="inlineStr">
        <is>
          <t>SHOTGUN_STATUS</t>
        </is>
      </c>
      <c r="L103" s="39" t="inlineStr">
        <is>
          <t>Primed Point Blank | Vicious Spread | Galvanized Hell | Galvanized Savvy | Shotgun Barrage | Frigid Blast | Toxic Barrage | Primed Charged Shell</t>
        </is>
      </c>
      <c r="M103" s="39" t="inlineStr">
        <is>
          <t>Shotgun Vendetta</t>
        </is>
      </c>
      <c r="N103" s="39" t="inlineStr">
        <is>
          <t>Viral + Electricity</t>
        </is>
      </c>
      <c r="O103" s="39" t="inlineStr">
        <is>
          <t>-</t>
        </is>
      </c>
      <c r="P103" s="39" t="inlineStr">
        <is>
          <t>~3</t>
        </is>
      </c>
    </row>
    <row r="104">
      <c r="A104" s="39" t="inlineStr">
        <is>
          <t>AUDITED</t>
        </is>
      </c>
      <c r="B104" s="39" t="inlineStr">
        <is>
          <t>AUDITED: no weapon/frame mechanic overrides the default</t>
        </is>
      </c>
      <c r="C104" s="39" t="inlineStr">
        <is>
          <t>-</t>
        </is>
      </c>
      <c r="D104" s="39" t="inlineStr">
        <is>
          <t>Nekros Prime</t>
        </is>
      </c>
      <c r="E104" s="39" t="inlineStr">
        <is>
          <t>Secondary</t>
        </is>
      </c>
      <c r="F104" s="39" t="inlineStr">
        <is>
          <t>Twin Grakatas</t>
        </is>
      </c>
      <c r="G104" s="39" t="inlineStr">
        <is>
          <t>Dual Pistols</t>
        </is>
      </c>
      <c r="H104" s="39" t="n">
        <v>0.25</v>
      </c>
      <c r="I104" s="39" t="n">
        <v>0.165</v>
      </c>
      <c r="J104" s="39" t="inlineStr">
        <is>
          <t>crit</t>
        </is>
      </c>
      <c r="K104" s="39" t="inlineStr">
        <is>
          <t>PISTOL_CRIT</t>
        </is>
      </c>
      <c r="L104" s="39" t="inlineStr">
        <is>
          <t>Hornet Strike | Galvanized Diffusion | Primed Pistol Gambit | Primed Target Cracker | Galvanized Crosshairs | Galvanized Shot | Deep Freeze | Pathogen Rounds</t>
        </is>
      </c>
      <c r="M104" s="39" t="inlineStr">
        <is>
          <t>Secondary Merciless</t>
        </is>
      </c>
      <c r="N104" s="39" t="inlineStr">
        <is>
          <t>Viral</t>
        </is>
      </c>
      <c r="O104" s="39" t="inlineStr">
        <is>
          <t>-</t>
        </is>
      </c>
      <c r="P104" s="39" t="inlineStr">
        <is>
          <t>~3</t>
        </is>
      </c>
    </row>
    <row r="105">
      <c r="A105" s="39" t="inlineStr">
        <is>
          <t>AUDITED</t>
        </is>
      </c>
      <c r="B105" s="39" t="inlineStr">
        <is>
          <t>AUDITED: no weapon/frame mechanic overrides the default</t>
        </is>
      </c>
      <c r="C105" s="39" t="inlineStr">
        <is>
          <t>-</t>
        </is>
      </c>
      <c r="D105" s="39" t="inlineStr">
        <is>
          <t>Nekros Prime</t>
        </is>
      </c>
      <c r="E105" s="39" t="inlineStr">
        <is>
          <t>Melee</t>
        </is>
      </c>
      <c r="F105" s="39" t="inlineStr">
        <is>
          <t>Galatine Prime</t>
        </is>
      </c>
      <c r="G105" s="39" t="inlineStr">
        <is>
          <t>Heavy Blade</t>
        </is>
      </c>
      <c r="H105" s="39" t="n">
        <v>0.26</v>
      </c>
      <c r="I105" s="39" t="n">
        <v>0.26</v>
      </c>
      <c r="J105" s="39" t="inlineStr">
        <is>
          <t>crit</t>
        </is>
      </c>
      <c r="K105" s="39" t="inlineStr">
        <is>
          <t>MELEE_CRIT</t>
        </is>
      </c>
      <c r="L105" s="39" t="inlineStr">
        <is>
          <t>Primed Pressure Point | Blood Rush | Weeping Wounds | Organ Shatter | Berserker Fury | Condition Overload | North Wind | Virulent Scourge</t>
        </is>
      </c>
      <c r="M105" s="39" t="inlineStr">
        <is>
          <t>Melee Animosity</t>
        </is>
      </c>
      <c r="N105" s="39" t="inlineStr">
        <is>
          <t>Viral</t>
        </is>
      </c>
      <c r="O105" s="39" t="inlineStr">
        <is>
          <t>-</t>
        </is>
      </c>
      <c r="P105" s="39" t="inlineStr">
        <is>
          <t>~3</t>
        </is>
      </c>
    </row>
    <row r="106">
      <c r="A106" s="39" t="inlineStr">
        <is>
          <t>AUDITED</t>
        </is>
      </c>
      <c r="B106" s="39" t="inlineStr">
        <is>
          <t>AUDITED: Divine Retribution: speared explosions scale x1.5 per remaining Slash/Toxin/Heat status -&gt; raw Toxin (not Viral); Chakram/Fire Walker supply Heat</t>
        </is>
      </c>
      <c r="C106" s="39" t="inlineStr">
        <is>
          <t>THRESHOLD FLAG: &lt;15% crit -&gt; status template proposed; needs weapon-specific review</t>
        </is>
      </c>
      <c r="D106" s="39" t="inlineStr">
        <is>
          <t>Nezha Prime</t>
        </is>
      </c>
      <c r="E106" s="39" t="inlineStr">
        <is>
          <t>Primary</t>
        </is>
      </c>
      <c r="F106" s="39" t="inlineStr">
        <is>
          <t>Proboscis Cernos</t>
        </is>
      </c>
      <c r="G106" s="39" t="inlineStr">
        <is>
          <t>Bow</t>
        </is>
      </c>
      <c r="H106" s="39" t="n">
        <v>0.07000000000000001</v>
      </c>
      <c r="I106" s="39" t="n">
        <v>0.43</v>
      </c>
      <c r="J106" s="39" t="inlineStr">
        <is>
          <t>status</t>
        </is>
      </c>
      <c r="K106" s="39" t="inlineStr">
        <is>
          <t>TOXIN_DR</t>
        </is>
      </c>
      <c r="L106" s="39" t="inlineStr">
        <is>
          <t>Serration | Galvanized Chamber | Vigilante Armaments | Galvanized Aptitude | Primed Shred | Malignant Force | Infected Clip | Hammer Shot</t>
        </is>
      </c>
      <c r="M106" s="39" t="inlineStr">
        <is>
          <t>Primary Deadhead</t>
        </is>
      </c>
      <c r="N106" s="39" t="inlineStr">
        <is>
          <t>Toxin</t>
        </is>
      </c>
      <c r="O106" s="39" t="inlineStr">
        <is>
          <t>-</t>
        </is>
      </c>
      <c r="P106" s="39" t="inlineStr">
        <is>
          <t>~3</t>
        </is>
      </c>
    </row>
    <row r="107">
      <c r="A107" s="39" t="inlineStr">
        <is>
          <t>AUDITED</t>
        </is>
      </c>
      <c r="B107" s="39" t="inlineStr">
        <is>
          <t>AUDITED: Zakti Prime 42% status AoE -&gt; raw Toxin for Divine Retribution</t>
        </is>
      </c>
      <c r="C107" s="39" t="inlineStr">
        <is>
          <t>THRESHOLD FLAG: &lt;15% crit -&gt; status template proposed; needs weapon-specific review</t>
        </is>
      </c>
      <c r="D107" s="39" t="inlineStr">
        <is>
          <t>Nezha Prime</t>
        </is>
      </c>
      <c r="E107" s="39" t="inlineStr">
        <is>
          <t>Secondary</t>
        </is>
      </c>
      <c r="F107" s="39" t="inlineStr">
        <is>
          <t>Zakti Prime</t>
        </is>
      </c>
      <c r="G107" s="39" t="inlineStr">
        <is>
          <t>Pistol</t>
        </is>
      </c>
      <c r="H107" s="39" t="n">
        <v>0.08</v>
      </c>
      <c r="I107" s="39" t="n">
        <v>0.42</v>
      </c>
      <c r="J107" s="39" t="inlineStr">
        <is>
          <t>status</t>
        </is>
      </c>
      <c r="K107" s="39" t="inlineStr">
        <is>
          <t>TOXIN_DR</t>
        </is>
      </c>
      <c r="L107" s="39" t="inlineStr">
        <is>
          <t>Hornet Strike | Augur Pact | Galvanized Diffusion | Lethal Torrent | Galvanized Shot | Pistol Pestilence | Pathogen Rounds | Stunning Speed</t>
        </is>
      </c>
      <c r="M107" s="39" t="inlineStr">
        <is>
          <t>Secondary Encumber</t>
        </is>
      </c>
      <c r="N107" s="39" t="inlineStr">
        <is>
          <t>Toxin</t>
        </is>
      </c>
      <c r="O107" s="39" t="inlineStr">
        <is>
          <t>-</t>
        </is>
      </c>
      <c r="P107" s="39" t="inlineStr">
        <is>
          <t>~3</t>
        </is>
      </c>
    </row>
    <row r="108">
      <c r="A108" s="39" t="inlineStr">
        <is>
          <t>AUDITED</t>
        </is>
      </c>
      <c r="B108" s="39" t="inlineStr">
        <is>
          <t>AUDITED: no weapon/frame mechanic overrides the default</t>
        </is>
      </c>
      <c r="C108" s="39" t="inlineStr">
        <is>
          <t>-</t>
        </is>
      </c>
      <c r="D108" s="39" t="inlineStr">
        <is>
          <t>Nezha Prime</t>
        </is>
      </c>
      <c r="E108" s="39" t="inlineStr">
        <is>
          <t>Melee</t>
        </is>
      </c>
      <c r="F108" s="39" t="inlineStr">
        <is>
          <t>Guandao Prime</t>
        </is>
      </c>
      <c r="G108" s="39" t="inlineStr">
        <is>
          <t>Polearm</t>
        </is>
      </c>
      <c r="H108" s="39" t="n">
        <v>0.32</v>
      </c>
      <c r="I108" s="39" t="n">
        <v>0.2</v>
      </c>
      <c r="J108" s="39" t="inlineStr">
        <is>
          <t>crit</t>
        </is>
      </c>
      <c r="K108" s="39" t="inlineStr">
        <is>
          <t>MELEE_CRIT</t>
        </is>
      </c>
      <c r="L108" s="39" t="inlineStr">
        <is>
          <t>Primed Pressure Point | Blood Rush | Weeping Wounds | Organ Shatter | Berserker Fury | Condition Overload | North Wind | Virulent Scourge</t>
        </is>
      </c>
      <c r="M108" s="39" t="inlineStr">
        <is>
          <t>Melee Duplicate</t>
        </is>
      </c>
      <c r="N108" s="39" t="inlineStr">
        <is>
          <t>Viral</t>
        </is>
      </c>
      <c r="O108" s="39" t="inlineStr">
        <is>
          <t>-</t>
        </is>
      </c>
      <c r="P108" s="39" t="inlineStr">
        <is>
          <t>~3</t>
        </is>
      </c>
    </row>
    <row r="109">
      <c r="A109" s="39" t="inlineStr">
        <is>
          <t>AUDITED</t>
        </is>
      </c>
      <c r="B109" s="39" t="inlineStr">
        <is>
          <t>AUDITED: no weapon/frame mechanic overrides the default</t>
        </is>
      </c>
      <c r="C109" s="39" t="inlineStr">
        <is>
          <t>Incarnon Form 48% crit / 46% status (base 24%/7%)</t>
        </is>
      </c>
      <c r="D109" s="39" t="inlineStr">
        <is>
          <t>Nidus Prime</t>
        </is>
      </c>
      <c r="E109" s="39" t="inlineStr">
        <is>
          <t>Primary</t>
        </is>
      </c>
      <c r="F109" s="39" t="inlineStr">
        <is>
          <t>Strun Prime</t>
        </is>
      </c>
      <c r="G109" s="39" t="inlineStr">
        <is>
          <t>Shotgun</t>
        </is>
      </c>
      <c r="H109" s="39" t="n">
        <v>0.24</v>
      </c>
      <c r="I109" s="39" t="n">
        <v>0.0667</v>
      </c>
      <c r="J109" s="39" t="inlineStr">
        <is>
          <t>crit</t>
        </is>
      </c>
      <c r="K109" s="39" t="inlineStr">
        <is>
          <t>SHOTGUN</t>
        </is>
      </c>
      <c r="L109" s="39" t="inlineStr">
        <is>
          <t>Primed Point Blank | Galvanized Hell | Primed Ravage | Critical Deceleration | Galvanized Savvy | Chilling Grasp | Toxic Barrage | Primed Charged Shell</t>
        </is>
      </c>
      <c r="M109" s="39" t="inlineStr">
        <is>
          <t>Shotgun Vendetta</t>
        </is>
      </c>
      <c r="N109" s="39" t="inlineStr">
        <is>
          <t>Viral + Electricity</t>
        </is>
      </c>
      <c r="O109" s="39" t="inlineStr">
        <is>
          <t>EVO2: Blazing Barrel; EVO3: Rapid Reinforcement; EVO4: Commodore's Fortune</t>
        </is>
      </c>
      <c r="P109" s="39" t="inlineStr">
        <is>
          <t>~4 (Incarnon)</t>
        </is>
      </c>
    </row>
    <row r="110">
      <c r="A110" s="39" t="inlineStr">
        <is>
          <t>AUDITED</t>
        </is>
      </c>
      <c r="B110" s="39" t="inlineStr">
        <is>
          <t>AUDITED: no weapon/frame mechanic overrides the default</t>
        </is>
      </c>
      <c r="C110" s="39" t="inlineStr">
        <is>
          <t>-</t>
        </is>
      </c>
      <c r="D110" s="39" t="inlineStr">
        <is>
          <t>Nidus Prime</t>
        </is>
      </c>
      <c r="E110" s="39" t="inlineStr">
        <is>
          <t>Secondary</t>
        </is>
      </c>
      <c r="F110" s="39" t="inlineStr">
        <is>
          <t>Magnus Prime</t>
        </is>
      </c>
      <c r="G110" s="39" t="inlineStr">
        <is>
          <t>Pistol</t>
        </is>
      </c>
      <c r="H110" s="39" t="n">
        <v>0.28</v>
      </c>
      <c r="I110" s="39" t="n">
        <v>0.28</v>
      </c>
      <c r="J110" s="39" t="inlineStr">
        <is>
          <t>crit</t>
        </is>
      </c>
      <c r="K110" s="39" t="inlineStr">
        <is>
          <t>PISTOL_CRIT</t>
        </is>
      </c>
      <c r="L110" s="39" t="inlineStr">
        <is>
          <t>Hornet Strike | Galvanized Diffusion | Primed Pistol Gambit | Primed Target Cracker | Galvanized Crosshairs | Galvanized Shot | Deep Freeze | Pathogen Rounds</t>
        </is>
      </c>
      <c r="M110" s="39" t="inlineStr">
        <is>
          <t>Secondary Merciless</t>
        </is>
      </c>
      <c r="N110" s="39" t="inlineStr">
        <is>
          <t>Viral</t>
        </is>
      </c>
      <c r="O110" s="39" t="inlineStr">
        <is>
          <t>-</t>
        </is>
      </c>
      <c r="P110" s="39" t="inlineStr">
        <is>
          <t>~3</t>
        </is>
      </c>
    </row>
    <row r="111">
      <c r="A111" s="39" t="inlineStr">
        <is>
          <t>AUDITED</t>
        </is>
      </c>
      <c r="B111" s="39" t="inlineStr">
        <is>
          <t>AUDITED: no weapon/frame mechanic overrides the default</t>
        </is>
      </c>
      <c r="C111" s="39" t="inlineStr">
        <is>
          <t>-</t>
        </is>
      </c>
      <c r="D111" s="39" t="inlineStr">
        <is>
          <t>Nidus Prime</t>
        </is>
      </c>
      <c r="E111" s="39" t="inlineStr">
        <is>
          <t>Melee</t>
        </is>
      </c>
      <c r="F111" s="39" t="inlineStr">
        <is>
          <t>Pathocyst</t>
        </is>
      </c>
      <c r="G111" s="39" t="inlineStr">
        <is>
          <t>Glaive</t>
        </is>
      </c>
      <c r="H111" s="39" t="n">
        <v>0.15</v>
      </c>
      <c r="I111" s="39" t="n">
        <v>0.3</v>
      </c>
      <c r="J111" s="39" t="inlineStr">
        <is>
          <t>status</t>
        </is>
      </c>
      <c r="K111" s="39" t="inlineStr">
        <is>
          <t>MELEE_INFLUENCE</t>
        </is>
      </c>
      <c r="L111" s="39" t="inlineStr">
        <is>
          <t>Primed Pressure Point | Blood Rush | Weeping Wounds | Organ Shatter | Condition Overload | North Wind | Virulent Scourge | Voltaic Strike</t>
        </is>
      </c>
      <c r="M111" s="39" t="inlineStr">
        <is>
          <t>Melee Influence</t>
        </is>
      </c>
      <c r="N111" s="39" t="inlineStr">
        <is>
          <t>Viral + Electricity</t>
        </is>
      </c>
      <c r="O111" s="39" t="inlineStr">
        <is>
          <t>-</t>
        </is>
      </c>
      <c r="P111" s="39" t="inlineStr">
        <is>
          <t>~3</t>
        </is>
      </c>
    </row>
    <row r="112">
      <c r="A112" s="39" t="inlineStr">
        <is>
          <t>AUDITED</t>
        </is>
      </c>
      <c r="B112" s="39" t="inlineStr">
        <is>
          <t>AUDITED: THRESHOLD REVIEW: Sporothrix 1% crit / 53% status -&gt; status build confirmed</t>
        </is>
      </c>
      <c r="C112" s="39" t="inlineStr">
        <is>
          <t>THRESHOLD FLAG: &lt;15% crit -&gt; status template proposed; needs weapon-specific review</t>
        </is>
      </c>
      <c r="D112" s="39" t="inlineStr">
        <is>
          <t>Nokko</t>
        </is>
      </c>
      <c r="E112" s="39" t="inlineStr">
        <is>
          <t>Primary</t>
        </is>
      </c>
      <c r="F112" s="39" t="inlineStr">
        <is>
          <t>Sporothrix</t>
        </is>
      </c>
      <c r="G112" s="39" t="inlineStr">
        <is>
          <t>Sniper Rifle</t>
        </is>
      </c>
      <c r="H112" s="39" t="n">
        <v>0.01</v>
      </c>
      <c r="I112" s="39" t="n">
        <v>0.53</v>
      </c>
      <c r="J112" s="39" t="inlineStr">
        <is>
          <t>status</t>
        </is>
      </c>
      <c r="K112" s="39" t="inlineStr">
        <is>
          <t>RIFLE_STATUS</t>
        </is>
      </c>
      <c r="L112" s="39" t="inlineStr">
        <is>
          <t>Serration | Galvanized Chamber | Vigilante Armaments | Galvanized Aptitude | Primed Shred | Rime Rounds | Malignant Force | High Voltage</t>
        </is>
      </c>
      <c r="M112" s="39" t="inlineStr">
        <is>
          <t>Primary Deadhead</t>
        </is>
      </c>
      <c r="N112" s="39" t="inlineStr">
        <is>
          <t>Viral + Electricity</t>
        </is>
      </c>
      <c r="O112" s="39" t="inlineStr">
        <is>
          <t>-</t>
        </is>
      </c>
      <c r="P112" s="39" t="inlineStr">
        <is>
          <t>~3</t>
        </is>
      </c>
    </row>
    <row r="113">
      <c r="A113" s="39" t="inlineStr">
        <is>
          <t>AUDITED</t>
        </is>
      </c>
      <c r="B113" s="39" t="inlineStr">
        <is>
          <t>AUDITED: Ocucor 16% crit beam with innate Radiation: crit template + Merciless (status Arcane on crit mods was a mismatch)</t>
        </is>
      </c>
      <c r="C113" s="39" t="inlineStr">
        <is>
          <t>-</t>
        </is>
      </c>
      <c r="D113" s="39" t="inlineStr">
        <is>
          <t>Nokko</t>
        </is>
      </c>
      <c r="E113" s="39" t="inlineStr">
        <is>
          <t>Secondary</t>
        </is>
      </c>
      <c r="F113" s="39" t="inlineStr">
        <is>
          <t>Ocucor</t>
        </is>
      </c>
      <c r="G113" s="39" t="inlineStr">
        <is>
          <t>Pistol</t>
        </is>
      </c>
      <c r="H113" s="39" t="n">
        <v>0.16</v>
      </c>
      <c r="I113" s="39" t="n">
        <v>0.24</v>
      </c>
      <c r="J113" s="39" t="inlineStr">
        <is>
          <t>crit</t>
        </is>
      </c>
      <c r="K113" s="39" t="inlineStr">
        <is>
          <t>PISTOL_CRIT</t>
        </is>
      </c>
      <c r="L113" s="39" t="inlineStr">
        <is>
          <t>Hornet Strike | Galvanized Diffusion | Primed Pistol Gambit | Primed Target Cracker | Galvanized Crosshairs | Galvanized Shot | Deep Freeze | Pathogen Rounds</t>
        </is>
      </c>
      <c r="M113" s="39" t="inlineStr">
        <is>
          <t>Secondary Merciless</t>
        </is>
      </c>
      <c r="N113" s="39" t="inlineStr">
        <is>
          <t>Viral + Radiation</t>
        </is>
      </c>
      <c r="O113" s="39" t="inlineStr">
        <is>
          <t>-</t>
        </is>
      </c>
      <c r="P113" s="39" t="inlineStr">
        <is>
          <t>~3</t>
        </is>
      </c>
    </row>
    <row r="114">
      <c r="A114" s="39" t="inlineStr">
        <is>
          <t>AUDITED</t>
        </is>
      </c>
      <c r="B114" s="39" t="inlineStr">
        <is>
          <t>AUDITED: no weapon/frame mechanic overrides the default</t>
        </is>
      </c>
      <c r="C114" s="39" t="inlineStr">
        <is>
          <t>-</t>
        </is>
      </c>
      <c r="D114" s="39" t="inlineStr">
        <is>
          <t>Nokko</t>
        </is>
      </c>
      <c r="E114" s="39" t="inlineStr">
        <is>
          <t>Melee</t>
        </is>
      </c>
      <c r="F114" s="39" t="inlineStr">
        <is>
          <t>Mios</t>
        </is>
      </c>
      <c r="G114" s="39" t="inlineStr">
        <is>
          <t>Blade and Whip</t>
        </is>
      </c>
      <c r="H114" s="39" t="n">
        <v>0.19</v>
      </c>
      <c r="I114" s="39" t="n">
        <v>0.25</v>
      </c>
      <c r="J114" s="39" t="inlineStr">
        <is>
          <t>status</t>
        </is>
      </c>
      <c r="K114" s="39" t="inlineStr">
        <is>
          <t>MELEE_INFLUENCE</t>
        </is>
      </c>
      <c r="L114" s="39" t="inlineStr">
        <is>
          <t>Primed Pressure Point | Blood Rush | Weeping Wounds | Organ Shatter | Condition Overload | North Wind | Virulent Scourge | Voltaic Strike</t>
        </is>
      </c>
      <c r="M114" s="39" t="inlineStr">
        <is>
          <t>Melee Influence</t>
        </is>
      </c>
      <c r="N114" s="39" t="inlineStr">
        <is>
          <t>Viral + Electricity</t>
        </is>
      </c>
      <c r="O114" s="39" t="inlineStr">
        <is>
          <t>-</t>
        </is>
      </c>
      <c r="P114" s="39" t="inlineStr">
        <is>
          <t>~3</t>
        </is>
      </c>
    </row>
    <row r="115">
      <c r="A115" s="39" t="inlineStr">
        <is>
          <t>AUDITED</t>
        </is>
      </c>
      <c r="B115" s="39" t="inlineStr">
        <is>
          <t>AUDITED: Fortress Salvo needs &gt;450 armor (Nova 135) -&gt; Fortifying Bloodshed (+100 overshield on Slash kill)</t>
        </is>
      </c>
      <c r="C115" s="39" t="inlineStr">
        <is>
          <t>Incarnon Form 10% crit / 3% status (base 30%/10%)</t>
        </is>
      </c>
      <c r="D115" s="39" t="inlineStr">
        <is>
          <t>Nova Prime</t>
        </is>
      </c>
      <c r="E115" s="39" t="inlineStr">
        <is>
          <t>Primary</t>
        </is>
      </c>
      <c r="F115" s="39" t="inlineStr">
        <is>
          <t>Soma Prime</t>
        </is>
      </c>
      <c r="G115" s="39" t="inlineStr">
        <is>
          <t>Rifle</t>
        </is>
      </c>
      <c r="H115" s="39" t="n">
        <v>0.3</v>
      </c>
      <c r="I115" s="39" t="n">
        <v>0.1</v>
      </c>
      <c r="J115" s="39" t="inlineStr">
        <is>
          <t>crit</t>
        </is>
      </c>
      <c r="K115" s="39" t="inlineStr">
        <is>
          <t>RIFLE_CRIT</t>
        </is>
      </c>
      <c r="L115" s="39" t="inlineStr">
        <is>
          <t>Serration | Galvanized Chamber | Point Strike | Vital Sense | Hammer Shot | Galvanized Aptitude | Primed Cryo Rounds | Malignant Force</t>
        </is>
      </c>
      <c r="M115" s="39" t="inlineStr">
        <is>
          <t>Primary Merciless</t>
        </is>
      </c>
      <c r="N115" s="39" t="inlineStr">
        <is>
          <t>Viral</t>
        </is>
      </c>
      <c r="O115" s="39" t="inlineStr">
        <is>
          <t>EVO2: Fortifying Bloodshed; EVO3: Kinetic Battle; EVO4: Zeroed In</t>
        </is>
      </c>
      <c r="P115" s="39" t="inlineStr">
        <is>
          <t>~4 (Incarnon)</t>
        </is>
      </c>
    </row>
    <row r="116">
      <c r="A116" s="39" t="inlineStr">
        <is>
          <t>AUDITED</t>
        </is>
      </c>
      <c r="B116" s="39" t="inlineStr">
        <is>
          <t>AUDITED: no weapon/frame mechanic overrides the default</t>
        </is>
      </c>
      <c r="C116" s="39" t="inlineStr">
        <is>
          <t>-</t>
        </is>
      </c>
      <c r="D116" s="39" t="inlineStr">
        <is>
          <t>Nova Prime</t>
        </is>
      </c>
      <c r="E116" s="39" t="inlineStr">
        <is>
          <t>Secondary</t>
        </is>
      </c>
      <c r="F116" s="39" t="inlineStr">
        <is>
          <t>Aksomati Prime</t>
        </is>
      </c>
      <c r="G116" s="39" t="inlineStr">
        <is>
          <t>Dual Pistols</t>
        </is>
      </c>
      <c r="H116" s="39" t="n">
        <v>0.24</v>
      </c>
      <c r="I116" s="39" t="n">
        <v>0.18</v>
      </c>
      <c r="J116" s="39" t="inlineStr">
        <is>
          <t>crit</t>
        </is>
      </c>
      <c r="K116" s="39" t="inlineStr">
        <is>
          <t>PISTOL_CRIT</t>
        </is>
      </c>
      <c r="L116" s="39" t="inlineStr">
        <is>
          <t>Hornet Strike | Galvanized Diffusion | Primed Pistol Gambit | Primed Target Cracker | Galvanized Crosshairs | Galvanized Shot | Deep Freeze | Pathogen Rounds</t>
        </is>
      </c>
      <c r="M116" s="39" t="inlineStr">
        <is>
          <t>Secondary Merciless</t>
        </is>
      </c>
      <c r="N116" s="39" t="inlineStr">
        <is>
          <t>Viral</t>
        </is>
      </c>
      <c r="O116" s="39" t="inlineStr">
        <is>
          <t>-</t>
        </is>
      </c>
      <c r="P116" s="39" t="inlineStr">
        <is>
          <t>~3</t>
        </is>
      </c>
    </row>
    <row r="117">
      <c r="A117" s="39" t="inlineStr">
        <is>
          <t>AUDITED</t>
        </is>
      </c>
      <c r="B117" s="39" t="inlineStr">
        <is>
          <t>AUDITED: no weapon/frame mechanic overrides the default</t>
        </is>
      </c>
      <c r="C117" s="39" t="inlineStr">
        <is>
          <t>-</t>
        </is>
      </c>
      <c r="D117" s="39" t="inlineStr">
        <is>
          <t>Nova Prime</t>
        </is>
      </c>
      <c r="E117" s="39" t="inlineStr">
        <is>
          <t>Melee</t>
        </is>
      </c>
      <c r="F117" s="39" t="inlineStr">
        <is>
          <t>Gunsen Prime</t>
        </is>
      </c>
      <c r="G117" s="39" t="inlineStr">
        <is>
          <t>Warfan</t>
        </is>
      </c>
      <c r="H117" s="39" t="n">
        <v>0.2</v>
      </c>
      <c r="I117" s="39" t="n">
        <v>0.34</v>
      </c>
      <c r="J117" s="39" t="inlineStr">
        <is>
          <t>status</t>
        </is>
      </c>
      <c r="K117" s="39" t="inlineStr">
        <is>
          <t>MELEE_INFLUENCE</t>
        </is>
      </c>
      <c r="L117" s="39" t="inlineStr">
        <is>
          <t>Primed Pressure Point | Blood Rush | Weeping Wounds | Organ Shatter | Condition Overload | North Wind | Virulent Scourge | Voltaic Strike</t>
        </is>
      </c>
      <c r="M117" s="39" t="inlineStr">
        <is>
          <t>Melee Influence</t>
        </is>
      </c>
      <c r="N117" s="39" t="inlineStr">
        <is>
          <t>Viral + Electricity</t>
        </is>
      </c>
      <c r="O117" s="39" t="inlineStr">
        <is>
          <t>-</t>
        </is>
      </c>
      <c r="P117" s="39" t="inlineStr">
        <is>
          <t>~3</t>
        </is>
      </c>
    </row>
    <row r="118">
      <c r="A118" s="39" t="inlineStr">
        <is>
          <t>AUDITED</t>
        </is>
      </c>
      <c r="B118" s="39" t="inlineStr">
        <is>
          <t>AUDITED: no weapon/frame mechanic overrides the default</t>
        </is>
      </c>
      <c r="C118" s="39" t="inlineStr">
        <is>
          <t>-</t>
        </is>
      </c>
      <c r="D118" s="39" t="inlineStr">
        <is>
          <t>Nyx Prime</t>
        </is>
      </c>
      <c r="E118" s="39" t="inlineStr">
        <is>
          <t>Primary</t>
        </is>
      </c>
      <c r="F118" s="39" t="inlineStr">
        <is>
          <t>Synapse</t>
        </is>
      </c>
      <c r="G118" s="39" t="inlineStr">
        <is>
          <t>Rifle</t>
        </is>
      </c>
      <c r="H118" s="39" t="n">
        <v>0.39</v>
      </c>
      <c r="I118" s="39" t="n">
        <v>0.13</v>
      </c>
      <c r="J118" s="39" t="inlineStr">
        <is>
          <t>crit</t>
        </is>
      </c>
      <c r="K118" s="39" t="inlineStr">
        <is>
          <t>RIFLE_CRIT</t>
        </is>
      </c>
      <c r="L118" s="39" t="inlineStr">
        <is>
          <t>Serration | Galvanized Chamber | Point Strike | Vital Sense | Hammer Shot | Galvanized Aptitude | Primed Cryo Rounds | Malignant Force</t>
        </is>
      </c>
      <c r="M118" s="39" t="inlineStr">
        <is>
          <t>Primary Merciless</t>
        </is>
      </c>
      <c r="N118" s="39" t="inlineStr">
        <is>
          <t>Viral + Corrosive</t>
        </is>
      </c>
      <c r="O118" s="39" t="inlineStr">
        <is>
          <t>-</t>
        </is>
      </c>
      <c r="P118" s="39" t="inlineStr">
        <is>
          <t>~3</t>
        </is>
      </c>
    </row>
    <row r="119">
      <c r="A119" s="39" t="inlineStr">
        <is>
          <t>AUDITED</t>
        </is>
      </c>
      <c r="B119" s="39" t="inlineStr">
        <is>
          <t>AUDITED: THRESHOLD REVIEW: Hikou Prime 6% crit; Nyx passive (+40% crit per confused enemy) is additive to the crit MULTIPLIER, so 6% base stays low -&gt; status confirmed</t>
        </is>
      </c>
      <c r="C119" s="39" t="inlineStr">
        <is>
          <t>THRESHOLD FLAG: &lt;15% crit -&gt; status template proposed; needs weapon-specific review</t>
        </is>
      </c>
      <c r="D119" s="39" t="inlineStr">
        <is>
          <t>Nyx Prime</t>
        </is>
      </c>
      <c r="E119" s="39" t="inlineStr">
        <is>
          <t>Secondary</t>
        </is>
      </c>
      <c r="F119" s="39" t="inlineStr">
        <is>
          <t>Hikou Prime</t>
        </is>
      </c>
      <c r="G119" s="39" t="inlineStr">
        <is>
          <t>Thrown</t>
        </is>
      </c>
      <c r="H119" s="39" t="n">
        <v>0.06</v>
      </c>
      <c r="I119" s="39" t="n">
        <v>0.28</v>
      </c>
      <c r="J119" s="39" t="inlineStr">
        <is>
          <t>status</t>
        </is>
      </c>
      <c r="K119" s="39" t="inlineStr">
        <is>
          <t>PISTOL_STATUS</t>
        </is>
      </c>
      <c r="L119" s="39" t="inlineStr">
        <is>
          <t>Hornet Strike | Augur Pact | Galvanized Diffusion | Lethal Torrent | Galvanized Shot | Frostbite | Pistol Pestilence | Jolt</t>
        </is>
      </c>
      <c r="M119" s="39" t="inlineStr">
        <is>
          <t>Secondary Encumber</t>
        </is>
      </c>
      <c r="N119" s="39" t="inlineStr">
        <is>
          <t>Viral + Electricity</t>
        </is>
      </c>
      <c r="O119" s="39" t="inlineStr">
        <is>
          <t>-</t>
        </is>
      </c>
      <c r="P119" s="39" t="inlineStr">
        <is>
          <t>~3</t>
        </is>
      </c>
    </row>
    <row r="120">
      <c r="A120" s="39" t="inlineStr">
        <is>
          <t>AUDITED</t>
        </is>
      </c>
      <c r="B120" s="39" t="inlineStr">
        <is>
          <t>AUDITED: no weapon/frame mechanic overrides the default</t>
        </is>
      </c>
      <c r="C120" s="39" t="inlineStr">
        <is>
          <t>-</t>
        </is>
      </c>
      <c r="D120" s="39" t="inlineStr">
        <is>
          <t>Nyx Prime</t>
        </is>
      </c>
      <c r="E120" s="39" t="inlineStr">
        <is>
          <t>Melee</t>
        </is>
      </c>
      <c r="F120" s="39" t="inlineStr">
        <is>
          <t>Scindo Prime</t>
        </is>
      </c>
      <c r="G120" s="39" t="inlineStr">
        <is>
          <t>Heavy Blade</t>
        </is>
      </c>
      <c r="H120" s="39" t="n">
        <v>0.26</v>
      </c>
      <c r="I120" s="39" t="n">
        <v>0.24</v>
      </c>
      <c r="J120" s="39" t="inlineStr">
        <is>
          <t>crit</t>
        </is>
      </c>
      <c r="K120" s="39" t="inlineStr">
        <is>
          <t>MELEE_CRIT</t>
        </is>
      </c>
      <c r="L120" s="39" t="inlineStr">
        <is>
          <t>Primed Pressure Point | Blood Rush | Weeping Wounds | Organ Shatter | Berserker Fury | Condition Overload | North Wind | Virulent Scourge</t>
        </is>
      </c>
      <c r="M120" s="39" t="inlineStr">
        <is>
          <t>Melee Animosity</t>
        </is>
      </c>
      <c r="N120" s="39" t="inlineStr">
        <is>
          <t>Viral</t>
        </is>
      </c>
      <c r="O120" s="39" t="inlineStr">
        <is>
          <t>-</t>
        </is>
      </c>
      <c r="P120" s="39" t="inlineStr">
        <is>
          <t>~3</t>
        </is>
      </c>
    </row>
    <row r="121">
      <c r="A121" s="39" t="inlineStr">
        <is>
          <t>AUDITED</t>
        </is>
      </c>
      <c r="B121" s="39" t="inlineStr">
        <is>
          <t>AUDITED: no weapon/frame mechanic overrides the default</t>
        </is>
      </c>
      <c r="C121" s="39" t="inlineStr">
        <is>
          <t>Incarnon Form 25% crit / 30% status (base 30%/25%)</t>
        </is>
      </c>
      <c r="D121" s="39" t="inlineStr">
        <is>
          <t>Oberon Prime</t>
        </is>
      </c>
      <c r="E121" s="39" t="inlineStr">
        <is>
          <t>Primary</t>
        </is>
      </c>
      <c r="F121" s="39" t="inlineStr">
        <is>
          <t>Sybaris Prime</t>
        </is>
      </c>
      <c r="G121" s="39" t="inlineStr">
        <is>
          <t>Rifle</t>
        </is>
      </c>
      <c r="H121" s="39" t="n">
        <v>0.3</v>
      </c>
      <c r="I121" s="39" t="n">
        <v>0.25</v>
      </c>
      <c r="J121" s="39" t="inlineStr">
        <is>
          <t>crit</t>
        </is>
      </c>
      <c r="K121" s="39" t="inlineStr">
        <is>
          <t>RIFLE_CRIT</t>
        </is>
      </c>
      <c r="L121" s="39" t="inlineStr">
        <is>
          <t>Serration | Galvanized Chamber | Point Strike | Vital Sense | Hammer Shot | Galvanized Aptitude | Primed Cryo Rounds | Malignant Force</t>
        </is>
      </c>
      <c r="M121" s="39" t="inlineStr">
        <is>
          <t>Primary Merciless</t>
        </is>
      </c>
      <c r="N121" s="39" t="inlineStr">
        <is>
          <t>Viral</t>
        </is>
      </c>
      <c r="O121" s="39" t="inlineStr">
        <is>
          <t>EVO2: Blazing Barrel; EVO3: Extended Volley; EVO4: Survivor's Edge</t>
        </is>
      </c>
      <c r="P121" s="39" t="inlineStr">
        <is>
          <t>~4 (Incarnon)</t>
        </is>
      </c>
    </row>
    <row r="122">
      <c r="A122" s="39" t="inlineStr">
        <is>
          <t>AUDITED</t>
        </is>
      </c>
      <c r="B122" s="39" t="inlineStr">
        <is>
          <t>AUDITED: King's Gambit sets body-shot crit to x0 - Oberon is not a weak-point frame -&gt; Feigned Retreat</t>
        </is>
      </c>
      <c r="C122" s="39" t="inlineStr">
        <is>
          <t>Incarnon Form 30% crit / 20% status (base 25%/20%)</t>
        </is>
      </c>
      <c r="D122" s="39" t="inlineStr">
        <is>
          <t>Oberon Prime</t>
        </is>
      </c>
      <c r="E122" s="39" t="inlineStr">
        <is>
          <t>Secondary</t>
        </is>
      </c>
      <c r="F122" s="39" t="inlineStr">
        <is>
          <t>Sicarus Prime</t>
        </is>
      </c>
      <c r="G122" s="39" t="inlineStr">
        <is>
          <t>Pistol</t>
        </is>
      </c>
      <c r="H122" s="39" t="n">
        <v>0.25</v>
      </c>
      <c r="I122" s="39" t="n">
        <v>0.2</v>
      </c>
      <c r="J122" s="39" t="inlineStr">
        <is>
          <t>crit</t>
        </is>
      </c>
      <c r="K122" s="39" t="inlineStr">
        <is>
          <t>PISTOL_CRIT</t>
        </is>
      </c>
      <c r="L122" s="39" t="inlineStr">
        <is>
          <t>Hornet Strike | Galvanized Diffusion | Primed Pistol Gambit | Primed Target Cracker | Galvanized Crosshairs | Galvanized Shot | Deep Freeze | Pathogen Rounds</t>
        </is>
      </c>
      <c r="M122" s="39" t="inlineStr">
        <is>
          <t>Secondary Merciless</t>
        </is>
      </c>
      <c r="N122" s="39" t="inlineStr">
        <is>
          <t>Viral</t>
        </is>
      </c>
      <c r="O122" s="39" t="inlineStr">
        <is>
          <t>EVO2: Feigned Retreat; EVO3: Void's Guidance; EVO4: Commodore's Fortune</t>
        </is>
      </c>
      <c r="P122" s="39" t="inlineStr">
        <is>
          <t>~4 (Incarnon)</t>
        </is>
      </c>
    </row>
    <row r="123">
      <c r="A123" s="39" t="inlineStr">
        <is>
          <t>AUDITED</t>
        </is>
      </c>
      <c r="B123" s="39" t="inlineStr">
        <is>
          <t>AUDITED: no weapon/frame mechanic overrides the default</t>
        </is>
      </c>
      <c r="C123" s="39" t="inlineStr">
        <is>
          <t>-</t>
        </is>
      </c>
      <c r="D123" s="39" t="inlineStr">
        <is>
          <t>Oberon Prime</t>
        </is>
      </c>
      <c r="E123" s="39" t="inlineStr">
        <is>
          <t>Melee</t>
        </is>
      </c>
      <c r="F123" s="39" t="inlineStr">
        <is>
          <t>Silva &amp; Aegis Prime</t>
        </is>
      </c>
      <c r="G123" s="39" t="inlineStr">
        <is>
          <t>Sword and Shield</t>
        </is>
      </c>
      <c r="H123" s="39" t="n">
        <v>0.25</v>
      </c>
      <c r="I123" s="39" t="n">
        <v>0.3</v>
      </c>
      <c r="J123" s="39" t="inlineStr">
        <is>
          <t>crit</t>
        </is>
      </c>
      <c r="K123" s="39" t="inlineStr">
        <is>
          <t>MELEE_CRIT</t>
        </is>
      </c>
      <c r="L123" s="39" t="inlineStr">
        <is>
          <t>Primed Pressure Point | Blood Rush | Weeping Wounds | Organ Shatter | Berserker Fury | Condition Overload | North Wind | Virulent Scourge</t>
        </is>
      </c>
      <c r="M123" s="39" t="inlineStr">
        <is>
          <t>Melee Duplicate</t>
        </is>
      </c>
      <c r="N123" s="39" t="inlineStr">
        <is>
          <t>Viral + Heat</t>
        </is>
      </c>
      <c r="O123" s="39" t="inlineStr">
        <is>
          <t>-</t>
        </is>
      </c>
      <c r="P123" s="39" t="inlineStr">
        <is>
          <t>~3</t>
        </is>
      </c>
    </row>
    <row r="124">
      <c r="A124" s="39" t="inlineStr">
        <is>
          <t>AUDITED</t>
        </is>
      </c>
      <c r="B124" s="39" t="inlineStr">
        <is>
          <t>AUDITED: no weapon/frame mechanic overrides the default</t>
        </is>
      </c>
      <c r="C124" s="39" t="inlineStr">
        <is>
          <t>-</t>
        </is>
      </c>
      <c r="D124" s="39" t="inlineStr">
        <is>
          <t>Octavia Prime</t>
        </is>
      </c>
      <c r="E124" s="39" t="inlineStr">
        <is>
          <t>Primary</t>
        </is>
      </c>
      <c r="F124" s="39" t="inlineStr">
        <is>
          <t>Tenora Prime</t>
        </is>
      </c>
      <c r="G124" s="39" t="inlineStr">
        <is>
          <t>Rifle</t>
        </is>
      </c>
      <c r="H124" s="39" t="n">
        <v>0.3</v>
      </c>
      <c r="I124" s="39" t="n">
        <v>0.24</v>
      </c>
      <c r="J124" s="39" t="inlineStr">
        <is>
          <t>crit</t>
        </is>
      </c>
      <c r="K124" s="39" t="inlineStr">
        <is>
          <t>RIFLE_CRIT</t>
        </is>
      </c>
      <c r="L124" s="39" t="inlineStr">
        <is>
          <t>Serration | Galvanized Chamber | Point Strike | Vital Sense | Hammer Shot | Galvanized Aptitude | Primed Cryo Rounds | Malignant Force</t>
        </is>
      </c>
      <c r="M124" s="39" t="inlineStr">
        <is>
          <t>Primary Merciless</t>
        </is>
      </c>
      <c r="N124" s="39" t="inlineStr">
        <is>
          <t>Viral</t>
        </is>
      </c>
      <c r="O124" s="39" t="inlineStr">
        <is>
          <t>-</t>
        </is>
      </c>
      <c r="P124" s="39" t="inlineStr">
        <is>
          <t>~3</t>
        </is>
      </c>
    </row>
    <row r="125">
      <c r="A125" s="39" t="inlineStr">
        <is>
          <t>AUDITED</t>
        </is>
      </c>
      <c r="B125" s="39" t="inlineStr">
        <is>
          <t>AUDITED: no weapon/frame mechanic overrides the default</t>
        </is>
      </c>
      <c r="C125" s="39" t="inlineStr">
        <is>
          <t>-</t>
        </is>
      </c>
      <c r="D125" s="39" t="inlineStr">
        <is>
          <t>Octavia Prime</t>
        </is>
      </c>
      <c r="E125" s="39" t="inlineStr">
        <is>
          <t>Secondary</t>
        </is>
      </c>
      <c r="F125" s="39" t="inlineStr">
        <is>
          <t>Pandero Prime</t>
        </is>
      </c>
      <c r="G125" s="39" t="inlineStr">
        <is>
          <t>Pistol</t>
        </is>
      </c>
      <c r="H125" s="39" t="n">
        <v>0.3</v>
      </c>
      <c r="I125" s="39" t="n">
        <v>0.24</v>
      </c>
      <c r="J125" s="39" t="inlineStr">
        <is>
          <t>crit</t>
        </is>
      </c>
      <c r="K125" s="39" t="inlineStr">
        <is>
          <t>PISTOL_CRIT</t>
        </is>
      </c>
      <c r="L125" s="39" t="inlineStr">
        <is>
          <t>Hornet Strike | Galvanized Diffusion | Primed Pistol Gambit | Primed Target Cracker | Galvanized Crosshairs | Galvanized Shot | Deep Freeze | Pathogen Rounds</t>
        </is>
      </c>
      <c r="M125" s="39" t="inlineStr">
        <is>
          <t>Secondary Merciless</t>
        </is>
      </c>
      <c r="N125" s="39" t="inlineStr">
        <is>
          <t>Viral</t>
        </is>
      </c>
      <c r="O125" s="39" t="inlineStr">
        <is>
          <t>-</t>
        </is>
      </c>
      <c r="P125" s="39" t="inlineStr">
        <is>
          <t>~3</t>
        </is>
      </c>
    </row>
    <row r="126">
      <c r="A126" s="39" t="inlineStr">
        <is>
          <t>AUDITED</t>
        </is>
      </c>
      <c r="B126" s="39" t="inlineStr">
        <is>
          <t>AUDITED: no weapon/frame mechanic overrides the default</t>
        </is>
      </c>
      <c r="C126" s="39" t="inlineStr">
        <is>
          <t>-</t>
        </is>
      </c>
      <c r="D126" s="39" t="inlineStr">
        <is>
          <t>Octavia Prime</t>
        </is>
      </c>
      <c r="E126" s="39" t="inlineStr">
        <is>
          <t>Melee</t>
        </is>
      </c>
      <c r="F126" s="39" t="inlineStr">
        <is>
          <t>Stropha</t>
        </is>
      </c>
      <c r="G126" s="39" t="inlineStr">
        <is>
          <t>Gunblade</t>
        </is>
      </c>
      <c r="H126" s="39" t="n">
        <v>0.3</v>
      </c>
      <c r="I126" s="39" t="n">
        <v>0.14</v>
      </c>
      <c r="J126" s="39" t="inlineStr">
        <is>
          <t>crit</t>
        </is>
      </c>
      <c r="K126" s="39" t="inlineStr">
        <is>
          <t>MELEE_CRIT</t>
        </is>
      </c>
      <c r="L126" s="39" t="inlineStr">
        <is>
          <t>Primed Pressure Point | Blood Rush | Weeping Wounds | Organ Shatter | Berserker Fury | Condition Overload | North Wind | Virulent Scourge</t>
        </is>
      </c>
      <c r="M126" s="39" t="inlineStr">
        <is>
          <t>Melee Duplicate</t>
        </is>
      </c>
      <c r="N126" s="39" t="inlineStr">
        <is>
          <t>Viral</t>
        </is>
      </c>
      <c r="O126" s="39" t="inlineStr">
        <is>
          <t>-</t>
        </is>
      </c>
      <c r="P126" s="39" t="inlineStr">
        <is>
          <t>~3</t>
        </is>
      </c>
    </row>
    <row r="127">
      <c r="A127" s="39" t="inlineStr">
        <is>
          <t>AUDITED</t>
        </is>
      </c>
      <c r="B127" s="39" t="inlineStr">
        <is>
          <t>AUDITED: no weapon/frame mechanic overrides the default</t>
        </is>
      </c>
      <c r="C127" s="39" t="inlineStr">
        <is>
          <t>Incarnon Form 29% crit / 39% status (base 15%/23%)</t>
        </is>
      </c>
      <c r="D127" s="39" t="inlineStr">
        <is>
          <t>Oraxia</t>
        </is>
      </c>
      <c r="E127" s="39" t="inlineStr">
        <is>
          <t>Primary</t>
        </is>
      </c>
      <c r="F127" s="39" t="inlineStr">
        <is>
          <t>Torid</t>
        </is>
      </c>
      <c r="G127" s="39" t="inlineStr">
        <is>
          <t>Launcher</t>
        </is>
      </c>
      <c r="H127" s="39" t="n">
        <v>0.15</v>
      </c>
      <c r="I127" s="39" t="n">
        <v>0.23</v>
      </c>
      <c r="J127" s="39" t="inlineStr">
        <is>
          <t>crit</t>
        </is>
      </c>
      <c r="K127" s="39" t="inlineStr">
        <is>
          <t>RIFLE_CRIT</t>
        </is>
      </c>
      <c r="L127" s="39" t="inlineStr">
        <is>
          <t>Serration | Galvanized Chamber | Point Strike | Vital Sense | Hammer Shot | Galvanized Aptitude | Primed Cryo Rounds | Malignant Force</t>
        </is>
      </c>
      <c r="M127" s="39" t="inlineStr">
        <is>
          <t>Primary Merciless</t>
        </is>
      </c>
      <c r="N127" s="39" t="inlineStr">
        <is>
          <t>Viral</t>
        </is>
      </c>
      <c r="O127" s="39" t="inlineStr">
        <is>
          <t>EVO2: Final Fusillade; EVO3: Renewed Horror; EVO4: Commodore's Fortune</t>
        </is>
      </c>
      <c r="P127" s="39" t="inlineStr">
        <is>
          <t>~4 (Incarnon)</t>
        </is>
      </c>
    </row>
    <row r="128">
      <c r="A128" s="39" t="inlineStr">
        <is>
          <t>AUDITED</t>
        </is>
      </c>
      <c r="B128" s="39" t="inlineStr">
        <is>
          <t>AUDITED: no weapon/frame mechanic overrides the default</t>
        </is>
      </c>
      <c r="C128" s="39" t="inlineStr">
        <is>
          <t>-</t>
        </is>
      </c>
      <c r="D128" s="39" t="inlineStr">
        <is>
          <t>Oraxia</t>
        </is>
      </c>
      <c r="E128" s="39" t="inlineStr">
        <is>
          <t>Secondary</t>
        </is>
      </c>
      <c r="F128" s="39" t="inlineStr">
        <is>
          <t>Scyotid</t>
        </is>
      </c>
      <c r="G128" s="39" t="inlineStr">
        <is>
          <t>Thrown</t>
        </is>
      </c>
      <c r="H128" s="39" t="n">
        <v>0.24</v>
      </c>
      <c r="I128" s="39" t="n">
        <v>0.18</v>
      </c>
      <c r="J128" s="39" t="inlineStr">
        <is>
          <t>crit</t>
        </is>
      </c>
      <c r="K128" s="39" t="inlineStr">
        <is>
          <t>PISTOL_CRIT</t>
        </is>
      </c>
      <c r="L128" s="39" t="inlineStr">
        <is>
          <t>Hornet Strike | Galvanized Diffusion | Primed Pistol Gambit | Primed Target Cracker | Galvanized Crosshairs | Galvanized Shot | Deep Freeze | Pathogen Rounds</t>
        </is>
      </c>
      <c r="M128" s="39" t="inlineStr">
        <is>
          <t>Secondary Merciless</t>
        </is>
      </c>
      <c r="N128" s="39" t="inlineStr">
        <is>
          <t>Viral</t>
        </is>
      </c>
      <c r="O128" s="39" t="inlineStr">
        <is>
          <t>-</t>
        </is>
      </c>
      <c r="P128" s="39" t="inlineStr">
        <is>
          <t>~3</t>
        </is>
      </c>
    </row>
    <row r="129">
      <c r="A129" s="39" t="inlineStr">
        <is>
          <t>AUDITED</t>
        </is>
      </c>
      <c r="B129" s="39" t="inlineStr">
        <is>
          <t>AUDITED: no weapon/frame mechanic overrides the default</t>
        </is>
      </c>
      <c r="C129" s="39" t="inlineStr">
        <is>
          <t>-</t>
        </is>
      </c>
      <c r="D129" s="39" t="inlineStr">
        <is>
          <t>Oraxia</t>
        </is>
      </c>
      <c r="E129" s="39" t="inlineStr">
        <is>
          <t>Melee</t>
        </is>
      </c>
      <c r="F129" s="39" t="inlineStr">
        <is>
          <t>Spinnerex</t>
        </is>
      </c>
      <c r="G129" s="39" t="inlineStr">
        <is>
          <t>Whip</t>
        </is>
      </c>
      <c r="H129" s="39" t="n">
        <v>0.16</v>
      </c>
      <c r="I129" s="39" t="n">
        <v>0.4</v>
      </c>
      <c r="J129" s="39" t="inlineStr">
        <is>
          <t>status</t>
        </is>
      </c>
      <c r="K129" s="39" t="inlineStr">
        <is>
          <t>MELEE_INFLUENCE</t>
        </is>
      </c>
      <c r="L129" s="39" t="inlineStr">
        <is>
          <t>Primed Pressure Point | Blood Rush | Weeping Wounds | Organ Shatter | Condition Overload | North Wind | Virulent Scourge | Voltaic Strike</t>
        </is>
      </c>
      <c r="M129" s="39" t="inlineStr">
        <is>
          <t>Melee Influence</t>
        </is>
      </c>
      <c r="N129" s="39" t="inlineStr">
        <is>
          <t>Viral + Electricity</t>
        </is>
      </c>
      <c r="O129" s="39" t="inlineStr">
        <is>
          <t>-</t>
        </is>
      </c>
      <c r="P129" s="39" t="inlineStr">
        <is>
          <t>~3</t>
        </is>
      </c>
    </row>
    <row r="130">
      <c r="A130" s="39" t="inlineStr">
        <is>
          <t>AUDITED</t>
        </is>
      </c>
      <c r="B130" s="39" t="inlineStr">
        <is>
          <t>AUDITED: no weapon/frame mechanic overrides the default</t>
        </is>
      </c>
      <c r="C130" s="39" t="inlineStr">
        <is>
          <t>-</t>
        </is>
      </c>
      <c r="D130" s="39" t="inlineStr">
        <is>
          <t>Protea Prime</t>
        </is>
      </c>
      <c r="E130" s="39" t="inlineStr">
        <is>
          <t>Primary</t>
        </is>
      </c>
      <c r="F130" s="39" t="inlineStr">
        <is>
          <t>Stahlta</t>
        </is>
      </c>
      <c r="G130" s="39" t="inlineStr">
        <is>
          <t>Rifle</t>
        </is>
      </c>
      <c r="H130" s="39" t="n">
        <v>0.24</v>
      </c>
      <c r="I130" s="39" t="n">
        <v>0.22</v>
      </c>
      <c r="J130" s="39" t="inlineStr">
        <is>
          <t>crit</t>
        </is>
      </c>
      <c r="K130" s="39" t="inlineStr">
        <is>
          <t>RIFLE_CRIT</t>
        </is>
      </c>
      <c r="L130" s="39" t="inlineStr">
        <is>
          <t>Serration | Galvanized Chamber | Point Strike | Vital Sense | Hammer Shot | Galvanized Aptitude | Primed Cryo Rounds | Malignant Force</t>
        </is>
      </c>
      <c r="M130" s="39" t="inlineStr">
        <is>
          <t>Primary Merciless</t>
        </is>
      </c>
      <c r="N130" s="39" t="inlineStr">
        <is>
          <t>Viral</t>
        </is>
      </c>
      <c r="O130" s="39" t="inlineStr">
        <is>
          <t>-</t>
        </is>
      </c>
      <c r="P130" s="39" t="inlineStr">
        <is>
          <t>~3</t>
        </is>
      </c>
    </row>
    <row r="131">
      <c r="A131" s="39" t="inlineStr">
        <is>
          <t>AUDITED</t>
        </is>
      </c>
      <c r="B131" s="39" t="inlineStr">
        <is>
          <t>AUDITED: THRESHOLD REVIEW: Velox Prime 14% crit, 32% status (signature +40% ammo efficiency) -&gt; status confirmed</t>
        </is>
      </c>
      <c r="C131" s="39" t="inlineStr">
        <is>
          <t>THRESHOLD FLAG: &lt;15% crit -&gt; status template proposed; needs weapon-specific review</t>
        </is>
      </c>
      <c r="D131" s="39" t="inlineStr">
        <is>
          <t>Protea Prime</t>
        </is>
      </c>
      <c r="E131" s="39" t="inlineStr">
        <is>
          <t>Secondary</t>
        </is>
      </c>
      <c r="F131" s="39" t="inlineStr">
        <is>
          <t>Velox Prime</t>
        </is>
      </c>
      <c r="G131" s="39" t="inlineStr">
        <is>
          <t>Pistol</t>
        </is>
      </c>
      <c r="H131" s="39" t="n">
        <v>0.14</v>
      </c>
      <c r="I131" s="39" t="n">
        <v>0.32</v>
      </c>
      <c r="J131" s="39" t="inlineStr">
        <is>
          <t>status</t>
        </is>
      </c>
      <c r="K131" s="39" t="inlineStr">
        <is>
          <t>PISTOL_STATUS</t>
        </is>
      </c>
      <c r="L131" s="39" t="inlineStr">
        <is>
          <t>Hornet Strike | Augur Pact | Galvanized Diffusion | Lethal Torrent | Galvanized Shot | Frostbite | Pistol Pestilence | Jolt</t>
        </is>
      </c>
      <c r="M131" s="39" t="inlineStr">
        <is>
          <t>Secondary Encumber</t>
        </is>
      </c>
      <c r="N131" s="39" t="inlineStr">
        <is>
          <t>Viral + Electricity</t>
        </is>
      </c>
      <c r="O131" s="39" t="inlineStr">
        <is>
          <t>-</t>
        </is>
      </c>
      <c r="P131" s="39" t="inlineStr">
        <is>
          <t>~3</t>
        </is>
      </c>
    </row>
    <row r="132">
      <c r="A132" s="39" t="inlineStr">
        <is>
          <t>AUDITED</t>
        </is>
      </c>
      <c r="B132" s="39" t="inlineStr">
        <is>
          <t>AUDITED: no weapon/frame mechanic overrides the default</t>
        </is>
      </c>
      <c r="C132" s="39" t="inlineStr">
        <is>
          <t>-</t>
        </is>
      </c>
      <c r="D132" s="39" t="inlineStr">
        <is>
          <t>Protea Prime</t>
        </is>
      </c>
      <c r="E132" s="39" t="inlineStr">
        <is>
          <t>Melee</t>
        </is>
      </c>
      <c r="F132" s="39" t="inlineStr">
        <is>
          <t>Okina Prime</t>
        </is>
      </c>
      <c r="G132" s="39" t="inlineStr">
        <is>
          <t>Dual Daggers</t>
        </is>
      </c>
      <c r="H132" s="39" t="n">
        <v>0.3</v>
      </c>
      <c r="I132" s="39" t="n">
        <v>0.24</v>
      </c>
      <c r="J132" s="39" t="inlineStr">
        <is>
          <t>crit</t>
        </is>
      </c>
      <c r="K132" s="39" t="inlineStr">
        <is>
          <t>MELEE_CRIT</t>
        </is>
      </c>
      <c r="L132" s="39" t="inlineStr">
        <is>
          <t>Primed Pressure Point | Blood Rush | Weeping Wounds | Organ Shatter | Berserker Fury | Condition Overload | North Wind | Virulent Scourge</t>
        </is>
      </c>
      <c r="M132" s="39" t="inlineStr">
        <is>
          <t>Melee Duplicate</t>
        </is>
      </c>
      <c r="N132" s="39" t="inlineStr">
        <is>
          <t>Viral</t>
        </is>
      </c>
      <c r="O132" s="39" t="inlineStr">
        <is>
          <t>EVO2: Synergist Surety; EVO3: Orokin Reach; EVO4: Commodore's Fortune</t>
        </is>
      </c>
      <c r="P132" s="39" t="inlineStr">
        <is>
          <t>~4 (Incarnon)</t>
        </is>
      </c>
    </row>
    <row r="133">
      <c r="A133" s="39" t="inlineStr">
        <is>
          <t>AUDITED</t>
        </is>
      </c>
      <c r="B133" s="39" t="inlineStr">
        <is>
          <t>AUDITED: INCARNON OVERRIDE: Devastating Attrition = 50% chance of +2000% on NON-critical hits -&gt; crit mods lower damage; Racking Wrath (-10% crit, +20% status); Incarnon Form innate Radiation feeds the Crucible/Pillar chain</t>
        </is>
      </c>
      <c r="C133" s="39" t="inlineStr">
        <is>
          <t>Incarnon Form 20% crit / 20% status (base 20%/6%)</t>
        </is>
      </c>
      <c r="D133" s="39" t="inlineStr">
        <is>
          <t>Qorvex</t>
        </is>
      </c>
      <c r="E133" s="39" t="inlineStr">
        <is>
          <t>Primary</t>
        </is>
      </c>
      <c r="F133" s="39" t="inlineStr">
        <is>
          <t>Felarx</t>
        </is>
      </c>
      <c r="G133" s="39" t="inlineStr">
        <is>
          <t>Shotgun</t>
        </is>
      </c>
      <c r="H133" s="39" t="n">
        <v>0.2</v>
      </c>
      <c r="I133" s="39" t="n">
        <v>0.055</v>
      </c>
      <c r="J133" s="39" t="inlineStr">
        <is>
          <t>status</t>
        </is>
      </c>
      <c r="K133" s="39" t="inlineStr">
        <is>
          <t>SHOTGUN_STATUS</t>
        </is>
      </c>
      <c r="L133" s="39" t="inlineStr">
        <is>
          <t>Primed Point Blank | Vicious Spread | Galvanized Hell | Galvanized Savvy | Shotgun Barrage | Frigid Blast | Toxic Barrage | Primed Charged Shell</t>
        </is>
      </c>
      <c r="M133" s="39" t="inlineStr">
        <is>
          <t>Shotgun Vendetta</t>
        </is>
      </c>
      <c r="N133" s="39" t="inlineStr">
        <is>
          <t>Viral + Electricity</t>
        </is>
      </c>
      <c r="O133" s="39" t="inlineStr">
        <is>
          <t>EVO2: Attuned Accuracy; EVO3: Dual-Mode; EVO4: Racking Wrath; EVO5: Devastating Attrition</t>
        </is>
      </c>
      <c r="P133" s="39" t="inlineStr">
        <is>
          <t>~4 (Incarnon)</t>
        </is>
      </c>
    </row>
    <row r="134">
      <c r="A134" s="39" t="inlineStr">
        <is>
          <t>AUDITED</t>
        </is>
      </c>
      <c r="B134" s="39" t="inlineStr">
        <is>
          <t>AUDITED: Speeding Bullet needs sprint speed &gt;=1.2 (not met) -&gt; Infused Shots (per 50 energy spent); Incarnon Form 24% / 3.2x crit</t>
        </is>
      </c>
      <c r="C134" s="39" t="inlineStr">
        <is>
          <t>Incarnon Form 24% crit / 26% status (base 6%/13%)</t>
        </is>
      </c>
      <c r="D134" s="39" t="inlineStr">
        <is>
          <t>Qorvex</t>
        </is>
      </c>
      <c r="E134" s="39" t="inlineStr">
        <is>
          <t>Secondary</t>
        </is>
      </c>
      <c r="F134" s="39" t="inlineStr">
        <is>
          <t>Bronco Prime</t>
        </is>
      </c>
      <c r="G134" s="39" t="inlineStr">
        <is>
          <t>Shotgun Sidearm</t>
        </is>
      </c>
      <c r="H134" s="39" t="n">
        <v>0.06</v>
      </c>
      <c r="I134" s="39" t="n">
        <v>0.1286</v>
      </c>
      <c r="J134" s="39" t="inlineStr">
        <is>
          <t>crit</t>
        </is>
      </c>
      <c r="K134" s="39" t="inlineStr">
        <is>
          <t>PISTOL_CRIT</t>
        </is>
      </c>
      <c r="L134" s="39" t="inlineStr">
        <is>
          <t>Hornet Strike | Galvanized Diffusion | Primed Pistol Gambit | Primed Target Cracker | Galvanized Crosshairs | Galvanized Shot | Deep Freeze | Pathogen Rounds</t>
        </is>
      </c>
      <c r="M134" s="39" t="inlineStr">
        <is>
          <t>Secondary Merciless</t>
        </is>
      </c>
      <c r="N134" s="39" t="inlineStr">
        <is>
          <t>Viral</t>
        </is>
      </c>
      <c r="O134" s="39" t="inlineStr">
        <is>
          <t>EVO2: Infused Shots; EVO3: Extended Volley; EVO4: Rain of Lead</t>
        </is>
      </c>
      <c r="P134" s="39" t="inlineStr">
        <is>
          <t>~4 (Incarnon)</t>
        </is>
      </c>
    </row>
    <row r="135">
      <c r="A135" s="39" t="inlineStr">
        <is>
          <t>AUDITED</t>
        </is>
      </c>
      <c r="B135" s="39" t="inlineStr">
        <is>
          <t>AUDITED: no weapon/frame mechanic overrides the default</t>
        </is>
      </c>
      <c r="C135" s="39" t="inlineStr">
        <is>
          <t>-</t>
        </is>
      </c>
      <c r="D135" s="39" t="inlineStr">
        <is>
          <t>Qorvex</t>
        </is>
      </c>
      <c r="E135" s="39" t="inlineStr">
        <is>
          <t>Melee</t>
        </is>
      </c>
      <c r="F135" s="39" t="inlineStr">
        <is>
          <t>Hate</t>
        </is>
      </c>
      <c r="G135" s="39" t="inlineStr">
        <is>
          <t>Scythe</t>
        </is>
      </c>
      <c r="H135" s="39" t="n">
        <v>0.3</v>
      </c>
      <c r="I135" s="39" t="n">
        <v>0.2</v>
      </c>
      <c r="J135" s="39" t="inlineStr">
        <is>
          <t>crit</t>
        </is>
      </c>
      <c r="K135" s="39" t="inlineStr">
        <is>
          <t>MELEE_CRIT</t>
        </is>
      </c>
      <c r="L135" s="39" t="inlineStr">
        <is>
          <t>Primed Pressure Point | Blood Rush | Weeping Wounds | Organ Shatter | Berserker Fury | Condition Overload | North Wind | Virulent Scourge</t>
        </is>
      </c>
      <c r="M135" s="39" t="inlineStr">
        <is>
          <t>Melee Animosity</t>
        </is>
      </c>
      <c r="N135" s="39" t="inlineStr">
        <is>
          <t>Viral</t>
        </is>
      </c>
      <c r="O135" s="39" t="inlineStr">
        <is>
          <t>EVO2: Swordsman's Flourish; EVO3: Orokin Reach; EVO4: Absolute Valor</t>
        </is>
      </c>
      <c r="P135" s="39" t="inlineStr">
        <is>
          <t>~4 (Incarnon)</t>
        </is>
      </c>
    </row>
    <row r="136">
      <c r="A136" s="39" t="inlineStr">
        <is>
          <t>AUDITED</t>
        </is>
      </c>
      <c r="B136" s="39" t="inlineStr">
        <is>
          <t>AUDITED: Signature Phantasma Prime has INNATE Radiation, which turns thralls back to enemies (wiki) - documented conflict; avoid sweeping thralls with the beam</t>
        </is>
      </c>
      <c r="C136" s="39" t="inlineStr">
        <is>
          <t>THRESHOLD FLAG: &lt;15% crit -&gt; status template proposed; needs weapon-specific review</t>
        </is>
      </c>
      <c r="D136" s="39" t="inlineStr">
        <is>
          <t>Revenant Prime</t>
        </is>
      </c>
      <c r="E136" s="39" t="inlineStr">
        <is>
          <t>Primary</t>
        </is>
      </c>
      <c r="F136" s="39" t="inlineStr">
        <is>
          <t>Phantasma Prime</t>
        </is>
      </c>
      <c r="G136" s="39" t="inlineStr">
        <is>
          <t>Shotgun</t>
        </is>
      </c>
      <c r="H136" s="39" t="n">
        <v>0.11</v>
      </c>
      <c r="I136" s="39" t="n">
        <v>0.222</v>
      </c>
      <c r="J136" s="39" t="inlineStr">
        <is>
          <t>status</t>
        </is>
      </c>
      <c r="K136" s="39" t="inlineStr">
        <is>
          <t>SHOTGUN_STATUS</t>
        </is>
      </c>
      <c r="L136" s="39" t="inlineStr">
        <is>
          <t>Primed Point Blank | Vicious Spread | Galvanized Hell | Galvanized Savvy | Shotgun Barrage | Frigid Blast | Toxic Barrage | Primed Charged Shell</t>
        </is>
      </c>
      <c r="M136" s="39" t="inlineStr">
        <is>
          <t>Shotgun Vendetta</t>
        </is>
      </c>
      <c r="N136" s="39" t="inlineStr">
        <is>
          <t>Viral + Electricity + Radiation</t>
        </is>
      </c>
      <c r="O136" s="39" t="inlineStr">
        <is>
          <t>-</t>
        </is>
      </c>
      <c r="P136" s="39" t="inlineStr">
        <is>
          <t>~3</t>
        </is>
      </c>
    </row>
    <row r="137">
      <c r="A137" s="39" t="inlineStr">
        <is>
          <t>AUDITED</t>
        </is>
      </c>
      <c r="B137" s="39" t="inlineStr">
        <is>
          <t>AUDITED: Tenet Cycron 40% status beam; Jolt removed because Electricity + innate Heat = Radiation (un-thralls Enthrall targets) -&gt; Viral + Heat</t>
        </is>
      </c>
      <c r="C137" s="39" t="inlineStr">
        <is>
          <t>-</t>
        </is>
      </c>
      <c r="D137" s="39" t="inlineStr">
        <is>
          <t>Revenant Prime</t>
        </is>
      </c>
      <c r="E137" s="39" t="inlineStr">
        <is>
          <t>Secondary</t>
        </is>
      </c>
      <c r="F137" s="39" t="inlineStr">
        <is>
          <t>Tenet Cycron</t>
        </is>
      </c>
      <c r="G137" s="39" t="inlineStr">
        <is>
          <t>Pistol</t>
        </is>
      </c>
      <c r="H137" s="39" t="n">
        <v>0.2</v>
      </c>
      <c r="I137" s="39" t="n">
        <v>0.4</v>
      </c>
      <c r="J137" s="39" t="inlineStr">
        <is>
          <t>status</t>
        </is>
      </c>
      <c r="K137" s="39" t="inlineStr">
        <is>
          <t>PISTOL_STATUS_NO_ELEC</t>
        </is>
      </c>
      <c r="L137" s="39" t="inlineStr">
        <is>
          <t>Hornet Strike | Augur Pact | Galvanized Diffusion | Lethal Torrent | Galvanized Shot | Frostbite | Pistol Pestilence | Stunning Speed</t>
        </is>
      </c>
      <c r="M137" s="39" t="inlineStr">
        <is>
          <t>Secondary Encumber</t>
        </is>
      </c>
      <c r="N137" s="39" t="inlineStr">
        <is>
          <t>Viral + Heat</t>
        </is>
      </c>
      <c r="O137" s="39" t="inlineStr">
        <is>
          <t>-</t>
        </is>
      </c>
      <c r="P137" s="39" t="inlineStr">
        <is>
          <t>5 Forma to Rank 40 + ~3 polarization</t>
        </is>
      </c>
    </row>
    <row r="138">
      <c r="A138" s="39" t="inlineStr">
        <is>
          <t>AUDITED</t>
        </is>
      </c>
      <c r="B138" s="39" t="inlineStr">
        <is>
          <t>AUDITED: Signature Tatsu Prime has INNATE Radiation (+4 Soul Swarm charges) - documented thrall conflict</t>
        </is>
      </c>
      <c r="C138" s="39" t="inlineStr">
        <is>
          <t>-</t>
        </is>
      </c>
      <c r="D138" s="39" t="inlineStr">
        <is>
          <t>Revenant Prime</t>
        </is>
      </c>
      <c r="E138" s="39" t="inlineStr">
        <is>
          <t>Melee</t>
        </is>
      </c>
      <c r="F138" s="39" t="inlineStr">
        <is>
          <t>Tatsu Prime</t>
        </is>
      </c>
      <c r="G138" s="39" t="inlineStr">
        <is>
          <t>Two-Handed Nikana</t>
        </is>
      </c>
      <c r="H138" s="39" t="n">
        <v>0.22</v>
      </c>
      <c r="I138" s="39" t="n">
        <v>0.3</v>
      </c>
      <c r="J138" s="39" t="inlineStr">
        <is>
          <t>status</t>
        </is>
      </c>
      <c r="K138" s="39" t="inlineStr">
        <is>
          <t>MELEE_INFLUENCE</t>
        </is>
      </c>
      <c r="L138" s="39" t="inlineStr">
        <is>
          <t>Primed Pressure Point | Blood Rush | Weeping Wounds | Organ Shatter | Condition Overload | North Wind | Virulent Scourge | Voltaic Strike</t>
        </is>
      </c>
      <c r="M138" s="39" t="inlineStr">
        <is>
          <t>Melee Influence</t>
        </is>
      </c>
      <c r="N138" s="39" t="inlineStr">
        <is>
          <t>Viral + Electricity + Radiation</t>
        </is>
      </c>
      <c r="O138" s="39" t="inlineStr">
        <is>
          <t>-</t>
        </is>
      </c>
      <c r="P138" s="39" t="inlineStr">
        <is>
          <t>~3</t>
        </is>
      </c>
    </row>
    <row r="139">
      <c r="A139" s="39" t="inlineStr">
        <is>
          <t>AUDITED</t>
        </is>
      </c>
      <c r="B139" s="39" t="inlineStr">
        <is>
          <t>AUDITED: Hunter's Mantra needs a channeled ability (Rhino has none) -&gt; Crimson Overture; Incarnon Form 24% / 3x crit -&gt; crit</t>
        </is>
      </c>
      <c r="C139" s="39" t="inlineStr">
        <is>
          <t>Incarnon Form 24% crit / 20% status (base 12%/34%)</t>
        </is>
      </c>
      <c r="D139" s="39" t="inlineStr">
        <is>
          <t>Rhino Prime</t>
        </is>
      </c>
      <c r="E139" s="39" t="inlineStr">
        <is>
          <t>Primary</t>
        </is>
      </c>
      <c r="F139" s="39" t="inlineStr">
        <is>
          <t>Boltor Prime</t>
        </is>
      </c>
      <c r="G139" s="39" t="inlineStr">
        <is>
          <t>Rifle</t>
        </is>
      </c>
      <c r="H139" s="39" t="n">
        <v>0.12</v>
      </c>
      <c r="I139" s="39" t="n">
        <v>0.34</v>
      </c>
      <c r="J139" s="39" t="inlineStr">
        <is>
          <t>crit</t>
        </is>
      </c>
      <c r="K139" s="39" t="inlineStr">
        <is>
          <t>RIFLE_CRIT</t>
        </is>
      </c>
      <c r="L139" s="39" t="inlineStr">
        <is>
          <t>Serration | Galvanized Chamber | Point Strike | Vital Sense | Hammer Shot | Galvanized Aptitude | Primed Cryo Rounds | Malignant Force</t>
        </is>
      </c>
      <c r="M139" s="39" t="inlineStr">
        <is>
          <t>Primary Merciless</t>
        </is>
      </c>
      <c r="N139" s="39" t="inlineStr">
        <is>
          <t>Viral</t>
        </is>
      </c>
      <c r="O139" s="39" t="inlineStr">
        <is>
          <t>EVO2: Crimson Overture; EVO3: Rapid Reinforcement; EVO4: Survivor's Edge</t>
        </is>
      </c>
      <c r="P139" s="39" t="inlineStr">
        <is>
          <t>~4 (Incarnon)</t>
        </is>
      </c>
    </row>
    <row r="140">
      <c r="A140" s="39" t="inlineStr">
        <is>
          <t>AUDITED</t>
        </is>
      </c>
      <c r="B140" s="39" t="inlineStr">
        <is>
          <t>AUDITED: no weapon/frame mechanic overrides the default</t>
        </is>
      </c>
      <c r="C140" s="39" t="inlineStr">
        <is>
          <t>-</t>
        </is>
      </c>
      <c r="D140" s="39" t="inlineStr">
        <is>
          <t>Rhino Prime</t>
        </is>
      </c>
      <c r="E140" s="39" t="inlineStr">
        <is>
          <t>Secondary</t>
        </is>
      </c>
      <c r="F140" s="39" t="inlineStr">
        <is>
          <t>Viper Wraith</t>
        </is>
      </c>
      <c r="G140" s="39" t="inlineStr">
        <is>
          <t>Pistol</t>
        </is>
      </c>
      <c r="H140" s="39" t="n">
        <v>0.19</v>
      </c>
      <c r="I140" s="39" t="n">
        <v>0.09</v>
      </c>
      <c r="J140" s="39" t="inlineStr">
        <is>
          <t>crit</t>
        </is>
      </c>
      <c r="K140" s="39" t="inlineStr">
        <is>
          <t>PISTOL_CRIT</t>
        </is>
      </c>
      <c r="L140" s="39" t="inlineStr">
        <is>
          <t>Hornet Strike | Galvanized Diffusion | Primed Pistol Gambit | Primed Target Cracker | Galvanized Crosshairs | Galvanized Shot | Deep Freeze | Pathogen Rounds</t>
        </is>
      </c>
      <c r="M140" s="39" t="inlineStr">
        <is>
          <t>Secondary Merciless</t>
        </is>
      </c>
      <c r="N140" s="39" t="inlineStr">
        <is>
          <t>Viral</t>
        </is>
      </c>
      <c r="O140" s="39" t="inlineStr">
        <is>
          <t>-</t>
        </is>
      </c>
      <c r="P140" s="39" t="inlineStr">
        <is>
          <t>~3</t>
        </is>
      </c>
    </row>
    <row r="141">
      <c r="A141" s="39" t="inlineStr">
        <is>
          <t>AUDITED</t>
        </is>
      </c>
      <c r="B141" s="39" t="inlineStr">
        <is>
          <t>AUDITED: no weapon/frame mechanic overrides the default</t>
        </is>
      </c>
      <c r="C141" s="39" t="inlineStr">
        <is>
          <t>-</t>
        </is>
      </c>
      <c r="D141" s="39" t="inlineStr">
        <is>
          <t>Rhino Prime</t>
        </is>
      </c>
      <c r="E141" s="39" t="inlineStr">
        <is>
          <t>Melee</t>
        </is>
      </c>
      <c r="F141" s="39" t="inlineStr">
        <is>
          <t>Ankyros Prime</t>
        </is>
      </c>
      <c r="G141" s="39" t="inlineStr">
        <is>
          <t>Fist</t>
        </is>
      </c>
      <c r="H141" s="39" t="n">
        <v>0.28</v>
      </c>
      <c r="I141" s="39" t="n">
        <v>0.16</v>
      </c>
      <c r="J141" s="39" t="inlineStr">
        <is>
          <t>crit</t>
        </is>
      </c>
      <c r="K141" s="39" t="inlineStr">
        <is>
          <t>MELEE_CRIT</t>
        </is>
      </c>
      <c r="L141" s="39" t="inlineStr">
        <is>
          <t>Primed Pressure Point | Blood Rush | Weeping Wounds | Organ Shatter | Berserker Fury | Condition Overload | North Wind | Virulent Scourge</t>
        </is>
      </c>
      <c r="M141" s="39" t="inlineStr">
        <is>
          <t>Melee Duplicate</t>
        </is>
      </c>
      <c r="N141" s="39" t="inlineStr">
        <is>
          <t>Viral</t>
        </is>
      </c>
      <c r="O141" s="39" t="inlineStr">
        <is>
          <t>-</t>
        </is>
      </c>
      <c r="P141" s="39" t="inlineStr">
        <is>
          <t>~3</t>
        </is>
      </c>
    </row>
    <row r="142">
      <c r="A142" s="39" t="inlineStr">
        <is>
          <t>AUDITED</t>
        </is>
      </c>
      <c r="B142" s="39" t="inlineStr">
        <is>
          <t>AUDITED: THRESHOLD REVIEW: Kuva Ogris 9% crit / 47% status; Toxic Lash Toxin ticks are multiplied by every Toxin mod -&gt; status build confirmed</t>
        </is>
      </c>
      <c r="C142" s="39" t="inlineStr">
        <is>
          <t>THRESHOLD FLAG: &lt;15% crit -&gt; status template proposed; needs weapon-specific review</t>
        </is>
      </c>
      <c r="D142" s="39" t="inlineStr">
        <is>
          <t>Saryn Prime</t>
        </is>
      </c>
      <c r="E142" s="39" t="inlineStr">
        <is>
          <t>Primary</t>
        </is>
      </c>
      <c r="F142" s="39" t="inlineStr">
        <is>
          <t>Kuva Ogris</t>
        </is>
      </c>
      <c r="G142" s="39" t="inlineStr">
        <is>
          <t>Launcher</t>
        </is>
      </c>
      <c r="H142" s="39" t="n">
        <v>0.09</v>
      </c>
      <c r="I142" s="39" t="n">
        <v>0.47</v>
      </c>
      <c r="J142" s="39" t="inlineStr">
        <is>
          <t>status</t>
        </is>
      </c>
      <c r="K142" s="39" t="inlineStr">
        <is>
          <t>RIFLE_STATUS</t>
        </is>
      </c>
      <c r="L142" s="39" t="inlineStr">
        <is>
          <t>Serration | Galvanized Chamber | Vigilante Armaments | Galvanized Aptitude | Primed Shred | Rime Rounds | Malignant Force | High Voltage</t>
        </is>
      </c>
      <c r="M142" s="39" t="inlineStr">
        <is>
          <t>Primary Merciless</t>
        </is>
      </c>
      <c r="N142" s="39" t="inlineStr">
        <is>
          <t>Viral + Electricity</t>
        </is>
      </c>
      <c r="O142" s="39" t="inlineStr">
        <is>
          <t>-</t>
        </is>
      </c>
      <c r="P142" s="39" t="inlineStr">
        <is>
          <t>5 Forma to Rank 40 + ~3 polarization</t>
        </is>
      </c>
    </row>
    <row r="143">
      <c r="A143" s="39" t="inlineStr">
        <is>
          <t>AUDITED</t>
        </is>
      </c>
      <c r="B143" s="39" t="inlineStr">
        <is>
          <t>AUDITED: no weapon/frame mechanic overrides the default</t>
        </is>
      </c>
      <c r="C143" s="39" t="inlineStr">
        <is>
          <t>-</t>
        </is>
      </c>
      <c r="D143" s="39" t="inlineStr">
        <is>
          <t>Saryn Prime</t>
        </is>
      </c>
      <c r="E143" s="39" t="inlineStr">
        <is>
          <t>Secondary</t>
        </is>
      </c>
      <c r="F143" s="39" t="inlineStr">
        <is>
          <t>Pyrana</t>
        </is>
      </c>
      <c r="G143" s="39" t="inlineStr">
        <is>
          <t>Shotgun Sidearm</t>
        </is>
      </c>
      <c r="H143" s="39" t="n">
        <v>0.2</v>
      </c>
      <c r="I143" s="39" t="n">
        <v>0.025</v>
      </c>
      <c r="J143" s="39" t="inlineStr">
        <is>
          <t>crit</t>
        </is>
      </c>
      <c r="K143" s="39" t="inlineStr">
        <is>
          <t>PISTOL_CRIT</t>
        </is>
      </c>
      <c r="L143" s="39" t="inlineStr">
        <is>
          <t>Hornet Strike | Galvanized Diffusion | Primed Pistol Gambit | Primed Target Cracker | Galvanized Crosshairs | Galvanized Shot | Deep Freeze | Pathogen Rounds</t>
        </is>
      </c>
      <c r="M143" s="39" t="inlineStr">
        <is>
          <t>Secondary Merciless</t>
        </is>
      </c>
      <c r="N143" s="39" t="inlineStr">
        <is>
          <t>Viral</t>
        </is>
      </c>
      <c r="O143" s="39" t="inlineStr">
        <is>
          <t>-</t>
        </is>
      </c>
      <c r="P143" s="39" t="inlineStr">
        <is>
          <t>~3</t>
        </is>
      </c>
    </row>
    <row r="144">
      <c r="A144" s="39" t="inlineStr">
        <is>
          <t>AUDITED</t>
        </is>
      </c>
      <c r="B144" s="39" t="inlineStr">
        <is>
          <t>AUDITED: Toxic Lash (doubled for melee) applies Toxin -&gt; Alchemist's Wrath +5 combo on Toxin targets and Poison Parasite heals are active</t>
        </is>
      </c>
      <c r="C144" s="39" t="inlineStr">
        <is>
          <t>-</t>
        </is>
      </c>
      <c r="D144" s="39" t="inlineStr">
        <is>
          <t>Saryn Prime</t>
        </is>
      </c>
      <c r="E144" s="39" t="inlineStr">
        <is>
          <t>Melee</t>
        </is>
      </c>
      <c r="F144" s="39" t="inlineStr">
        <is>
          <t>Dual Ichor</t>
        </is>
      </c>
      <c r="G144" s="39" t="inlineStr">
        <is>
          <t>Dual Swords</t>
        </is>
      </c>
      <c r="H144" s="39" t="n">
        <v>0.25</v>
      </c>
      <c r="I144" s="39" t="n">
        <v>0.15</v>
      </c>
      <c r="J144" s="39" t="inlineStr">
        <is>
          <t>crit</t>
        </is>
      </c>
      <c r="K144" s="39" t="inlineStr">
        <is>
          <t>MELEE_CRIT</t>
        </is>
      </c>
      <c r="L144" s="39" t="inlineStr">
        <is>
          <t>Primed Pressure Point | Blood Rush | Weeping Wounds | Organ Shatter | Berserker Fury | Condition Overload | North Wind | Virulent Scourge</t>
        </is>
      </c>
      <c r="M144" s="39" t="inlineStr">
        <is>
          <t>Melee Duplicate</t>
        </is>
      </c>
      <c r="N144" s="39" t="inlineStr">
        <is>
          <t>Viral</t>
        </is>
      </c>
      <c r="O144" s="39" t="inlineStr">
        <is>
          <t>EVO2: Alchemist's Wrath; EVO3: Orokin Reach; EVO4: Poison Parasite</t>
        </is>
      </c>
      <c r="P144" s="39" t="inlineStr">
        <is>
          <t>~4 (Incarnon)</t>
        </is>
      </c>
    </row>
    <row r="145">
      <c r="A145" s="39" t="inlineStr">
        <is>
          <t>AUDITED</t>
        </is>
      </c>
      <c r="B145" s="39" t="inlineStr">
        <is>
          <t>AUDITED: no weapon/frame mechanic overrides the default</t>
        </is>
      </c>
      <c r="C145" s="39" t="inlineStr">
        <is>
          <t>-</t>
        </is>
      </c>
      <c r="D145" s="39" t="inlineStr">
        <is>
          <t>Sevagoth Prime</t>
        </is>
      </c>
      <c r="E145" s="39" t="inlineStr">
        <is>
          <t>Primary</t>
        </is>
      </c>
      <c r="F145" s="39" t="inlineStr">
        <is>
          <t>Bubonico</t>
        </is>
      </c>
      <c r="G145" s="39" t="inlineStr">
        <is>
          <t>Shotgun</t>
        </is>
      </c>
      <c r="H145" s="39" t="n">
        <v>0.25</v>
      </c>
      <c r="I145" s="39" t="n">
        <v>0.0929</v>
      </c>
      <c r="J145" s="39" t="inlineStr">
        <is>
          <t>crit</t>
        </is>
      </c>
      <c r="K145" s="39" t="inlineStr">
        <is>
          <t>SHOTGUN</t>
        </is>
      </c>
      <c r="L145" s="39" t="inlineStr">
        <is>
          <t>Primed Point Blank | Galvanized Hell | Primed Ravage | Critical Deceleration | Galvanized Savvy | Chilling Grasp | Toxic Barrage | Primed Charged Shell</t>
        </is>
      </c>
      <c r="M145" s="39" t="inlineStr">
        <is>
          <t>Shotgun Vendetta</t>
        </is>
      </c>
      <c r="N145" s="39" t="inlineStr">
        <is>
          <t>Viral + Electricity</t>
        </is>
      </c>
      <c r="O145" s="39" t="inlineStr">
        <is>
          <t>-</t>
        </is>
      </c>
      <c r="P145" s="39" t="inlineStr">
        <is>
          <t>~3</t>
        </is>
      </c>
    </row>
    <row r="146">
      <c r="A146" s="39" t="inlineStr">
        <is>
          <t>AUDITED</t>
        </is>
      </c>
      <c r="B146" s="39" t="inlineStr">
        <is>
          <t>AUDITED: no weapon/frame mechanic overrides the default</t>
        </is>
      </c>
      <c r="C146" s="39" t="inlineStr">
        <is>
          <t>-</t>
        </is>
      </c>
      <c r="D146" s="39" t="inlineStr">
        <is>
          <t>Sevagoth Prime</t>
        </is>
      </c>
      <c r="E146" s="39" t="inlineStr">
        <is>
          <t>Secondary</t>
        </is>
      </c>
      <c r="F146" s="39" t="inlineStr">
        <is>
          <t>Epitaph Prime</t>
        </is>
      </c>
      <c r="G146" s="39" t="inlineStr">
        <is>
          <t>Pistol</t>
        </is>
      </c>
      <c r="H146" s="39" t="n">
        <v>0.5</v>
      </c>
      <c r="I146" s="39" t="n">
        <v>0.14</v>
      </c>
      <c r="J146" s="39" t="inlineStr">
        <is>
          <t>crit</t>
        </is>
      </c>
      <c r="K146" s="39" t="inlineStr">
        <is>
          <t>PISTOL_CRIT</t>
        </is>
      </c>
      <c r="L146" s="39" t="inlineStr">
        <is>
          <t>Hornet Strike | Galvanized Diffusion | Primed Pistol Gambit | Primed Target Cracker | Galvanized Crosshairs | Galvanized Shot | Deep Freeze | Pathogen Rounds</t>
        </is>
      </c>
      <c r="M146" s="39" t="inlineStr">
        <is>
          <t>Secondary Merciless</t>
        </is>
      </c>
      <c r="N146" s="39" t="inlineStr">
        <is>
          <t>Viral</t>
        </is>
      </c>
      <c r="O146" s="39" t="inlineStr">
        <is>
          <t>-</t>
        </is>
      </c>
      <c r="P146" s="39" t="inlineStr">
        <is>
          <t>~3</t>
        </is>
      </c>
    </row>
    <row r="147">
      <c r="A147" s="39" t="inlineStr">
        <is>
          <t>AUDITED</t>
        </is>
      </c>
      <c r="B147" s="39" t="inlineStr">
        <is>
          <t>AUDITED: no weapon/frame mechanic overrides the default</t>
        </is>
      </c>
      <c r="C147" s="39" t="inlineStr">
        <is>
          <t>-</t>
        </is>
      </c>
      <c r="D147" s="39" t="inlineStr">
        <is>
          <t>Sirius &amp; Orion</t>
        </is>
      </c>
      <c r="E147" s="39" t="inlineStr">
        <is>
          <t>Primary</t>
        </is>
      </c>
      <c r="F147" s="39" t="inlineStr">
        <is>
          <t>Battacor</t>
        </is>
      </c>
      <c r="G147" s="39" t="inlineStr">
        <is>
          <t>Rifle</t>
        </is>
      </c>
      <c r="H147" s="39" t="n">
        <v>0.32</v>
      </c>
      <c r="I147" s="39" t="n">
        <v>0.18</v>
      </c>
      <c r="J147" s="39" t="inlineStr">
        <is>
          <t>crit</t>
        </is>
      </c>
      <c r="K147" s="39" t="inlineStr">
        <is>
          <t>RIFLE_CRIT</t>
        </is>
      </c>
      <c r="L147" s="39" t="inlineStr">
        <is>
          <t>Serration | Galvanized Chamber | Point Strike | Vital Sense | Hammer Shot | Galvanized Aptitude | Primed Cryo Rounds | Malignant Force</t>
        </is>
      </c>
      <c r="M147" s="39" t="inlineStr">
        <is>
          <t>Primary Merciless</t>
        </is>
      </c>
      <c r="N147" s="39" t="inlineStr">
        <is>
          <t>Viral + Magnetic</t>
        </is>
      </c>
      <c r="O147" s="39" t="inlineStr">
        <is>
          <t>-</t>
        </is>
      </c>
      <c r="P147" s="39" t="inlineStr">
        <is>
          <t>~3</t>
        </is>
      </c>
    </row>
    <row r="148">
      <c r="A148" s="39" t="inlineStr">
        <is>
          <t>AUDITED</t>
        </is>
      </c>
      <c r="B148" s="39" t="inlineStr">
        <is>
          <t>AUDITED: Spectra Vandal 20% crit: crit template; weapons, mods and Arcanes are SHARED by both sons (wiki); the uncontrolled son fires at 0.25x and cannot trigger conditional Arcanes</t>
        </is>
      </c>
      <c r="C148" s="39" t="inlineStr">
        <is>
          <t>-</t>
        </is>
      </c>
      <c r="D148" s="39" t="inlineStr">
        <is>
          <t>Sirius &amp; Orion</t>
        </is>
      </c>
      <c r="E148" s="39" t="inlineStr">
        <is>
          <t>Secondary</t>
        </is>
      </c>
      <c r="F148" s="39" t="inlineStr">
        <is>
          <t>Spectra Vandal</t>
        </is>
      </c>
      <c r="G148" s="39" t="inlineStr">
        <is>
          <t>Pistol</t>
        </is>
      </c>
      <c r="H148" s="39" t="n">
        <v>0.2</v>
      </c>
      <c r="I148" s="39" t="n">
        <v>0.28</v>
      </c>
      <c r="J148" s="39" t="inlineStr">
        <is>
          <t>crit</t>
        </is>
      </c>
      <c r="K148" s="39" t="inlineStr">
        <is>
          <t>PISTOL_CRIT</t>
        </is>
      </c>
      <c r="L148" s="39" t="inlineStr">
        <is>
          <t>Hornet Strike | Galvanized Diffusion | Primed Pistol Gambit | Primed Target Cracker | Galvanized Crosshairs | Galvanized Shot | Deep Freeze | Pathogen Rounds</t>
        </is>
      </c>
      <c r="M148" s="39" t="inlineStr">
        <is>
          <t>Secondary Merciless</t>
        </is>
      </c>
      <c r="N148" s="39" t="inlineStr">
        <is>
          <t>Viral</t>
        </is>
      </c>
      <c r="O148" s="39" t="inlineStr">
        <is>
          <t>-</t>
        </is>
      </c>
      <c r="P148" s="39" t="inlineStr">
        <is>
          <t>~3</t>
        </is>
      </c>
    </row>
    <row r="149">
      <c r="A149" s="39" t="inlineStr">
        <is>
          <t>AUDITED</t>
        </is>
      </c>
      <c r="B149" s="39" t="inlineStr">
        <is>
          <t>AUDITED: Pride: no Signature bonus with Sirius &amp; Orion (wiki); shared loadout</t>
        </is>
      </c>
      <c r="C149" s="39" t="inlineStr">
        <is>
          <t>-</t>
        </is>
      </c>
      <c r="D149" s="39" t="inlineStr">
        <is>
          <t>Sirius &amp; Orion</t>
        </is>
      </c>
      <c r="E149" s="39" t="inlineStr">
        <is>
          <t>Melee</t>
        </is>
      </c>
      <c r="F149" s="39" t="inlineStr">
        <is>
          <t>Pride</t>
        </is>
      </c>
      <c r="G149" s="39" t="inlineStr">
        <is>
          <t>Heavy Scythe</t>
        </is>
      </c>
      <c r="H149" s="39" t="n">
        <v>0.15</v>
      </c>
      <c r="I149" s="39" t="n">
        <v>0.35</v>
      </c>
      <c r="J149" s="39" t="inlineStr">
        <is>
          <t>status</t>
        </is>
      </c>
      <c r="K149" s="39" t="inlineStr">
        <is>
          <t>MELEE_INFLUENCE</t>
        </is>
      </c>
      <c r="L149" s="39" t="inlineStr">
        <is>
          <t>Primed Pressure Point | Blood Rush | Weeping Wounds | Organ Shatter | Condition Overload | North Wind | Virulent Scourge | Voltaic Strike</t>
        </is>
      </c>
      <c r="M149" s="39" t="inlineStr">
        <is>
          <t>Melee Influence</t>
        </is>
      </c>
      <c r="N149" s="39" t="inlineStr">
        <is>
          <t>Viral + Electricity</t>
        </is>
      </c>
      <c r="O149" s="39" t="inlineStr">
        <is>
          <t>-</t>
        </is>
      </c>
      <c r="P149" s="39" t="inlineStr">
        <is>
          <t>~3</t>
        </is>
      </c>
    </row>
    <row r="150">
      <c r="A150" s="39" t="inlineStr">
        <is>
          <t>AUDITED</t>
        </is>
      </c>
      <c r="B150" s="39" t="inlineStr">
        <is>
          <t>AUDITED: no weapon/frame mechanic overrides the default</t>
        </is>
      </c>
      <c r="C150" s="39" t="inlineStr">
        <is>
          <t>-</t>
        </is>
      </c>
      <c r="D150" s="39" t="inlineStr">
        <is>
          <t>Styanax Prime</t>
        </is>
      </c>
      <c r="E150" s="39" t="inlineStr">
        <is>
          <t>Primary</t>
        </is>
      </c>
      <c r="F150" s="39" t="inlineStr">
        <is>
          <t>Afentis Prime</t>
        </is>
      </c>
      <c r="G150" s="39" t="inlineStr">
        <is>
          <t>Speargun</t>
        </is>
      </c>
      <c r="H150" s="39" t="n">
        <v>0.26</v>
      </c>
      <c r="I150" s="39" t="n">
        <v>0.3</v>
      </c>
      <c r="J150" s="39" t="inlineStr">
        <is>
          <t>crit</t>
        </is>
      </c>
      <c r="K150" s="39" t="inlineStr">
        <is>
          <t>RIFLE_CRIT</t>
        </is>
      </c>
      <c r="L150" s="39" t="inlineStr">
        <is>
          <t>Serration | Galvanized Chamber | Point Strike | Vital Sense | Hammer Shot | Galvanized Aptitude | Primed Cryo Rounds | Malignant Force</t>
        </is>
      </c>
      <c r="M150" s="39" t="inlineStr">
        <is>
          <t>Primary Merciless</t>
        </is>
      </c>
      <c r="N150" s="39" t="inlineStr">
        <is>
          <t>Viral</t>
        </is>
      </c>
      <c r="O150" s="39" t="inlineStr">
        <is>
          <t>-</t>
        </is>
      </c>
      <c r="P150" s="39" t="inlineStr">
        <is>
          <t>~3</t>
        </is>
      </c>
    </row>
    <row r="151">
      <c r="A151" s="39" t="inlineStr">
        <is>
          <t>AUDITED</t>
        </is>
      </c>
      <c r="B151" s="39" t="inlineStr">
        <is>
          <t>AUDITED: no weapon/frame mechanic overrides the default</t>
        </is>
      </c>
      <c r="C151" s="39" t="inlineStr">
        <is>
          <t>-</t>
        </is>
      </c>
      <c r="D151" s="39" t="inlineStr">
        <is>
          <t>Styanax Prime</t>
        </is>
      </c>
      <c r="E151" s="39" t="inlineStr">
        <is>
          <t>Secondary</t>
        </is>
      </c>
      <c r="F151" s="39" t="inlineStr">
        <is>
          <t>Aegrit</t>
        </is>
      </c>
      <c r="G151" s="39" t="inlineStr">
        <is>
          <t>Thrown</t>
        </is>
      </c>
      <c r="H151" s="39" t="n">
        <v>0.37</v>
      </c>
      <c r="I151" s="39" t="n">
        <v>0.19</v>
      </c>
      <c r="J151" s="39" t="inlineStr">
        <is>
          <t>crit</t>
        </is>
      </c>
      <c r="K151" s="39" t="inlineStr">
        <is>
          <t>PISTOL_CRIT</t>
        </is>
      </c>
      <c r="L151" s="39" t="inlineStr">
        <is>
          <t>Hornet Strike | Galvanized Diffusion | Primed Pistol Gambit | Primed Target Cracker | Galvanized Crosshairs | Galvanized Shot | Deep Freeze | Pathogen Rounds</t>
        </is>
      </c>
      <c r="M151" s="39" t="inlineStr">
        <is>
          <t>Secondary Merciless</t>
        </is>
      </c>
      <c r="N151" s="39" t="inlineStr">
        <is>
          <t>Viral</t>
        </is>
      </c>
      <c r="O151" s="39" t="inlineStr">
        <is>
          <t>-</t>
        </is>
      </c>
      <c r="P151" s="39" t="inlineStr">
        <is>
          <t>~3</t>
        </is>
      </c>
    </row>
    <row r="152">
      <c r="A152" s="39" t="inlineStr">
        <is>
          <t>AUDITED</t>
        </is>
      </c>
      <c r="B152" s="39" t="inlineStr">
        <is>
          <t>AUDITED: no weapon/frame mechanic overrides the default</t>
        </is>
      </c>
      <c r="C152" s="39" t="inlineStr">
        <is>
          <t>-</t>
        </is>
      </c>
      <c r="D152" s="39" t="inlineStr">
        <is>
          <t>Styanax Prime</t>
        </is>
      </c>
      <c r="E152" s="39" t="inlineStr">
        <is>
          <t>Melee</t>
        </is>
      </c>
      <c r="F152" s="39" t="inlineStr">
        <is>
          <t>Slaytra</t>
        </is>
      </c>
      <c r="G152" s="39" t="inlineStr">
        <is>
          <t>Machete</t>
        </is>
      </c>
      <c r="H152" s="39" t="n">
        <v>0.21</v>
      </c>
      <c r="I152" s="39" t="n">
        <v>0.35</v>
      </c>
      <c r="J152" s="39" t="inlineStr">
        <is>
          <t>status</t>
        </is>
      </c>
      <c r="K152" s="39" t="inlineStr">
        <is>
          <t>MELEE_INFLUENCE</t>
        </is>
      </c>
      <c r="L152" s="39" t="inlineStr">
        <is>
          <t>Primed Pressure Point | Blood Rush | Weeping Wounds | Organ Shatter | Condition Overload | North Wind | Virulent Scourge | Voltaic Strike</t>
        </is>
      </c>
      <c r="M152" s="39" t="inlineStr">
        <is>
          <t>Melee Influence</t>
        </is>
      </c>
      <c r="N152" s="39" t="inlineStr">
        <is>
          <t>Viral + Electricity</t>
        </is>
      </c>
      <c r="O152" s="39" t="inlineStr">
        <is>
          <t>-</t>
        </is>
      </c>
      <c r="P152" s="39" t="inlineStr">
        <is>
          <t>~3</t>
        </is>
      </c>
    </row>
    <row r="153">
      <c r="A153" s="39" t="inlineStr">
        <is>
          <t>AUDITED</t>
        </is>
      </c>
      <c r="B153" s="39" t="inlineStr">
        <is>
          <t>AUDITED: no weapon/frame mechanic overrides the default</t>
        </is>
      </c>
      <c r="C153" s="39" t="inlineStr">
        <is>
          <t>-</t>
        </is>
      </c>
      <c r="D153" s="39" t="inlineStr">
        <is>
          <t>Temple</t>
        </is>
      </c>
      <c r="E153" s="39" t="inlineStr">
        <is>
          <t>Secondary</t>
        </is>
      </c>
      <c r="F153" s="39" t="inlineStr">
        <is>
          <t>Riot-848</t>
        </is>
      </c>
      <c r="G153" s="39" t="inlineStr">
        <is>
          <t>Pistol</t>
        </is>
      </c>
      <c r="H153" s="39" t="n">
        <v>0.26</v>
      </c>
      <c r="I153" s="39" t="n">
        <v>0.26</v>
      </c>
      <c r="J153" s="39" t="inlineStr">
        <is>
          <t>crit</t>
        </is>
      </c>
      <c r="K153" s="39" t="inlineStr">
        <is>
          <t>PISTOL_CRIT</t>
        </is>
      </c>
      <c r="L153" s="39" t="inlineStr">
        <is>
          <t>Hornet Strike | Galvanized Diffusion | Primed Pistol Gambit | Primed Target Cracker | Galvanized Crosshairs | Galvanized Shot | Deep Freeze | Pathogen Rounds</t>
        </is>
      </c>
      <c r="M153" s="39" t="inlineStr">
        <is>
          <t>Secondary Merciless</t>
        </is>
      </c>
      <c r="N153" s="39" t="inlineStr">
        <is>
          <t>Viral</t>
        </is>
      </c>
      <c r="O153" s="39" t="inlineStr">
        <is>
          <t>-</t>
        </is>
      </c>
      <c r="P153" s="39" t="inlineStr">
        <is>
          <t>~3</t>
        </is>
      </c>
    </row>
    <row r="154">
      <c r="A154" s="39" t="inlineStr">
        <is>
          <t>AUDITED</t>
        </is>
      </c>
      <c r="B154" s="39" t="inlineStr">
        <is>
          <t>AUDITED: no weapon/frame mechanic overrides the default</t>
        </is>
      </c>
      <c r="C154" s="39" t="inlineStr">
        <is>
          <t>-</t>
        </is>
      </c>
      <c r="D154" s="39" t="inlineStr">
        <is>
          <t>Temple</t>
        </is>
      </c>
      <c r="E154" s="39" t="inlineStr">
        <is>
          <t>Melee</t>
        </is>
      </c>
      <c r="F154" s="39" t="inlineStr">
        <is>
          <t>Prisma Ohma</t>
        </is>
      </c>
      <c r="G154" s="39" t="inlineStr">
        <is>
          <t>Tonfa</t>
        </is>
      </c>
      <c r="H154" s="39" t="n">
        <v>0.3</v>
      </c>
      <c r="I154" s="39" t="n">
        <v>0.2</v>
      </c>
      <c r="J154" s="39" t="inlineStr">
        <is>
          <t>crit</t>
        </is>
      </c>
      <c r="K154" s="39" t="inlineStr">
        <is>
          <t>MELEE_CRIT</t>
        </is>
      </c>
      <c r="L154" s="39" t="inlineStr">
        <is>
          <t>Primed Pressure Point | Blood Rush | Weeping Wounds | Organ Shatter | Berserker Fury | Condition Overload | North Wind | Virulent Scourge</t>
        </is>
      </c>
      <c r="M154" s="39" t="inlineStr">
        <is>
          <t>Melee Duplicate</t>
        </is>
      </c>
      <c r="N154" s="39" t="inlineStr">
        <is>
          <t>Viral + Electricity</t>
        </is>
      </c>
      <c r="O154" s="39" t="inlineStr">
        <is>
          <t>-</t>
        </is>
      </c>
      <c r="P154" s="39" t="inlineStr">
        <is>
          <t>~3</t>
        </is>
      </c>
    </row>
    <row r="155">
      <c r="A155" s="39" t="inlineStr">
        <is>
          <t>AUDITED</t>
        </is>
      </c>
      <c r="B155" s="39" t="inlineStr">
        <is>
          <t>AUDITED: Fortress Salvo needs &gt;450 armor (Trinity 135) -&gt; Reified Bane; Champion's Blessing (+350% primary/secondary crit, self-heals count) -&gt; crit perks</t>
        </is>
      </c>
      <c r="C155" s="39" t="inlineStr">
        <is>
          <t>Incarnon Form 20% crit / 24% status (base 15%/11%)</t>
        </is>
      </c>
      <c r="D155" s="39" t="inlineStr">
        <is>
          <t>Trinity Prime</t>
        </is>
      </c>
      <c r="E155" s="39" t="inlineStr">
        <is>
          <t>Primary</t>
        </is>
      </c>
      <c r="F155" s="39" t="inlineStr">
        <is>
          <t>Boar Prime</t>
        </is>
      </c>
      <c r="G155" s="39" t="inlineStr">
        <is>
          <t>Shotgun</t>
        </is>
      </c>
      <c r="H155" s="39" t="n">
        <v>0.15</v>
      </c>
      <c r="I155" s="39" t="n">
        <v>0.1125</v>
      </c>
      <c r="J155" s="39" t="inlineStr">
        <is>
          <t>status</t>
        </is>
      </c>
      <c r="K155" s="39" t="inlineStr">
        <is>
          <t>SHOTGUN</t>
        </is>
      </c>
      <c r="L155" s="39" t="inlineStr">
        <is>
          <t>Primed Point Blank | Galvanized Hell | Primed Ravage | Critical Deceleration | Galvanized Savvy | Chilling Grasp | Toxic Barrage | Primed Charged Shell</t>
        </is>
      </c>
      <c r="M155" s="39" t="inlineStr">
        <is>
          <t>Shotgun Vendetta</t>
        </is>
      </c>
      <c r="N155" s="39" t="inlineStr">
        <is>
          <t>Viral + Electricity</t>
        </is>
      </c>
      <c r="O155" s="39" t="inlineStr">
        <is>
          <t>EVO2: Reified Bane; EVO3: Ready Retaliation; EVO4: Critical Parallel</t>
        </is>
      </c>
      <c r="P155" s="39" t="inlineStr">
        <is>
          <t>~4 (Incarnon)</t>
        </is>
      </c>
    </row>
    <row r="156">
      <c r="A156" s="39" t="inlineStr">
        <is>
          <t>AUDITED</t>
        </is>
      </c>
      <c r="B156" s="39" t="inlineStr">
        <is>
          <t>AUDITED: THRESHOLD OVERRIDE: Champion's Blessing adds up to +350% secondary crit (additive with Pistol Gambit) -&gt; Akbronco Prime ~6% x (1+1.87+3.5) = 38% crit; crit template beats status</t>
        </is>
      </c>
      <c r="C156" s="39" t="inlineStr">
        <is>
          <t>-</t>
        </is>
      </c>
      <c r="D156" s="39" t="inlineStr">
        <is>
          <t>Trinity Prime</t>
        </is>
      </c>
      <c r="E156" s="39" t="inlineStr">
        <is>
          <t>Secondary</t>
        </is>
      </c>
      <c r="F156" s="39" t="inlineStr">
        <is>
          <t>Akbronco Prime</t>
        </is>
      </c>
      <c r="G156" s="39" t="inlineStr">
        <is>
          <t>Dual Shotguns</t>
        </is>
      </c>
      <c r="H156" s="39" t="n">
        <v>0.06</v>
      </c>
      <c r="I156" s="39" t="n">
        <v>0.1286</v>
      </c>
      <c r="J156" s="39" t="inlineStr">
        <is>
          <t>crit</t>
        </is>
      </c>
      <c r="K156" s="39" t="inlineStr">
        <is>
          <t>PISTOL_CRIT</t>
        </is>
      </c>
      <c r="L156" s="39" t="inlineStr">
        <is>
          <t>Hornet Strike | Galvanized Diffusion | Primed Pistol Gambit | Primed Target Cracker | Galvanized Crosshairs | Galvanized Shot | Deep Freeze | Pathogen Rounds</t>
        </is>
      </c>
      <c r="M156" s="39" t="inlineStr">
        <is>
          <t>Secondary Merciless</t>
        </is>
      </c>
      <c r="N156" s="39" t="inlineStr">
        <is>
          <t>Viral</t>
        </is>
      </c>
      <c r="O156" s="39" t="inlineStr">
        <is>
          <t>-</t>
        </is>
      </c>
      <c r="P156" s="39" t="inlineStr">
        <is>
          <t>~3</t>
        </is>
      </c>
    </row>
    <row r="157">
      <c r="A157" s="39" t="inlineStr">
        <is>
          <t>AUDITED</t>
        </is>
      </c>
      <c r="B157" s="39" t="inlineStr">
        <is>
          <t>AUDITED: no weapon/frame mechanic overrides the default</t>
        </is>
      </c>
      <c r="C157" s="39" t="inlineStr">
        <is>
          <t>-</t>
        </is>
      </c>
      <c r="D157" s="39" t="inlineStr">
        <is>
          <t>Trinity Prime</t>
        </is>
      </c>
      <c r="E157" s="39" t="inlineStr">
        <is>
          <t>Melee</t>
        </is>
      </c>
      <c r="F157" s="39" t="inlineStr">
        <is>
          <t>Dual Kamas Prime</t>
        </is>
      </c>
      <c r="G157" s="39" t="inlineStr">
        <is>
          <t>Dual Swords</t>
        </is>
      </c>
      <c r="H157" s="39" t="n">
        <v>0.2</v>
      </c>
      <c r="I157" s="39" t="n">
        <v>0.25</v>
      </c>
      <c r="J157" s="39" t="inlineStr">
        <is>
          <t>status</t>
        </is>
      </c>
      <c r="K157" s="39" t="inlineStr">
        <is>
          <t>MELEE_INFLUENCE</t>
        </is>
      </c>
      <c r="L157" s="39" t="inlineStr">
        <is>
          <t>Primed Pressure Point | Blood Rush | Weeping Wounds | Organ Shatter | Condition Overload | North Wind | Virulent Scourge | Voltaic Strike</t>
        </is>
      </c>
      <c r="M157" s="39" t="inlineStr">
        <is>
          <t>Melee Influence</t>
        </is>
      </c>
      <c r="N157" s="39" t="inlineStr">
        <is>
          <t>Viral + Electricity</t>
        </is>
      </c>
      <c r="O157" s="39" t="inlineStr">
        <is>
          <t>-</t>
        </is>
      </c>
      <c r="P157" s="39" t="inlineStr">
        <is>
          <t>~3</t>
        </is>
      </c>
    </row>
    <row r="158">
      <c r="A158" s="39" t="inlineStr">
        <is>
          <t>AUDITED</t>
        </is>
      </c>
      <c r="B158" s="39" t="inlineStr">
        <is>
          <t>AUDITED: no weapon/frame mechanic overrides the default</t>
        </is>
      </c>
      <c r="C158" s="39" t="inlineStr">
        <is>
          <t>-</t>
        </is>
      </c>
      <c r="D158" s="39" t="inlineStr">
        <is>
          <t>Uriel</t>
        </is>
      </c>
      <c r="E158" s="39" t="inlineStr">
        <is>
          <t>Primary</t>
        </is>
      </c>
      <c r="F158" s="39" t="inlineStr">
        <is>
          <t>Vinquibus (Primary)</t>
        </is>
      </c>
      <c r="G158" s="39" t="inlineStr">
        <is>
          <t>Rifle</t>
        </is>
      </c>
      <c r="H158" s="39" t="n">
        <v>0.4</v>
      </c>
      <c r="I158" s="39" t="n">
        <v>0.2</v>
      </c>
      <c r="J158" s="39" t="inlineStr">
        <is>
          <t>crit</t>
        </is>
      </c>
      <c r="K158" s="39" t="inlineStr">
        <is>
          <t>RIFLE_CRIT</t>
        </is>
      </c>
      <c r="L158" s="39" t="inlineStr">
        <is>
          <t>Serration | Galvanized Chamber | Point Strike | Vital Sense | Hammer Shot | Galvanized Aptitude | Primed Cryo Rounds | Malignant Force</t>
        </is>
      </c>
      <c r="M158" s="39" t="inlineStr">
        <is>
          <t>Primary Merciless</t>
        </is>
      </c>
      <c r="N158" s="39" t="inlineStr">
        <is>
          <t>Viral</t>
        </is>
      </c>
      <c r="O158" s="39" t="inlineStr">
        <is>
          <t>-</t>
        </is>
      </c>
      <c r="P158" s="39" t="inlineStr">
        <is>
          <t>~3</t>
        </is>
      </c>
    </row>
    <row r="159">
      <c r="A159" s="39" t="inlineStr">
        <is>
          <t>AUDITED</t>
        </is>
      </c>
      <c r="B159" s="39" t="inlineStr">
        <is>
          <t>AUDITED: Kuva Twin Stubbas 23% crit: crit template (status Arcane on crit mods was a mismatch); Vinquibus holds Primary + Melee, Stubbas stays separate</t>
        </is>
      </c>
      <c r="C159" s="39" t="inlineStr">
        <is>
          <t>-</t>
        </is>
      </c>
      <c r="D159" s="39" t="inlineStr">
        <is>
          <t>Uriel</t>
        </is>
      </c>
      <c r="E159" s="39" t="inlineStr">
        <is>
          <t>Secondary</t>
        </is>
      </c>
      <c r="F159" s="39" t="inlineStr">
        <is>
          <t>Kuva Twin Stubbas</t>
        </is>
      </c>
      <c r="G159" s="39" t="inlineStr">
        <is>
          <t>Dual Pistols</t>
        </is>
      </c>
      <c r="H159" s="39" t="n">
        <v>0.23</v>
      </c>
      <c r="I159" s="39" t="n">
        <v>0.31</v>
      </c>
      <c r="J159" s="39" t="inlineStr">
        <is>
          <t>crit</t>
        </is>
      </c>
      <c r="K159" s="39" t="inlineStr">
        <is>
          <t>PISTOL_CRIT</t>
        </is>
      </c>
      <c r="L159" s="39" t="inlineStr">
        <is>
          <t>Hornet Strike | Galvanized Diffusion | Primed Pistol Gambit | Primed Target Cracker | Galvanized Crosshairs | Galvanized Shot | Deep Freeze | Pathogen Rounds</t>
        </is>
      </c>
      <c r="M159" s="39" t="inlineStr">
        <is>
          <t>Secondary Merciless</t>
        </is>
      </c>
      <c r="N159" s="39" t="inlineStr">
        <is>
          <t>Viral + Heat</t>
        </is>
      </c>
      <c r="O159" s="39" t="inlineStr">
        <is>
          <t>-</t>
        </is>
      </c>
      <c r="P159" s="39" t="inlineStr">
        <is>
          <t>5 Forma to Rank 40 + ~3 polarization</t>
        </is>
      </c>
    </row>
    <row r="160">
      <c r="A160" s="39" t="inlineStr">
        <is>
          <t>AUDITED</t>
        </is>
      </c>
      <c r="B160" s="39" t="inlineStr">
        <is>
          <t>AUDITED: no weapon/frame mechanic overrides the default</t>
        </is>
      </c>
      <c r="C160" s="39" t="inlineStr">
        <is>
          <t>-</t>
        </is>
      </c>
      <c r="D160" s="39" t="inlineStr">
        <is>
          <t>Uriel</t>
        </is>
      </c>
      <c r="E160" s="39" t="inlineStr">
        <is>
          <t>Melee</t>
        </is>
      </c>
      <c r="F160" s="39" t="inlineStr">
        <is>
          <t>Vinquibus (Melee)</t>
        </is>
      </c>
      <c r="G160" s="39" t="inlineStr">
        <is>
          <t>Bayonet</t>
        </is>
      </c>
      <c r="H160" s="39" t="n">
        <v>0.4</v>
      </c>
      <c r="I160" s="39" t="n">
        <v>0.2</v>
      </c>
      <c r="J160" s="39" t="inlineStr">
        <is>
          <t>crit</t>
        </is>
      </c>
      <c r="K160" s="39" t="inlineStr">
        <is>
          <t>MELEE_CRIT</t>
        </is>
      </c>
      <c r="L160" s="39" t="inlineStr">
        <is>
          <t>Primed Pressure Point | Blood Rush | Weeping Wounds | Organ Shatter | Berserker Fury | Condition Overload | North Wind | Virulent Scourge</t>
        </is>
      </c>
      <c r="M160" s="39" t="inlineStr">
        <is>
          <t>Melee Duplicate</t>
        </is>
      </c>
      <c r="N160" s="39" t="inlineStr">
        <is>
          <t>Viral</t>
        </is>
      </c>
      <c r="O160" s="39" t="inlineStr">
        <is>
          <t>-</t>
        </is>
      </c>
      <c r="P160" s="39" t="inlineStr">
        <is>
          <t>~3</t>
        </is>
      </c>
    </row>
    <row r="161">
      <c r="A161" s="39" t="inlineStr">
        <is>
          <t>AUDITED</t>
        </is>
      </c>
      <c r="B161" s="39" t="inlineStr">
        <is>
          <t>AUDITED: no weapon/frame mechanic overrides the default</t>
        </is>
      </c>
      <c r="C161" s="39" t="inlineStr">
        <is>
          <t>-</t>
        </is>
      </c>
      <c r="D161" s="39" t="inlineStr">
        <is>
          <t>Valkyr Prime</t>
        </is>
      </c>
      <c r="E161" s="39" t="inlineStr">
        <is>
          <t>Primary</t>
        </is>
      </c>
      <c r="F161" s="39" t="inlineStr">
        <is>
          <t>Cernos Prime</t>
        </is>
      </c>
      <c r="G161" s="39" t="inlineStr">
        <is>
          <t>Bow</t>
        </is>
      </c>
      <c r="H161" s="39" t="n">
        <v>0.35</v>
      </c>
      <c r="I161" s="39" t="n">
        <v>0.3</v>
      </c>
      <c r="J161" s="39" t="inlineStr">
        <is>
          <t>crit</t>
        </is>
      </c>
      <c r="K161" s="39" t="inlineStr">
        <is>
          <t>RIFLE_CRIT</t>
        </is>
      </c>
      <c r="L161" s="39" t="inlineStr">
        <is>
          <t>Serration | Galvanized Chamber | Point Strike | Vital Sense | Hammer Shot | Galvanized Aptitude | Primed Cryo Rounds | Malignant Force</t>
        </is>
      </c>
      <c r="M161" s="39" t="inlineStr">
        <is>
          <t>Primary Deadhead</t>
        </is>
      </c>
      <c r="N161" s="39" t="inlineStr">
        <is>
          <t>Viral</t>
        </is>
      </c>
      <c r="O161" s="39" t="inlineStr">
        <is>
          <t>-</t>
        </is>
      </c>
      <c r="P161" s="39" t="inlineStr">
        <is>
          <t>~3</t>
        </is>
      </c>
    </row>
    <row r="162">
      <c r="A162" s="39" t="inlineStr">
        <is>
          <t>AUDITED</t>
        </is>
      </c>
      <c r="B162" s="39" t="inlineStr">
        <is>
          <t>AUDITED: Secondary Outburst would consume the combo the Talons depend on -&gt; Dexterity (melee kills -&gt; secondary damage, +combo duration)</t>
        </is>
      </c>
      <c r="C162" s="39" t="inlineStr">
        <is>
          <t>-</t>
        </is>
      </c>
      <c r="D162" s="39" t="inlineStr">
        <is>
          <t>Valkyr Prime</t>
        </is>
      </c>
      <c r="E162" s="39" t="inlineStr">
        <is>
          <t>Secondary</t>
        </is>
      </c>
      <c r="F162" s="39" t="inlineStr">
        <is>
          <t>Twin Vipers Wraith</t>
        </is>
      </c>
      <c r="G162" s="39" t="inlineStr">
        <is>
          <t>Dual Pistols</t>
        </is>
      </c>
      <c r="H162" s="39" t="n">
        <v>0.19</v>
      </c>
      <c r="I162" s="39" t="n">
        <v>0.09</v>
      </c>
      <c r="J162" s="39" t="inlineStr">
        <is>
          <t>crit</t>
        </is>
      </c>
      <c r="K162" s="39" t="inlineStr">
        <is>
          <t>PISTOL_CRIT</t>
        </is>
      </c>
      <c r="L162" s="39" t="inlineStr">
        <is>
          <t>Hornet Strike | Galvanized Diffusion | Primed Pistol Gambit | Primed Target Cracker | Galvanized Crosshairs | Galvanized Shot | Deep Freeze | Pathogen Rounds</t>
        </is>
      </c>
      <c r="M162" s="39" t="inlineStr">
        <is>
          <t>Secondary Dexterity</t>
        </is>
      </c>
      <c r="N162" s="39" t="inlineStr">
        <is>
          <t>Viral</t>
        </is>
      </c>
      <c r="O162" s="39" t="inlineStr">
        <is>
          <t>-</t>
        </is>
      </c>
      <c r="P162" s="39" t="inlineStr">
        <is>
          <t>~3</t>
        </is>
      </c>
    </row>
    <row r="163">
      <c r="A163" s="39" t="inlineStr">
        <is>
          <t>AUDITED</t>
        </is>
      </c>
      <c r="B163" s="39" t="inlineStr">
        <is>
          <t>AUDITED: no weapon/frame mechanic overrides the default</t>
        </is>
      </c>
      <c r="C163" s="39" t="inlineStr">
        <is>
          <t>-</t>
        </is>
      </c>
      <c r="D163" s="39" t="inlineStr">
        <is>
          <t>Vauban Prime</t>
        </is>
      </c>
      <c r="E163" s="39" t="inlineStr">
        <is>
          <t>Primary</t>
        </is>
      </c>
      <c r="F163" s="39" t="inlineStr">
        <is>
          <t>Ferrox</t>
        </is>
      </c>
      <c r="G163" s="39" t="inlineStr">
        <is>
          <t>Speargun</t>
        </is>
      </c>
      <c r="H163" s="39" t="n">
        <v>0.32</v>
      </c>
      <c r="I163" s="39" t="n">
        <v>0.1</v>
      </c>
      <c r="J163" s="39" t="inlineStr">
        <is>
          <t>crit</t>
        </is>
      </c>
      <c r="K163" s="39" t="inlineStr">
        <is>
          <t>RIFLE_CRIT</t>
        </is>
      </c>
      <c r="L163" s="39" t="inlineStr">
        <is>
          <t>Serration | Galvanized Chamber | Point Strike | Vital Sense | Hammer Shot | Galvanized Aptitude | Primed Cryo Rounds | Malignant Force</t>
        </is>
      </c>
      <c r="M163" s="39" t="inlineStr">
        <is>
          <t>Primary Merciless</t>
        </is>
      </c>
      <c r="N163" s="39" t="inlineStr">
        <is>
          <t>Viral</t>
        </is>
      </c>
      <c r="O163" s="39" t="inlineStr">
        <is>
          <t>-</t>
        </is>
      </c>
      <c r="P163" s="39" t="inlineStr">
        <is>
          <t>~3</t>
        </is>
      </c>
    </row>
    <row r="164">
      <c r="A164" s="39" t="inlineStr">
        <is>
          <t>AUDITED</t>
        </is>
      </c>
      <c r="B164" s="39" t="inlineStr">
        <is>
          <t>AUDITED: Kulstar: ordinary weapon - NO Incarnon exists (confirmed: no Kulstar family in live Incarnon data); 17% crit cluster launcher -&gt; crit + Merciless</t>
        </is>
      </c>
      <c r="C164" s="39" t="inlineStr">
        <is>
          <t>-</t>
        </is>
      </c>
      <c r="D164" s="39" t="inlineStr">
        <is>
          <t>Vauban Prime</t>
        </is>
      </c>
      <c r="E164" s="39" t="inlineStr">
        <is>
          <t>Secondary</t>
        </is>
      </c>
      <c r="F164" s="39" t="inlineStr">
        <is>
          <t>Kulstar</t>
        </is>
      </c>
      <c r="G164" s="39" t="inlineStr">
        <is>
          <t>Pistol</t>
        </is>
      </c>
      <c r="H164" s="39" t="n">
        <v>0.17</v>
      </c>
      <c r="I164" s="39" t="n">
        <v>0.19</v>
      </c>
      <c r="J164" s="39" t="inlineStr">
        <is>
          <t>crit</t>
        </is>
      </c>
      <c r="K164" s="39" t="inlineStr">
        <is>
          <t>PISTOL_CRIT</t>
        </is>
      </c>
      <c r="L164" s="39" t="inlineStr">
        <is>
          <t>Hornet Strike | Galvanized Diffusion | Primed Pistol Gambit | Primed Target Cracker | Galvanized Crosshairs | Galvanized Shot | Deep Freeze | Pathogen Rounds</t>
        </is>
      </c>
      <c r="M164" s="39" t="inlineStr">
        <is>
          <t>Secondary Merciless</t>
        </is>
      </c>
      <c r="N164" s="39" t="inlineStr">
        <is>
          <t>Viral</t>
        </is>
      </c>
      <c r="O164" s="39" t="inlineStr">
        <is>
          <t>-</t>
        </is>
      </c>
      <c r="P164" s="39" t="inlineStr">
        <is>
          <t>~3</t>
        </is>
      </c>
    </row>
    <row r="165">
      <c r="A165" s="39" t="inlineStr">
        <is>
          <t>AUDITED</t>
        </is>
      </c>
      <c r="B165" s="39" t="inlineStr">
        <is>
          <t>AUDITED: no weapon/frame mechanic overrides the default</t>
        </is>
      </c>
      <c r="C165" s="39" t="inlineStr">
        <is>
          <t>-</t>
        </is>
      </c>
      <c r="D165" s="39" t="inlineStr">
        <is>
          <t>Vauban Prime</t>
        </is>
      </c>
      <c r="E165" s="39" t="inlineStr">
        <is>
          <t>Melee</t>
        </is>
      </c>
      <c r="F165" s="39" t="inlineStr">
        <is>
          <t>Fragor Prime</t>
        </is>
      </c>
      <c r="G165" s="39" t="inlineStr">
        <is>
          <t>Hammer</t>
        </is>
      </c>
      <c r="H165" s="39" t="n">
        <v>0.4</v>
      </c>
      <c r="I165" s="39" t="n">
        <v>0.18</v>
      </c>
      <c r="J165" s="39" t="inlineStr">
        <is>
          <t>crit</t>
        </is>
      </c>
      <c r="K165" s="39" t="inlineStr">
        <is>
          <t>MELEE_CRIT</t>
        </is>
      </c>
      <c r="L165" s="39" t="inlineStr">
        <is>
          <t>Primed Pressure Point | Blood Rush | Weeping Wounds | Organ Shatter | Berserker Fury | Condition Overload | North Wind | Virulent Scourge</t>
        </is>
      </c>
      <c r="M165" s="39" t="inlineStr">
        <is>
          <t>Melee Animosity</t>
        </is>
      </c>
      <c r="N165" s="39" t="inlineStr">
        <is>
          <t>Viral</t>
        </is>
      </c>
      <c r="O165" s="39" t="inlineStr">
        <is>
          <t>-</t>
        </is>
      </c>
      <c r="P165" s="39" t="inlineStr">
        <is>
          <t>~3</t>
        </is>
      </c>
    </row>
    <row r="166">
      <c r="A166" s="39" t="inlineStr">
        <is>
          <t>AUDITED</t>
        </is>
      </c>
      <c r="B166" s="39" t="inlineStr">
        <is>
          <t>AUDITED: no weapon/frame mechanic overrides the default</t>
        </is>
      </c>
      <c r="C166" s="39" t="inlineStr">
        <is>
          <t>-</t>
        </is>
      </c>
      <c r="D166" s="39" t="inlineStr">
        <is>
          <t>Volt Prime</t>
        </is>
      </c>
      <c r="E166" s="39" t="inlineStr">
        <is>
          <t>Primary</t>
        </is>
      </c>
      <c r="F166" s="39" t="inlineStr">
        <is>
          <t>Rubico Prime</t>
        </is>
      </c>
      <c r="G166" s="39" t="inlineStr">
        <is>
          <t>Sniper Rifle</t>
        </is>
      </c>
      <c r="H166" s="39" t="n">
        <v>0.38</v>
      </c>
      <c r="I166" s="39" t="n">
        <v>0.16</v>
      </c>
      <c r="J166" s="39" t="inlineStr">
        <is>
          <t>crit</t>
        </is>
      </c>
      <c r="K166" s="39" t="inlineStr">
        <is>
          <t>RIFLE_CRIT</t>
        </is>
      </c>
      <c r="L166" s="39" t="inlineStr">
        <is>
          <t>Serration | Galvanized Chamber | Point Strike | Vital Sense | Hammer Shot | Galvanized Aptitude | Primed Cryo Rounds | Malignant Force</t>
        </is>
      </c>
      <c r="M166" s="39" t="inlineStr">
        <is>
          <t>Primary Deadhead</t>
        </is>
      </c>
      <c r="N166" s="39" t="inlineStr">
        <is>
          <t>Viral</t>
        </is>
      </c>
      <c r="O166" s="39" t="inlineStr">
        <is>
          <t>-</t>
        </is>
      </c>
      <c r="P166" s="39" t="inlineStr">
        <is>
          <t>~3</t>
        </is>
      </c>
    </row>
    <row r="167">
      <c r="A167" s="39" t="inlineStr">
        <is>
          <t>AUDITED</t>
        </is>
      </c>
      <c r="B167" s="39" t="inlineStr">
        <is>
          <t>AUDITED: no weapon/frame mechanic overrides the default</t>
        </is>
      </c>
      <c r="C167" s="39" t="inlineStr">
        <is>
          <t>-</t>
        </is>
      </c>
      <c r="D167" s="39" t="inlineStr">
        <is>
          <t>Volt Prime</t>
        </is>
      </c>
      <c r="E167" s="39" t="inlineStr">
        <is>
          <t>Secondary</t>
        </is>
      </c>
      <c r="F167" s="39" t="inlineStr">
        <is>
          <t>Tenet Spirex</t>
        </is>
      </c>
      <c r="G167" s="39" t="inlineStr">
        <is>
          <t>Pistol</t>
        </is>
      </c>
      <c r="H167" s="39" t="n">
        <v>0.26</v>
      </c>
      <c r="I167" s="39" t="n">
        <v>0.4</v>
      </c>
      <c r="J167" s="39" t="inlineStr">
        <is>
          <t>crit</t>
        </is>
      </c>
      <c r="K167" s="39" t="inlineStr">
        <is>
          <t>PISTOL_CRIT</t>
        </is>
      </c>
      <c r="L167" s="39" t="inlineStr">
        <is>
          <t>Hornet Strike | Galvanized Diffusion | Primed Pistol Gambit | Primed Target Cracker | Galvanized Crosshairs | Galvanized Shot | Deep Freeze | Pathogen Rounds</t>
        </is>
      </c>
      <c r="M167" s="39" t="inlineStr">
        <is>
          <t>Secondary Merciless</t>
        </is>
      </c>
      <c r="N167" s="39" t="inlineStr">
        <is>
          <t>Viral + Radiation</t>
        </is>
      </c>
      <c r="O167" s="39" t="inlineStr">
        <is>
          <t>-</t>
        </is>
      </c>
      <c r="P167" s="39" t="inlineStr">
        <is>
          <t>5 Forma to Rank 40 + ~3 polarization</t>
        </is>
      </c>
    </row>
    <row r="168">
      <c r="A168" s="39" t="inlineStr">
        <is>
          <t>AUDITED</t>
        </is>
      </c>
      <c r="B168" s="39" t="inlineStr">
        <is>
          <t>AUDITED: no weapon/frame mechanic overrides the default</t>
        </is>
      </c>
      <c r="C168" s="39" t="inlineStr">
        <is>
          <t>-</t>
        </is>
      </c>
      <c r="D168" s="39" t="inlineStr">
        <is>
          <t>Volt Prime</t>
        </is>
      </c>
      <c r="E168" s="39" t="inlineStr">
        <is>
          <t>Melee</t>
        </is>
      </c>
      <c r="F168" s="39" t="inlineStr">
        <is>
          <t>Ohma</t>
        </is>
      </c>
      <c r="G168" s="39" t="inlineStr">
        <is>
          <t>Tonfa</t>
        </is>
      </c>
      <c r="H168" s="39" t="n">
        <v>0.15</v>
      </c>
      <c r="I168" s="39" t="n">
        <v>0.3</v>
      </c>
      <c r="J168" s="39" t="inlineStr">
        <is>
          <t>status</t>
        </is>
      </c>
      <c r="K168" s="39" t="inlineStr">
        <is>
          <t>MELEE_INFLUENCE</t>
        </is>
      </c>
      <c r="L168" s="39" t="inlineStr">
        <is>
          <t>Primed Pressure Point | Blood Rush | Weeping Wounds | Organ Shatter | Condition Overload | North Wind | Virulent Scourge | Voltaic Strike</t>
        </is>
      </c>
      <c r="M168" s="39" t="inlineStr">
        <is>
          <t>Melee Influence</t>
        </is>
      </c>
      <c r="N168" s="39" t="inlineStr">
        <is>
          <t>Viral + Electricity</t>
        </is>
      </c>
      <c r="O168" s="39" t="inlineStr">
        <is>
          <t>-</t>
        </is>
      </c>
      <c r="P168" s="39" t="inlineStr">
        <is>
          <t>~3</t>
        </is>
      </c>
    </row>
    <row r="169">
      <c r="A169" s="39" t="inlineStr">
        <is>
          <t>AUDITED</t>
        </is>
      </c>
      <c r="B169" s="39" t="inlineStr">
        <is>
          <t>AUDITED: no weapon/frame mechanic overrides the default</t>
        </is>
      </c>
      <c r="C169" s="39" t="inlineStr">
        <is>
          <t>-</t>
        </is>
      </c>
      <c r="D169" s="39" t="inlineStr">
        <is>
          <t>Voruna Prime</t>
        </is>
      </c>
      <c r="E169" s="39" t="inlineStr">
        <is>
          <t>Primary</t>
        </is>
      </c>
      <c r="F169" s="39" t="inlineStr">
        <is>
          <t>Perigale Prime</t>
        </is>
      </c>
      <c r="G169" s="39" t="inlineStr">
        <is>
          <t>Sniper Rifle</t>
        </is>
      </c>
      <c r="H169" s="39" t="n">
        <v>0.32</v>
      </c>
      <c r="I169" s="39" t="n">
        <v>0.2</v>
      </c>
      <c r="J169" s="39" t="inlineStr">
        <is>
          <t>crit</t>
        </is>
      </c>
      <c r="K169" s="39" t="inlineStr">
        <is>
          <t>RIFLE_CRIT</t>
        </is>
      </c>
      <c r="L169" s="39" t="inlineStr">
        <is>
          <t>Serration | Galvanized Chamber | Point Strike | Vital Sense | Hammer Shot | Galvanized Aptitude | Primed Cryo Rounds | Malignant Force</t>
        </is>
      </c>
      <c r="M169" s="39" t="inlineStr">
        <is>
          <t>Primary Deadhead</t>
        </is>
      </c>
      <c r="N169" s="39" t="inlineStr">
        <is>
          <t>Viral</t>
        </is>
      </c>
      <c r="O169" s="39" t="inlineStr">
        <is>
          <t>-</t>
        </is>
      </c>
      <c r="P169" s="39" t="inlineStr">
        <is>
          <t>~3</t>
        </is>
      </c>
    </row>
    <row r="170">
      <c r="A170" s="39" t="inlineStr">
        <is>
          <t>AUDITED</t>
        </is>
      </c>
      <c r="B170" s="39" t="inlineStr">
        <is>
          <t>AUDITED: Melee/Ulfrun frame: Outburst would consume combo; Dexterity extends combo on melee kills</t>
        </is>
      </c>
      <c r="C170" s="39" t="inlineStr">
        <is>
          <t>-</t>
        </is>
      </c>
      <c r="D170" s="39" t="inlineStr">
        <is>
          <t>Voruna Prime</t>
        </is>
      </c>
      <c r="E170" s="39" t="inlineStr">
        <is>
          <t>Secondary</t>
        </is>
      </c>
      <c r="F170" s="39" t="inlineStr">
        <is>
          <t>Grimoire</t>
        </is>
      </c>
      <c r="G170" s="39" t="inlineStr">
        <is>
          <t>Tome</t>
        </is>
      </c>
      <c r="H170" s="39" t="n">
        <v>0.2</v>
      </c>
      <c r="I170" s="39" t="n">
        <v>0.26</v>
      </c>
      <c r="J170" s="39" t="inlineStr">
        <is>
          <t>status</t>
        </is>
      </c>
      <c r="K170" s="39" t="inlineStr">
        <is>
          <t>PISTOL_CRIT</t>
        </is>
      </c>
      <c r="L170" s="39" t="inlineStr">
        <is>
          <t>Hornet Strike | Galvanized Diffusion | Primed Pistol Gambit | Primed Target Cracker | Galvanized Crosshairs | Galvanized Shot | Deep Freeze | Pathogen Rounds</t>
        </is>
      </c>
      <c r="M170" s="39" t="inlineStr">
        <is>
          <t>Secondary Dexterity</t>
        </is>
      </c>
      <c r="N170" s="39" t="inlineStr">
        <is>
          <t>Viral + Electricity</t>
        </is>
      </c>
      <c r="O170" s="39" t="inlineStr">
        <is>
          <t>-</t>
        </is>
      </c>
      <c r="P170" s="39" t="inlineStr">
        <is>
          <t>~3</t>
        </is>
      </c>
    </row>
    <row r="171">
      <c r="A171" s="39" t="inlineStr">
        <is>
          <t>AUDITED</t>
        </is>
      </c>
      <c r="B171" s="39" t="inlineStr">
        <is>
          <t>AUDITED: no weapon/frame mechanic overrides the default</t>
        </is>
      </c>
      <c r="C171" s="39" t="inlineStr">
        <is>
          <t>-</t>
        </is>
      </c>
      <c r="D171" s="39" t="inlineStr">
        <is>
          <t>Voruna Prime</t>
        </is>
      </c>
      <c r="E171" s="39" t="inlineStr">
        <is>
          <t>Melee</t>
        </is>
      </c>
      <c r="F171" s="39" t="inlineStr">
        <is>
          <t>Sarofang Prime</t>
        </is>
      </c>
      <c r="G171" s="39" t="inlineStr">
        <is>
          <t>Heavy Blade</t>
        </is>
      </c>
      <c r="H171" s="39" t="n">
        <v>0.3</v>
      </c>
      <c r="I171" s="39" t="n">
        <v>0.3</v>
      </c>
      <c r="J171" s="39" t="inlineStr">
        <is>
          <t>crit</t>
        </is>
      </c>
      <c r="K171" s="39" t="inlineStr">
        <is>
          <t>MELEE_CRIT</t>
        </is>
      </c>
      <c r="L171" s="39" t="inlineStr">
        <is>
          <t>Primed Pressure Point | Blood Rush | Weeping Wounds | Organ Shatter | Berserker Fury | Condition Overload | North Wind | Virulent Scourge</t>
        </is>
      </c>
      <c r="M171" s="39" t="inlineStr">
        <is>
          <t>Melee Animosity</t>
        </is>
      </c>
      <c r="N171" s="39" t="inlineStr">
        <is>
          <t>Viral</t>
        </is>
      </c>
      <c r="O171" s="39" t="inlineStr">
        <is>
          <t>-</t>
        </is>
      </c>
      <c r="P171" s="39" t="inlineStr">
        <is>
          <t>~3</t>
        </is>
      </c>
    </row>
    <row r="172">
      <c r="A172" s="39" t="inlineStr">
        <is>
          <t>AUDITED</t>
        </is>
      </c>
      <c r="B172" s="39" t="inlineStr">
        <is>
          <t>AUDITED: no weapon/frame mechanic overrides the default</t>
        </is>
      </c>
      <c r="C172" s="39" t="inlineStr">
        <is>
          <t>-</t>
        </is>
      </c>
      <c r="D172" s="39" t="inlineStr">
        <is>
          <t>Wisp Prime</t>
        </is>
      </c>
      <c r="E172" s="39" t="inlineStr">
        <is>
          <t>Primary</t>
        </is>
      </c>
      <c r="F172" s="39" t="inlineStr">
        <is>
          <t>Fulmin Prime</t>
        </is>
      </c>
      <c r="G172" s="39" t="inlineStr">
        <is>
          <t>Rifle</t>
        </is>
      </c>
      <c r="H172" s="39" t="n">
        <v>0.34</v>
      </c>
      <c r="I172" s="39" t="n">
        <v>0.1</v>
      </c>
      <c r="J172" s="39" t="inlineStr">
        <is>
          <t>crit</t>
        </is>
      </c>
      <c r="K172" s="39" t="inlineStr">
        <is>
          <t>RIFLE_CRIT</t>
        </is>
      </c>
      <c r="L172" s="39" t="inlineStr">
        <is>
          <t>Serration | Galvanized Chamber | Point Strike | Vital Sense | Hammer Shot | Galvanized Aptitude | Primed Cryo Rounds | Malignant Force</t>
        </is>
      </c>
      <c r="M172" s="39" t="inlineStr">
        <is>
          <t>Primary Merciless</t>
        </is>
      </c>
      <c r="N172" s="39" t="inlineStr">
        <is>
          <t>Viral + Electricity</t>
        </is>
      </c>
      <c r="O172" s="39" t="inlineStr">
        <is>
          <t>-</t>
        </is>
      </c>
      <c r="P172" s="39" t="inlineStr">
        <is>
          <t>~3</t>
        </is>
      </c>
    </row>
    <row r="173">
      <c r="A173" s="39" t="inlineStr">
        <is>
          <t>AUDITED</t>
        </is>
      </c>
      <c r="B173" s="39" t="inlineStr">
        <is>
          <t>AUDITED: INCARNON OVERRIDE: Prelude of Might gives +3x crit multiplier only below 40% crit -&gt; NO crit-chance mods (Incarnon Form 26%); Stormburst active on Shock-mote Electricity targets</t>
        </is>
      </c>
      <c r="C173" s="39" t="inlineStr">
        <is>
          <t>Incarnon Form 26% crit / 24% status (base 5%/12%)</t>
        </is>
      </c>
      <c r="D173" s="39" t="inlineStr">
        <is>
          <t>Wisp Prime</t>
        </is>
      </c>
      <c r="E173" s="39" t="inlineStr">
        <is>
          <t>Secondary</t>
        </is>
      </c>
      <c r="F173" s="39" t="inlineStr">
        <is>
          <t>Furis</t>
        </is>
      </c>
      <c r="G173" s="39" t="inlineStr">
        <is>
          <t>Pistol</t>
        </is>
      </c>
      <c r="H173" s="39" t="n">
        <v>0.05</v>
      </c>
      <c r="I173" s="39" t="n">
        <v>0.12</v>
      </c>
      <c r="J173" s="39" t="inlineStr">
        <is>
          <t>crit</t>
        </is>
      </c>
      <c r="K173" s="39" t="inlineStr">
        <is>
          <t>FURIS_PRELUDE</t>
        </is>
      </c>
      <c r="L173" s="39" t="inlineStr">
        <is>
          <t>Hornet Strike | Galvanized Diffusion | Lethal Torrent | Primed Target Cracker | Augur Pact | Galvanized Shot | Deep Freeze | Pathogen Rounds</t>
        </is>
      </c>
      <c r="M173" s="39" t="inlineStr">
        <is>
          <t>Secondary Merciless</t>
        </is>
      </c>
      <c r="N173" s="39" t="inlineStr">
        <is>
          <t>Viral</t>
        </is>
      </c>
      <c r="O173" s="39" t="inlineStr">
        <is>
          <t>EVO2: Stormburst; EVO3: Practiced Grip; EVO4: Prelude of Might</t>
        </is>
      </c>
      <c r="P173" s="39" t="inlineStr">
        <is>
          <t>~4 (Incarnon)</t>
        </is>
      </c>
    </row>
    <row r="174">
      <c r="A174" s="39" t="inlineStr">
        <is>
          <t>AUDITED</t>
        </is>
      </c>
      <c r="B174" s="39" t="inlineStr">
        <is>
          <t>AUDITED: no weapon/frame mechanic overrides the default</t>
        </is>
      </c>
      <c r="C174" s="39" t="inlineStr">
        <is>
          <t>-</t>
        </is>
      </c>
      <c r="D174" s="39" t="inlineStr">
        <is>
          <t>Wisp Prime</t>
        </is>
      </c>
      <c r="E174" s="39" t="inlineStr">
        <is>
          <t>Melee</t>
        </is>
      </c>
      <c r="F174" s="39" t="inlineStr">
        <is>
          <t>Tipedo Prime</t>
        </is>
      </c>
      <c r="G174" s="39" t="inlineStr">
        <is>
          <t>Staff</t>
        </is>
      </c>
      <c r="H174" s="39" t="n">
        <v>0.24</v>
      </c>
      <c r="I174" s="39" t="n">
        <v>0.24</v>
      </c>
      <c r="J174" s="39" t="inlineStr">
        <is>
          <t>crit</t>
        </is>
      </c>
      <c r="K174" s="39" t="inlineStr">
        <is>
          <t>MELEE_CRIT</t>
        </is>
      </c>
      <c r="L174" s="39" t="inlineStr">
        <is>
          <t>Primed Pressure Point | Blood Rush | Weeping Wounds | Organ Shatter | Berserker Fury | Condition Overload | North Wind | Virulent Scourge</t>
        </is>
      </c>
      <c r="M174" s="39" t="inlineStr">
        <is>
          <t>Melee Duplicate</t>
        </is>
      </c>
      <c r="N174" s="39" t="inlineStr">
        <is>
          <t>Viral</t>
        </is>
      </c>
      <c r="O174" s="39" t="inlineStr">
        <is>
          <t>-</t>
        </is>
      </c>
      <c r="P174" s="39" t="inlineStr">
        <is>
          <t>~3</t>
        </is>
      </c>
    </row>
    <row r="175">
      <c r="A175" s="39" t="inlineStr">
        <is>
          <t>AUDITED</t>
        </is>
      </c>
      <c r="B175" s="39" t="inlineStr">
        <is>
          <t>AUDITED: no weapon/frame mechanic overrides the default</t>
        </is>
      </c>
      <c r="C175" s="39" t="inlineStr">
        <is>
          <t>-</t>
        </is>
      </c>
      <c r="D175" s="39" t="inlineStr">
        <is>
          <t>Wukong Prime</t>
        </is>
      </c>
      <c r="E175" s="39" t="inlineStr">
        <is>
          <t>Primary</t>
        </is>
      </c>
      <c r="F175" s="39" t="inlineStr">
        <is>
          <t>Zhuge Prime</t>
        </is>
      </c>
      <c r="G175" s="39" t="inlineStr">
        <is>
          <t>Crossbow</t>
        </is>
      </c>
      <c r="H175" s="39" t="n">
        <v>0.26</v>
      </c>
      <c r="I175" s="39" t="n">
        <v>0.3</v>
      </c>
      <c r="J175" s="39" t="inlineStr">
        <is>
          <t>crit</t>
        </is>
      </c>
      <c r="K175" s="39" t="inlineStr">
        <is>
          <t>RIFLE_CRIT</t>
        </is>
      </c>
      <c r="L175" s="39" t="inlineStr">
        <is>
          <t>Serration | Galvanized Chamber | Point Strike | Vital Sense | Hammer Shot | Galvanized Aptitude | Primed Cryo Rounds | Malignant Force</t>
        </is>
      </c>
      <c r="M175" s="39" t="inlineStr">
        <is>
          <t>Primary Deadhead</t>
        </is>
      </c>
      <c r="N175" s="39" t="inlineStr">
        <is>
          <t>Viral</t>
        </is>
      </c>
      <c r="O175" s="39" t="inlineStr">
        <is>
          <t>-</t>
        </is>
      </c>
      <c r="P175" s="39" t="inlineStr">
        <is>
          <t>~3</t>
        </is>
      </c>
    </row>
    <row r="176">
      <c r="A176" s="39" t="inlineStr">
        <is>
          <t>AUDITED</t>
        </is>
      </c>
      <c r="B176" s="39" t="inlineStr">
        <is>
          <t>AUDITED: Outburst would drain Iron Staff combo (staff range +0.5m per combo) -&gt; Dexterity; Prolific Perforation needs punch-through hits (none built in) -&gt; Headcracker</t>
        </is>
      </c>
      <c r="C176" s="39" t="inlineStr">
        <is>
          <t>Incarnon Form 30% crit / 30% status (base 20%/15%)</t>
        </is>
      </c>
      <c r="D176" s="39" t="inlineStr">
        <is>
          <t>Wukong Prime</t>
        </is>
      </c>
      <c r="E176" s="39" t="inlineStr">
        <is>
          <t>Secondary</t>
        </is>
      </c>
      <c r="F176" s="39" t="inlineStr">
        <is>
          <t>Ballistica Prime</t>
        </is>
      </c>
      <c r="G176" s="39" t="inlineStr">
        <is>
          <t>Crossbow</t>
        </is>
      </c>
      <c r="H176" s="39" t="n">
        <v>0.2</v>
      </c>
      <c r="I176" s="39" t="n">
        <v>0.15</v>
      </c>
      <c r="J176" s="39" t="inlineStr">
        <is>
          <t>crit</t>
        </is>
      </c>
      <c r="K176" s="39" t="inlineStr">
        <is>
          <t>PISTOL_CRIT</t>
        </is>
      </c>
      <c r="L176" s="39" t="inlineStr">
        <is>
          <t>Hornet Strike | Galvanized Diffusion | Primed Pistol Gambit | Primed Target Cracker | Galvanized Crosshairs | Galvanized Shot | Deep Freeze | Pathogen Rounds</t>
        </is>
      </c>
      <c r="M176" s="39" t="inlineStr">
        <is>
          <t>Secondary Dexterity</t>
        </is>
      </c>
      <c r="N176" s="39" t="inlineStr">
        <is>
          <t>Viral</t>
        </is>
      </c>
      <c r="O176" s="39" t="inlineStr">
        <is>
          <t>EVO2: Headcracker; EVO3: Rapid Reinforcement; EVO4: Critical Parallel</t>
        </is>
      </c>
      <c r="P176" s="39" t="inlineStr">
        <is>
          <t>~4 (Incarnon)</t>
        </is>
      </c>
    </row>
    <row r="177">
      <c r="A177" s="39" t="inlineStr">
        <is>
          <t>AUDITED</t>
        </is>
      </c>
      <c r="B177" s="39" t="inlineStr">
        <is>
          <t>AUDITED: no weapon/frame mechanic overrides the default</t>
        </is>
      </c>
      <c r="C177" s="39" t="inlineStr">
        <is>
          <t>-</t>
        </is>
      </c>
      <c r="D177" s="39" t="inlineStr">
        <is>
          <t>Xaku Prime</t>
        </is>
      </c>
      <c r="E177" s="39" t="inlineStr">
        <is>
          <t>Primary</t>
        </is>
      </c>
      <c r="F177" s="39" t="inlineStr">
        <is>
          <t>Trumna Prime</t>
        </is>
      </c>
      <c r="G177" s="39" t="inlineStr">
        <is>
          <t>Rifle</t>
        </is>
      </c>
      <c r="H177" s="39" t="n">
        <v>0.24</v>
      </c>
      <c r="I177" s="39" t="n">
        <v>0.34</v>
      </c>
      <c r="J177" s="39" t="inlineStr">
        <is>
          <t>crit</t>
        </is>
      </c>
      <c r="K177" s="39" t="inlineStr">
        <is>
          <t>RIFLE_CRIT</t>
        </is>
      </c>
      <c r="L177" s="39" t="inlineStr">
        <is>
          <t>Serration | Galvanized Chamber | Point Strike | Vital Sense | Hammer Shot | Galvanized Aptitude | Primed Cryo Rounds | Malignant Force</t>
        </is>
      </c>
      <c r="M177" s="39" t="inlineStr">
        <is>
          <t>Primary Merciless</t>
        </is>
      </c>
      <c r="N177" s="39" t="inlineStr">
        <is>
          <t>Viral + Heat</t>
        </is>
      </c>
      <c r="O177" s="39" t="inlineStr">
        <is>
          <t>-</t>
        </is>
      </c>
      <c r="P177" s="39" t="inlineStr">
        <is>
          <t>~3</t>
        </is>
      </c>
    </row>
    <row r="178">
      <c r="A178" s="39" t="inlineStr">
        <is>
          <t>AUDITED</t>
        </is>
      </c>
      <c r="B178" s="39" t="inlineStr">
        <is>
          <t>AUDITED: INCARNON OVERRIDE: Devouring Attrition (+2000% on NON-crit hits, 50%) and Elemental Excess (-10% crit) -&gt; status build, not crit; Xata's Whisper adds its Void extra hit on top</t>
        </is>
      </c>
      <c r="C178" s="39" t="inlineStr">
        <is>
          <t>Incarnon Form 22% crit / 22% status (base 22%/22%)</t>
        </is>
      </c>
      <c r="D178" s="39" t="inlineStr">
        <is>
          <t>Xaku Prime</t>
        </is>
      </c>
      <c r="E178" s="39" t="inlineStr">
        <is>
          <t>Secondary</t>
        </is>
      </c>
      <c r="F178" s="39" t="inlineStr">
        <is>
          <t>Laetum</t>
        </is>
      </c>
      <c r="G178" s="39" t="inlineStr">
        <is>
          <t>Pistol</t>
        </is>
      </c>
      <c r="H178" s="39" t="n">
        <v>0.22</v>
      </c>
      <c r="I178" s="39" t="n">
        <v>0.22</v>
      </c>
      <c r="J178" s="39" t="inlineStr">
        <is>
          <t>status</t>
        </is>
      </c>
      <c r="K178" s="39" t="inlineStr">
        <is>
          <t>PISTOL_STATUS</t>
        </is>
      </c>
      <c r="L178" s="39" t="inlineStr">
        <is>
          <t>Hornet Strike | Augur Pact | Galvanized Diffusion | Lethal Torrent | Galvanized Shot | Frostbite | Pistol Pestilence | Jolt</t>
        </is>
      </c>
      <c r="M178" s="39" t="inlineStr">
        <is>
          <t>Secondary Encumber</t>
        </is>
      </c>
      <c r="N178" s="39" t="inlineStr">
        <is>
          <t>Viral + Electricity</t>
        </is>
      </c>
      <c r="O178" s="39" t="inlineStr">
        <is>
          <t>EVO2: Marksman's Hand; EVO3: Lethal Rearmament; EVO4: Elemental Excess; EVO5: Devouring Attrition</t>
        </is>
      </c>
      <c r="P178" s="39" t="inlineStr">
        <is>
          <t>~4 (Incarnon)</t>
        </is>
      </c>
    </row>
    <row r="179">
      <c r="A179" s="39" t="inlineStr">
        <is>
          <t>AUDITED</t>
        </is>
      </c>
      <c r="B179" s="39" t="inlineStr">
        <is>
          <t>AUDITED: no weapon/frame mechanic overrides the default</t>
        </is>
      </c>
      <c r="C179" s="39" t="inlineStr">
        <is>
          <t>-</t>
        </is>
      </c>
      <c r="D179" s="39" t="inlineStr">
        <is>
          <t>Xaku Prime</t>
        </is>
      </c>
      <c r="E179" s="39" t="inlineStr">
        <is>
          <t>Melee</t>
        </is>
      </c>
      <c r="F179" s="39" t="inlineStr">
        <is>
          <t>Quassus Prime</t>
        </is>
      </c>
      <c r="G179" s="39" t="inlineStr">
        <is>
          <t>Warfan</t>
        </is>
      </c>
      <c r="H179" s="39" t="n">
        <v>0.35</v>
      </c>
      <c r="I179" s="39" t="n">
        <v>0.18</v>
      </c>
      <c r="J179" s="39" t="inlineStr">
        <is>
          <t>crit</t>
        </is>
      </c>
      <c r="K179" s="39" t="inlineStr">
        <is>
          <t>MELEE_CRIT</t>
        </is>
      </c>
      <c r="L179" s="39" t="inlineStr">
        <is>
          <t>Primed Pressure Point | Blood Rush | Weeping Wounds | Organ Shatter | Berserker Fury | Condition Overload | North Wind | Virulent Scourge</t>
        </is>
      </c>
      <c r="M179" s="39" t="inlineStr">
        <is>
          <t>Melee Duplicate</t>
        </is>
      </c>
      <c r="N179" s="39" t="inlineStr">
        <is>
          <t>Viral</t>
        </is>
      </c>
      <c r="O179" s="39" t="inlineStr">
        <is>
          <t>-</t>
        </is>
      </c>
      <c r="P179" s="39" t="inlineStr">
        <is>
          <t>~3</t>
        </is>
      </c>
    </row>
    <row r="180">
      <c r="A180" s="39" t="inlineStr">
        <is>
          <t>AUDITED</t>
        </is>
      </c>
      <c r="B180" s="39" t="inlineStr">
        <is>
          <t>AUDITED: no weapon/frame mechanic overrides the default</t>
        </is>
      </c>
      <c r="C180" s="39" t="inlineStr">
        <is>
          <t>-</t>
        </is>
      </c>
      <c r="D180" s="39" t="inlineStr">
        <is>
          <t>Yareli Prime</t>
        </is>
      </c>
      <c r="E180" s="39" t="inlineStr">
        <is>
          <t>Primary</t>
        </is>
      </c>
      <c r="F180" s="39" t="inlineStr">
        <is>
          <t>Komorex</t>
        </is>
      </c>
      <c r="G180" s="39" t="inlineStr">
        <is>
          <t>Sniper Rifle</t>
        </is>
      </c>
      <c r="H180" s="39" t="n">
        <v>0.16</v>
      </c>
      <c r="I180" s="39" t="n">
        <v>0.35</v>
      </c>
      <c r="J180" s="39" t="inlineStr">
        <is>
          <t>status</t>
        </is>
      </c>
      <c r="K180" s="39" t="inlineStr">
        <is>
          <t>RIFLE_CRIT</t>
        </is>
      </c>
      <c r="L180" s="39" t="inlineStr">
        <is>
          <t>Serration | Galvanized Chamber | Point Strike | Vital Sense | Hammer Shot | Galvanized Aptitude | Primed Cryo Rounds | Malignant Force</t>
        </is>
      </c>
      <c r="M180" s="39" t="inlineStr">
        <is>
          <t>Primary Deadhead</t>
        </is>
      </c>
      <c r="N180" s="39" t="inlineStr">
        <is>
          <t>Viral</t>
        </is>
      </c>
      <c r="O180" s="39" t="inlineStr">
        <is>
          <t>-</t>
        </is>
      </c>
      <c r="P180" s="39" t="inlineStr">
        <is>
          <t>~3</t>
        </is>
      </c>
    </row>
    <row r="181">
      <c r="A181" s="39" t="inlineStr">
        <is>
          <t>AUDITED</t>
        </is>
      </c>
      <c r="B181" s="39" t="inlineStr">
        <is>
          <t>AUDITED: Merulina gameplay keeps Critical Flow (+200% secondary crit while moving) permanently active -&gt; Kompressa Prime crit; Merciless (kill stacks) over Deadhead (weak-point aiming is unreliable from Merulina)</t>
        </is>
      </c>
      <c r="C181" s="39" t="inlineStr">
        <is>
          <t>-</t>
        </is>
      </c>
      <c r="D181" s="39" t="inlineStr">
        <is>
          <t>Yareli Prime</t>
        </is>
      </c>
      <c r="E181" s="39" t="inlineStr">
        <is>
          <t>Secondary</t>
        </is>
      </c>
      <c r="F181" s="39" t="inlineStr">
        <is>
          <t>Kompressa Prime</t>
        </is>
      </c>
      <c r="G181" s="39" t="inlineStr">
        <is>
          <t>Pistol</t>
        </is>
      </c>
      <c r="H181" s="39" t="n">
        <v>0.16</v>
      </c>
      <c r="I181" s="39" t="n">
        <v>0.36</v>
      </c>
      <c r="J181" s="39" t="inlineStr">
        <is>
          <t>crit</t>
        </is>
      </c>
      <c r="K181" s="39" t="inlineStr">
        <is>
          <t>PISTOL_CRIT</t>
        </is>
      </c>
      <c r="L181" s="39" t="inlineStr">
        <is>
          <t>Hornet Strike | Galvanized Diffusion | Primed Pistol Gambit | Primed Target Cracker | Galvanized Crosshairs | Galvanized Shot | Deep Freeze | Pathogen Rounds</t>
        </is>
      </c>
      <c r="M181" s="39" t="inlineStr">
        <is>
          <t>Secondary Merciless</t>
        </is>
      </c>
      <c r="N181" s="39" t="inlineStr">
        <is>
          <t>Viral</t>
        </is>
      </c>
      <c r="O181" s="39" t="inlineStr">
        <is>
          <t>-</t>
        </is>
      </c>
      <c r="P181" s="39" t="inlineStr">
        <is>
          <t>~3</t>
        </is>
      </c>
    </row>
    <row r="182">
      <c r="A182" s="39" t="inlineStr">
        <is>
          <t>AUDITED</t>
        </is>
      </c>
      <c r="B182" s="39" t="inlineStr">
        <is>
          <t>AUDITED: no weapon/frame mechanic overrides the default</t>
        </is>
      </c>
      <c r="C182" s="39" t="inlineStr">
        <is>
          <t>-</t>
        </is>
      </c>
      <c r="D182" s="39" t="inlineStr">
        <is>
          <t>Yareli Prime</t>
        </is>
      </c>
      <c r="E182" s="39" t="inlineStr">
        <is>
          <t>Melee</t>
        </is>
      </c>
      <c r="F182" s="39" t="inlineStr">
        <is>
          <t>Ghoulsaw</t>
        </is>
      </c>
      <c r="G182" s="39" t="inlineStr">
        <is>
          <t>Assault Saw</t>
        </is>
      </c>
      <c r="H182" s="39" t="n">
        <v>0.15</v>
      </c>
      <c r="I182" s="39" t="n">
        <v>0.27</v>
      </c>
      <c r="J182" s="39" t="inlineStr">
        <is>
          <t>status</t>
        </is>
      </c>
      <c r="K182" s="39" t="inlineStr">
        <is>
          <t>MELEE_INFLUENCE</t>
        </is>
      </c>
      <c r="L182" s="39" t="inlineStr">
        <is>
          <t>Primed Pressure Point | Blood Rush | Weeping Wounds | Organ Shatter | Condition Overload | North Wind | Virulent Scourge | Voltaic Strike</t>
        </is>
      </c>
      <c r="M182" s="39" t="inlineStr">
        <is>
          <t>Melee Influence</t>
        </is>
      </c>
      <c r="N182" s="39" t="inlineStr">
        <is>
          <t>Viral + Electricity</t>
        </is>
      </c>
      <c r="O182" s="39" t="inlineStr">
        <is>
          <t>-</t>
        </is>
      </c>
      <c r="P182" s="39" t="inlineStr">
        <is>
          <t>~3</t>
        </is>
      </c>
    </row>
    <row r="183">
      <c r="A183" s="39" t="inlineStr">
        <is>
          <t>AUDITED</t>
        </is>
      </c>
      <c r="B183" s="39" t="inlineStr">
        <is>
          <t>AUDITED: Tornado distributes 100% of each hit (crits x2) to all trapped enemies - weak-point Deadhead does not apply; airborne passive +150% crit -&gt; crit Nataruk + Merciless</t>
        </is>
      </c>
      <c r="C183" s="39" t="inlineStr">
        <is>
          <t>-</t>
        </is>
      </c>
      <c r="D183" s="39" t="inlineStr">
        <is>
          <t>Zephyr Prime</t>
        </is>
      </c>
      <c r="E183" s="39" t="inlineStr">
        <is>
          <t>Primary</t>
        </is>
      </c>
      <c r="F183" s="39" t="inlineStr">
        <is>
          <t>Nataruk</t>
        </is>
      </c>
      <c r="G183" s="39" t="inlineStr">
        <is>
          <t>Bow</t>
        </is>
      </c>
      <c r="H183" s="39" t="n">
        <v>0.2</v>
      </c>
      <c r="I183" s="39" t="n">
        <v>0.3</v>
      </c>
      <c r="J183" s="39" t="inlineStr">
        <is>
          <t>crit</t>
        </is>
      </c>
      <c r="K183" s="39" t="inlineStr">
        <is>
          <t>RIFLE_CRIT</t>
        </is>
      </c>
      <c r="L183" s="39" t="inlineStr">
        <is>
          <t>Serration | Galvanized Chamber | Point Strike | Vital Sense | Hammer Shot | Galvanized Aptitude | Primed Cryo Rounds | Malignant Force</t>
        </is>
      </c>
      <c r="M183" s="39" t="inlineStr">
        <is>
          <t>Primary Merciless</t>
        </is>
      </c>
      <c r="N183" s="39" t="inlineStr">
        <is>
          <t>Viral</t>
        </is>
      </c>
      <c r="O183" s="39" t="inlineStr">
        <is>
          <t>-</t>
        </is>
      </c>
      <c r="P183" s="39" t="inlineStr">
        <is>
          <t>~3</t>
        </is>
      </c>
    </row>
    <row r="184">
      <c r="A184" s="39" t="inlineStr">
        <is>
          <t>AUDITED</t>
        </is>
      </c>
      <c r="B184" s="39" t="inlineStr">
        <is>
          <t>AUDITED: no weapon/frame mechanic overrides the default</t>
        </is>
      </c>
      <c r="C184" s="39" t="inlineStr">
        <is>
          <t>-</t>
        </is>
      </c>
      <c r="D184" s="39" t="inlineStr">
        <is>
          <t>Zephyr Prime</t>
        </is>
      </c>
      <c r="E184" s="39" t="inlineStr">
        <is>
          <t>Secondary</t>
        </is>
      </c>
      <c r="F184" s="39" t="inlineStr">
        <is>
          <t>Catchmoon</t>
        </is>
      </c>
      <c r="G184" s="39" t="inlineStr">
        <is>
          <t>Shotgun</t>
        </is>
      </c>
      <c r="H184" s="39" t="n">
        <v>0</v>
      </c>
      <c r="I184" s="39" t="n">
        <v>0</v>
      </c>
      <c r="J184" s="39" t="inlineStr">
        <is>
          <t>crit</t>
        </is>
      </c>
      <c r="K184" s="39" t="inlineStr">
        <is>
          <t>PISTOL_CRIT</t>
        </is>
      </c>
      <c r="L184" s="39" t="inlineStr">
        <is>
          <t>Hornet Strike | Galvanized Diffusion | Primed Pistol Gambit | Primed Target Cracker | Galvanized Crosshairs | Galvanized Shot | Deep Freeze | Pathogen Rounds</t>
        </is>
      </c>
      <c r="M184" s="39" t="inlineStr">
        <is>
          <t>Secondary Merciless</t>
        </is>
      </c>
      <c r="N184" s="39" t="inlineStr">
        <is>
          <t>Viral + Heat</t>
        </is>
      </c>
      <c r="O184" s="39" t="inlineStr">
        <is>
          <t>-</t>
        </is>
      </c>
      <c r="P184" s="39" t="inlineStr">
        <is>
          <t>~3</t>
        </is>
      </c>
    </row>
    <row r="185">
      <c r="A185" s="39" t="inlineStr">
        <is>
          <t>AUDITED</t>
        </is>
      </c>
      <c r="B185" s="39" t="inlineStr">
        <is>
          <t>AUDITED: no weapon/frame mechanic overrides the default</t>
        </is>
      </c>
      <c r="C185" s="39" t="inlineStr">
        <is>
          <t>-</t>
        </is>
      </c>
      <c r="D185" s="39" t="inlineStr">
        <is>
          <t>Zephyr Prime</t>
        </is>
      </c>
      <c r="E185" s="39" t="inlineStr">
        <is>
          <t>Melee</t>
        </is>
      </c>
      <c r="F185" s="39" t="inlineStr">
        <is>
          <t>Kronen Prime</t>
        </is>
      </c>
      <c r="G185" s="39" t="inlineStr">
        <is>
          <t>Tonfa</t>
        </is>
      </c>
      <c r="H185" s="39" t="n">
        <v>0.22</v>
      </c>
      <c r="I185" s="39" t="n">
        <v>0.34</v>
      </c>
      <c r="J185" s="39" t="inlineStr">
        <is>
          <t>status</t>
        </is>
      </c>
      <c r="K185" s="39" t="inlineStr">
        <is>
          <t>MELEE_INFLUENCE</t>
        </is>
      </c>
      <c r="L185" s="39" t="inlineStr">
        <is>
          <t>Primed Pressure Point | Blood Rush | Weeping Wounds | Organ Shatter | Condition Overload | North Wind | Virulent Scourge | Voltaic Strike</t>
        </is>
      </c>
      <c r="M185" s="39" t="inlineStr">
        <is>
          <t>Melee Influence</t>
        </is>
      </c>
      <c r="N185" s="39" t="inlineStr">
        <is>
          <t>Viral + Electricity</t>
        </is>
      </c>
      <c r="O185" s="39" t="inlineStr">
        <is>
          <t>-</t>
        </is>
      </c>
      <c r="P185" s="39" t="inlineStr">
        <is>
          <t>~3</t>
        </is>
      </c>
    </row>
  </sheetData>
  <autoFilter ref="A1:P1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Mod</t>
        </is>
      </c>
      <c r="B3" s="39" t="inlineStr">
        <is>
          <t>Swift Deth</t>
        </is>
      </c>
      <c r="C3" s="39" t="n"/>
      <c r="D3" s="39" t="n"/>
      <c r="E3" s="39" t="n"/>
      <c r="F3" s="39" t="inlineStr">
        <is>
          <t>MARKET DATA UNAVAILABLE</t>
        </is>
      </c>
      <c r="G3" s="39" t="n"/>
    </row>
    <row r="4">
      <c r="A4" s="39" t="inlineStr">
        <is>
          <t>Arcane</t>
        </is>
      </c>
      <c r="B4" s="39" t="inlineStr">
        <is>
          <t>Arcane Bellicose</t>
        </is>
      </c>
      <c r="C4" s="39" t="n">
        <v>25</v>
      </c>
      <c r="D4" s="39" t="n">
        <v>27</v>
      </c>
      <c r="E4" s="39" t="n">
        <v>31</v>
      </c>
      <c r="F4" s="39" t="inlineStr">
        <is>
          <t>OK</t>
        </is>
      </c>
      <c r="G4" s="39" t="inlineStr">
        <is>
          <t>Required (v4.2 frame builds)</t>
        </is>
      </c>
    </row>
    <row r="5">
      <c r="A5" s="39" t="inlineStr">
        <is>
          <t>Arcane</t>
        </is>
      </c>
      <c r="B5" s="39" t="inlineStr">
        <is>
          <t>Arcane Camisado</t>
        </is>
      </c>
      <c r="C5" s="39" t="n">
        <v>20</v>
      </c>
      <c r="D5" s="39" t="n">
        <v>30</v>
      </c>
      <c r="E5" s="39" t="n">
        <v>33</v>
      </c>
      <c r="F5" s="39" t="inlineStr">
        <is>
          <t>OK</t>
        </is>
      </c>
      <c r="G5" s="39" t="inlineStr">
        <is>
          <t>Required (v4.2 frame builds)</t>
        </is>
      </c>
    </row>
    <row r="6">
      <c r="A6" s="39" t="inlineStr">
        <is>
          <t>Arcane</t>
        </is>
      </c>
      <c r="B6" s="39" t="inlineStr">
        <is>
          <t>Arcane Crepuscular</t>
        </is>
      </c>
      <c r="C6" s="39" t="n">
        <v>25</v>
      </c>
      <c r="D6" s="39" t="n">
        <v>29</v>
      </c>
      <c r="E6" s="39" t="n">
        <v>33</v>
      </c>
      <c r="F6" s="39" t="inlineStr">
        <is>
          <t>OK</t>
        </is>
      </c>
      <c r="G6" s="39" t="inlineStr">
        <is>
          <t>Required (v4.2 frame builds)</t>
        </is>
      </c>
    </row>
    <row r="7">
      <c r="A7" s="39" t="inlineStr">
        <is>
          <t>Arcane</t>
        </is>
      </c>
      <c r="B7" s="39" t="inlineStr">
        <is>
          <t>Arcane Expertise</t>
        </is>
      </c>
      <c r="C7" s="39" t="n">
        <v>35</v>
      </c>
      <c r="D7" s="39" t="n">
        <v>39</v>
      </c>
      <c r="E7" s="39" t="n">
        <v>44</v>
      </c>
      <c r="F7" s="39" t="inlineStr">
        <is>
          <t>OK</t>
        </is>
      </c>
      <c r="G7" s="39" t="inlineStr">
        <is>
          <t>Required (v4.2 frame builds)</t>
        </is>
      </c>
    </row>
    <row r="8">
      <c r="A8" s="39" t="inlineStr">
        <is>
          <t>Arcane</t>
        </is>
      </c>
      <c r="B8" s="39" t="inlineStr">
        <is>
          <t>Arcane Hot Shot</t>
        </is>
      </c>
      <c r="C8" s="39" t="n">
        <v>310</v>
      </c>
      <c r="D8" s="39" t="n">
        <v>320</v>
      </c>
      <c r="E8" s="39" t="n">
        <v>386</v>
      </c>
      <c r="F8" s="39" t="inlineStr">
        <is>
          <t>OK</t>
        </is>
      </c>
      <c r="G8" s="39" t="inlineStr">
        <is>
          <t>Required (v4.2 frame builds)</t>
        </is>
      </c>
    </row>
    <row r="9">
      <c r="A9" s="39" t="inlineStr">
        <is>
          <t>Arcane</t>
        </is>
      </c>
      <c r="B9" s="39" t="inlineStr">
        <is>
          <t>Arcane Ice Storm</t>
        </is>
      </c>
      <c r="C9" s="39" t="n">
        <v>74</v>
      </c>
      <c r="D9" s="39" t="n">
        <v>78</v>
      </c>
      <c r="E9" s="39" t="n">
        <v>94</v>
      </c>
      <c r="F9" s="39" t="inlineStr">
        <is>
          <t>OK</t>
        </is>
      </c>
      <c r="G9" s="39" t="inlineStr">
        <is>
          <t>Required (v4.2 frame builds)</t>
        </is>
      </c>
    </row>
    <row r="10">
      <c r="A10" s="39" t="inlineStr">
        <is>
          <t>Arcane</t>
        </is>
      </c>
      <c r="B10" s="39" t="inlineStr">
        <is>
          <t>Arcane Impetus</t>
        </is>
      </c>
      <c r="C10" s="39" t="n">
        <v>24</v>
      </c>
      <c r="D10" s="39" t="n">
        <v>28</v>
      </c>
      <c r="E10" s="39" t="n">
        <v>31</v>
      </c>
      <c r="F10" s="39" t="inlineStr">
        <is>
          <t>OK</t>
        </is>
      </c>
      <c r="G10" s="39" t="inlineStr">
        <is>
          <t>Required (v4.2 frame builds)</t>
        </is>
      </c>
    </row>
    <row r="11">
      <c r="A11" s="39" t="inlineStr">
        <is>
          <t>Arcane</t>
        </is>
      </c>
      <c r="B11" s="39" t="inlineStr">
        <is>
          <t>Arcane Reaper</t>
        </is>
      </c>
      <c r="C11" s="39" t="n">
        <v>350</v>
      </c>
      <c r="D11" s="39" t="n">
        <v>390</v>
      </c>
      <c r="E11" s="39" t="n">
        <v>441</v>
      </c>
      <c r="F11" s="39" t="inlineStr">
        <is>
          <t>OK</t>
        </is>
      </c>
      <c r="G11" s="39" t="inlineStr">
        <is>
          <t>Required (v4.2 frame builds)</t>
        </is>
      </c>
    </row>
    <row r="12">
      <c r="A12" s="39" t="inlineStr">
        <is>
          <t>Arcane</t>
        </is>
      </c>
      <c r="B12" s="39" t="inlineStr">
        <is>
          <t>Arcane Truculence</t>
        </is>
      </c>
      <c r="C12" s="39" t="n">
        <v>19</v>
      </c>
      <c r="D12" s="39" t="n">
        <v>20</v>
      </c>
      <c r="E12" s="39" t="n">
        <v>22</v>
      </c>
      <c r="F12" s="39" t="inlineStr">
        <is>
          <t>OK</t>
        </is>
      </c>
      <c r="G12" s="39" t="inlineStr">
        <is>
          <t>Required (v4.2 frame builds)</t>
        </is>
      </c>
    </row>
    <row r="13">
      <c r="A13" s="39" t="inlineStr">
        <is>
          <t>Arcane</t>
        </is>
      </c>
      <c r="B13" s="39" t="inlineStr">
        <is>
          <t>Arcane Universal Fallout</t>
        </is>
      </c>
      <c r="C13" s="39" t="n">
        <v>90</v>
      </c>
      <c r="D13" s="39" t="n">
        <v>95</v>
      </c>
      <c r="E13" s="39" t="n">
        <v>111</v>
      </c>
      <c r="F13" s="39" t="inlineStr">
        <is>
          <t>OK</t>
        </is>
      </c>
      <c r="G13" s="39" t="inlineStr">
        <is>
          <t>Required (v4.2 frame builds)</t>
        </is>
      </c>
    </row>
    <row r="14">
      <c r="A14" s="39" t="inlineStr">
        <is>
          <t>Arcane</t>
        </is>
      </c>
      <c r="B14" s="39" t="inlineStr">
        <is>
          <t>Primary Frostbite</t>
        </is>
      </c>
      <c r="C14" s="39" t="n">
        <v>35</v>
      </c>
      <c r="D14" s="39" t="n">
        <v>40</v>
      </c>
      <c r="E14" s="39" t="n">
        <v>66</v>
      </c>
      <c r="F14" s="39" t="inlineStr">
        <is>
          <t>OK</t>
        </is>
      </c>
      <c r="G14" s="39" t="inlineStr">
        <is>
          <t>Required (v4.2 weapon/exalted builds)</t>
        </is>
      </c>
    </row>
    <row r="15">
      <c r="A15" s="39" t="inlineStr">
        <is>
          <t>Arcane</t>
        </is>
      </c>
      <c r="B15" s="39" t="inlineStr">
        <is>
          <t>Secondary Encumber</t>
        </is>
      </c>
      <c r="C15" s="39" t="n">
        <v>59</v>
      </c>
      <c r="D15" s="39" t="n">
        <v>60</v>
      </c>
      <c r="E15" s="39" t="n">
        <v>85</v>
      </c>
      <c r="F15" s="39" t="inlineStr">
        <is>
          <t>OK</t>
        </is>
      </c>
      <c r="G15" s="39" t="inlineStr">
        <is>
          <t>Required (v4.2 weapon/exalted builds)</t>
        </is>
      </c>
    </row>
    <row r="16">
      <c r="A16" s="39" t="inlineStr">
        <is>
          <t>Arcane</t>
        </is>
      </c>
      <c r="B16" s="39" t="inlineStr">
        <is>
          <t>Secondary Shiver</t>
        </is>
      </c>
      <c r="C16" s="39" t="n">
        <v>219</v>
      </c>
      <c r="D16" s="39" t="n">
        <v>240</v>
      </c>
      <c r="E16" s="39" t="n">
        <v>281</v>
      </c>
      <c r="F16" s="39" t="inlineStr">
        <is>
          <t>OK</t>
        </is>
      </c>
      <c r="G16" s="39" t="inlineStr">
        <is>
          <t>Required (v4.2 weapon/exalted builds)</t>
        </is>
      </c>
    </row>
    <row r="17">
      <c r="A17" s="39" t="inlineStr">
        <is>
          <t>Arcane</t>
        </is>
      </c>
      <c r="B17" s="39" t="inlineStr">
        <is>
          <t>Shotgun Vendetta</t>
        </is>
      </c>
      <c r="C17" s="39" t="n">
        <v>99</v>
      </c>
      <c r="D17" s="39" t="n">
        <v>100</v>
      </c>
      <c r="E17" s="39" t="n">
        <v>176</v>
      </c>
      <c r="F17" s="39" t="inlineStr">
        <is>
          <t>OK</t>
        </is>
      </c>
      <c r="G17" s="39" t="inlineStr">
        <is>
          <t>Required (v4.2 weapon/exalted builds)</t>
        </is>
      </c>
    </row>
    <row r="18">
      <c r="A18" s="39" t="inlineStr">
        <is>
          <t>REMOVED ITEMS (no longer counted)</t>
        </is>
      </c>
      <c r="B18" s="39" t="inlineStr"/>
      <c r="C18" s="39" t="inlineStr"/>
      <c r="D18" s="39" t="inlineStr"/>
      <c r="E18" s="39" t="inlineStr"/>
      <c r="F18" s="39" t="n"/>
      <c r="G18" s="39" t="n"/>
    </row>
    <row r="19">
      <c r="A19" s="39" t="inlineStr">
        <is>
          <t>Companion</t>
        </is>
      </c>
      <c r="B19" s="39" t="inlineStr">
        <is>
          <t>Nautilus Prime</t>
        </is>
      </c>
      <c r="C19" s="39" t="n">
        <v>-50</v>
      </c>
      <c r="D19" s="39" t="n">
        <v>-55</v>
      </c>
      <c r="E19" s="39" t="n">
        <v>-61</v>
      </c>
      <c r="F19" s="39" t="inlineStr">
        <is>
          <t>Optional (no v4.2 build assignment)</t>
        </is>
      </c>
      <c r="G19" s="39" t="inlineStr">
        <is>
          <t>was counted in v4.1</t>
        </is>
      </c>
    </row>
    <row r="20">
      <c r="A20" s="39" t="inlineStr">
        <is>
          <t>Companion</t>
        </is>
      </c>
      <c r="B20" s="39" t="inlineStr">
        <is>
          <t>Shade Prime</t>
        </is>
      </c>
      <c r="C20" s="39" t="n">
        <v>-55</v>
      </c>
      <c r="D20" s="39" t="n">
        <v>-55</v>
      </c>
      <c r="E20" s="39" t="n">
        <v>-61</v>
      </c>
      <c r="F20" s="39" t="inlineStr">
        <is>
          <t>Optional (no v4.2 build assignment)</t>
        </is>
      </c>
      <c r="G20" s="39" t="inlineStr">
        <is>
          <t>was counted in v4.1</t>
        </is>
      </c>
    </row>
    <row r="21">
      <c r="A21" s="39" t="inlineStr">
        <is>
          <t>Arcane</t>
        </is>
      </c>
      <c r="B21" s="39" t="inlineStr">
        <is>
          <t>Arcane Aegis</t>
        </is>
      </c>
      <c r="C21" s="39" t="n">
        <v>-120</v>
      </c>
      <c r="D21" s="39" t="n">
        <v>-129</v>
      </c>
      <c r="E21" s="39" t="n">
        <v>-143</v>
      </c>
      <c r="F21" s="39" t="inlineStr">
        <is>
          <t>Collection (optional)</t>
        </is>
      </c>
      <c r="G21" s="39" t="inlineStr">
        <is>
          <t>was counted in v4.1</t>
        </is>
      </c>
    </row>
    <row r="22">
      <c r="A22" s="39" t="inlineStr">
        <is>
          <t>Arcane</t>
        </is>
      </c>
      <c r="B22" s="39" t="inlineStr">
        <is>
          <t>Arcane Grace</t>
        </is>
      </c>
      <c r="C22" s="39" t="n">
        <v>-100</v>
      </c>
      <c r="D22" s="39" t="n">
        <v>-100</v>
      </c>
      <c r="E22" s="39" t="n">
        <v>-122</v>
      </c>
      <c r="F22" s="39" t="inlineStr">
        <is>
          <t>Collection (optional)</t>
        </is>
      </c>
      <c r="G22" s="39" t="inlineStr">
        <is>
          <t>was counted in v4.1</t>
        </is>
      </c>
    </row>
    <row r="23">
      <c r="A23" s="39" t="inlineStr">
        <is>
          <t>Arcane</t>
        </is>
      </c>
      <c r="B23" s="39" t="inlineStr">
        <is>
          <t>Arcane Guardian</t>
        </is>
      </c>
      <c r="C23" s="39" t="n">
        <v>-50</v>
      </c>
      <c r="D23" s="39" t="n">
        <v>-60</v>
      </c>
      <c r="E23" s="39" t="n">
        <v>-66</v>
      </c>
      <c r="F23" s="39" t="inlineStr">
        <is>
          <t>Collection (optional)</t>
        </is>
      </c>
      <c r="G23" s="39" t="inlineStr">
        <is>
          <t>was counted in v4.1</t>
        </is>
      </c>
    </row>
    <row r="24">
      <c r="A24" s="39" t="inlineStr">
        <is>
          <t>Arcane</t>
        </is>
      </c>
      <c r="B24" s="39" t="inlineStr">
        <is>
          <t>Arcane Precision</t>
        </is>
      </c>
      <c r="C24" s="39" t="n">
        <v>-145</v>
      </c>
      <c r="D24" s="39" t="n">
        <v>-150</v>
      </c>
      <c r="E24" s="39" t="n">
        <v>-176</v>
      </c>
      <c r="F24" s="39" t="inlineStr">
        <is>
          <t>Collection (optional)</t>
        </is>
      </c>
      <c r="G24" s="39" t="inlineStr">
        <is>
          <t>was counted in v4.1</t>
        </is>
      </c>
    </row>
    <row r="25">
      <c r="A25" s="39" t="inlineStr">
        <is>
          <t>Arcane</t>
        </is>
      </c>
      <c r="B25" s="39" t="inlineStr">
        <is>
          <t>Arcane Strike</t>
        </is>
      </c>
      <c r="C25" s="39" t="n">
        <v>-80</v>
      </c>
      <c r="D25" s="39" t="n">
        <v>-88</v>
      </c>
      <c r="E25" s="39" t="n">
        <v>-108</v>
      </c>
      <c r="F25" s="39" t="inlineStr">
        <is>
          <t>Collection (optional)</t>
        </is>
      </c>
      <c r="G25" s="39" t="inlineStr">
        <is>
          <t>was counted in v4.1</t>
        </is>
      </c>
    </row>
    <row r="26">
      <c r="A26" s="39" t="inlineStr">
        <is>
          <t>Arcane</t>
        </is>
      </c>
      <c r="B26" s="39" t="inlineStr">
        <is>
          <t>Arcane Velocity</t>
        </is>
      </c>
      <c r="C26" s="39" t="n">
        <v>-180</v>
      </c>
      <c r="D26" s="39" t="n">
        <v>-180</v>
      </c>
      <c r="E26" s="39" t="n">
        <v>-210</v>
      </c>
      <c r="F26" s="39" t="inlineStr">
        <is>
          <t>Collection (optional)</t>
        </is>
      </c>
      <c r="G26" s="39" t="inlineStr">
        <is>
          <t>was counted in v4.1</t>
        </is>
      </c>
    </row>
    <row r="27">
      <c r="A27" s="39" t="inlineStr">
        <is>
          <t>Arcane</t>
        </is>
      </c>
      <c r="B27" s="39" t="inlineStr">
        <is>
          <t>Melee Exposure</t>
        </is>
      </c>
      <c r="C27" s="39" t="n">
        <v>-69</v>
      </c>
      <c r="D27" s="39" t="n">
        <v>-73</v>
      </c>
      <c r="E27" s="39" t="n">
        <v>-83</v>
      </c>
      <c r="F27" s="39" t="inlineStr">
        <is>
          <t>Collection (optional)</t>
        </is>
      </c>
      <c r="G27" s="39" t="inlineStr">
        <is>
          <t>was counted in v4.1</t>
        </is>
      </c>
    </row>
    <row r="28">
      <c r="A28" s="39" t="inlineStr">
        <is>
          <t>Arcane</t>
        </is>
      </c>
      <c r="B28" s="39" t="inlineStr">
        <is>
          <t>Melee Vortex</t>
        </is>
      </c>
      <c r="C28" s="39" t="n">
        <v>-60</v>
      </c>
      <c r="D28" s="39" t="n">
        <v>-65</v>
      </c>
      <c r="E28" s="39" t="n">
        <v>-77</v>
      </c>
      <c r="F28" s="39" t="inlineStr">
        <is>
          <t>Collection (optional)</t>
        </is>
      </c>
      <c r="G28" s="39" t="inlineStr">
        <is>
          <t>was counted in v4.1</t>
        </is>
      </c>
    </row>
    <row r="29">
      <c r="A29" s="39" t="inlineStr">
        <is>
          <t>Arcane</t>
        </is>
      </c>
      <c r="B29" s="39" t="inlineStr">
        <is>
          <t>Molt Efficiency</t>
        </is>
      </c>
      <c r="C29" s="39" t="n">
        <v>-28</v>
      </c>
      <c r="D29" s="39" t="n">
        <v>-30</v>
      </c>
      <c r="E29" s="39" t="n">
        <v>-33</v>
      </c>
      <c r="F29" s="39" t="inlineStr">
        <is>
          <t>Collection (optional)</t>
        </is>
      </c>
      <c r="G29" s="39" t="inlineStr">
        <is>
          <t>was counted in v4.1</t>
        </is>
      </c>
    </row>
    <row r="30">
      <c r="A30" s="39" t="inlineStr">
        <is>
          <t>Arcane</t>
        </is>
      </c>
      <c r="B30" s="39" t="inlineStr">
        <is>
          <t>Molt Reconstruct</t>
        </is>
      </c>
      <c r="C30" s="39" t="n">
        <v>-15</v>
      </c>
      <c r="D30" s="39" t="n">
        <v>-20</v>
      </c>
      <c r="E30" s="39" t="n">
        <v>-22</v>
      </c>
      <c r="F30" s="39" t="inlineStr">
        <is>
          <t>Collection (optional)</t>
        </is>
      </c>
      <c r="G30" s="39" t="inlineStr">
        <is>
          <t>was counted in v4.1</t>
        </is>
      </c>
    </row>
    <row r="31">
      <c r="A31" s="39" t="inlineStr">
        <is>
          <t>CHANGED ITEMS</t>
        </is>
      </c>
      <c r="B31" s="39" t="inlineStr"/>
      <c r="C31" s="39" t="inlineStr"/>
      <c r="D31" s="39" t="inlineStr"/>
      <c r="E31" s="39" t="inlineStr"/>
      <c r="F31" s="39" t="n"/>
      <c r="G31" s="39" t="n"/>
    </row>
    <row r="32">
      <c r="A32" s="39" t="inlineStr">
        <is>
          <t>Companion</t>
        </is>
      </c>
      <c r="B32" s="39" t="inlineStr">
        <is>
          <t>Sahasa Kubrow</t>
        </is>
      </c>
      <c r="C32" s="39" t="inlineStr"/>
      <c r="D32" s="39" t="inlineStr"/>
      <c r="E32" s="39" t="inlineStr"/>
      <c r="F32" s="39" t="inlineStr">
        <is>
          <t>Core -&gt; Optional (no v4.2 build assignment)</t>
        </is>
      </c>
      <c r="G32" s="39" t="inlineStr">
        <is>
          <t>No -&gt; No</t>
        </is>
      </c>
    </row>
    <row r="33">
      <c r="A33" s="39" t="inlineStr">
        <is>
          <t>Companion</t>
        </is>
      </c>
      <c r="B33" s="39" t="inlineStr">
        <is>
          <t>Taxon</t>
        </is>
      </c>
      <c r="C33" s="39" t="inlineStr"/>
      <c r="D33" s="39" t="inlineStr"/>
      <c r="E33" s="39" t="inlineStr"/>
      <c r="F33" s="39" t="inlineStr">
        <is>
          <t>Core -&gt; Optional (no v4.2 build assignment)</t>
        </is>
      </c>
      <c r="G33" s="39" t="inlineStr">
        <is>
          <t>No -&gt; No</t>
        </is>
      </c>
    </row>
    <row r="34">
      <c r="A34" s="39" t="inlineStr">
        <is>
          <t>Companion</t>
        </is>
      </c>
      <c r="B34" s="39" t="inlineStr">
        <is>
          <t>Helminth Charger</t>
        </is>
      </c>
      <c r="C34" s="39" t="inlineStr"/>
      <c r="D34" s="39" t="inlineStr"/>
      <c r="E34" s="39" t="inlineStr"/>
      <c r="F34" s="39" t="inlineStr">
        <is>
          <t>Core -&gt; Optional (no v4.2 build assignment)</t>
        </is>
      </c>
      <c r="G34" s="39" t="inlineStr">
        <is>
          <t>No -&gt; No</t>
        </is>
      </c>
    </row>
    <row r="35">
      <c r="A35" s="39" t="inlineStr">
        <is>
          <t>Arcane</t>
        </is>
      </c>
      <c r="B35" s="39" t="inlineStr">
        <is>
          <t>Arcane Avenger</t>
        </is>
      </c>
      <c r="C35" s="39" t="inlineStr"/>
      <c r="D35" s="39" t="inlineStr"/>
      <c r="E35" s="39" t="inlineStr"/>
      <c r="F35" s="39" t="inlineStr">
        <is>
          <t>Required (v3 build list) -&gt; Required (v4.2 frame builds)</t>
        </is>
      </c>
      <c r="G35" s="39" t="inlineStr">
        <is>
          <t>Yes -&gt; Yes</t>
        </is>
      </c>
    </row>
    <row r="36">
      <c r="A36" s="39" t="inlineStr">
        <is>
          <t>Arcane</t>
        </is>
      </c>
      <c r="B36" s="39" t="inlineStr">
        <is>
          <t>Arcane Blessing</t>
        </is>
      </c>
      <c r="C36" s="39" t="inlineStr"/>
      <c r="D36" s="39" t="inlineStr"/>
      <c r="E36" s="39" t="inlineStr"/>
      <c r="F36" s="39" t="inlineStr">
        <is>
          <t>Required (v3 build list) -&gt; Required (v4.2 frame builds)</t>
        </is>
      </c>
      <c r="G36" s="39" t="inlineStr">
        <is>
          <t>Yes -&gt; Yes</t>
        </is>
      </c>
    </row>
    <row r="37">
      <c r="A37" s="39" t="inlineStr">
        <is>
          <t>Arcane</t>
        </is>
      </c>
      <c r="B37" s="39" t="inlineStr">
        <is>
          <t>Arcane Energize</t>
        </is>
      </c>
      <c r="C37" s="39" t="inlineStr"/>
      <c r="D37" s="39" t="inlineStr"/>
      <c r="E37" s="39" t="inlineStr"/>
      <c r="F37" s="39" t="inlineStr">
        <is>
          <t>Required (v3 build list) -&gt; Required (v4.2 frame builds)</t>
        </is>
      </c>
      <c r="G37" s="39" t="inlineStr">
        <is>
          <t>Yes -&gt; Yes</t>
        </is>
      </c>
    </row>
    <row r="38">
      <c r="A38" s="39" t="inlineStr">
        <is>
          <t>Arcane</t>
        </is>
      </c>
      <c r="B38" s="39" t="inlineStr">
        <is>
          <t>Arcane Fury</t>
        </is>
      </c>
      <c r="C38" s="39" t="inlineStr"/>
      <c r="D38" s="39" t="inlineStr"/>
      <c r="E38" s="39" t="inlineStr"/>
      <c r="F38" s="39" t="inlineStr">
        <is>
          <t>Required (v3 build list) -&gt; Required (v4.2 frame builds)</t>
        </is>
      </c>
      <c r="G38" s="39" t="inlineStr">
        <is>
          <t>Yes -&gt; Yes</t>
        </is>
      </c>
    </row>
    <row r="39">
      <c r="A39" s="39" t="inlineStr">
        <is>
          <t>Arcane</t>
        </is>
      </c>
      <c r="B39" s="39" t="inlineStr">
        <is>
          <t>Melee Animosity</t>
        </is>
      </c>
      <c r="C39" s="39" t="inlineStr"/>
      <c r="D39" s="39" t="inlineStr"/>
      <c r="E39" s="39" t="inlineStr"/>
      <c r="F39" s="39" t="inlineStr">
        <is>
          <t>Required (v4 weapon-arcane baseline) -&gt; Required (v4.2 weapon/exalted builds)</t>
        </is>
      </c>
      <c r="G39" s="39" t="inlineStr">
        <is>
          <t>Yes -&gt; Yes</t>
        </is>
      </c>
    </row>
    <row r="40">
      <c r="A40" s="39" t="inlineStr">
        <is>
          <t>Arcane</t>
        </is>
      </c>
      <c r="B40" s="39" t="inlineStr">
        <is>
          <t>Melee Crescendo</t>
        </is>
      </c>
      <c r="C40" s="39" t="inlineStr"/>
      <c r="D40" s="39" t="inlineStr"/>
      <c r="E40" s="39" t="inlineStr"/>
      <c r="F40" s="39" t="inlineStr">
        <is>
          <t>Required (v3 build list) -&gt; Required (v4.2 weapon/exalted builds)</t>
        </is>
      </c>
      <c r="G40" s="39" t="inlineStr">
        <is>
          <t>Yes -&gt; Yes</t>
        </is>
      </c>
    </row>
    <row r="41">
      <c r="A41" s="39" t="inlineStr">
        <is>
          <t>Arcane</t>
        </is>
      </c>
      <c r="B41" s="39" t="inlineStr">
        <is>
          <t>Melee Duplicate</t>
        </is>
      </c>
      <c r="C41" s="39" t="inlineStr"/>
      <c r="D41" s="39" t="inlineStr"/>
      <c r="E41" s="39" t="inlineStr"/>
      <c r="F41" s="39" t="inlineStr">
        <is>
          <t>Required (v4 weapon-arcane baseline) -&gt; Required (v4.2 weapon/exalted builds)</t>
        </is>
      </c>
      <c r="G41" s="39" t="inlineStr">
        <is>
          <t>Yes -&gt; Yes</t>
        </is>
      </c>
    </row>
    <row r="42">
      <c r="A42" s="39" t="inlineStr">
        <is>
          <t>Arcane</t>
        </is>
      </c>
      <c r="B42" s="39" t="inlineStr">
        <is>
          <t>Melee Influence</t>
        </is>
      </c>
      <c r="C42" s="39" t="inlineStr"/>
      <c r="D42" s="39" t="inlineStr"/>
      <c r="E42" s="39" t="inlineStr"/>
      <c r="F42" s="39" t="inlineStr">
        <is>
          <t>Required (v4 weapon-arcane baseline) -&gt; Required (v4.2 weapon/exalted builds)</t>
        </is>
      </c>
      <c r="G42" s="39" t="inlineStr">
        <is>
          <t>Yes -&gt; Yes</t>
        </is>
      </c>
    </row>
    <row r="43">
      <c r="A43" s="39" t="inlineStr">
        <is>
          <t>Arcane</t>
        </is>
      </c>
      <c r="B43" s="39" t="inlineStr">
        <is>
          <t>Molt Augmented</t>
        </is>
      </c>
      <c r="C43" s="39" t="inlineStr"/>
      <c r="D43" s="39" t="inlineStr"/>
      <c r="E43" s="39" t="inlineStr"/>
      <c r="F43" s="39" t="inlineStr">
        <is>
          <t>Required (v3 build list) -&gt; Required (v4.2 frame builds)</t>
        </is>
      </c>
      <c r="G43" s="39" t="inlineStr">
        <is>
          <t>Yes -&gt; Yes</t>
        </is>
      </c>
    </row>
    <row r="44">
      <c r="A44" s="39" t="inlineStr">
        <is>
          <t>Arcane</t>
        </is>
      </c>
      <c r="B44" s="39" t="inlineStr">
        <is>
          <t>Primary Deadhead</t>
        </is>
      </c>
      <c r="C44" s="39" t="inlineStr"/>
      <c r="D44" s="39" t="inlineStr"/>
      <c r="E44" s="39" t="inlineStr"/>
      <c r="F44" s="39" t="inlineStr">
        <is>
          <t>Required (v4 weapon-arcane baseline) -&gt; Required (v4.2 weapon/exalted builds)</t>
        </is>
      </c>
      <c r="G44" s="39" t="inlineStr">
        <is>
          <t>Yes -&gt; Yes</t>
        </is>
      </c>
    </row>
    <row r="45">
      <c r="A45" s="39" t="inlineStr">
        <is>
          <t>Arcane</t>
        </is>
      </c>
      <c r="B45" s="39" t="inlineStr">
        <is>
          <t>Primary Dexterity</t>
        </is>
      </c>
      <c r="C45" s="39" t="inlineStr"/>
      <c r="D45" s="39" t="inlineStr"/>
      <c r="E45" s="39" t="inlineStr"/>
      <c r="F45" s="39" t="inlineStr">
        <is>
          <t>Required (v4 weapon-arcane baseline) -&gt; Required (v4.2 weapon/exalted builds)</t>
        </is>
      </c>
      <c r="G45" s="39" t="inlineStr">
        <is>
          <t>Yes -&gt; Yes</t>
        </is>
      </c>
    </row>
    <row r="46">
      <c r="A46" s="39" t="inlineStr">
        <is>
          <t>Arcane</t>
        </is>
      </c>
      <c r="B46" s="39" t="inlineStr">
        <is>
          <t>Primary Merciless</t>
        </is>
      </c>
      <c r="C46" s="39" t="inlineStr"/>
      <c r="D46" s="39" t="inlineStr"/>
      <c r="E46" s="39" t="inlineStr"/>
      <c r="F46" s="39" t="inlineStr">
        <is>
          <t>Required (v4 weapon-arcane baseline) -&gt; Required (v4.2 weapon/exalted builds)</t>
        </is>
      </c>
      <c r="G46" s="39" t="inlineStr">
        <is>
          <t>Yes -&gt; Yes</t>
        </is>
      </c>
    </row>
    <row r="47">
      <c r="A47" s="39" t="inlineStr">
        <is>
          <t>Arcane</t>
        </is>
      </c>
      <c r="B47" s="39" t="inlineStr">
        <is>
          <t>Secondary Deadhead</t>
        </is>
      </c>
      <c r="C47" s="39" t="inlineStr"/>
      <c r="D47" s="39" t="inlineStr"/>
      <c r="E47" s="39" t="inlineStr"/>
      <c r="F47" s="39" t="inlineStr">
        <is>
          <t>Required (v4 weapon-arcane baseline) -&gt; Required (v4.2 weapon/exalted builds)</t>
        </is>
      </c>
      <c r="G47" s="39" t="inlineStr">
        <is>
          <t>Yes -&gt; Yes</t>
        </is>
      </c>
    </row>
    <row r="48">
      <c r="A48" s="39" t="inlineStr">
        <is>
          <t>Arcane</t>
        </is>
      </c>
      <c r="B48" s="39" t="inlineStr">
        <is>
          <t>Secondary Dexterity</t>
        </is>
      </c>
      <c r="C48" s="39" t="inlineStr"/>
      <c r="D48" s="39" t="inlineStr"/>
      <c r="E48" s="39" t="inlineStr"/>
      <c r="F48" s="39" t="inlineStr">
        <is>
          <t>Required (v4 weapon-arcane baseline) -&gt; Required (v4.2 weapon/exalted builds)</t>
        </is>
      </c>
      <c r="G48" s="39" t="inlineStr">
        <is>
          <t>Yes -&gt; Yes</t>
        </is>
      </c>
    </row>
    <row r="49">
      <c r="A49" s="39" t="inlineStr">
        <is>
          <t>Arcane</t>
        </is>
      </c>
      <c r="B49" s="39" t="inlineStr">
        <is>
          <t>Secondary Merciless</t>
        </is>
      </c>
      <c r="C49" s="39" t="inlineStr"/>
      <c r="D49" s="39" t="inlineStr"/>
      <c r="E49" s="39" t="inlineStr"/>
      <c r="F49" s="39" t="inlineStr">
        <is>
          <t>Required (v4 weapon-arcane baseline) -&gt; Required (v4.2 weapon/exalted builds)</t>
        </is>
      </c>
      <c r="G49" s="39" t="inlineStr">
        <is>
          <t>Yes -&gt; Yes</t>
        </is>
      </c>
    </row>
    <row r="50">
      <c r="A50" s="39" t="inlineStr">
        <is>
          <t>NEW ACCOUNT-BOUND REQUIREMENTS</t>
        </is>
      </c>
      <c r="B50" s="39" t="inlineStr">
        <is>
          <t>Umbral Intensify / Umbral Vitality / Umbral Fiber (one copy each; The Sacrifice, extra copies 100,000 Simaris standing) - used by 58-68 builds simultaneously (mods are shared)</t>
        </is>
      </c>
      <c r="C50" s="39" t="inlineStr"/>
      <c r="D50" s="39" t="inlineStr"/>
      <c r="E50" s="39" t="inlineStr"/>
      <c r="F50" s="39" t="inlineStr"/>
      <c r="G50" s="39" t="n"/>
    </row>
    <row r="51">
      <c r="A51" s="39" t="inlineStr">
        <is>
          <t>NEW ACCOUNT-BOUND REQUIREMENTS</t>
        </is>
      </c>
      <c r="B51" s="39" t="inlineStr">
        <is>
          <t>Archon Shards: 330 positions (79 Tauforged, 251 normal) - v3 planned 230 incl. invalid "Primary Critical Chance" Crimson option</t>
        </is>
      </c>
      <c r="C51" s="39" t="inlineStr"/>
      <c r="D51" s="39" t="inlineStr"/>
      <c r="E51" s="39" t="inlineStr"/>
      <c r="F51" s="39" t="inlineStr"/>
      <c r="G51" s="39" t="n"/>
    </row>
    <row r="52">
      <c r="A52" s="39" t="inlineStr">
        <is>
          <t>NEW ACCOUNT-BOUND REQUIREMENTS</t>
        </is>
      </c>
      <c r="B52" s="39" t="inlineStr">
        <is>
          <t>All five Focus schools used (Madurai, Zenurik, Vazarin, Naramon, Unairu)</t>
        </is>
      </c>
      <c r="C52" s="39" t="inlineStr"/>
      <c r="D52" s="39" t="inlineStr"/>
      <c r="E52" s="39" t="inlineStr"/>
      <c r="F52" s="39" t="inlineStr"/>
      <c r="G52" s="39" t="n"/>
    </row>
    <row r="53">
      <c r="A53" s="39" t="inlineStr">
        <is>
          <t>NEW FARM REQUIREMENTS</t>
        </is>
      </c>
      <c r="B53" s="39" t="inlineStr">
        <is>
          <t>Helminth donors to subsume: base Rhino (Roar), base Grendel (Nourish), base Saryn (Molt); Rebuild Shields is a Helminth-native ability</t>
        </is>
      </c>
      <c r="C53" s="39" t="inlineStr"/>
      <c r="D53" s="39" t="inlineStr"/>
      <c r="E53" s="39" t="inlineStr"/>
      <c r="F53" s="39" t="inlineStr"/>
      <c r="G53" s="39" t="n"/>
    </row>
    <row r="54">
      <c r="A54" s="39" t="inlineStr">
        <is>
          <t>NEW FARM REQUIREMENTS</t>
        </is>
      </c>
      <c r="B54" s="39" t="inlineStr">
        <is>
          <t>Swift Deth (Dethcube precept) - no Warframe.Market listing</t>
        </is>
      </c>
      <c r="C54" s="39" t="inlineStr"/>
      <c r="D54" s="39" t="inlineStr"/>
      <c r="E54" s="39" t="inlineStr"/>
      <c r="F54" s="39" t="inlineStr"/>
      <c r="G54" s="39" t="n"/>
    </row>
    <row r="55">
      <c r="A55" s="39" t="inlineStr">
        <is>
          <t>NEW FARM REQUIREMENTS</t>
        </is>
      </c>
      <c r="B55" s="39" t="inlineStr">
        <is>
          <t>32 Incarnon Genesis adapters (Steel Path Circuit) - optional 120p each via Cavalero now in Optional Convenience</t>
        </is>
      </c>
      <c r="C55" s="39" t="inlineStr"/>
      <c r="D55" s="39" t="inlineStr"/>
      <c r="E55" s="39" t="inlineStr"/>
      <c r="F55" s="39" t="inlineStr"/>
      <c r="G55" s="39" t="n"/>
    </row>
    <row r="56">
      <c r="A56" s="39" t="inlineStr">
        <is>
          <t>NEW PLATINUM REQUIREMENTS</t>
        </is>
      </c>
      <c r="B56" s="39" t="inlineStr">
        <is>
          <t>Arcane set re-derived from builds: +1,496p realistic added</t>
        </is>
      </c>
      <c r="C56" s="39" t="inlineStr"/>
      <c r="D56" s="39" t="inlineStr"/>
      <c r="E56" s="39" t="inlineStr"/>
      <c r="F56" s="39" t="inlineStr"/>
      <c r="G56" s="39" t="n"/>
    </row>
    <row r="57">
      <c r="A57" s="39" t="inlineStr">
        <is>
          <t>PLATINUM REMOVED</t>
        </is>
      </c>
      <c r="B57" s="39" t="inlineStr">
        <is>
          <t>Arcanes dropped: -895p; companions unassigned: -110p realistic</t>
        </is>
      </c>
      <c r="C57" s="39" t="inlineStr"/>
      <c r="D57" s="39" t="inlineStr"/>
      <c r="E57" s="39" t="inlineStr"/>
      <c r="F57" s="39" t="inlineStr"/>
      <c r="G57" s="39" t="n"/>
    </row>
    <row r="58">
      <c r="A58" s="39" t="inlineStr">
        <is>
          <t>PLAYER-TRADE TOTAL v4.1 (F/R/C)</t>
        </is>
      </c>
      <c r="B58" s="39" t="inlineStr"/>
      <c r="C58" s="39" t="n">
        <v>44356</v>
      </c>
      <c r="D58" s="39" t="n">
        <v>51906</v>
      </c>
      <c r="E58" s="39" t="n">
        <v>78001</v>
      </c>
      <c r="F58" s="39" t="n"/>
      <c r="G58" s="39" t="n"/>
    </row>
    <row r="59">
      <c r="A59" s="39" t="inlineStr">
        <is>
          <t>PLAYER-TRADE TOTAL v4.2 (F/R/C)</t>
        </is>
      </c>
      <c r="B59" s="39" t="inlineStr"/>
      <c r="C59" s="39" t="n">
        <v>44788</v>
      </c>
      <c r="D59" s="39" t="n">
        <v>52396</v>
      </c>
      <c r="E59" s="39" t="n">
        <v>78673</v>
      </c>
      <c r="F59" s="39" t="n"/>
      <c r="G59" s="39" t="n"/>
    </row>
    <row r="60">
      <c r="A60" s="39" t="inlineStr">
        <is>
          <t>DELTA</t>
        </is>
      </c>
      <c r="B60" s="39" t="inlineStr"/>
      <c r="C60" s="39" t="n">
        <v>432</v>
      </c>
      <c r="D60" s="39" t="n">
        <v>491</v>
      </c>
      <c r="E60" s="39" t="n">
        <v>672</v>
      </c>
      <c r="F60" s="39" t="n"/>
      <c r="G60" s="39" t="n"/>
    </row>
    <row r="61">
      <c r="A61" s="39" t="inlineStr">
        <is>
          <t>Infrastructure change</t>
        </is>
      </c>
      <c r="B61" s="39" t="inlineStr">
        <is>
          <t>Companion slots: v4.1 20 slots (120p gross / 60p net) -&gt; v4.2 12 slots (72p gross / 12p net); new optional Incarnon Genesis line 3,840p (32 x 120p)</t>
        </is>
      </c>
      <c r="C61" s="39" t="n"/>
      <c r="D61" s="39" t="n"/>
      <c r="E61" s="39" t="n"/>
      <c r="F61" s="39" t="n"/>
      <c r="G61" s="39" t="n"/>
    </row>
  </sheetData>
  <autoFilter ref="A1:G6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Khora Prime</t>
        </is>
      </c>
      <c r="B2" s="39" t="inlineStr">
        <is>
          <t>Which Venari posture persists once the Venari ability is subsumed (Protect heal vs Attack)</t>
        </is>
      </c>
    </row>
    <row r="3">
      <c r="A3" s="39" t="inlineStr">
        <is>
          <t>Koumei</t>
        </is>
      </c>
      <c r="B3" s="39" t="inlineStr">
        <is>
          <t>Whether a Helminth (Roar) cast rolls The Five Fates dice like native casts</t>
        </is>
      </c>
    </row>
    <row r="4">
      <c r="A4" s="39" t="inlineStr">
        <is>
          <t>Kullervo</t>
        </is>
      </c>
      <c r="B4" s="39" t="inlineStr">
        <is>
          <t>Whether Wrathful Advance final crit counts as a base crit for Melee Duplicate on Azothane</t>
        </is>
      </c>
    </row>
    <row r="5">
      <c r="A5" s="39" t="inlineStr">
        <is>
          <t>Mesa Prime</t>
        </is>
      </c>
      <c r="B5" s="39" t="inlineStr">
        <is>
          <t>Peacemaker auto-target weak-point hit rate: decides whether Secondary Deadhead / Arcane Precision beat Secondary Merciless on Regulators</t>
        </is>
      </c>
    </row>
  </sheetData>
  <autoFilter ref="A1:B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66 / 66 frames audited - NOT FINAL</t>
        </is>
      </c>
    </row>
    <row r="13">
      <c r="A13" s="39" t="inlineStr">
        <is>
          <t>Incarnon configurations complete</t>
        </is>
      </c>
      <c r="B13" s="39" t="inlineStr">
        <is>
          <t>39 / 39</t>
        </is>
      </c>
    </row>
    <row r="14">
      <c r="A14" s="39" t="inlineStr">
        <is>
          <t>LIVE TEST REQUIRED count</t>
        </is>
      </c>
      <c r="B14" s="39" t="inlineStr">
        <is>
          <t>4</t>
        </is>
      </c>
    </row>
    <row r="15">
      <c r="A15" s="39" t="inlineStr">
        <is>
          <t>Element-order validator (weapons + Exalteds)</t>
        </is>
      </c>
      <c r="B15" s="39" t="inlineStr">
        <is>
          <t>203 / 203 pass</t>
        </is>
      </c>
    </row>
  </sheetData>
  <autoFilter ref="A1:B1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Heat);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Dexterity</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Animosity</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217</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Tauforged Crimson: Ability Strength +15%</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Animosity</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Merciless / M: Melee Duplicate</t>
        </is>
      </c>
      <c r="AH10" s="39" t="inlineStr">
        <is>
          <t>Zylok Prime: EVO2: Mauler's Magazine, EVO3: Rapid Reinforcement, EVO4: Fatal Affliction</t>
        </is>
      </c>
      <c r="AI10" s="39" t="inlineStr">
        <is>
          <t>Cinta: crit (Viral); Zylok Prime: crit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crit (Viral); Dual Toxocyst: status (Viral + Electricity);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Dexterity</t>
        </is>
      </c>
      <c r="AH14" s="39" t="inlineStr">
        <is>
          <t>Braton Prime: EVO2: Munitions Grit, EVO3: Void's Guidance, EVO4: Critical Parallel; Vasto Prime: EVO2: Deathtrap Trigger, EVO3: Awakened Readiness, EVO4: Commodore's Fortune</t>
        </is>
      </c>
      <c r="AI14" s="39" t="inlineStr">
        <is>
          <t>Braton Prime: crit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Dexterity</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Animosity</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217</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Tauforged Crimson: Ability Strength +15%</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195</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Tauforged Crimson: Ability Strength +15%</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Hunter's Mantra,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Corroding Barrage: Tempest Barrage 100% Corrosive + 100% Str; Passive: 10 Corrosive stacks = 100% armor removal; Plunder makes it permanent</t>
        </is>
      </c>
      <c r="L24" s="39" t="inlineStr">
        <is>
          <t>Growing Power</t>
        </is>
      </c>
      <c r="M24" s="39" t="n"/>
      <c r="N24" s="39" t="inlineStr">
        <is>
          <t>Power Drift</t>
        </is>
      </c>
      <c r="O24" s="39" t="inlineStr">
        <is>
          <t>Umbral Intensify | Umbral Vitality | Umbral Fiber | Primed Continuity | Stretch | Primed Flow | Streamline | Corroding Barrage</t>
        </is>
      </c>
      <c r="P24" s="39" t="inlineStr">
        <is>
          <t>Corroding Barrage</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(keep as optional farming swap); combat build uses Corroding Barrage</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CORRECTED</t>
        </is>
      </c>
      <c r="B28" s="39" t="inlineStr">
        <is>
          <t>Khora Prime</t>
        </is>
      </c>
      <c r="C28" s="39" t="inlineStr">
        <is>
          <t>Strangledome CC + Whipclaw exalted (Ability Combo); Venari exalted companion</t>
        </is>
      </c>
      <c r="D28" s="39" t="inlineStr">
        <is>
          <t>Roar</t>
        </is>
      </c>
      <c r="E28" s="39" t="inlineStr">
        <is>
          <t>Venari</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Which Venari posture persists once the Venari ability is subsumed (Protect heal vs Attack)</t>
        </is>
      </c>
      <c r="AM28" s="39" t="inlineStr">
        <is>
          <t>B4 re-review: Ensnare restored. Whipclaw on an ensnared target re-propagates Ensnare as a NEW instance (pulls/disables everything within 10m, x2 Whipclaw) - the grouping engine. Venari slot subsumed: wiki - replacing the 3rd ability removes only marking/posture switching/instant resummon; Venari stays (passive) with her movement-speed bonus and 45s natural respawn.</t>
        </is>
      </c>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217</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Tauforged Crimson: Ability Strength +15%</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Whether a Helminth (Roar) cast rolls The Five Fates dice like native casts</t>
        </is>
      </c>
      <c r="AM29" s="39" t="inlineStr">
        <is>
          <t>Kumihimo replaced; Kumihimo Loading unused.</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195</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Tauforged Crimson: Ability Strength +15%</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195</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Tauforged Crimson: Ability Strength +15%</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Peacemaker auto-target weak-point hit rate: decides whether Secondary Deadhead / Arcane Precision beat Secondary Merciless on Regulators</t>
        </is>
      </c>
      <c r="AM35" s="39" t="n"/>
      <c r="AN35" s="39" t="inlineStr">
        <is>
          <t>COMPLETE</t>
        </is>
      </c>
    </row>
    <row r="36">
      <c r="A36" s="39" t="inlineStr">
        <is>
          <t>v4.3 AUDITED: REFINED</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Deadhead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v4.3 AUDITED: CORRECTED</t>
        </is>
      </c>
      <c r="B37" s="39" t="inlineStr">
        <is>
          <t>Narin</t>
        </is>
      </c>
      <c r="C37" s="39" t="inlineStr">
        <is>
          <t>Ice-blade caster: Neote/Naraemagi Ice generation into Nurinarim sword dance</t>
        </is>
      </c>
      <c r="D37" s="39" t="inlineStr">
        <is>
          <t>NO HELMINTH</t>
        </is>
      </c>
      <c r="E37" s="39" t="inlineStr">
        <is>
          <t>NO HELMINTH: Closed Ice/Cold loop: Neote (main Ice + 10 Cold stacks), Naraemagi (Cold -&gt; shields/Overguard + Ice), Hakchum (only ability castable during Nurinarim; +150% x Str Cold vulnerability, freezes for slash explosions, invulnerable), Nurinarim (spender)</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Arcane Truculence</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Frostbite / S: Secondary Shiver / M: Melee Duplicate</t>
        </is>
      </c>
      <c r="AH37" s="39" t="inlineStr">
        <is>
          <t>Prisma Skana: EVO2: Wartime Nerve, EVO3: Orokin Reach, EVO4: Survivor's Edge</t>
        </is>
      </c>
      <c r="AI37" s="39" t="inlineStr">
        <is>
          <t>Nunchasa: crit (Cold); Aksondol: crit (Cold); Prisma Skana: crit (Viral)</t>
        </is>
      </c>
      <c r="AJ37" s="39" t="inlineStr">
        <is>
          <t>64/65 (fits)</t>
        </is>
      </c>
      <c r="AK37" s="39" t="n">
        <v>6</v>
      </c>
      <c r="AL37" s="39" t="inlineStr">
        <is>
          <t>-</t>
        </is>
      </c>
      <c r="AM37" s="39" t="inlineStr">
        <is>
          <t>B4: Hakchum restored. Former LIVE TEST (Ice sustain with Hakchum replaced) closed: the decision no longer depends on Ice sustain - Hakchum is the dance's multiplier and in-dance defence. Nurinarim ruling unchanged: ordinary Melee kept (no weapon modding, 20s cast).</t>
        </is>
      </c>
      <c r="AN37" s="39" t="inlineStr">
        <is>
          <t>COMPLETE</t>
        </is>
      </c>
    </row>
    <row r="38">
      <c r="A38" s="39" t="inlineStr">
        <is>
          <t>v4.3 AUDITED: REFINED</t>
        </is>
      </c>
      <c r="B38" s="39" t="inlineStr">
        <is>
          <t>Nekros Prime</t>
        </is>
      </c>
      <c r="C38" s="39" t="inlineStr">
        <is>
          <t>Desecrate loot + Shadows of the Dead army</t>
        </is>
      </c>
      <c r="D38" s="39" t="inlineStr">
        <is>
          <t>Roar</t>
        </is>
      </c>
      <c r="E38" s="39" t="inlineStr">
        <is>
          <t>Soul Punch</t>
        </is>
      </c>
      <c r="F38" s="39" t="n">
        <v>217</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Equilibrium | Streamline | Shield of Shadows</t>
        </is>
      </c>
      <c r="P38" s="39" t="inlineStr">
        <is>
          <t>Shield of Shadows</t>
        </is>
      </c>
      <c r="Q38" s="39" t="inlineStr">
        <is>
          <t>Shield of Shadows, Umbral set</t>
        </is>
      </c>
      <c r="R38" s="39" t="inlineStr">
        <is>
          <t>Molt Augmented</t>
        </is>
      </c>
      <c r="S38" s="39" t="inlineStr">
        <is>
          <t>Arcane Blessing</t>
        </is>
      </c>
      <c r="T38" s="39" t="inlineStr">
        <is>
          <t>Tauforged Crimson: Ability Strength +15%</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Animosity</t>
        </is>
      </c>
      <c r="AH38" s="39" t="inlineStr">
        <is>
          <t>-</t>
        </is>
      </c>
      <c r="AI38" s="39" t="inlineStr">
        <is>
          <t>Tigris Prime: status (Viral + Electricity); Twin Grakatas: crit (Viral); Galatine Prime: crit (Viral)</t>
        </is>
      </c>
      <c r="AJ38" s="39" t="inlineStr">
        <is>
          <t>66/67 (fits)</t>
        </is>
      </c>
      <c r="AK38" s="39" t="n">
        <v>5</v>
      </c>
      <c r="AL38" s="39" t="inlineStr">
        <is>
          <t>-</t>
        </is>
      </c>
      <c r="AM38" s="39" t="inlineStr">
        <is>
          <t>B4: farming/sustain loop - Desecrate health orbs -&gt; Equilibrium energy + Arcane Blessing max health; Smeeta loot; Shield of Shadows DR; Terrify full strip at 167% Str (met)</t>
        </is>
      </c>
      <c r="AN38" s="39" t="inlineStr">
        <is>
          <t>COMPLETE</t>
        </is>
      </c>
    </row>
    <row r="39">
      <c r="A39" s="39" t="inlineStr">
        <is>
          <t>v4.3 AUDITED: REFINED</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Deadhead / S: Secondary Encumber / M: Melee Duplicate</t>
        </is>
      </c>
      <c r="AH39" s="39" t="inlineStr">
        <is>
          <t>-</t>
        </is>
      </c>
      <c r="AI39" s="39" t="inlineStr">
        <is>
          <t>Proboscis Cernos: status (Toxin); Zakti Prime: status (Toxin); Guandao Prime: crit (Viral)</t>
        </is>
      </c>
      <c r="AJ39" s="39" t="inlineStr">
        <is>
          <t>62/65 (fits)</t>
        </is>
      </c>
      <c r="AK39" s="39" t="n">
        <v>6</v>
      </c>
      <c r="AL39" s="39" t="inlineStr">
        <is>
          <t>-</t>
        </is>
      </c>
      <c r="AM39" s="39" t="n"/>
      <c r="AN39" s="39" t="inlineStr">
        <is>
          <t>COMPLETE</t>
        </is>
      </c>
    </row>
    <row r="40">
      <c r="A40" s="39" t="inlineStr">
        <is>
          <t>v4.3 AUDITED: CORRECTED</t>
        </is>
      </c>
      <c r="B40" s="39" t="inlineStr">
        <is>
          <t>Nidus Prime</t>
        </is>
      </c>
      <c r="C40" s="39" t="inlineStr">
        <is>
          <t>Virulence/Larva mutation stack infested caster</t>
        </is>
      </c>
      <c r="D40" s="39" t="inlineStr">
        <is>
          <t>NO HELMINTH</t>
        </is>
      </c>
      <c r="E40" s="39" t="inlineStr">
        <is>
          <t>NO HELMINTH: Parasitic Link (companion link: +25% x Str Str and weapon damage; doubles Virulence = doubled Mutation gain) beats subsumed Roar; Larva/Virulence/Ravenous are the stack loop</t>
        </is>
      </c>
      <c r="F40" s="39" t="n">
        <v>219</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Augur Secrets | Umbral Fiber | Primed Continuity | Stretch | Parasitic Vitality | Streamline | Larva Burst</t>
        </is>
      </c>
      <c r="P40" s="39" t="inlineStr">
        <is>
          <t>Parasitic Vitality, Larva Burst</t>
        </is>
      </c>
      <c r="Q40" s="39" t="inlineStr">
        <is>
          <t>No shields; Undying passive, Ravenous</t>
        </is>
      </c>
      <c r="R40" s="39" t="inlineStr">
        <is>
          <t>Arcane Reaper</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71/74 (fits)</t>
        </is>
      </c>
      <c r="AK40" s="39" t="n">
        <v>2</v>
      </c>
      <c r="AL40" s="39" t="inlineStr">
        <is>
          <t>-</t>
        </is>
      </c>
      <c r="AM40" s="39" t="inlineStr">
        <is>
          <t>B4: Parasitic Vitality (+4% max health per Mutation stack while linked, ~+800% at 200 stacks) is incompatible with Umbral Vitality -&gt; Umbral Vitality out, Augur Secrets keeps Larva's guaranteed-stack breakpoint (200% Str); Virulence refunds replace Primed Flow</t>
        </is>
      </c>
      <c r="AN40" s="39" t="inlineStr">
        <is>
          <t>COMPLETE</t>
        </is>
      </c>
    </row>
    <row r="41">
      <c r="A41" s="39" t="inlineStr">
        <is>
          <t>v4.3 AUDITED: CORRECTED</t>
        </is>
      </c>
      <c r="B41" s="39" t="inlineStr">
        <is>
          <t>Nokko</t>
        </is>
      </c>
      <c r="C41" s="39" t="inlineStr">
        <is>
          <t>Mushroom caster: Stinkbrain/Brightbonnet pulses, Reroot</t>
        </is>
      </c>
      <c r="D41" s="39" t="inlineStr">
        <is>
          <t>NO HELMINTH</t>
        </is>
      </c>
      <c r="E41" s="39" t="inlineStr">
        <is>
          <t>NO HELMINTH: Sporespring (nuke) bounces off mushrooms; Stinkbrain = Viral 100% + Sleep + bounce targets; Brightbonnet = Str up to +150%/+300% invigorated + energy; Reroot = invulnerable/invisible survival (Crepuscular)</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Crepuscular</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Merciless / M: Melee Influence</t>
        </is>
      </c>
      <c r="AH41" s="39" t="inlineStr">
        <is>
          <t>-</t>
        </is>
      </c>
      <c r="AI41" s="39" t="inlineStr">
        <is>
          <t>Sporothrix: status (Viral + Electricity); Ocucor: crit (Viral + Radiation); Mios: status (Viral + Electricity)</t>
        </is>
      </c>
      <c r="AJ41" s="39" t="inlineStr">
        <is>
          <t>74/74 (fits)</t>
        </is>
      </c>
      <c r="AK41" s="39" t="n">
        <v>3</v>
      </c>
      <c r="AL41" s="39" t="inlineStr">
        <is>
          <t>-</t>
        </is>
      </c>
      <c r="AM41" s="39" t="inlineStr">
        <is>
          <t>B4: v4.2 had subsumed Sporespring (the core). Crepuscular applies to Sporespring hits landing while Nokko is in Reroot Sprodling form (wiki)</t>
        </is>
      </c>
      <c r="AN41" s="39" t="inlineStr">
        <is>
          <t>COMPLETE</t>
        </is>
      </c>
    </row>
    <row r="42">
      <c r="A42" s="39" t="inlineStr">
        <is>
          <t>v4.3 AUDITED: CORRECTED</t>
        </is>
      </c>
      <c r="B42" s="39" t="inlineStr">
        <is>
          <t>Nova Prime</t>
        </is>
      </c>
      <c r="C42" s="39" t="inlineStr">
        <is>
          <t>Molecular Prime slow/speed + Antimatter Drop</t>
        </is>
      </c>
      <c r="D42" s="39" t="inlineStr">
        <is>
          <t>Roar</t>
        </is>
      </c>
      <c r="E42" s="39" t="inlineStr">
        <is>
          <t>Antimatter Drop</t>
        </is>
      </c>
      <c r="F42" s="39" t="n">
        <v>195</v>
      </c>
      <c r="G42" s="39" t="n">
        <v>189</v>
      </c>
      <c r="H42" s="39" t="n">
        <v>145</v>
      </c>
      <c r="I42" s="39" t="n">
        <v>130</v>
      </c>
      <c r="J42" s="39" t="inlineStr">
        <is>
          <t>Molecular Prime wave radius and Null Star particle count scale with DURATION; slow cap 75% at 150% Str; Null Star DR 5%/particle (90% cap)</t>
        </is>
      </c>
      <c r="K42" s="39" t="inlineStr">
        <is>
          <t>Molecular Prime damage doubling</t>
        </is>
      </c>
      <c r="L42" s="39" t="inlineStr">
        <is>
          <t>Growing Power</t>
        </is>
      </c>
      <c r="M42" s="39" t="n"/>
      <c r="N42" s="39" t="inlineStr">
        <is>
          <t>Power Drift</t>
        </is>
      </c>
      <c r="O42" s="39" t="inlineStr">
        <is>
          <t>Umbral Intensify | Primed Continuity | Stretch | Augur Message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Fortifying Bloodshed, EVO3: Kinetic Battle, EVO4: Zeroed In</t>
        </is>
      </c>
      <c r="AI42" s="39" t="inlineStr">
        <is>
          <t>Soma Prime: crit (Viral); Aksomati Prime: crit (Viral); Gunsen Prime: status (Viral + Electricity)</t>
        </is>
      </c>
      <c r="AJ42" s="39" t="inlineStr">
        <is>
          <t>65/65 (fits)</t>
        </is>
      </c>
      <c r="AK42" s="39" t="n">
        <v>5</v>
      </c>
      <c r="AL42" s="39" t="inlineStr">
        <is>
          <t>-</t>
        </is>
      </c>
      <c r="AM42" s="39" t="inlineStr">
        <is>
          <t>B4: Null Star restored (Molecular Fission requires Null Star hits); Antimatter Drop subsumed</t>
        </is>
      </c>
      <c r="AN42" s="39" t="inlineStr">
        <is>
          <t>COMPLETE</t>
        </is>
      </c>
    </row>
    <row r="43">
      <c r="A43" s="39" t="inlineStr">
        <is>
          <t>v4.3 AUDITED: CONFIRMED</t>
        </is>
      </c>
      <c r="B43" s="39" t="inlineStr">
        <is>
          <t>Nyx Prime</t>
        </is>
      </c>
      <c r="C43" s="39" t="inlineStr">
        <is>
          <t>Current Nyx: Psychic Bolts defense strip, Chaos radiation, Absorb weapon buff</t>
        </is>
      </c>
      <c r="D43" s="39" t="inlineStr">
        <is>
          <t>Roar</t>
        </is>
      </c>
      <c r="E43" s="39" t="inlineStr">
        <is>
          <t>Mind Control</t>
        </is>
      </c>
      <c r="F43" s="39" t="n">
        <v>217</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Tauforged Crimson: Ability Strength +15%</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Animosity</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v4.3 AUDITED: REFINED</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Feigned Retreat,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v4.3 AUDITED: CONFIRMED</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180</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Tauforged Crimson: Ability Strength +15%</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v4.3 AUDITED: CORRECTED</t>
        </is>
      </c>
      <c r="B46" s="39" t="inlineStr">
        <is>
          <t>Oraxia</t>
        </is>
      </c>
      <c r="C46" s="39" t="inlineStr">
        <is>
          <t>Webbed Embrace / Widow's Brood spider caster; Silken Stride</t>
        </is>
      </c>
      <c r="D46" s="39" t="inlineStr">
        <is>
          <t>NO HELMINTH</t>
        </is>
      </c>
      <c r="E46" s="39" t="inlineStr">
        <is>
          <t>NO HELMINTH: Roar/Eclipse/Xata's Whisper may only replace Silken Stride on Oraxia (wiki restriction) - Silken Stride is core; Mercy's Kiss/Webbed Embrace/Widow's Brood form one mercy-threshold loop</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Commodore's Fortune</t>
        </is>
      </c>
      <c r="AI46" s="39" t="inlineStr">
        <is>
          <t>Torid: crit (Viral); Scyotid: crit (Viral); Spinnerex: status (Viral + Electricity)</t>
        </is>
      </c>
      <c r="AJ46" s="39" t="inlineStr">
        <is>
          <t>74/74 (fits)</t>
        </is>
      </c>
      <c r="AK46" s="39" t="n">
        <v>3</v>
      </c>
      <c r="AL46" s="39" t="inlineStr">
        <is>
          <t>-</t>
        </is>
      </c>
      <c r="AM46" s="39" t="inlineStr">
        <is>
          <t>B4: v4.2 Roar over Mercy's Kiss was ILLEGAL. Mercy's Kiss is an ability finisher (Parazon/finisher Arcanes), not a separately moddable weapon</t>
        </is>
      </c>
      <c r="AN46" s="39" t="inlineStr">
        <is>
          <t>COMPLETE</t>
        </is>
      </c>
    </row>
    <row r="47">
      <c r="A47" s="39" t="inlineStr">
        <is>
          <t>v4.3 AUDITED: REFINED</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Temporal Erosion | Streamline | Temporal Artillery</t>
        </is>
      </c>
      <c r="P47" s="39" t="inlineStr">
        <is>
          <t>Temporal Erosion, 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68/74 (fits)</t>
        </is>
      </c>
      <c r="AK47" s="39" t="n">
        <v>3</v>
      </c>
      <c r="AL47" s="39" t="inlineStr">
        <is>
          <t>-</t>
        </is>
      </c>
      <c r="AM47" s="39" t="inlineStr">
        <is>
          <t>B4: Roar over Grenade Fan + Temporal Artillery + Temporal Erosion (Blaze strikes strip 10% armor each while anchored). Passive: 4th cast +100% Str -&gt; sequence the empowered cast onto Blaze Artillery or Temporal Anchor</t>
        </is>
      </c>
      <c r="AN47" s="39" t="inlineStr">
        <is>
          <t>COMPLETE</t>
        </is>
      </c>
    </row>
    <row r="48">
      <c r="A48" s="39" t="inlineStr">
        <is>
          <t>v4.3 AUDITED: REFINED</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Merciless / M: Melee Animosity</t>
        </is>
      </c>
      <c r="AH48" s="39" t="inlineStr">
        <is>
          <t>Felarx: EVO2: Attuned Accuracy, EVO3: Dual-Mode, EVO4: Racking Wrath, EVO5: Devastating Attrition; Bronco Prime: EVO2: Infused Shots, EVO3: Extended Volley, EVO4: Rain of Lead; Hate: EVO2: Swordsman's Flourish, EVO3: Orokin Reach, EVO4: Absolute Valor</t>
        </is>
      </c>
      <c r="AI48" s="39" t="inlineStr">
        <is>
          <t>Felarx: status (Viral + Electricity); Bronco Prime: crit (Viral); Hate: crit (Viral)</t>
        </is>
      </c>
      <c r="AJ48" s="39" t="inlineStr">
        <is>
          <t>62/65 (fits)</t>
        </is>
      </c>
      <c r="AK48" s="39" t="n">
        <v>7</v>
      </c>
      <c r="AL48" s="39" t="inlineStr">
        <is>
          <t>-</t>
        </is>
      </c>
      <c r="AM48" s="39" t="n"/>
      <c r="AN48" s="39" t="inlineStr">
        <is>
          <t>COMPLETE</t>
        </is>
      </c>
    </row>
    <row r="49">
      <c r="A49" s="39" t="inlineStr">
        <is>
          <t>v4.3 AUDITED: CORRECTED</t>
        </is>
      </c>
      <c r="B49" s="39" t="inlineStr">
        <is>
          <t>Revenant Prime</t>
        </is>
      </c>
      <c r="C49" s="39" t="inlineStr">
        <is>
          <t>Mesmer Skin invulnerability + Reave/Danse Macabre</t>
        </is>
      </c>
      <c r="D49" s="39" t="inlineStr">
        <is>
          <t>NO HELMINTH</t>
        </is>
      </c>
      <c r="E49" s="39" t="inlineStr">
        <is>
          <t>NO HELMINTH: Enthrall -&gt; Reave restores Mesmer Skin charges per thrall passed through and drains 5x; Danse Macabre stores Mesmer-reflected damage and pops thrall pillars/overshield pickups</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inlineStr">
        <is>
          <t>B4: v4.2 subsumed Enthrall and cut the Reave-&gt;Mesmer charge loop. Radiation status turns thralls back - signature Phantasma Prime/Tatsu Prime carry innate Radiation (documented conflict)</t>
        </is>
      </c>
      <c r="AN49" s="39" t="inlineStr">
        <is>
          <t>COMPLETE</t>
        </is>
      </c>
    </row>
    <row r="50">
      <c r="A50" s="39" t="inlineStr">
        <is>
          <t>v4.3 AUDITED: CORRECTED</t>
        </is>
      </c>
      <c r="B50" s="39" t="inlineStr">
        <is>
          <t>Rhino Prime</t>
        </is>
      </c>
      <c r="C50" s="39" t="inlineStr">
        <is>
          <t>Iron Skin tank + native Roar damage buff</t>
        </is>
      </c>
      <c r="D50" s="39" t="inlineStr">
        <is>
          <t>NO HELMINTH</t>
        </is>
      </c>
      <c r="E50" s="39" t="inlineStr">
        <is>
          <t>NO HELMINTH: Rhino Charge carries Ironclad Charge (+50% armor per enemy hit) which multiplies Iron Skin Overguard (2.5 x armor x Str); Roar native at full strength; Stomp + Reinforcing Stomp refills Iron Skin</t>
        </is>
      </c>
      <c r="F50" s="39" t="n">
        <v>217</v>
      </c>
      <c r="G50" s="39" t="n">
        <v>155</v>
      </c>
      <c r="H50" s="39" t="n">
        <v>100</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Ironclad Charge | Primed Flow | Streamline | Reinforcing Stomp</t>
        </is>
      </c>
      <c r="P50" s="39" t="inlineStr">
        <is>
          <t>Ironclad Charge, Reinforcing Stomp</t>
        </is>
      </c>
      <c r="Q50" s="39" t="inlineStr">
        <is>
          <t>Iron Skin scales with armor, Umbral set</t>
        </is>
      </c>
      <c r="R50" s="39" t="inlineStr">
        <is>
          <t>Arcane Reaper</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Crimson Overture, EVO3: Rapid Reinforcement, EVO4: Survivor's Edge</t>
        </is>
      </c>
      <c r="AI50" s="39" t="inlineStr">
        <is>
          <t>Boltor Prime: crit (Viral); Viper Wraith: crit (Viral); Ankyros Prime: crit (Viral)</t>
        </is>
      </c>
      <c r="AJ50" s="39" t="inlineStr">
        <is>
          <t>74/74 (fits)</t>
        </is>
      </c>
      <c r="AK50" s="39" t="n">
        <v>4</v>
      </c>
      <c r="AL50" s="39" t="inlineStr">
        <is>
          <t>-</t>
        </is>
      </c>
      <c r="AM50" s="39" t="inlineStr">
        <is>
          <t>B4: prior architecture (Ironclad Charge + Reinforcing Stomp, NO HELMINTH) restored over v4.2 Nourish over Rhino Charge</t>
        </is>
      </c>
      <c r="AN50" s="39" t="inlineStr">
        <is>
          <t>COMPLETE</t>
        </is>
      </c>
    </row>
    <row r="51">
      <c r="A51" s="39" t="inlineStr">
        <is>
          <t>v4.3 AUDITED: CORRECTED</t>
        </is>
      </c>
      <c r="B51" s="39" t="inlineStr">
        <is>
          <t>Saryn Prime</t>
        </is>
      </c>
      <c r="C51" s="39" t="inlineStr">
        <is>
          <t>Spores/Miasma status nuker; Molt</t>
        </is>
      </c>
      <c r="D51" s="39" t="inlineStr">
        <is>
          <t>Roar</t>
        </is>
      </c>
      <c r="E51" s="39" t="inlineStr">
        <is>
          <t>Molt</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t>
        </is>
      </c>
      <c r="AM51" s="39" t="inlineStr">
        <is>
          <t>B5: Phase 2 baseline restored - Toxic Lash kept (every weapon hit bursts/spreads Spores; Toxin extra hit triggers twice on spored enemies; Toxin mods multiply its ticks). Molt subsumed.</t>
        </is>
      </c>
      <c r="AN51" s="39" t="inlineStr">
        <is>
          <t>COMPLETE</t>
        </is>
      </c>
    </row>
    <row r="52">
      <c r="A52" s="39" t="inlineStr">
        <is>
          <t>v4.3 AUDITED: CORRECTED</t>
        </is>
      </c>
      <c r="B52" s="39" t="inlineStr">
        <is>
          <t>Sevagoth Prime</t>
        </is>
      </c>
      <c r="C52" s="39" t="inlineStr">
        <is>
          <t>Reap/Sow death harvest; Gloom slow/lifesteal; Exalted Shadow form</t>
        </is>
      </c>
      <c r="D52" s="39" t="inlineStr">
        <is>
          <t>NO HELMINTH</t>
        </is>
      </c>
      <c r="E52" s="39" t="inlineStr">
        <is>
          <t>NO HELMINTH: Reap x Sow detonation (25% current health True + spread), Gloom slow/lifesteal (persists during Exalted Shadow), Exalted Shadow form; all four fill the Death Well</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inlineStr">
        <is>
          <t>B5: v4.2 subsumed Sow and broke the Reap detonation</t>
        </is>
      </c>
      <c r="AN52" s="39" t="inlineStr">
        <is>
          <t>COMPLETE</t>
        </is>
      </c>
    </row>
    <row r="53">
      <c r="A53" s="39" t="inlineStr">
        <is>
          <t>v4.3 AUDITED: REFINED</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Merciless / M: Melee Influence</t>
        </is>
      </c>
      <c r="AH53" s="39" t="inlineStr">
        <is>
          <t>-</t>
        </is>
      </c>
      <c r="AI53" s="39" t="inlineStr">
        <is>
          <t>Battacor: crit (Viral + Magnetic); Spectra Vandal: crit (Viral); Pride: status (Viral + Electricity)</t>
        </is>
      </c>
      <c r="AJ53" s="39" t="inlineStr">
        <is>
          <t>64/65 (fits)</t>
        </is>
      </c>
      <c r="AK53" s="39" t="n">
        <v>4</v>
      </c>
      <c r="AL53" s="39" t="inlineStr">
        <is>
          <t>-</t>
        </is>
      </c>
      <c r="AM53" s="39" t="inlineStr">
        <is>
          <t>B5: Primary Son = Sirius. Roar over Coronal Ejection (Sirius-side slot 1 hold-swap lost; swaps still via slots 2/3). Celestial Clash never subsumed (would disable both). Former LIVE TESTs (Reactor, Orion Arcanes/shards, Helminth) resolved from the wiki.</t>
        </is>
      </c>
      <c r="AN53" s="39" t="inlineStr">
        <is>
          <t>COMPLETE</t>
        </is>
      </c>
    </row>
    <row r="54">
      <c r="A54" s="39" t="inlineStr">
        <is>
          <t>v4.3 AUDITED: CORRECTED</t>
        </is>
      </c>
      <c r="B54" s="39" t="inlineStr">
        <is>
          <t>Styanax Prime</t>
        </is>
      </c>
      <c r="C54" s="39" t="inlineStr">
        <is>
          <t>Axios Javelin/Final Stand nuker; Tharros Strike shield/armor strip; Afentis Prime signature</t>
        </is>
      </c>
      <c r="D54" s="39" t="inlineStr">
        <is>
          <t>Roar</t>
        </is>
      </c>
      <c r="E54" s="39" t="inlineStr">
        <is>
          <t>Axios Javelin</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Intrepid Stand | Streamline | Tharros Lethality</t>
        </is>
      </c>
      <c r="P54" s="39" t="inlineStr">
        <is>
          <t>Intrepid Stand, 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64/65 (fits)</t>
        </is>
      </c>
      <c r="AK54" s="39" t="n">
        <v>5</v>
      </c>
      <c r="AL54" s="39" t="inlineStr">
        <is>
          <t>-</t>
        </is>
      </c>
      <c r="AM54" s="39" t="inlineStr">
        <is>
          <t>B5: Rally Point restored (3 x Str energy/s + shields per kill -&gt; passive crit, doubled on spearguns). Axios Javelin subsumed (agrees with Phase 2), but Roar instead of Nourish because Rally Point already covers energy. Intrepid Stand + Tharros Lethality both carried.</t>
        </is>
      </c>
      <c r="AN54" s="39" t="inlineStr">
        <is>
          <t>COMPLETE</t>
        </is>
      </c>
    </row>
    <row r="55">
      <c r="A55" s="39" t="inlineStr">
        <is>
          <t>v4.3 AUDITED: REFINED</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v4.3 AUDITED: CORRECTED</t>
        </is>
      </c>
      <c r="B56" s="39" t="inlineStr">
        <is>
          <t>Titania Prime</t>
        </is>
      </c>
      <c r="C56" s="39" t="inlineStr">
        <is>
          <t>Permanent Razorwing: Dex Pixia + Diwata exalted; Tribute buffs</t>
        </is>
      </c>
      <c r="D56" s="39" t="inlineStr">
        <is>
          <t>Roar</t>
        </is>
      </c>
      <c r="E56" s="39" t="inlineStr">
        <is>
          <t>Lantern</t>
        </is>
      </c>
      <c r="F56" s="39" t="n">
        <v>217</v>
      </c>
      <c r="G56" s="39" t="n">
        <v>165</v>
      </c>
      <c r="H56" s="39" t="n">
        <v>140</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Spellbound Harvest | Razorwing Blitz</t>
        </is>
      </c>
      <c r="P56" s="39" t="inlineStr">
        <is>
          <t>Spellbound Harvest, Razorwing Blitz</t>
        </is>
      </c>
      <c r="Q56" s="39" t="inlineStr">
        <is>
          <t>Small hitbox in Razorwing, Umbral set</t>
        </is>
      </c>
      <c r="R56" s="39" t="inlineStr">
        <is>
          <t>Arcane Avenger</t>
        </is>
      </c>
      <c r="S56" s="39" t="inlineStr">
        <is>
          <t>Molt Augmented</t>
        </is>
      </c>
      <c r="T56" s="39" t="inlineStr">
        <is>
          <t>Tauforged Crimson: Ability Strength +15%</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inlineStr">
        <is>
          <t>B5: Spellbind restored - status immunity (incl. Razorwing collision lock-out) and, with Spellbound Harvest, +50 energy per 4+ hits, one of the few energy sources that works inside Razorwing. Lantern subsumed.</t>
        </is>
      </c>
      <c r="AN56" s="39" t="inlineStr">
        <is>
          <t>COMPLETE</t>
        </is>
      </c>
    </row>
    <row r="57">
      <c r="A57" s="39" t="inlineStr">
        <is>
          <t>v4.3 AUDITED: REFINED</t>
        </is>
      </c>
      <c r="B57" s="39" t="inlineStr">
        <is>
          <t>Trinity Prime</t>
        </is>
      </c>
      <c r="C57" s="39" t="inlineStr">
        <is>
          <t>Energy Vampire/Blessing support</t>
        </is>
      </c>
      <c r="D57" s="39" t="inlineStr">
        <is>
          <t>Roar</t>
        </is>
      </c>
      <c r="E57" s="39" t="inlineStr">
        <is>
          <t>Well of Life</t>
        </is>
      </c>
      <c r="F57" s="39" t="n">
        <v>217</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Tauforged Crimson: Ability Strength +15%</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Merciless / M: Melee Influence</t>
        </is>
      </c>
      <c r="AH57" s="39" t="inlineStr">
        <is>
          <t>Boar Prime: EVO2: Reified Bane, EVO3: Ready Retaliation, EVO4: Critical Parallel</t>
        </is>
      </c>
      <c r="AI57" s="39" t="inlineStr">
        <is>
          <t>Boar Prime: status (Viral + Electricity); Akbronco Prime: crit (Viral); Dual Kamas Prime: status (Viral + Electricity)</t>
        </is>
      </c>
      <c r="AJ57" s="39" t="inlineStr">
        <is>
          <t>62/65 (fits)</t>
        </is>
      </c>
      <c r="AK57" s="39" t="n">
        <v>6</v>
      </c>
      <c r="AL57" s="39" t="inlineStr">
        <is>
          <t>-</t>
        </is>
      </c>
      <c r="AM57" s="39" t="n"/>
      <c r="AN57" s="39" t="inlineStr">
        <is>
          <t>COMPLETE</t>
        </is>
      </c>
    </row>
    <row r="58">
      <c r="A58" s="39" t="inlineStr">
        <is>
          <t>v4.3 AUDITED: CORRECTED</t>
        </is>
      </c>
      <c r="B58" s="39" t="inlineStr">
        <is>
          <t>Uriel</t>
        </is>
      </c>
      <c r="C58" s="39" t="inlineStr">
        <is>
          <t>Demon summoner: Infernalis/Remedium/Demonium, Brimstone</t>
        </is>
      </c>
      <c r="D58" s="39" t="inlineStr">
        <is>
          <t>Roar</t>
        </is>
      </c>
      <c r="E58" s="39" t="inlineStr">
        <is>
          <t>Demonium</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Merciless / M: Melee Duplicate</t>
        </is>
      </c>
      <c r="AH58" s="39" t="inlineStr">
        <is>
          <t>-</t>
        </is>
      </c>
      <c r="AI58" s="39" t="inlineStr">
        <is>
          <t>Vinquibus (Primary): crit (Viral); Kuva Twin Stubbas: crit (Viral + Heat); Vinquibus (Melee): crit (Viral)</t>
        </is>
      </c>
      <c r="AJ58" s="39" t="inlineStr">
        <is>
          <t>74/74 (fits)</t>
        </is>
      </c>
      <c r="AK58" s="39" t="n">
        <v>4</v>
      </c>
      <c r="AL58" s="39" t="inlineStr">
        <is>
          <t>-</t>
        </is>
      </c>
      <c r="AM58" s="39" t="inlineStr">
        <is>
          <t>B5: Roar is legal ONLY over Demonium on Uriel. Subsuming keeps Vythelas (runes, default stats). Roar multiplies Vinquibus, Stubbas, Infernalis and Brimstone.</t>
        </is>
      </c>
      <c r="AN58" s="39" t="inlineStr">
        <is>
          <t>COMPLETE</t>
        </is>
      </c>
    </row>
    <row r="59">
      <c r="A59" s="39" t="inlineStr">
        <is>
          <t>v4.3 AUDITED: CORRECTED</t>
        </is>
      </c>
      <c r="B59" s="39" t="inlineStr">
        <is>
          <t>Valkyr Prime</t>
        </is>
      </c>
      <c r="C59" s="39" t="inlineStr">
        <is>
          <t>Hysteria invulnerable Talons melee; Warcry</t>
        </is>
      </c>
      <c r="D59" s="39" t="inlineStr">
        <is>
          <t>Roar</t>
        </is>
      </c>
      <c r="E59" s="39" t="inlineStr">
        <is>
          <t>Rip Line</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Dexterity</t>
        </is>
      </c>
      <c r="AH59" s="39" t="inlineStr">
        <is>
          <t>-</t>
        </is>
      </c>
      <c r="AI59" s="39" t="inlineStr">
        <is>
          <t>Cernos Prime: crit (Viral); Twin Vipers Wraith: crit (Viral)</t>
        </is>
      </c>
      <c r="AJ59" s="39" t="inlineStr">
        <is>
          <t>74/74 (fits)</t>
        </is>
      </c>
      <c r="AK59" s="39" t="n">
        <v>4</v>
      </c>
      <c r="AL59" s="39" t="inlineStr">
        <is>
          <t>-</t>
        </is>
      </c>
      <c r="AM59" s="39" t="inlineStr">
        <is>
          <t>B5: Paralysis restored (+50% x Str melee vulnerability, stun -&gt; finishers -&gt; Rage). Rip Line subsumed (Hysteria Talons cover gap-closing).</t>
        </is>
      </c>
      <c r="AN59" s="39" t="inlineStr">
        <is>
          <t>COMPLETE</t>
        </is>
      </c>
    </row>
    <row r="60">
      <c r="A60" s="39" t="inlineStr">
        <is>
          <t>v4.3 AUDITED: REFINED</t>
        </is>
      </c>
      <c r="B60" s="39" t="inlineStr">
        <is>
          <t>Vauban Prime</t>
        </is>
      </c>
      <c r="C60" s="39" t="inlineStr">
        <is>
          <t>Bastille/Vortex CC + Photon Strike</t>
        </is>
      </c>
      <c r="D60" s="39" t="inlineStr">
        <is>
          <t>Roar</t>
        </is>
      </c>
      <c r="E60" s="39" t="inlineStr">
        <is>
          <t>Tesla Nervos</t>
        </is>
      </c>
      <c r="F60" s="39" t="n">
        <v>195</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Tauforged Crimson: Ability Strength +15%</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Merciless / M: Melee Animosity</t>
        </is>
      </c>
      <c r="AH60" s="39" t="inlineStr">
        <is>
          <t>-</t>
        </is>
      </c>
      <c r="AI60" s="39" t="inlineStr">
        <is>
          <t>Ferrox: crit (Viral); Kulstar: crit (Viral); Fragor Prime: crit (Viral)</t>
        </is>
      </c>
      <c r="AJ60" s="39" t="inlineStr">
        <is>
          <t>65/65 (fits)</t>
        </is>
      </c>
      <c r="AK60" s="39" t="n">
        <v>4</v>
      </c>
      <c r="AL60" s="39" t="inlineStr">
        <is>
          <t>-</t>
        </is>
      </c>
      <c r="AM60" s="39" t="n"/>
      <c r="AN60" s="39" t="inlineStr">
        <is>
          <t>COMPLETE</t>
        </is>
      </c>
    </row>
    <row r="61">
      <c r="A61" s="39" t="inlineStr">
        <is>
          <t>v4.3 AUDITED: REFINED</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Primary Electricity Damage +30%</t>
        </is>
      </c>
      <c r="V61" s="39" t="inlineStr">
        <is>
          <t>Violet: Primary Electricity Damage +30%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inlineStr">
        <is>
          <t>B5: Volt is weapon-centric through Electric Shield (x2 crit damage, +50% Electricity per shield) -&gt; Violet Primary-Electricity shards instead of ability-damage shards</t>
        </is>
      </c>
      <c r="AN61" s="39" t="inlineStr">
        <is>
          <t>COMPLETE</t>
        </is>
      </c>
    </row>
    <row r="62">
      <c r="A62" s="39" t="inlineStr">
        <is>
          <t>v4.3 AUDITED: CORRECTED</t>
        </is>
      </c>
      <c r="B62" s="39" t="inlineStr">
        <is>
          <t>Voruna Prime</t>
        </is>
      </c>
      <c r="C62" s="39" t="inlineStr">
        <is>
          <t>Lycath's Hunt/Fangs of Raksh hunter; Perigale/Sarofang signatures</t>
        </is>
      </c>
      <c r="D62" s="39" t="inlineStr">
        <is>
          <t>NO HELMINTH</t>
        </is>
      </c>
      <c r="E62" s="39" t="inlineStr">
        <is>
          <t>NO HELMINTH: Shroud of Dynar (+100% flat crit, +2x crit damage, forced Slash, Ulfrun 100% crit) -&gt; Fangs of Raksh (5 statuses x10) -&gt; Ulfrun's Descent (damage per status) -&gt; Lycath's Hunt (orbs, extended by 5-status kills)</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Dexterity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B5: v4.2 subsumed Shroud of Dynar, the melee buff. Ulfrun's Descent stays an ability attack; Sarofang Prime remains the ordinary Melee.</t>
        </is>
      </c>
      <c r="AN62" s="39" t="inlineStr">
        <is>
          <t>COMPLETE</t>
        </is>
      </c>
    </row>
    <row r="63">
      <c r="A63" s="39" t="inlineStr">
        <is>
          <t>v4.3 AUDITED: REFINED</t>
        </is>
      </c>
      <c r="B63" s="39" t="inlineStr">
        <is>
          <t>Wisp Prime</t>
        </is>
      </c>
      <c r="C63" s="39" t="inlineStr">
        <is>
          <t>Reservoir support + Breach Surge/Sol Gate</t>
        </is>
      </c>
      <c r="D63" s="39" t="inlineStr">
        <is>
          <t>Roar</t>
        </is>
      </c>
      <c r="E63" s="39" t="inlineStr">
        <is>
          <t>Wil-O-Wisp</t>
        </is>
      </c>
      <c r="F63" s="39" t="n">
        <v>202</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Tauforged Crimson: Ability Strength +15%</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Merciless / M: Melee Duplicate</t>
        </is>
      </c>
      <c r="AH63" s="39" t="inlineStr">
        <is>
          <t>Furis: EVO2: Stormburst, EVO3: Practiced Grip, EVO4: Prelude of Might</t>
        </is>
      </c>
      <c r="AI63" s="39" t="inlineStr">
        <is>
          <t>Fulmin Prime: crit (Viral + Electricity); Furis: crit (Viral); Tipedo Prime: crit (Viral)</t>
        </is>
      </c>
      <c r="AJ63" s="39" t="inlineStr">
        <is>
          <t>62/65 (fits)</t>
        </is>
      </c>
      <c r="AK63" s="39" t="n">
        <v>6</v>
      </c>
      <c r="AL63" s="39" t="inlineStr">
        <is>
          <t>-</t>
        </is>
      </c>
      <c r="AM63" s="39" t="n"/>
      <c r="AN63" s="39" t="inlineStr">
        <is>
          <t>COMPLETE</t>
        </is>
      </c>
    </row>
    <row r="64">
      <c r="A64" s="39" t="inlineStr">
        <is>
          <t>v4.3 AUDITED: CORRECTED</t>
        </is>
      </c>
      <c r="B64" s="39" t="inlineStr">
        <is>
          <t>Wukong Prime</t>
        </is>
      </c>
      <c r="C64" s="39" t="inlineStr">
        <is>
          <t>Celestial Twin + Primal Fury Iron Staff exalted; Defy</t>
        </is>
      </c>
      <c r="D64" s="39" t="inlineStr">
        <is>
          <t>Roar</t>
        </is>
      </c>
      <c r="E64" s="39" t="inlineStr">
        <is>
          <t>Defy</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Deadhead / S: Secondary Dexterity</t>
        </is>
      </c>
      <c r="AH64" s="39" t="inlineStr">
        <is>
          <t>Ballistica Prime: EVO2: Headcracker, EVO3: Rapid Reinforcement, EVO4: Critical Parallel</t>
        </is>
      </c>
      <c r="AI64" s="39" t="inlineStr">
        <is>
          <t>Zhuge Prime: crit (Viral); Ballistica Prime: crit (Viral)</t>
        </is>
      </c>
      <c r="AJ64" s="39" t="inlineStr">
        <is>
          <t>74/74 (fits)</t>
        </is>
      </c>
      <c r="AK64" s="39" t="n">
        <v>3</v>
      </c>
      <c r="AL64" s="39" t="inlineStr">
        <is>
          <t>-</t>
        </is>
      </c>
      <c r="AM64" s="39" t="inlineStr">
        <is>
          <t>B5: Cloud Walker restored (on-demand invulnerability, the kit's only cleanse, healing per meter, Twin protection, castable during Primal Fury). Defy subsumed (armor needs a rooted 2s taunt; Arcane Reaper covers armor).</t>
        </is>
      </c>
      <c r="AN64" s="39" t="inlineStr">
        <is>
          <t>COMPLETE</t>
        </is>
      </c>
    </row>
    <row r="65">
      <c r="A65" s="39" t="inlineStr">
        <is>
          <t>v4.3 AUDITED: CORRECTED</t>
        </is>
      </c>
      <c r="B65" s="39" t="inlineStr">
        <is>
          <t>Xaku Prime</t>
        </is>
      </c>
      <c r="C65" s="39" t="inlineStr">
        <is>
          <t>The Vast Untime damage amp/CC; Grasp of Lohk (no replacement)</t>
        </is>
      </c>
      <c r="D65" s="39" t="inlineStr">
        <is>
          <t>NO HELMINTH</t>
        </is>
      </c>
      <c r="E65" s="39" t="inlineStr">
        <is>
          <t>NO HELMINTH: Roar may only replace Xata's Whisper; Xata's Void extra hit (26% x Str of total weapon damage, double-dips faction/body part, paused by Vast Untime and amplified by its Void vulnerability) is worth more than Roar on Xaku's weapons</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Encumber / M: Melee Duplicate</t>
        </is>
      </c>
      <c r="AH65" s="39" t="inlineStr">
        <is>
          <t>Laetum: EVO2: Marksman's Hand, EVO3: Lethal Rearmament, EVO4: Elemental Excess, EVO5: Devouring Attrition</t>
        </is>
      </c>
      <c r="AI65" s="39" t="inlineStr">
        <is>
          <t>Trumna Prime: crit (Viral + Heat); Laetum: status (Viral + Electricity); Quassus Prime: crit (Viral)</t>
        </is>
      </c>
      <c r="AJ65" s="39" t="inlineStr">
        <is>
          <t>62/65 (fits)</t>
        </is>
      </c>
      <c r="AK65" s="39" t="n">
        <v>7</v>
      </c>
      <c r="AL65" s="39" t="inlineStr">
        <is>
          <t>-</t>
        </is>
      </c>
      <c r="AM65" s="39" t="n"/>
      <c r="AN65" s="39" t="inlineStr">
        <is>
          <t>COMPLETE</t>
        </is>
      </c>
    </row>
    <row r="66">
      <c r="A66" s="39" t="inlineStr">
        <is>
          <t>v4.3 AUDITED: CORRECTED</t>
        </is>
      </c>
      <c r="B66" s="39" t="inlineStr">
        <is>
          <t>Yareli Prime</t>
        </is>
      </c>
      <c r="C66" s="39" t="inlineStr">
        <is>
          <t>Merulina/Aquablades mobile caster; Kompressa Prime signature</t>
        </is>
      </c>
      <c r="D66" s="39" t="inlineStr">
        <is>
          <t>Roar</t>
        </is>
      </c>
      <c r="E66" s="39" t="inlineStr">
        <is>
          <t>Riptide</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Merciless / M: Melee Influence</t>
        </is>
      </c>
      <c r="AH66" s="39" t="inlineStr">
        <is>
          <t>-</t>
        </is>
      </c>
      <c r="AI66" s="39" t="inlineStr">
        <is>
          <t>Komorex: status (Viral); Kompressa Prime: crit (Viral); Ghoulsaw: status (Viral + Electricity)</t>
        </is>
      </c>
      <c r="AJ66" s="39" t="inlineStr">
        <is>
          <t>74/74 (fits)</t>
        </is>
      </c>
      <c r="AK66" s="39" t="n">
        <v>3</v>
      </c>
      <c r="AL66" s="39" t="inlineStr">
        <is>
          <t>-</t>
        </is>
      </c>
      <c r="AM66" s="39" t="inlineStr">
        <is>
          <t>B5: v4.2 subsumed Sea Snares while running Merulina Guardian (which needs kills during Sea Snares). Riptide subsumed instead.</t>
        </is>
      </c>
      <c r="AN66" s="39" t="inlineStr">
        <is>
          <t>COMPLETE</t>
        </is>
      </c>
    </row>
    <row r="67">
      <c r="A67" s="39" t="inlineStr">
        <is>
          <t>v4.3 AUDITED: CORRECTED</t>
        </is>
      </c>
      <c r="B67" s="39" t="inlineStr">
        <is>
          <t>Zephyr Prime</t>
        </is>
      </c>
      <c r="C67" s="39" t="inlineStr">
        <is>
          <t>Turbulence projectile deflection + Tornado; Jet Stream</t>
        </is>
      </c>
      <c r="D67" s="39" t="inlineStr">
        <is>
          <t>Roar</t>
        </is>
      </c>
      <c r="E67" s="39" t="inlineStr">
        <is>
          <t>Airburst</t>
        </is>
      </c>
      <c r="F67" s="39" t="n">
        <v>217</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Avenger</t>
        </is>
      </c>
      <c r="S67" s="39" t="inlineStr">
        <is>
          <t>Molt Augmented</t>
        </is>
      </c>
      <c r="T67" s="39" t="inlineStr">
        <is>
          <t>Tauforged Crimson: Ability Strength +15%</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Merciless / S: Secondary Merciless / M: Melee Influence</t>
        </is>
      </c>
      <c r="AH67" s="39" t="inlineStr">
        <is>
          <t>-</t>
        </is>
      </c>
      <c r="AI67" s="39" t="inlineStr">
        <is>
          <t>Nataruk: crit (Viral); Catchmoon: crit (Viral + Heat); Kronen Prime: status (Viral + Electricity)</t>
        </is>
      </c>
      <c r="AJ67" s="39" t="inlineStr">
        <is>
          <t>62/65 (fits)</t>
        </is>
      </c>
      <c r="AK67" s="39" t="n">
        <v>6</v>
      </c>
      <c r="AL67" s="39" t="inlineStr">
        <is>
          <t>-</t>
        </is>
      </c>
      <c r="AM67" s="39" t="inlineStr">
        <is>
          <t>B5: Tail Wind restored (airborne upkeep for the +150% weapon crit passive; 12.5 energy airborne). Airburst subsumed - Tornado already groups.</t>
        </is>
      </c>
      <c r="AN67" s="39" t="inlineStr">
        <is>
          <t>COMPLETE</t>
        </is>
      </c>
    </row>
  </sheetData>
  <autoFilter ref="A1:AN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Tauforged</t>
        </is>
      </c>
      <c r="F32" s="39" t="n">
        <v>15</v>
      </c>
      <c r="G32" s="39" t="inlineStr"/>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Tauforged</t>
        </is>
      </c>
      <c r="F102" s="39" t="n">
        <v>15</v>
      </c>
      <c r="G102" s="39" t="inlineStr"/>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Tauforged</t>
        </is>
      </c>
      <c r="F107" s="39" t="n">
        <v>15</v>
      </c>
      <c r="G107" s="39" t="inlineStr"/>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Tauforged</t>
        </is>
      </c>
      <c r="F137" s="39" t="n">
        <v>15</v>
      </c>
      <c r="G137" s="39" t="inlineStr"/>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is>
          <t>cooldown build</t>
        </is>
      </c>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Tauforged</t>
        </is>
      </c>
      <c r="F152" s="39" t="n">
        <v>15</v>
      </c>
      <c r="G152" s="39" t="inlineStr"/>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Tauforged</t>
        </is>
      </c>
      <c r="F157" s="39" t="n">
        <v>15</v>
      </c>
      <c r="G157" s="39" t="inlineStr"/>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Tauforged</t>
        </is>
      </c>
      <c r="F182" s="39" t="n">
        <v>15</v>
      </c>
      <c r="G182" s="39" t="inlineStr"/>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Tauforged</t>
        </is>
      </c>
      <c r="F207" s="39" t="n">
        <v>15</v>
      </c>
      <c r="G207" s="39" t="inlineStr"/>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is>
          <t>200% Renewal cap met without Tau</t>
        </is>
      </c>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Tauforged</t>
        </is>
      </c>
      <c r="F217" s="39" t="n">
        <v>15</v>
      </c>
      <c r="G217" s="39" t="inlineStr"/>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Tauforged</t>
        </is>
      </c>
      <c r="F272" s="39" t="n">
        <v>15</v>
      </c>
      <c r="G272" s="39" t="inlineStr"/>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Tauforged</t>
        </is>
      </c>
      <c r="F277" s="39" t="n">
        <v>15</v>
      </c>
      <c r="G277" s="39" t="inlineStr"/>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Tauforged</t>
        </is>
      </c>
      <c r="F292" s="39" t="n">
        <v>15</v>
      </c>
      <c r="G292" s="39" t="inlineStr"/>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Primary Electricity Damage</t>
        </is>
      </c>
      <c r="E298" s="39" t="inlineStr">
        <is>
          <t>Normal</t>
        </is>
      </c>
      <c r="F298" s="39" t="n">
        <v>30</v>
      </c>
      <c r="G298" s="39" t="inlineStr"/>
    </row>
    <row r="299">
      <c r="A299" s="39" t="inlineStr">
        <is>
          <t>Volt Prime</t>
        </is>
      </c>
      <c r="B299" s="39" t="n">
        <v>3</v>
      </c>
      <c r="C299" s="39" t="inlineStr">
        <is>
          <t>Violet</t>
        </is>
      </c>
      <c r="D299" s="39" t="inlineStr">
        <is>
          <t>Primary Electricity Damage</t>
        </is>
      </c>
      <c r="E299" s="39" t="inlineStr">
        <is>
          <t>Normal</t>
        </is>
      </c>
      <c r="F299" s="39" t="n">
        <v>30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Tauforged</t>
        </is>
      </c>
      <c r="F307" s="39" t="n">
        <v>15</v>
      </c>
      <c r="G307" s="39" t="inlineStr"/>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Tauforged</t>
        </is>
      </c>
      <c r="F327" s="39" t="n">
        <v>15</v>
      </c>
      <c r="G327" s="39" t="inlineStr"/>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3">
      <c r="A333" t="inlineStr">
        <is>
          <t>TOTAL POSITIONS</t>
        </is>
      </c>
      <c r="B333" t="n">
        <v>330</v>
      </c>
    </row>
    <row r="334">
      <c r="A334" t="inlineStr">
        <is>
          <t>Tauforged</t>
        </is>
      </c>
      <c r="B334" t="n">
        <v>79</v>
      </c>
    </row>
    <row r="335">
      <c r="A335" t="inlineStr">
        <is>
          <t>Normal</t>
        </is>
      </c>
      <c r="B335" t="n">
        <v>251</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55</v>
      </c>
    </row>
    <row r="345">
      <c r="A345" t="inlineStr">
        <is>
          <t>Total</t>
        </is>
      </c>
      <c r="C345" t="inlineStr">
        <is>
          <t>Crimson</t>
        </is>
      </c>
      <c r="D345" t="inlineStr">
        <is>
          <t>Ability Strength</t>
        </is>
      </c>
      <c r="E345" t="inlineStr">
        <is>
          <t>Tauforged</t>
        </is>
      </c>
      <c r="F345" t="n">
        <v>70</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2</v>
      </c>
    </row>
    <row r="354">
      <c r="A354" t="inlineStr">
        <is>
          <t>Total</t>
        </is>
      </c>
      <c r="C354" t="inlineStr">
        <is>
          <t>Violet</t>
        </is>
      </c>
      <c r="D354" t="inlineStr">
        <is>
          <t>Primary Electricity Damage</t>
        </is>
      </c>
      <c r="E354" t="inlineStr">
        <is>
          <t>Normal</t>
        </is>
      </c>
      <c r="F354" t="n">
        <v>2</v>
      </c>
    </row>
  </sheetData>
  <autoFilter ref="A1:G3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LIVE TEST if a different ruling is wanted.</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v4.3 B4 SYSTEMIC: Helminth damage-buff restriction</t>
        </is>
      </c>
      <c r="B24" t="inlineStr">
        <is>
          <t>Validator allowed Roar in any slot</t>
        </is>
      </c>
      <c r="C24" t="inlineStr">
        <is>
          <t>Wiki Helminth "Damage buff restrictions": Eclipse/Roar/Xata's Whisper may ONLY replace Vex Armor (Chroma), Resupply (Cyte-09), Eclipse (Mirage), Amp (Octavia), Silken Stride (Oraxia), Roar (Rhino), Ripper's Wail (Temple), Demonium (Uriel), Xata's Whisper (Xaku).</t>
        </is>
      </c>
      <c r="D24" t="inlineStr">
        <is>
          <t>Rule added to engine.py. All 66 scanned: only Oraxia violated (Roar over Mercy's Kiss -&gt; NO HELMINTH). Xaku's Roar over Xata's Whisper is legal (forced slot).</t>
        </is>
      </c>
      <c r="E24" t="inlineStr">
        <is>
          <t>None.</t>
        </is>
      </c>
    </row>
    <row r="25">
      <c r="A25" t="inlineStr">
        <is>
          <t>v4.3 B4 SYSTEMIC: augment cross-dependency</t>
        </is>
      </c>
      <c r="B25" t="inlineStr">
        <is>
          <t>Validator only checked that an augment's own target ability was not subsumed</t>
        </is>
      </c>
      <c r="C25" t="inlineStr">
        <is>
          <t>Molecular Fission (Molecular Prime augment) only works on enemies hit by Null Star; Nova v4.2 had subsumed Null Star.</t>
        </is>
      </c>
      <c r="D25" t="inlineStr">
        <is>
          <t>AUG_REQUIRES rule (Molecular Fission, Blazing Pillage, Temporal Artillery/Erosion, Wrecking Wall, Reinforcing Stomp, Ironclad Charge, Cathode Current, Wrath of Ukko, Aegis Gale). All 66 scanned: Nova was the only violation.</t>
        </is>
      </c>
      <c r="E25" t="inlineStr">
        <is>
          <t>None.</t>
        </is>
      </c>
    </row>
    <row r="26">
      <c r="A26" t="inlineStr">
        <is>
          <t>v4.3 B4 SYSTEMIC: weapon classification</t>
        </is>
      </c>
      <c r="B26" t="inlineStr">
        <is>
          <t>Incarnon weapons classified on base-mode stats; &lt;15% crit auto-selected a status build</t>
        </is>
      </c>
      <c r="C26" t="inlineStr">
        <is>
          <t>Incarnon Form stats differ sharply (Boltor Prime 12% -&gt; 24%/3x, Bronco Prime 6% -&gt; 24%/3.2x, Dual Toxocyst 5% -&gt; 11%/43% status); perks such as Devastating Attrition invert the crit rule.</t>
        </is>
      </c>
      <c r="D26" t="inlineStr">
        <is>
          <t>Incarnon weapons now classified on their Incarnon Form; the &lt;15% threshold only FLAGS a weapon. Every flagged slot on an audited frame carries an explicit review note (WEAPON CONFIGS columns). Arcane/element triggers are checked after combination.</t>
        </is>
      </c>
      <c r="E26" t="inlineStr">
        <is>
          <t>Mod lists only; no procurement change.</t>
        </is>
      </c>
    </row>
    <row r="27">
      <c r="A27" t="inlineStr">
        <is>
          <t>v4.3 B5 SYSTEMIC: Secondary Outburst default</t>
        </is>
      </c>
      <c r="B27" t="inlineStr">
        <is>
          <t>Default weapon rule gave Secondary Outburst to melee-centric frames (Ash, Excalibur Umbra, Valkyr, Wukong, Garuda, Kullervo, Baruuk, Voruna)</t>
        </is>
      </c>
      <c r="C27" t="inlineStr">
        <is>
          <t>Arcane data: Outburst CONSUMES all melee combo on swap; those frames build combo for Talons/Iron Staff/Exalted Blade/Desert Wind/heavy attacks.</t>
        </is>
      </c>
      <c r="D27" t="inlineStr">
        <is>
          <t>All seven remaining users moved to Secondary Dexterity (melee kills -&gt; secondary damage, +combo duration); Ash had been corrected in Batch 1.</t>
        </is>
      </c>
      <c r="E27" t="inlineStr">
        <is>
          <t>Secondary Dexterity already required (Kullervo); Outburst drops to optional collection.</t>
        </is>
      </c>
    </row>
    <row r="28">
      <c r="A28" t="inlineStr">
        <is>
          <t>v4.3 B5 SYSTEMIC: Exalted Warframe slots</t>
        </is>
      </c>
      <c r="B28" t="inlineStr">
        <is>
          <t>v4.2: Sevagoth's Shadow "no shards/arcanes slots"; Orion Arcanes/shards/Reactor LIVE TEST</t>
        </is>
      </c>
      <c r="C28" t="inlineStr">
        <is>
          <t>Wiki: the Shadow uses its own equipped Mods AND Arcanes (Shards/Focus apply normally). Sirius &amp; Orion: separate Mods/Aura/Arcanes, SHARED Archon Shards, Orion has a pre-installed Reactor, Helminth on the Primary Son only, weapons/mods/Arcanes shared, identical Auras do not stack.</t>
        </is>
      </c>
      <c r="D28" t="inlineStr">
        <is>
          <t>Shadow given Arcane Fury + Arcane Reaper; Orion given its own Arcanes and a different Aura (Corrosive Projection). Three S&amp;O LIVE TESTs closed.</t>
        </is>
      </c>
      <c r="E28" t="inlineStr">
        <is>
          <t>No new purchases (Arcane copies are reusable across configs like mods; Reactor pre-installed).</t>
        </is>
      </c>
    </row>
    <row r="29">
      <c r="A29" t="inlineStr">
        <is>
          <t>v4.3 B5 SYSTEMIC: Incarnon perk vs crit template</t>
        </is>
      </c>
      <c r="B29" t="inlineStr">
        <is>
          <t>Template chose crit mods regardless of the selected Incarnon perks</t>
        </is>
      </c>
      <c r="C29" t="inlineStr">
        <is>
          <t>Laetum Devouring Attrition (+2000% on non-crit hits) and Elemental Excess (-10% crit); Furis Prelude of Might (+3x crit multiplier only below 40% crit).</t>
        </is>
      </c>
      <c r="D29" t="inlineStr">
        <is>
          <t>Laetum -&gt; status build; Furis -&gt; no crit-chance mods. Same class as Felarx (B4).</t>
        </is>
      </c>
      <c r="E29" t="inlineStr">
        <is>
          <t>None.</t>
        </is>
      </c>
    </row>
    <row r="30">
      <c r="A30" t="inlineStr">
        <is>
          <t>Mods sheet</t>
        </is>
      </c>
      <c r="B30" t="inlineStr">
        <is>
          <t>Savage Silence listed as Ash augment</t>
        </is>
      </c>
      <c r="C30" t="inlineStr">
        <is>
          <t>Mod data: Savage Silence is the Banshee Silence augment.</t>
        </is>
      </c>
      <c r="D30" t="inlineStr">
        <is>
          <t>Reassigned to Banshee.</t>
        </is>
      </c>
      <c r="E30" t="inlineStr">
        <is>
          <t>None (collection buys every mod).</t>
        </is>
      </c>
    </row>
    <row r="31">
      <c r="A31" t="inlineStr">
        <is>
          <t>Mods sheet</t>
        </is>
      </c>
      <c r="B31" t="inlineStr">
        <is>
          <t>Repelling Bastille (Vauban)</t>
        </is>
      </c>
      <c r="C31" t="inlineStr">
        <is>
          <t>Mod data: no such mod exists live; the Bastille augment is Enduring Bastille.</t>
        </is>
      </c>
      <c r="D31" t="inlineStr">
        <is>
          <t>Replaced with Enduring Bastille.</t>
        </is>
      </c>
      <c r="E31" t="inlineStr">
        <is>
          <t>None (collection).</t>
        </is>
      </c>
    </row>
    <row r="32">
      <c r="A32" t="inlineStr">
        <is>
          <t>Archon Shards</t>
        </is>
      </c>
      <c r="B32" t="inlineStr">
        <is>
          <t>230 planned shards</t>
        </is>
      </c>
      <c r="C32" t="inlineStr">
        <is>
          <t>66 frames x 5 slots = 330.</t>
        </is>
      </c>
      <c r="D32" t="inlineStr">
        <is>
          <t>100 shards unplanned; flagged.</t>
        </is>
      </c>
      <c r="E32" t="inlineStr">
        <is>
          <t>Account-bound; no plat effect.</t>
        </is>
      </c>
    </row>
    <row r="33">
      <c r="A33" t="inlineStr">
        <is>
          <t>Companion slots</t>
        </is>
      </c>
      <c r="B33" t="inlineStr">
        <is>
          <t>7 pairs (14 slots) x 12p, zero free</t>
        </is>
      </c>
      <c r="C33" t="inlineStr">
        <is>
          <t>13 companions + 7 sentinel robotic weapons = 20 companion slots; 10 starter slots.</t>
        </is>
      </c>
      <c r="D33" t="inlineStr">
        <is>
          <t>Gross 10 pairs (120p); net 5 pairs (60p).</t>
        </is>
      </c>
      <c r="E33" t="inlineStr">
        <is>
          <t>Infrastructure recalculated.</t>
        </is>
      </c>
    </row>
    <row r="34">
      <c r="A34" t="inlineStr">
        <is>
          <t>Arcanes</t>
        </is>
      </c>
      <c r="B34" t="inlineStr">
        <is>
          <t>14 Warframe + Melee Crescendo only</t>
        </is>
      </c>
      <c r="C34" t="inlineStr">
        <is>
          <t>183 ordinary weapons have arcane slots but no weapon arcanes were specified.</t>
        </is>
      </c>
      <c r="D34" t="inlineStr">
        <is>
          <t>Added a v4 weapon-arcane baseline (11 Arcanes) as required.</t>
        </is>
      </c>
      <c r="E34" t="inlineStr">
        <is>
          <t>Required Arcane total increases.</t>
        </is>
      </c>
    </row>
    <row r="35">
      <c r="A35" t="inlineStr">
        <is>
          <t>Summary counts</t>
        </is>
      </c>
      <c r="B35" t="inlineStr">
        <is>
          <t>Adversary targets 11 / Incarnon 18 / weapons 176</t>
        </is>
      </c>
      <c r="C35" t="inlineStr">
        <is>
          <t>Normalized: adversary 12, Incarnon 39 (32 Genesis + 7 innate), 183 slot weapons + 14 Exalted/intrinsic.</t>
        </is>
      </c>
      <c r="D35" t="inlineStr">
        <is>
          <t>Summary updated.</t>
        </is>
      </c>
      <c r="E35" t="inlineStr">
        <is>
          <t>Slots, Catalysts, Elemental Vice (12) recalculated.</t>
        </is>
      </c>
    </row>
  </sheetData>
  <autoFilter ref="A1:E3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RESOLVED v4.3 B4: Roar over Grenade Fan + Temporal Artillery + Temporal Erosion</t>
        </is>
      </c>
      <c r="C2" t="inlineStr">
        <is>
          <t>No action</t>
        </is>
      </c>
    </row>
    <row r="3">
      <c r="A3" t="inlineStr">
        <is>
          <t>Dante</t>
        </is>
      </c>
      <c r="B3" t="inlineStr">
        <is>
          <t>Noctua ruled additional Exalted (no Secondary replacement)</t>
        </is>
      </c>
      <c r="C3" t="inlineStr">
        <is>
          <t>LIVE TEST REQUIRED if replacement is wanted</t>
        </is>
      </c>
    </row>
    <row r="4">
      <c r="A4" t="inlineStr">
        <is>
          <t>Sirius &amp; Orion</t>
        </is>
      </c>
      <c r="B4" t="inlineStr">
        <is>
          <t>RESOLVED v4.3 B5 (wiki): Orion comes with a pre-installed Orokin Reactor; one Reactor per S&amp;O is correct</t>
        </is>
      </c>
      <c r="C4" t="inlineStr">
        <is>
          <t>No action</t>
        </is>
      </c>
    </row>
    <row r="5">
      <c r="A5" t="inlineStr">
        <is>
          <t>Signature preference</t>
        </is>
      </c>
      <c r="B5" t="inlineStr">
        <is>
          <t>v4.1 allocated uncontested no-bonus signatures (Temple Riot-848, Mirage Akzani, S&amp;O Pride)</t>
        </is>
      </c>
      <c r="C5" t="inlineStr">
        <is>
          <t>Revert to Athodai / Prisma Twin Gremlins / Caustacyst if preferred; counts unchanged</t>
        </is>
      </c>
    </row>
    <row r="6">
      <c r="A6" t="inlineStr">
        <is>
          <t>Builds</t>
        </is>
      </c>
      <c r="B6" t="inlineStr">
        <is>
          <t>v3 holds no per-frame aura/exilus/mod/arcane/shard/focus sheets</t>
        </is>
      </c>
      <c r="C6" t="inlineStr">
        <is>
          <t>Mods are covered by the all-mods mandate and Arcanes by the required + collection lines; per-frame build sheets still need authoring</t>
        </is>
      </c>
    </row>
    <row r="7">
      <c r="A7" t="inlineStr">
        <is>
          <t>Archon Shards</t>
        </is>
      </c>
      <c r="B7" t="inlineStr">
        <is>
          <t>Plan covers 230 of 330 shard slots</t>
        </is>
      </c>
      <c r="C7" t="inlineStr">
        <is>
          <t>Extend shard plan to all 66 frames</t>
        </is>
      </c>
    </row>
    <row r="8">
      <c r="A8" t="inlineStr">
        <is>
          <t>Sentinel weapons</t>
        </is>
      </c>
      <c r="B8" t="inlineStr">
        <is>
          <t>Resolved v4.1: default weapons bundled (Verglas Prime, Prime Laser Rifle, Deth Machine Rifle Prime, Burst Laser Prime, Deconstructor Prime, Vulklok, Artax)</t>
        </is>
      </c>
      <c r="C8" t="inlineStr">
        <is>
          <t>Change only if non-default sentinel weapons are wanted</t>
        </is>
      </c>
    </row>
    <row r="9">
      <c r="A9" t="inlineStr">
        <is>
          <t>Brysko</t>
        </is>
      </c>
      <c r="B9" t="inlineStr">
        <is>
          <t>Tracked in Upcoming (Not Live); excluded from live cost</t>
        </is>
      </c>
      <c r="C9" t="inlineStr">
        <is>
          <t>Integrate on release: frame, Corecracker ruling, Rain &amp; Shine, Hound, Sentient shotgun</t>
        </is>
      </c>
    </row>
    <row r="10">
      <c r="A10" t="inlineStr">
        <is>
          <t>Tigris Incarnon</t>
        </is>
      </c>
      <c r="B10" t="inlineStr">
        <is>
          <t>Announced Incarnon adapter (Nekros Tigris Prime) not live</t>
        </is>
      </c>
      <c r="C10" t="inlineStr">
        <is>
          <t>Add Genesis row on release</t>
        </is>
      </c>
    </row>
    <row r="11">
      <c r="A11" t="inlineStr">
        <is>
          <t>Adversary elements</t>
        </is>
      </c>
      <c r="B11" t="inlineStr">
        <is>
          <t>v3 had no element targets; v4 set them</t>
        </is>
      </c>
      <c r="C11" t="inlineStr">
        <is>
          <t>Confirm per-frame elements</t>
        </is>
      </c>
    </row>
    <row r="12">
      <c r="A12" t="inlineStr">
        <is>
          <t>Variant families</t>
        </is>
      </c>
      <c r="B12" t="inlineStr">
        <is>
          <t>Vectis/Prime, Trumna/Prime, Dual Keres/Prime, Epitaph/Prime, Cedo/Prime, Pyrana/Prime, Ohma/Prisma Ohma</t>
        </is>
      </c>
      <c r="C12" t="inlineStr">
        <is>
          <t>Distinct items; optional further uniqueness pass</t>
        </is>
      </c>
    </row>
    <row r="13">
      <c r="A13" t="inlineStr">
        <is>
          <t>Account purchase</t>
        </is>
      </c>
      <c r="B13" t="inlineStr">
        <is>
          <t>No candidate account inventory supplied</t>
        </is>
      </c>
      <c r="C13" t="inlineStr">
        <is>
          <t>Provide export for the equivalency audit</t>
        </is>
      </c>
    </row>
  </sheetData>
  <autoFilter ref="A1:C1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 Roar/Temporal Artillery conflict - see Open Items</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LIVE TEST intrinsic weapons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 LIVE TEST if replacement is wanted</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J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6</v>
      </c>
      <c r="F2" s="39" t="inlineStr">
        <is>
          <t>Chroma Prime, Gauss Prime, Mesa Prime, Mirage Prime, Titania Prime, Zephyr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1</v>
      </c>
      <c r="F3" s="39" t="inlineStr">
        <is>
          <t>Inaros Prime</t>
        </is>
      </c>
      <c r="G3" s="39" t="n">
        <v>25</v>
      </c>
      <c r="H3" s="39" t="n">
        <v>27</v>
      </c>
      <c r="I3" s="39" t="n">
        <v>31</v>
      </c>
      <c r="J3" s="39" t="n">
        <v>42</v>
      </c>
    </row>
    <row r="4">
      <c r="A4" s="39" t="inlineStr">
        <is>
          <t>Arcane Blessing</t>
        </is>
      </c>
      <c r="B4" s="39" t="inlineStr">
        <is>
          <t>Warframe</t>
        </is>
      </c>
      <c r="C4" s="39" t="inlineStr">
        <is>
          <t>Rank 5</t>
        </is>
      </c>
      <c r="D4" s="39" t="inlineStr">
        <is>
          <t>Tradeable</t>
        </is>
      </c>
      <c r="E4" s="39" t="n">
        <v>1</v>
      </c>
      <c r="F4" s="39" t="inlineStr">
        <is>
          <t>Nekros Prime</t>
        </is>
      </c>
      <c r="G4" s="39" t="n">
        <v>34</v>
      </c>
      <c r="H4" s="39" t="n">
        <v>40</v>
      </c>
      <c r="I4" s="39" t="n">
        <v>50</v>
      </c>
      <c r="J4" s="39" t="n">
        <v>42</v>
      </c>
    </row>
    <row r="5">
      <c r="A5" s="39" t="inlineStr">
        <is>
          <t>Arcane Camisado</t>
        </is>
      </c>
      <c r="B5" s="39" t="inlineStr">
        <is>
          <t>Warframe</t>
        </is>
      </c>
      <c r="C5" s="39" t="inlineStr">
        <is>
          <t>Rank 5</t>
        </is>
      </c>
      <c r="D5" s="39" t="inlineStr">
        <is>
          <t>Tradeable</t>
        </is>
      </c>
      <c r="E5" s="39" t="n">
        <v>1</v>
      </c>
      <c r="F5" s="39" t="inlineStr">
        <is>
          <t>Uriel</t>
        </is>
      </c>
      <c r="G5" s="39" t="n">
        <v>20</v>
      </c>
      <c r="H5" s="39" t="n">
        <v>30</v>
      </c>
      <c r="I5" s="39" t="n">
        <v>33</v>
      </c>
      <c r="J5" s="39" t="n">
        <v>42</v>
      </c>
    </row>
    <row r="6">
      <c r="A6" s="39" t="inlineStr">
        <is>
          <t>Arcane Crepuscular</t>
        </is>
      </c>
      <c r="B6" s="39" t="inlineStr">
        <is>
          <t>Warframe</t>
        </is>
      </c>
      <c r="C6" s="39" t="inlineStr">
        <is>
          <t>Rank 5</t>
        </is>
      </c>
      <c r="D6" s="39" t="inlineStr">
        <is>
          <t>Tradeable</t>
        </is>
      </c>
      <c r="E6" s="39" t="n">
        <v>5</v>
      </c>
      <c r="F6" s="39" t="inlineStr">
        <is>
          <t>Ash Prime, Cyte-09, Ivara Prime, Loki Prime, Nokko</t>
        </is>
      </c>
      <c r="G6" s="39" t="n">
        <v>25</v>
      </c>
      <c r="H6" s="39" t="n">
        <v>29</v>
      </c>
      <c r="I6" s="39" t="n">
        <v>33</v>
      </c>
      <c r="J6" s="39" t="n">
        <v>42</v>
      </c>
    </row>
    <row r="7">
      <c r="A7" s="39" t="inlineStr">
        <is>
          <t>Arcane Energize</t>
        </is>
      </c>
      <c r="B7" s="39" t="inlineStr">
        <is>
          <t>Warframe</t>
        </is>
      </c>
      <c r="C7" s="39" t="inlineStr">
        <is>
          <t>Rank 5</t>
        </is>
      </c>
      <c r="D7" s="39" t="inlineStr">
        <is>
          <t>Tradeable</t>
        </is>
      </c>
      <c r="E7" s="39" t="n">
        <v>38</v>
      </c>
      <c r="F7" s="39" t="inlineStr">
        <is>
          <t xml:space="preserve">Ash Prime, Banshee Prime, Caliban Prime, Citrine Prime, Dagath, Dante, Equinox Prime, Follie, Grendel Prime, Gyre Prime, Harrow Prime, Hydroid Prime, Jade, Khora Prime, Koumei, Limbo Prime, Loki Prime, Mag Prime, Narin, Nezha Prime, Nova Prime, Nyx Prime, Oberon Prime, Octavia Prime, Oraxia, Protea </t>
        </is>
      </c>
      <c r="G7" s="39" t="n">
        <v>139</v>
      </c>
      <c r="H7" s="39" t="n">
        <v>140</v>
      </c>
      <c r="I7" s="39" t="n">
        <v>154</v>
      </c>
      <c r="J7" s="39" t="n">
        <v>168</v>
      </c>
    </row>
    <row r="8">
      <c r="A8" s="39" t="inlineStr">
        <is>
          <t>Arcane Expertise</t>
        </is>
      </c>
      <c r="B8" s="39" t="inlineStr">
        <is>
          <t>Warframe</t>
        </is>
      </c>
      <c r="C8" s="39" t="inlineStr">
        <is>
          <t>Rank 5</t>
        </is>
      </c>
      <c r="D8" s="39" t="inlineStr">
        <is>
          <t>Tradeable</t>
        </is>
      </c>
      <c r="E8" s="39" t="n">
        <v>1</v>
      </c>
      <c r="F8" s="39" t="inlineStr">
        <is>
          <t>Hildryn Prime</t>
        </is>
      </c>
      <c r="G8" s="39" t="n">
        <v>35</v>
      </c>
      <c r="H8" s="39" t="n">
        <v>39</v>
      </c>
      <c r="I8" s="39" t="n">
        <v>44</v>
      </c>
      <c r="J8" s="39" t="n">
        <v>63</v>
      </c>
    </row>
    <row r="9">
      <c r="A9" s="39" t="inlineStr">
        <is>
          <t>Arcane Fury</t>
        </is>
      </c>
      <c r="B9" s="39" t="inlineStr">
        <is>
          <t>Warframe</t>
        </is>
      </c>
      <c r="C9" s="39" t="inlineStr">
        <is>
          <t>Rank 5</t>
        </is>
      </c>
      <c r="D9" s="39" t="inlineStr">
        <is>
          <t>Tradeable</t>
        </is>
      </c>
      <c r="E9" s="39" t="n">
        <v>5</v>
      </c>
      <c r="F9" s="39" t="inlineStr">
        <is>
          <t>Excalibur Umbra, Garuda Prime, Kullervo, Valkyr Prime, Wukong Prime</t>
        </is>
      </c>
      <c r="G9" s="39" t="n">
        <v>120</v>
      </c>
      <c r="H9" s="39" t="n">
        <v>120</v>
      </c>
      <c r="I9" s="39" t="n">
        <v>149</v>
      </c>
      <c r="J9" s="39" t="n">
        <v>168</v>
      </c>
    </row>
    <row r="10">
      <c r="A10" s="39" t="inlineStr">
        <is>
          <t>Arcane Hot Shot</t>
        </is>
      </c>
      <c r="B10" s="39" t="inlineStr">
        <is>
          <t>Warframe</t>
        </is>
      </c>
      <c r="C10" s="39" t="inlineStr">
        <is>
          <t>Rank 5</t>
        </is>
      </c>
      <c r="D10" s="39" t="inlineStr">
        <is>
          <t>Tradeable</t>
        </is>
      </c>
      <c r="E10" s="39" t="n">
        <v>1</v>
      </c>
      <c r="F10" s="39" t="inlineStr">
        <is>
          <t>Ember Prime</t>
        </is>
      </c>
      <c r="G10" s="39" t="n">
        <v>310</v>
      </c>
      <c r="H10" s="39" t="n">
        <v>320</v>
      </c>
      <c r="I10" s="39" t="n">
        <v>386</v>
      </c>
      <c r="J10" s="39" t="n">
        <v>294</v>
      </c>
    </row>
    <row r="11">
      <c r="A11" s="39" t="inlineStr">
        <is>
          <t>Arcane Ice Storm</t>
        </is>
      </c>
      <c r="B11" s="39" t="inlineStr">
        <is>
          <t>Warframe</t>
        </is>
      </c>
      <c r="C11" s="39" t="inlineStr">
        <is>
          <t>Rank 5</t>
        </is>
      </c>
      <c r="D11" s="39" t="inlineStr">
        <is>
          <t>Tradeable</t>
        </is>
      </c>
      <c r="E11" s="39" t="n">
        <v>1</v>
      </c>
      <c r="F11" s="39" t="inlineStr">
        <is>
          <t>Frost Prime</t>
        </is>
      </c>
      <c r="G11" s="39" t="n">
        <v>74</v>
      </c>
      <c r="H11" s="39" t="n">
        <v>78</v>
      </c>
      <c r="I11" s="39" t="n">
        <v>94</v>
      </c>
      <c r="J11" s="39" t="n">
        <v>105</v>
      </c>
    </row>
    <row r="12">
      <c r="A12" s="39" t="inlineStr">
        <is>
          <t>Arcane Impetus</t>
        </is>
      </c>
      <c r="B12" s="39" t="inlineStr">
        <is>
          <t>Warframe</t>
        </is>
      </c>
      <c r="C12" s="39" t="inlineStr">
        <is>
          <t>Rank 5</t>
        </is>
      </c>
      <c r="D12" s="39" t="inlineStr">
        <is>
          <t>Tradeable</t>
        </is>
      </c>
      <c r="E12" s="39" t="n">
        <v>1</v>
      </c>
      <c r="F12" s="39" t="inlineStr">
        <is>
          <t>Lavos Prime</t>
        </is>
      </c>
      <c r="G12" s="39" t="n">
        <v>24</v>
      </c>
      <c r="H12" s="39" t="n">
        <v>28</v>
      </c>
      <c r="I12" s="39" t="n">
        <v>31</v>
      </c>
      <c r="J12" s="39" t="n">
        <v>42</v>
      </c>
    </row>
    <row r="13">
      <c r="A13" s="39" t="inlineStr">
        <is>
          <t>Arcane Reaper</t>
        </is>
      </c>
      <c r="B13" s="39" t="inlineStr">
        <is>
          <t>Warframe</t>
        </is>
      </c>
      <c r="C13" s="39" t="inlineStr">
        <is>
          <t>Rank 5</t>
        </is>
      </c>
      <c r="D13" s="39" t="inlineStr">
        <is>
          <t>Tradeable</t>
        </is>
      </c>
      <c r="E13" s="39" t="n">
        <v>11</v>
      </c>
      <c r="F13" s="39" t="inlineStr">
        <is>
          <t>Atlas Prime, Baruuk Prime, Gara Prime, Garuda Prime, Inaros Prime, Kullervo, Nidus Prime, Rhino Prime, Valkyr Prime, Voruna Prime, Wukong Prime</t>
        </is>
      </c>
      <c r="G13" s="39" t="n">
        <v>350</v>
      </c>
      <c r="H13" s="39" t="n">
        <v>390</v>
      </c>
      <c r="I13" s="39" t="n">
        <v>441</v>
      </c>
      <c r="J13" s="39" t="n">
        <v>294</v>
      </c>
    </row>
    <row r="14">
      <c r="A14" s="39" t="inlineStr">
        <is>
          <t>Arcane Truculence</t>
        </is>
      </c>
      <c r="B14" s="39" t="inlineStr">
        <is>
          <t>Warframe</t>
        </is>
      </c>
      <c r="C14" s="39" t="inlineStr">
        <is>
          <t>Rank 5</t>
        </is>
      </c>
      <c r="D14" s="39" t="inlineStr">
        <is>
          <t>Tradeable</t>
        </is>
      </c>
      <c r="E14" s="39" t="n">
        <v>1</v>
      </c>
      <c r="F14" s="39" t="inlineStr">
        <is>
          <t>Narin</t>
        </is>
      </c>
      <c r="G14" s="39" t="n">
        <v>19</v>
      </c>
      <c r="H14" s="39" t="n">
        <v>20</v>
      </c>
      <c r="I14" s="39" t="n">
        <v>22</v>
      </c>
      <c r="J14" s="39" t="n">
        <v>42</v>
      </c>
    </row>
    <row r="15">
      <c r="A15" s="39" t="inlineStr">
        <is>
          <t>Arcane Universal Fallout</t>
        </is>
      </c>
      <c r="B15" s="39" t="inlineStr">
        <is>
          <t>Warframe</t>
        </is>
      </c>
      <c r="C15" s="39" t="inlineStr">
        <is>
          <t>Rank 5</t>
        </is>
      </c>
      <c r="D15" s="39" t="inlineStr">
        <is>
          <t>Tradeable</t>
        </is>
      </c>
      <c r="E15" s="39" t="n">
        <v>1</v>
      </c>
      <c r="F15" s="39" t="inlineStr">
        <is>
          <t>Qorvex</t>
        </is>
      </c>
      <c r="G15" s="39" t="n">
        <v>90</v>
      </c>
      <c r="H15" s="39" t="n">
        <v>95</v>
      </c>
      <c r="I15" s="39" t="n">
        <v>111</v>
      </c>
      <c r="J15" s="39" t="n">
        <v>105</v>
      </c>
    </row>
    <row r="16">
      <c r="A16" s="39" t="inlineStr">
        <is>
          <t>Melee Animosity</t>
        </is>
      </c>
      <c r="B16" s="39" t="inlineStr">
        <is>
          <t>Melee</t>
        </is>
      </c>
      <c r="C16" s="39" t="inlineStr">
        <is>
          <t>Rank 5</t>
        </is>
      </c>
      <c r="D16" s="39" t="inlineStr">
        <is>
          <t>Tradeable</t>
        </is>
      </c>
      <c r="E16" s="39" t="n">
        <v>11</v>
      </c>
      <c r="F16" s="39" t="inlineStr">
        <is>
          <t>Corufell Prime, Dual Keres Prime, Fragor Prime, Galatine Prime, Gram Prime, Hate, Masseter Prime, Sarofang Prime, Scindo Prime, Sibear, Volnus Prime</t>
        </is>
      </c>
      <c r="G16" s="39" t="n">
        <v>60</v>
      </c>
      <c r="H16" s="39" t="n">
        <v>64</v>
      </c>
      <c r="I16" s="39" t="n">
        <v>77</v>
      </c>
      <c r="J16" s="39" t="n">
        <v>94.5</v>
      </c>
    </row>
    <row r="17">
      <c r="A17" s="39" t="inlineStr">
        <is>
          <t>Melee Crescendo</t>
        </is>
      </c>
      <c r="B17" s="39" t="inlineStr">
        <is>
          <t>Melee</t>
        </is>
      </c>
      <c r="C17" s="39" t="inlineStr">
        <is>
          <t>Rank 5</t>
        </is>
      </c>
      <c r="D17" s="39" t="inlineStr">
        <is>
          <t>Tradeable</t>
        </is>
      </c>
      <c r="E17" s="39" t="n">
        <v>3</v>
      </c>
      <c r="F17" s="39" t="inlineStr">
        <is>
          <t>Innodem, Karyst Prime, Shadow Clones Prime</t>
        </is>
      </c>
      <c r="G17" s="39" t="n">
        <v>95</v>
      </c>
      <c r="H17" s="39" t="n">
        <v>98</v>
      </c>
      <c r="I17" s="39" t="n">
        <v>111</v>
      </c>
      <c r="J17" s="39" t="n">
        <v>105</v>
      </c>
    </row>
    <row r="18">
      <c r="A18" s="39" t="inlineStr">
        <is>
          <t>Melee Duplicate</t>
        </is>
      </c>
      <c r="B18" s="39" t="inlineStr">
        <is>
          <t>Melee</t>
        </is>
      </c>
      <c r="C18" s="39" t="inlineStr">
        <is>
          <t>Rank 5</t>
        </is>
      </c>
      <c r="D18" s="39" t="inlineStr">
        <is>
          <t>Tradeable</t>
        </is>
      </c>
      <c r="E18" s="39" t="n">
        <v>33</v>
      </c>
      <c r="F18" s="39" t="inlineStr">
        <is>
          <t>Amanata, Ankyros Prime, Azothane, Dakra Prime, Desert Wind Prime, Destreza Prime, Diwata Prime, Dorrclave, Dual Ichor, Dual Keres, Dual Zoren Prime, Garuda Prime Talons, Guandao Prime, Hirudo, Iron Staff Prime, Landslide Fists Prime, Nikana Prime, Okina Prime, Praedos, Prisma Ohma, Prisma Skana, Qua</t>
        </is>
      </c>
      <c r="G18" s="39" t="n">
        <v>170</v>
      </c>
      <c r="H18" s="39" t="n">
        <v>180</v>
      </c>
      <c r="I18" s="39" t="n">
        <v>221</v>
      </c>
      <c r="J18" s="39" t="n">
        <v>147</v>
      </c>
    </row>
    <row r="19">
      <c r="A19" s="39" t="inlineStr">
        <is>
          <t>Melee Influence</t>
        </is>
      </c>
      <c r="B19" s="39" t="inlineStr">
        <is>
          <t>Melee</t>
        </is>
      </c>
      <c r="C19" s="39" t="inlineStr">
        <is>
          <t>Rank 5</t>
        </is>
      </c>
      <c r="D19" s="39" t="inlineStr">
        <is>
          <t>Tradeable</t>
        </is>
      </c>
      <c r="E19" s="39" t="n">
        <v>22</v>
      </c>
      <c r="F19" s="39" t="inlineStr">
        <is>
          <t>Cerata, Dual Kamas Prime, Exalted Umbra Blade, Ghoulsaw, Glaive Prime, Gunsen Prime, Harmony, Jat Kittag, Keratinos, Kestrel Prime, Kogake Prime, Kronen Prime, Lesion, Mios, Nami Skyla Prime, Ohma, Pathocyst, Pride, Rakta Dark Dagger, Slaytra, Spinnerex, Tatsu Prime</t>
        </is>
      </c>
      <c r="G19" s="39" t="n">
        <v>59</v>
      </c>
      <c r="H19" s="39" t="n">
        <v>65</v>
      </c>
      <c r="I19" s="39" t="n">
        <v>72</v>
      </c>
      <c r="J19" s="39" t="n">
        <v>84</v>
      </c>
    </row>
    <row r="20">
      <c r="A20" s="39" t="inlineStr">
        <is>
          <t>Molt Augmented</t>
        </is>
      </c>
      <c r="B20" s="39" t="inlineStr">
        <is>
          <t>Warframe</t>
        </is>
      </c>
      <c r="C20" s="39" t="inlineStr">
        <is>
          <t>Rank 5</t>
        </is>
      </c>
      <c r="D20" s="39" t="inlineStr">
        <is>
          <t>Tradeable</t>
        </is>
      </c>
      <c r="E20" s="39" t="n">
        <v>58</v>
      </c>
      <c r="F20"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20" s="39" t="n">
        <v>35</v>
      </c>
      <c r="H20" s="39" t="n">
        <v>40</v>
      </c>
      <c r="I20" s="39" t="n">
        <v>44</v>
      </c>
      <c r="J20" s="39" t="n">
        <v>63</v>
      </c>
    </row>
    <row r="21">
      <c r="A21" s="39" t="inlineStr">
        <is>
          <t>Primary Deadhead</t>
        </is>
      </c>
      <c r="B21" s="39" t="inlineStr">
        <is>
          <t>Primary</t>
        </is>
      </c>
      <c r="C21" s="39" t="inlineStr">
        <is>
          <t>Rank 5</t>
        </is>
      </c>
      <c r="D21" s="39" t="inlineStr">
        <is>
          <t>Tradeable</t>
        </is>
      </c>
      <c r="E21" s="39" t="n">
        <v>19</v>
      </c>
      <c r="F21" s="39" t="inlineStr">
        <is>
          <t>Artemis Bow Prime, Cernos Prime, Cinta, Evensong, Komorex, Kuva Bramma, Latron Prime, Nagantaka Prime, Neutralizer, Paris Prime, Perigale Prime, Proboscis Cernos, Rubico Prime, Scourge Prime, Sporothrix, Vadarya Prime, Vectis, Vectis Prime, Zhuge Prime</t>
        </is>
      </c>
      <c r="G21" s="39" t="n">
        <v>13</v>
      </c>
      <c r="H21" s="39" t="n">
        <v>13</v>
      </c>
      <c r="I21" s="39" t="n">
        <v>17</v>
      </c>
      <c r="J21" s="39" t="n">
        <v>42</v>
      </c>
    </row>
    <row r="22">
      <c r="A22" s="39" t="inlineStr">
        <is>
          <t>Primary Dexterity</t>
        </is>
      </c>
      <c r="B22" s="39" t="inlineStr">
        <is>
          <t>Primary</t>
        </is>
      </c>
      <c r="C22" s="39" t="inlineStr">
        <is>
          <t>Rank 5</t>
        </is>
      </c>
      <c r="D22" s="39" t="inlineStr">
        <is>
          <t>Tradeable</t>
        </is>
      </c>
      <c r="E22" s="39" t="n">
        <v>1</v>
      </c>
      <c r="F22" s="39" t="inlineStr">
        <is>
          <t>Rauta</t>
        </is>
      </c>
      <c r="G22" s="39" t="n">
        <v>6</v>
      </c>
      <c r="H22" s="39" t="n">
        <v>7</v>
      </c>
      <c r="I22" s="39" t="n">
        <v>9</v>
      </c>
      <c r="J22" s="39" t="n">
        <v>21</v>
      </c>
    </row>
    <row r="23">
      <c r="A23" s="39" t="inlineStr">
        <is>
          <t>Primary Frostbite</t>
        </is>
      </c>
      <c r="B23" s="39" t="inlineStr">
        <is>
          <t>Primary</t>
        </is>
      </c>
      <c r="C23" s="39" t="inlineStr">
        <is>
          <t>Rank 5</t>
        </is>
      </c>
      <c r="D23" s="39" t="inlineStr">
        <is>
          <t>Tradeable</t>
        </is>
      </c>
      <c r="E23" s="39" t="n">
        <v>2</v>
      </c>
      <c r="F23" s="39" t="inlineStr">
        <is>
          <t>Glaxion Vandal, Nunchasa</t>
        </is>
      </c>
      <c r="G23" s="39" t="n">
        <v>35</v>
      </c>
      <c r="H23" s="39" t="n">
        <v>40</v>
      </c>
      <c r="I23" s="39" t="n">
        <v>66</v>
      </c>
      <c r="J23" s="39" t="n">
        <v>63</v>
      </c>
    </row>
    <row r="24">
      <c r="A24" s="39" t="inlineStr">
        <is>
          <t>Primary Merciless</t>
        </is>
      </c>
      <c r="B24" s="39" t="inlineStr">
        <is>
          <t>Primary</t>
        </is>
      </c>
      <c r="C24" s="39" t="inlineStr">
        <is>
          <t>Rank 5</t>
        </is>
      </c>
      <c r="D24" s="39" t="inlineStr">
        <is>
          <t>Tradeable</t>
        </is>
      </c>
      <c r="E24" s="39" t="n">
        <v>29</v>
      </c>
      <c r="F24" s="39" t="inlineStr">
        <is>
          <t>Acceltra Prime, Afentis Prime, Alternox Prime, Battacor, Baza Prime, Boltor Prime, Braton Prime, Burston Prime, Enkaus, Ferrox, Fulmin Prime, Gorgon Wraith, Higasa, Ignis Wraith, Kuva Ogris, Lizzie, Nataruk, Opticor Vandal, Panthera Prime, Phenmor, Soma Prime, Stahlta, Sybaris Prime, Synapse, Tenora</t>
        </is>
      </c>
      <c r="G24" s="39" t="n">
        <v>12</v>
      </c>
      <c r="H24" s="39" t="n">
        <v>15</v>
      </c>
      <c r="I24" s="39" t="n">
        <v>22</v>
      </c>
      <c r="J24" s="39" t="n">
        <v>42</v>
      </c>
    </row>
    <row r="25">
      <c r="A25" s="39" t="inlineStr">
        <is>
          <t>Secondary Deadhead</t>
        </is>
      </c>
      <c r="B25" s="39" t="inlineStr">
        <is>
          <t>Secondary</t>
        </is>
      </c>
      <c r="C25" s="39" t="inlineStr">
        <is>
          <t>Rank 5</t>
        </is>
      </c>
      <c r="D25" s="39" t="inlineStr">
        <is>
          <t>Tradeable</t>
        </is>
      </c>
      <c r="E25" s="39" t="n">
        <v>5</v>
      </c>
      <c r="F25" s="39" t="inlineStr">
        <is>
          <t>Akstiletto Prime, Euphona Prime, Hystrix Prime, Knell Prime, Lex Prime</t>
        </is>
      </c>
      <c r="G25" s="39" t="n">
        <v>8</v>
      </c>
      <c r="H25" s="39" t="n">
        <v>10</v>
      </c>
      <c r="I25" s="39" t="n">
        <v>11</v>
      </c>
      <c r="J25" s="39" t="n">
        <v>21</v>
      </c>
    </row>
    <row r="26">
      <c r="A26" s="39" t="inlineStr">
        <is>
          <t>Secondary Dexterity</t>
        </is>
      </c>
      <c r="B26" s="39" t="inlineStr">
        <is>
          <t>Secondary</t>
        </is>
      </c>
      <c r="C26" s="39" t="inlineStr">
        <is>
          <t>Rank 5</t>
        </is>
      </c>
      <c r="D26" s="39" t="inlineStr">
        <is>
          <t>Tradeable</t>
        </is>
      </c>
      <c r="E26" s="39" t="n">
        <v>7</v>
      </c>
      <c r="F26" s="39" t="inlineStr">
        <is>
          <t>Ballistica Prime, Despair, Epitaph, Grimoire, Tenet Diplos, Twin Vipers Wraith, Vasto Prime</t>
        </is>
      </c>
      <c r="G26" s="39" t="n">
        <v>8</v>
      </c>
      <c r="H26" s="39" t="n">
        <v>9</v>
      </c>
      <c r="I26" s="39" t="n">
        <v>11</v>
      </c>
      <c r="J26" s="39" t="n">
        <v>21</v>
      </c>
    </row>
    <row r="27">
      <c r="A27" s="39" t="inlineStr">
        <is>
          <t>Secondary Encumber</t>
        </is>
      </c>
      <c r="B27" s="39" t="inlineStr">
        <is>
          <t>Secondary</t>
        </is>
      </c>
      <c r="C27" s="39" t="inlineStr">
        <is>
          <t>Rank 5</t>
        </is>
      </c>
      <c r="D27" s="39" t="inlineStr">
        <is>
          <t>Tradeable</t>
        </is>
      </c>
      <c r="E27" s="39" t="n">
        <v>16</v>
      </c>
      <c r="F27" s="39" t="inlineStr">
        <is>
          <t>Akjagara Prime, Atomos, Catabolyst, Cyanex, Dual Toxocyst, Fusilai, Hikou Prime, Laetum, Mara Detron, Noctua, Pox, Staticor, Tenet Cycron, Velox Prime, Zakti Prime, Zymos</t>
        </is>
      </c>
      <c r="G27" s="39" t="n">
        <v>59</v>
      </c>
      <c r="H27" s="39" t="n">
        <v>60</v>
      </c>
      <c r="I27" s="39" t="n">
        <v>85</v>
      </c>
      <c r="J27" s="39" t="n">
        <v>84</v>
      </c>
    </row>
    <row r="28">
      <c r="A28" s="39" t="inlineStr">
        <is>
          <t>Secondary Merciless</t>
        </is>
      </c>
      <c r="B28" s="39" t="inlineStr">
        <is>
          <t>Secondary</t>
        </is>
      </c>
      <c r="C28" s="39" t="inlineStr">
        <is>
          <t>Rank 5</t>
        </is>
      </c>
      <c r="D28" s="39" t="inlineStr">
        <is>
          <t>Tradeable</t>
        </is>
      </c>
      <c r="E28" s="39" t="n">
        <v>39</v>
      </c>
      <c r="F28" s="39" t="inlineStr">
        <is>
          <t>Aegrit, Akarius Prime, Akbronco Prime, Aksomati Prime, Akzani, Balefire Charger Prime, Bronco Prime, Cantare, Catchmoon, Dex Pixia Prime, Epitaph Prime, Furis, Glory, Kompressa Prime, Kulstar, Kunai, Kuva Nukor, Kuva Twin Stubbas, Lato Vandal, Magnus Prime, Ocucor, Onos, Pandero Prime, Prisma Angstr</t>
        </is>
      </c>
      <c r="G28" s="39" t="n">
        <v>7</v>
      </c>
      <c r="H28" s="39" t="n">
        <v>8</v>
      </c>
      <c r="I28" s="39" t="n">
        <v>11</v>
      </c>
      <c r="J28" s="39" t="n">
        <v>21</v>
      </c>
    </row>
    <row r="29">
      <c r="A29" s="39" t="inlineStr">
        <is>
          <t>Secondary Shiver</t>
        </is>
      </c>
      <c r="B29" s="39" t="inlineStr">
        <is>
          <t>Secondary</t>
        </is>
      </c>
      <c r="C29" s="39" t="inlineStr">
        <is>
          <t>Rank 5</t>
        </is>
      </c>
      <c r="D29" s="39" t="inlineStr">
        <is>
          <t>Tradeable</t>
        </is>
      </c>
      <c r="E29" s="39" t="n">
        <v>2</v>
      </c>
      <c r="F29" s="39" t="inlineStr">
        <is>
          <t>Aksondol, Twin Kohmak</t>
        </is>
      </c>
      <c r="G29" s="39" t="n">
        <v>219</v>
      </c>
      <c r="H29" s="39" t="n">
        <v>240</v>
      </c>
      <c r="I29" s="39" t="n">
        <v>281</v>
      </c>
      <c r="J29" s="39" t="n">
        <v>283.5</v>
      </c>
    </row>
    <row r="30">
      <c r="A30" s="39" t="inlineStr">
        <is>
          <t>Shotgun Vendetta</t>
        </is>
      </c>
      <c r="B30" s="39" t="inlineStr">
        <is>
          <t>Shotgun</t>
        </is>
      </c>
      <c r="C30" s="39" t="inlineStr">
        <is>
          <t>Rank 5</t>
        </is>
      </c>
      <c r="D30" s="39" t="inlineStr">
        <is>
          <t>Tradeable</t>
        </is>
      </c>
      <c r="E30" s="39" t="n">
        <v>14</v>
      </c>
      <c r="F30" s="39" t="inlineStr">
        <is>
          <t>Astilla Prime, Boar Prime, Bubonico, Cedo, Cedo Prime, Corinth Prime, Felarx, Kuva Hek, Kuva Sobek, Phantasma Prime, Steflos Prime, Strun Prime, Tenet Arca Plasmor, Tigris Prime</t>
        </is>
      </c>
      <c r="G30" s="39" t="n">
        <v>99</v>
      </c>
      <c r="H30" s="39" t="n">
        <v>100</v>
      </c>
      <c r="I30" s="39" t="n">
        <v>176</v>
      </c>
      <c r="J30" s="39" t="n">
        <v>147</v>
      </c>
    </row>
  </sheetData>
  <autoFilter ref="A1:J3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row>
    <row r="5">
      <c r="A5" s="37" t="inlineStr">
        <is>
          <t>Warframe core</t>
        </is>
      </c>
      <c r="B5" s="37" t="inlineStr">
        <is>
          <t>Umbral Vitality</t>
        </is>
      </c>
      <c r="C5" s="37" t="inlineStr">
        <is>
          <t>MAX</t>
        </is>
      </c>
      <c r="D5" s="37" t="inlineStr">
        <is>
          <t>Account-bound progression</t>
        </is>
      </c>
      <c r="E5" s="37" t="inlineStr">
        <is>
          <t>Not a trade purchase</t>
        </is>
      </c>
      <c r="F5" s="37" t="str"/>
    </row>
    <row r="6">
      <c r="A6" s="37" t="inlineStr">
        <is>
          <t>Warframe core</t>
        </is>
      </c>
      <c r="B6" s="37" t="inlineStr">
        <is>
          <t>Umbral Fiber</t>
        </is>
      </c>
      <c r="C6" s="37" t="inlineStr">
        <is>
          <t>MAX</t>
        </is>
      </c>
      <c r="D6" s="37" t="inlineStr">
        <is>
          <t>Account-bound progression</t>
        </is>
      </c>
      <c r="E6" s="37" t="inlineStr">
        <is>
          <t>Not a trade purchase</t>
        </is>
      </c>
      <c r="F6" s="37" t="str"/>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LIVE TEST with Helminth config</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1388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55</v>
      </c>
    </row>
    <row r="10">
      <c r="A10" s="39" t="inlineStr">
        <is>
          <t>Crimson - Ability Strength</t>
        </is>
      </c>
      <c r="B10" s="39" t="inlineStr">
        <is>
          <t>Tauforged</t>
        </is>
      </c>
      <c r="C10" s="39" t="n">
        <v>70</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2</v>
      </c>
    </row>
    <row r="19">
      <c r="A19" s="39" t="inlineStr">
        <is>
          <t>Violet - Primary Electricity Damage</t>
        </is>
      </c>
      <c r="B19" s="39" t="inlineStr">
        <is>
          <t>Normal</t>
        </is>
      </c>
      <c r="C19" s="39" t="n">
        <v>2</v>
      </c>
    </row>
    <row r="20">
      <c r="A20" s="39" t="inlineStr">
        <is>
          <t>TOTAL</t>
        </is>
      </c>
      <c r="B20" s="39" t="inlineStr"/>
      <c r="C20" s="39" t="n">
        <v>330</v>
      </c>
    </row>
  </sheetData>
  <autoFilter ref="A1:C20"/>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Cyte-09 may already have one; verify before purchase</t>
        </is>
      </c>
    </row>
    <row r="3">
      <c r="A3" s="37" t="inlineStr">
        <is>
          <t>Orokin Catalysts</t>
        </is>
      </c>
      <c r="B3" s="37" t="inlineStr">
        <is>
          <t>171 ordinary non-adversary weapons (v4)</t>
        </is>
      </c>
      <c r="C3" s="37" t="inlineStr">
        <is>
          <t>Market/Nightwave/etc.</t>
        </is>
      </c>
      <c r="D3" s="37" t="inlineStr">
        <is>
          <t>Do not buy until weapon conflict audit is resolved</t>
        </is>
      </c>
    </row>
    <row r="4">
      <c r="A4" s="37" t="inlineStr">
        <is>
          <t>Forma</t>
        </is>
      </c>
      <c r="B4" s="37" t="inlineStr">
        <is>
          <t>Large reserve</t>
        </is>
      </c>
      <c r="C4" s="37" t="inlineStr">
        <is>
          <t>Relics/Market</t>
        </is>
      </c>
      <c r="D4" s="37" t="inlineStr">
        <is>
          <t>Adversary weapon: 5 each to Rank 40; Exalteds and permanent weapons also need polarization</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H62"/>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Master'!$L$2:$L$1865,'Procurement Master'!$A$2:$A$1865,"Warframe",'Procurement Master'!$AS$2:$AS$1865,"Yes")</f>
        <v/>
      </c>
      <c r="C6" s="55">
        <f>SUMIFS('Procurement Master'!$M$2:$M$1865,'Procurement Master'!$A$2:$A$1865,"Warframe",'Procurement Master'!$AS$2:$AS$1865,"Yes")</f>
        <v/>
      </c>
      <c r="D6" s="55">
        <f>SUMIFS('Procurement Master'!$N$2:$N$1865,'Procurement Master'!$A$2:$A$1865,"Warframe",'Procurement Master'!$AS$2:$AS$1865,"Yes")</f>
        <v/>
      </c>
      <c r="E6" s="55">
        <f>COUNTIFS('Procurement Master'!$A$2:$A$1865,"Warframe",'Procurement Master'!$AS$2:$AS$1865,"Yes")</f>
        <v/>
      </c>
      <c r="F6" s="55">
        <f>COUNTIFS('Procurement Master'!$A$2:$A$1865,"Warframe",'Procurement Master'!$AS$2:$AS$1865,"Yes",'Procurement Master'!$L$2:$L$1865,"")</f>
        <v/>
      </c>
      <c r="G6" s="55">
        <f>COUNTIFS('Procurement Master'!$A$2:$A$1865,"Warframe",'Procurement Master'!$P$2:$P$1865,"*UNAVAILABLE*")</f>
        <v/>
      </c>
      <c r="H6" t="inlineStr">
        <is>
          <t>51 Prime sets; 15 base/quest frames are account-bound (0p)</t>
        </is>
      </c>
    </row>
    <row r="7">
      <c r="A7" t="inlineStr">
        <is>
          <t>Weapon acquisition (ordinary, tradeable)</t>
        </is>
      </c>
      <c r="B7" s="55">
        <f>SUMIFS('Procurement Master'!$L$2:$L$1865,'Procurement Master'!$A$2:$A$1865,"Weapon",'Procurement Master'!$AS$2:$AS$1865,"Yes")</f>
        <v/>
      </c>
      <c r="C7" s="55">
        <f>SUMIFS('Procurement Master'!$M$2:$M$1865,'Procurement Master'!$A$2:$A$1865,"Weapon",'Procurement Master'!$AS$2:$AS$1865,"Yes")</f>
        <v/>
      </c>
      <c r="D7" s="55">
        <f>SUMIFS('Procurement Master'!$N$2:$N$1865,'Procurement Master'!$A$2:$A$1865,"Weapon",'Procurement Master'!$AS$2:$AS$1865,"Yes")</f>
        <v/>
      </c>
      <c r="E7" s="55">
        <f>COUNTIFS('Procurement Master'!$A$2:$A$1865,"Weapon",'Procurement Master'!$AS$2:$AS$1865,"Yes")</f>
        <v/>
      </c>
      <c r="F7" s="55">
        <f>COUNTIFS('Procurement Master'!$A$2:$A$1865,"Weapon",'Procurement Master'!$AS$2:$AS$1865,"Yes",'Procurement Master'!$L$2:$L$1865,"")</f>
        <v/>
      </c>
      <c r="G7" s="55">
        <f>COUNTIFS('Procurement Master'!$A$2:$A$1865,"Weapon",'Procurement Master'!$P$2:$P$1865,"*UNAVAILABLE*")</f>
        <v/>
      </c>
      <c r="H7" t="inlineStr">
        <is>
          <t>Prime sets, Vandal/Wraith/Prisma, Zariman/Entrati blueprints</t>
        </is>
      </c>
    </row>
    <row r="8">
      <c r="A8" t="inlineStr">
        <is>
          <t>Adversary acquisition (Kuva/Tenet)</t>
        </is>
      </c>
      <c r="B8" s="55">
        <f>SUMIFS('Procurement Master'!$L$2:$L$1865,'Procurement Master'!$A$2:$A$1865,"Adversary Weapon",'Procurement Master'!$AS$2:$AS$1865,"Yes")</f>
        <v/>
      </c>
      <c r="C8" s="55">
        <f>SUMIFS('Procurement Master'!$M$2:$M$1865,'Procurement Master'!$A$2:$A$1865,"Adversary Weapon",'Procurement Master'!$AS$2:$AS$1865,"Yes")</f>
        <v/>
      </c>
      <c r="D8" s="55">
        <f>SUMIFS('Procurement Master'!$N$2:$N$1865,'Procurement Master'!$A$2:$A$1865,"Adversary Weapon",'Procurement Master'!$AS$2:$AS$1865,"Yes")</f>
        <v/>
      </c>
      <c r="E8" s="55">
        <f>COUNTIFS('Procurement Master'!$A$2:$A$1865,"Adversary Weapon",'Procurement Master'!$AS$2:$AS$1865,"Yes")</f>
        <v/>
      </c>
      <c r="F8" s="55">
        <f>COUNTIFS('Procurement Master'!$A$2:$A$1865,"Adversary Weapon",'Procurement Master'!$AS$2:$AS$1865,"Yes",'Procurement Master'!$L$2:$L$1865,"")</f>
        <v/>
      </c>
      <c r="G8" s="55">
        <f>COUNTIFS('Procurement Master'!$A$2:$A$1865,"Adversary Weapon",'Procurement Master'!$P$2:$P$1865,"*UNAVAILABLE*")</f>
        <v/>
      </c>
      <c r="H8" t="inlineStr">
        <is>
          <t>12 weapons, target element, &gt;=58% valence</t>
        </is>
      </c>
    </row>
    <row r="9">
      <c r="A9" t="inlineStr">
        <is>
          <t>Max-rank mod acquisition (PvE, every tradeable mod)</t>
        </is>
      </c>
      <c r="B9" s="55">
        <f>SUMIFS('Procurement Master'!$L$2:$L$1865,'Procurement Master'!$A$2:$A$1865,"Mod",'Procurement Master'!$AS$2:$AS$1865,"Yes")</f>
        <v/>
      </c>
      <c r="C9" s="55">
        <f>SUMIFS('Procurement Master'!$M$2:$M$1865,'Procurement Master'!$A$2:$A$1865,"Mod",'Procurement Master'!$AS$2:$AS$1865,"Yes")</f>
        <v/>
      </c>
      <c r="D9" s="55">
        <f>SUMIFS('Procurement Master'!$N$2:$N$1865,'Procurement Master'!$A$2:$A$1865,"Mod",'Procurement Master'!$AS$2:$AS$1865,"Yes")</f>
        <v/>
      </c>
      <c r="E9" s="55">
        <f>COUNTIFS('Procurement Master'!$A$2:$A$1865,"Mod",'Procurement Master'!$AS$2:$AS$1865,"Yes")</f>
        <v/>
      </c>
      <c r="F9" s="55">
        <f>COUNTIFS('Procurement Master'!$A$2:$A$1865,"Mod",'Procurement Master'!$AS$2:$AS$1865,"Yes",'Procurement Master'!$L$2:$L$1865,"")</f>
        <v/>
      </c>
      <c r="G9" s="55">
        <f>COUNTIFS('Procurement Master'!$A$2:$A$1865,"Mod",'Procurement Master'!$P$2:$P$1865,"*UNAVAILABLE*")</f>
        <v/>
      </c>
      <c r="H9" t="inlineStr">
        <is>
          <t>All WFM mods ex Rivens/Flawed/locators; Conclave reported separately</t>
        </is>
      </c>
    </row>
    <row r="10">
      <c r="A10" t="inlineStr">
        <is>
          <t>Max-rank Arcane acquisition (required)</t>
        </is>
      </c>
      <c r="B10" s="55">
        <f>SUMIFS('Procurement Master'!$L$2:$L$1865,'Procurement Master'!$A$2:$A$1865,"Arcane",'Procurement Master'!$AS$2:$AS$1865,"Yes")</f>
        <v/>
      </c>
      <c r="C10" s="55">
        <f>SUMIFS('Procurement Master'!$M$2:$M$1865,'Procurement Master'!$A$2:$A$1865,"Arcane",'Procurement Master'!$AS$2:$AS$1865,"Yes")</f>
        <v/>
      </c>
      <c r="D10" s="55">
        <f>SUMIFS('Procurement Master'!$N$2:$N$1865,'Procurement Master'!$A$2:$A$1865,"Arcane",'Procurement Master'!$AS$2:$AS$1865,"Yes")</f>
        <v/>
      </c>
      <c r="E10" s="55">
        <f>COUNTIFS('Procurement Master'!$A$2:$A$1865,"Arcane",'Procurement Master'!$AS$2:$AS$1865,"Yes")</f>
        <v/>
      </c>
      <c r="F10" s="55">
        <f>COUNTIFS('Procurement Master'!$A$2:$A$1865,"Arcane",'Procurement Master'!$AS$2:$AS$1865,"Yes",'Procurement Master'!$L$2:$L$1865,"")</f>
        <v/>
      </c>
      <c r="G10" s="55">
        <f>COUNTIFS('Procurement Master'!$A$2:$A$1865,"Arcane",'Procurement Master'!$P$2:$P$1865,"*UNAVAILABLE*")</f>
        <v/>
      </c>
      <c r="H10" t="inlineStr">
        <is>
          <t>v3 14 required + v4 11 weapon-arcane baseline</t>
        </is>
      </c>
    </row>
    <row r="11">
      <c r="A11" t="inlineStr">
        <is>
          <t>Companions (Prime sentinel sets)</t>
        </is>
      </c>
      <c r="B11" s="55">
        <f>SUMIFS('Procurement Master'!$L$2:$L$1865,'Procurement Master'!$A$2:$A$1865,"Companion",'Procurement Master'!$AS$2:$AS$1865,"Yes")</f>
        <v/>
      </c>
      <c r="C11" s="55">
        <f>SUMIFS('Procurement Master'!$M$2:$M$1865,'Procurement Master'!$A$2:$A$1865,"Companion",'Procurement Master'!$AS$2:$AS$1865,"Yes")</f>
        <v/>
      </c>
      <c r="D11" s="55">
        <f>SUMIFS('Procurement Master'!$N$2:$N$1865,'Procurement Master'!$A$2:$A$1865,"Companion",'Procurement Master'!$AS$2:$AS$1865,"Yes")</f>
        <v/>
      </c>
      <c r="E11" s="55">
        <f>COUNTIFS('Procurement Master'!$A$2:$A$1865,"Companion",'Procurement Master'!$AS$2:$AS$1865,"Yes")</f>
        <v/>
      </c>
      <c r="F11" s="55">
        <f>COUNTIFS('Procurement Master'!$A$2:$A$1865,"Companion",'Procurement Master'!$AS$2:$AS$1865,"Yes",'Procurement Master'!$L$2:$L$1865,"")</f>
        <v/>
      </c>
      <c r="G11" s="55">
        <f>COUNTIFS('Procurement Master'!$A$2:$A$1865,"Companion",'Procurement Master'!$P$2:$P$1865,"*UNAVAILABLE*")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Master'!$L$2:$L$1865,'Procurement Master'!$A$2:$A$1865,"Mod",'Procurement Master'!$AS$2:$AS$1865,"PvP subtotal")</f>
        <v/>
      </c>
      <c r="C16" s="55">
        <f>SUMIFS('Procurement Master'!$M$2:$M$1865,'Procurement Master'!$A$2:$A$1865,"Mod",'Procurement Master'!$AS$2:$AS$1865,"PvP subtotal")</f>
        <v/>
      </c>
      <c r="D16" s="55">
        <f>SUMIFS('Procurement Master'!$N$2:$N$1865,'Procurement Master'!$A$2:$A$1865,"Mod",'Procurement Master'!$AS$2:$AS$1865,"PvP subtotal")</f>
        <v/>
      </c>
    </row>
    <row r="17">
      <c r="A17" t="inlineStr">
        <is>
          <t>Remaining Arcane collection (all other tradeable Arcanes, max rank)</t>
        </is>
      </c>
      <c r="B17" s="55">
        <f>SUMIFS('Procurement Master'!$L$2:$L$1865,'Procurement Master'!$A$2:$A$1865,"Arcane",'Procurement Master'!$AS$2:$AS$1865,"Collection (optional)")</f>
        <v/>
      </c>
      <c r="C17" s="55">
        <f>SUMIFS('Procurement Master'!$M$2:$M$1865,'Procurement Master'!$A$2:$A$1865,"Arcane",'Procurement Master'!$AS$2:$AS$1865,"Collection (optional)")</f>
        <v/>
      </c>
      <c r="D17" s="55">
        <f>SUMIFS('Procurement Master'!$N$2:$N$1865,'Procurement Master'!$A$2:$A$1865,"Arcane",'Procurement Master'!$AS$2:$AS$1865,"Collection (optional)")</f>
        <v/>
      </c>
    </row>
    <row r="18">
      <c r="A18" t="inlineStr">
        <is>
          <t>Signature archguns (Larkspur Prime; Mandonel/Arbucep farmed)</t>
        </is>
      </c>
      <c r="B18" s="55">
        <f>SUMIFS('Procurement Master'!$L$2:$L$1865,'Procurement Master'!$A$2:$A$1865,"Archgun",'Procurement Master'!$AS$2:$AS$1865,"Optional")</f>
        <v/>
      </c>
      <c r="C18" s="55">
        <f>SUMIFS('Procurement Master'!$M$2:$M$1865,'Procurement Master'!$A$2:$A$1865,"Archgun",'Procurement Master'!$AS$2:$AS$1865,"Optional")</f>
        <v/>
      </c>
      <c r="D18" s="55">
        <f>SUMIFS('Procurement Master'!$N$2:$N$1865,'Procurement Master'!$A$2:$A$1865,"Archgun",'Procurement Master'!$AS$2:$AS$1865,"Optional")</f>
        <v/>
      </c>
    </row>
    <row r="19">
      <c r="A19" t="inlineStr">
        <is>
          <t>Signature extras for Exalted-replaced/shared slots (Reconifex, Cobra &amp; Crane Prime; Skiajati/Wrath farmed)</t>
        </is>
      </c>
      <c r="B19" s="55">
        <f>SUMIFS('Procurement Master'!$L$2:$L$1865,'Procurement Master'!$A$2:$A$1865,"Signature Extra",'Procurement Master'!$AS$2:$AS$1865,"Optional")</f>
        <v/>
      </c>
      <c r="C19" s="55">
        <f>SUMIFS('Procurement Master'!$M$2:$M$1865,'Procurement Master'!$A$2:$A$1865,"Signature Extra",'Procurement Master'!$AS$2:$AS$1865,"Optional")</f>
        <v/>
      </c>
      <c r="D19" s="55">
        <f>SUMIFS('Procurement Master'!$N$2:$N$1865,'Procurement Master'!$A$2:$A$1865,"Signature Extra",'Procurement Master'!$AS$2:$AS$1865,"Optional")</f>
        <v/>
      </c>
    </row>
    <row r="20">
      <c r="A20" t="inlineStr">
        <is>
          <t>Upcoming / not live (Brysko, Corecracker, Rain &amp; Shine, Hound, Sentient shotgun, Tigris Incarnon)</t>
        </is>
      </c>
      <c r="B20" t="inlineStr">
        <is>
          <t>EXCLUDED</t>
        </is>
      </c>
      <c r="C20" t="inlineStr">
        <is>
          <t>EXCLUDED</t>
        </is>
      </c>
      <c r="D20" t="inlineStr">
        <is>
          <t>EXCLUDED</t>
        </is>
      </c>
    </row>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23</v>
      </c>
      <c r="F24" s="55">
        <f>CEILING((B24-E24)/2,1)*12</f>
        <v/>
      </c>
      <c r="H24" t="inlineStr">
        <is>
          <t>183 slot-taking weapons (Exalted/intrinsic excluded; Vinquibus counted once). Free: 11 starter + 12 junction/quest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(v4.2 builds); 10 starter</t>
        </is>
      </c>
    </row>
    <row r="26">
      <c r="A26" s="54" t="inlineStr">
        <is>
          <t>FIXED INFRASTRUCTURE TOTAL</t>
        </is>
      </c>
      <c r="B26" s="54" t="inlineStr"/>
      <c r="C26" s="54" t="inlineStr"/>
      <c r="D26" s="56">
        <f>SUM(D23:D25)</f>
        <v/>
      </c>
      <c r="E26" s="54" t="inlineStr"/>
      <c r="F26" s="56">
        <f>SUM(F23:F25)</f>
        <v/>
      </c>
      <c r="G26" s="54" t="n"/>
      <c r="H26" s="54" t="n"/>
    </row>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Cyte-09 counted: verify</t>
        </is>
      </c>
    </row>
    <row r="30">
      <c r="A30" t="inlineStr">
        <is>
          <t>Orokin Catalysts</t>
        </is>
      </c>
      <c r="B30" t="n">
        <v>171</v>
      </c>
      <c r="C30" t="n">
        <v>20</v>
      </c>
      <c r="D30" s="55">
        <f>B30*C30</f>
        <v/>
      </c>
      <c r="H30" t="inlineStr">
        <is>
          <t>171 ordinary non-adversary weapons (Kuva/Tenet pre-installed; Exalted use frame Reactor)</t>
        </is>
      </c>
    </row>
    <row r="31">
      <c r="A31" t="inlineStr">
        <is>
          <t>Incarnon Genesis via Cavalero (plat, one-time each)</t>
        </is>
      </c>
      <c r="B31" t="n">
        <v>32</v>
      </c>
      <c r="C31" t="n">
        <v>120</v>
      </c>
      <c r="D31" s="55">
        <f>B31*C31</f>
        <v/>
      </c>
      <c r="H31" t="inlineStr">
        <is>
          <t>v4.2: wiki -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Master'!$AQ$2:$AQ$1865,'Procurement Master'!$A$2:$A$1865,"Mod",'Procurement Master'!$AS$2:$AS$1865,"Yes")</f>
        <v/>
      </c>
      <c r="H45" t="inlineStr">
        <is>
          <t>Requires the Endo/credits below; R0 not on market for some mods</t>
        </is>
      </c>
    </row>
    <row r="46">
      <c r="A46" t="inlineStr">
        <is>
          <t xml:space="preserve">  Endo needed to max every PvE mod yourself</t>
        </is>
      </c>
      <c r="B46" s="55">
        <f>SUMIFS('Procurement Master'!$AO$2:$AO$1865,'Procurement Master'!$A$2:$A$1865,"Mod",'Procurement Master'!$AS$2:$AS$1865,"Yes")</f>
        <v/>
      </c>
    </row>
    <row r="47">
      <c r="A47" t="inlineStr">
        <is>
          <t xml:space="preserve">  Credits needed to max every PvE mod yourself</t>
        </is>
      </c>
      <c r="B47" s="55">
        <f>SUMIFS('Procurement Master'!$AP$2:$AP$1865,'Procurement Master'!$A$2:$A$1865,"Mod",'Procurement Master'!$AS$2:$AS$1865,"Yes")</f>
        <v/>
      </c>
    </row>
    <row r="48">
      <c r="A48" t="inlineStr">
        <is>
          <t>Arcanes via R0 copies (sum where available, required set)</t>
        </is>
      </c>
      <c r="B48" s="55">
        <f>SUMIFS('Procurement Master'!$AR$2:$AR$1865,'Procurement Master'!$A$2:$A$1865,"Arcane",'Procurement Master'!$AS$2:$AS$1865,"Yes")</f>
        <v/>
      </c>
    </row>
    <row r="49">
      <c r="A49" t="inlineStr">
        <is>
          <t>Non-tradeable frames/weapons/companions (farm/quest/vendor/Dojo)</t>
        </is>
      </c>
      <c r="B49" s="55">
        <f>COUNTIFS('Procurement Master'!$P$2:$P$1865,"FARMABLE*")</f>
        <v/>
      </c>
      <c r="H49" t="inlineStr">
        <is>
          <t>items; 0p by definition</t>
        </is>
      </c>
    </row>
    <row r="50">
      <c r="A50" t="inlineStr">
        <is>
          <t>Incarnon Genesis adapters (Steel Path Circuit)</t>
        </is>
      </c>
      <c r="B50" s="55">
        <f>COUNTIFS('Procurement Master'!$AF$2:$AF$1865,"Incarnon*")</f>
        <v/>
      </c>
      <c r="H50" t="inlineStr">
        <is>
          <t>adapters</t>
        </is>
      </c>
    </row>
    <row r="51">
      <c r="A51" t="inlineStr">
        <is>
          <t>Archon Shards (account-bound)</t>
        </is>
      </c>
      <c r="B51" t="n">
        <v>330</v>
      </c>
      <c r="H51" t="inlineStr">
        <is>
          <t>66 frames x 5; v3 shard plan covers only 230</t>
        </is>
      </c>
    </row>
    <row r="53">
      <c r="A53" t="inlineStr">
        <is>
          <t>Official Platinum pack</t>
        </is>
      </c>
      <c r="B53" t="n">
        <v>4600</v>
      </c>
      <c r="C53" t="n">
        <v>199.99</v>
      </c>
      <c r="H53" t="inlineStr">
        <is>
          <t>Current undiscounted USD price (v3)</t>
        </is>
      </c>
    </row>
    <row r="54">
      <c r="A54" t="inlineStr">
        <is>
          <t>$1,000 benchmark packs</t>
        </is>
      </c>
      <c r="B54" t="n">
        <v>5</v>
      </c>
      <c r="C54" t="n">
        <v>4600</v>
      </c>
      <c r="D54" s="55">
        <f>B54*C54</f>
        <v/>
      </c>
      <c r="H54" t="inlineStr">
        <is>
          <t>Five 4,600p packs = 23,000p for $999.95</t>
        </is>
      </c>
    </row>
    <row r="56">
      <c r="A56" s="54" t="inlineStr">
        <is>
          <t>7. MODEL NOTES</t>
        </is>
      </c>
      <c r="B56" s="54" t="n"/>
      <c r="C56" s="54" t="n"/>
      <c r="D56" s="54" t="n"/>
      <c r="E56" s="54" t="n"/>
      <c r="F56" s="54" t="n"/>
      <c r="G56" s="54" t="n"/>
      <c r="H56" s="54" t="n"/>
    </row>
    <row r="57">
      <c r="A57" t="inlineStr">
        <is>
          <t xml:space="preserve">  - Mods are ~70% of the player-trade total. Buying every PvE mod already at max rank is the most expensive acquisition route; buying R0 copies and ranking them yourself (section 6) removes most of that premium at the cost of Endo/credits.</t>
        </is>
      </c>
    </row>
    <row r="58">
      <c r="A58" t="inlineStr">
        <is>
          <t xml:space="preserve">  - Many collection mods (common drops, syndicate offerings, Nightwave/Cephalon Simaris items) are farmable at no plat cost; the max-rank trade total is an upper-bound valuation of the mandate, not a recommended spend plan.</t>
        </is>
      </c>
    </row>
    <row r="59">
      <c r="A59" t="inlineStr">
        <is>
          <t xml:space="preserve">  - Conservative mod pricing is wide because many max-rank books are thin (few sellers). Use Realistic for decisions; Conservative is an allowance.</t>
        </is>
      </c>
    </row>
    <row r="60">
      <c r="A60" t="inlineStr">
        <is>
          <t xml:space="preserve">  - Prime frames/weapons are priced as complete sets; buying parts or cracking relics is cheaper but slower.</t>
        </is>
      </c>
    </row>
    <row r="61">
      <c r="A61" t="inlineStr">
        <is>
          <t xml:space="preserve">  - Account purchase comparison: the $1,000 / 23,000p benchmark should be compared to the portion of THIS procurement universe a candidate account already satisfies (equivalency audit), not to its raw inventory. Purchase risk is separate.</t>
        </is>
      </c>
    </row>
    <row r="62">
      <c r="A62" t="inlineStr">
        <is>
          <t xml:space="preserve">  - Platinum totals exclude Forma, Archon Shards, Focus, Helminth, Incarnon Genesis, Endo and credits (all farmable/account-bound).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S186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R237" t="inlineStr">
        <is>
          <t>Unchanged from v3 allocation</t>
        </is>
      </c>
      <c r="AC237" t="inlineStr">
        <is>
          <t>Non-signature</t>
        </is>
      </c>
      <c r="AE237" t="inlineStr">
        <is>
          <t>No</t>
        </is>
      </c>
      <c r="AL237" t="inlineStr">
        <is>
          <t>Yes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R251" t="inlineStr">
        <is>
          <t>Unchanged from v3 allocation</t>
        </is>
      </c>
      <c r="AC251" t="inlineStr">
        <is>
          <t>Non-signature</t>
        </is>
      </c>
      <c r="AE251" t="inlineStr">
        <is>
          <t>No</t>
        </is>
      </c>
      <c r="AL251" t="inlineStr">
        <is>
          <t>Yes</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Core</t>
        </is>
      </c>
      <c r="P261" t="inlineStr">
        <is>
          <t>INCLUDED WITH COMPANION</t>
        </is>
      </c>
      <c r="R261" t="inlineStr">
        <is>
          <t>Default sentinel weapon (wiki); uses one Companion slot</t>
        </is>
      </c>
      <c r="AL261" t="inlineStr">
        <is>
          <t>Yes (optional)</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(optional)</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(optional)</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Core</t>
        </is>
      </c>
      <c r="P264" t="inlineStr">
        <is>
          <t>INCLUDED WITH COMPANION</t>
        </is>
      </c>
      <c r="R264" t="inlineStr">
        <is>
          <t>Default sentinel weapon (wiki); uses one Companion slot</t>
        </is>
      </c>
      <c r="AL264" t="inlineStr">
        <is>
          <t>Yes (optional)</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(optional)</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(optional)</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Core</t>
        </is>
      </c>
      <c r="P267" t="inlineStr">
        <is>
          <t>INCLUDED WITH COMPANION</t>
        </is>
      </c>
      <c r="R267" t="inlineStr">
        <is>
          <t>Default sentinel weapon (wiki); uses one Companion slot</t>
        </is>
      </c>
      <c r="AL267" t="inlineStr">
        <is>
          <t>Yes (optional)</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 LIVE TEST if replacement is wanted</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Collection</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Collection</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Collection</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Collection</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Collection</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Corroding Barrage</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Mod</t>
        </is>
      </c>
      <c r="B1678" t="inlineStr">
        <is>
          <t>Resonating Quake</t>
        </is>
      </c>
      <c r="E1678" t="inlineStr">
        <is>
          <t>Banshee</t>
        </is>
      </c>
      <c r="F1678" t="n">
        <v>3</v>
      </c>
      <c r="G1678" t="n">
        <v>1</v>
      </c>
      <c r="H1678" t="inlineStr">
        <is>
          <t>Player trade (in-game only)</t>
        </is>
      </c>
      <c r="I1678" t="inlineStr">
        <is>
          <t>Yes (wiki)</t>
        </is>
      </c>
      <c r="P1678" t="inlineStr">
        <is>
          <t>MARKET DATA UNAVAILABLE</t>
        </is>
      </c>
      <c r="R1678" t="inlineStr">
        <is>
          <t>Wiki lists as tradeable; no Warframe.Market listing</t>
        </is>
      </c>
      <c r="AN1678" t="inlineStr">
        <is>
          <t>Banshee</t>
        </is>
      </c>
      <c r="AS1678" t="inlineStr">
        <is>
          <t>No (no data)</t>
        </is>
      </c>
    </row>
    <row r="1679">
      <c r="A1679" t="inlineStr">
        <is>
          <t>Mod</t>
        </is>
      </c>
      <c r="B1679" t="inlineStr">
        <is>
          <t>Negation Swarm</t>
        </is>
      </c>
      <c r="E1679" t="inlineStr">
        <is>
          <t>Inaros</t>
        </is>
      </c>
      <c r="F1679" t="n">
        <v>3</v>
      </c>
      <c r="G1679" t="n">
        <v>1</v>
      </c>
      <c r="H1679" t="inlineStr">
        <is>
          <t>Player trade (in-game only)</t>
        </is>
      </c>
      <c r="I1679" t="inlineStr">
        <is>
          <t>Yes (wiki)</t>
        </is>
      </c>
      <c r="P1679" t="inlineStr">
        <is>
          <t>MARKET DATA UNAVAILABLE</t>
        </is>
      </c>
      <c r="R1679" t="inlineStr">
        <is>
          <t>Wiki lists as tradeable; no Warframe.Market listing</t>
        </is>
      </c>
      <c r="AN1679" t="inlineStr">
        <is>
          <t>Inaros</t>
        </is>
      </c>
      <c r="AS1679" t="inlineStr">
        <is>
          <t>No (no data)</t>
        </is>
      </c>
    </row>
    <row r="1680">
      <c r="A1680" t="inlineStr">
        <is>
          <t>Mod</t>
        </is>
      </c>
      <c r="B1680" t="inlineStr">
        <is>
          <t>Fatal Teleport</t>
        </is>
      </c>
      <c r="E1680" t="inlineStr">
        <is>
          <t>Ash</t>
        </is>
      </c>
      <c r="F1680" t="n">
        <v>3</v>
      </c>
      <c r="G1680" t="n">
        <v>1</v>
      </c>
      <c r="H1680" t="inlineStr">
        <is>
          <t>Player trade (in-game only)</t>
        </is>
      </c>
      <c r="I1680" t="inlineStr">
        <is>
          <t>Yes (wiki)</t>
        </is>
      </c>
      <c r="P1680" t="inlineStr">
        <is>
          <t>MARKET DATA UNAVAILABLE</t>
        </is>
      </c>
      <c r="R1680" t="inlineStr">
        <is>
          <t>Wiki lists as tradeable; no Warframe.Market listing</t>
        </is>
      </c>
      <c r="AN1680" t="inlineStr">
        <is>
          <t>Ash</t>
        </is>
      </c>
      <c r="AS1680" t="inlineStr">
        <is>
          <t>No (no data)</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v4.2 build assignment)</t>
        </is>
      </c>
      <c r="L1683" t="n">
        <v>50</v>
      </c>
      <c r="M1683" t="n">
        <v>55</v>
      </c>
      <c r="N1683" t="n">
        <v>61</v>
      </c>
      <c r="O1683" t="inlineStr">
        <is>
          <t>2026-10-05 UTC (WFM pull 02:52-04:00)</t>
        </is>
      </c>
      <c r="P1683" t="inlineStr">
        <is>
          <t>OK</t>
        </is>
      </c>
      <c r="Q1683" t="inlineStr">
        <is>
          <t>Default sentinel weapon bundled</t>
        </is>
      </c>
      <c r="R1683" t="inlineStr">
        <is>
          <t>v3 list; unassigned in v4.2 FINAL builds</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v3 companion list; v4.2 assignment</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v3 companion list; v4.2 assignment</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v3 companion list</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v3 companion list</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v4.2 build assignment)</t>
        </is>
      </c>
      <c r="L1689" t="n">
        <v>55</v>
      </c>
      <c r="M1689" t="n">
        <v>55</v>
      </c>
      <c r="N1689" t="n">
        <v>61</v>
      </c>
      <c r="O1689" t="inlineStr">
        <is>
          <t>2026-10-05 UTC (WFM pull 02:52-04:00)</t>
        </is>
      </c>
      <c r="P1689" t="inlineStr">
        <is>
          <t>OK</t>
        </is>
      </c>
      <c r="Q1689" t="inlineStr">
        <is>
          <t>Default sentinel weapon bundled</t>
        </is>
      </c>
      <c r="R1689" t="inlineStr">
        <is>
          <t>v3 list; unassigned in v4.2 FINAL builds</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v3 companion list</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v4.2 build assignment)</t>
        </is>
      </c>
      <c r="P1691" t="inlineStr">
        <is>
          <t>FARMABLE / ACCOUNT-BOUND</t>
        </is>
      </c>
      <c r="R1691" t="inlineStr">
        <is>
          <t>v3 companion list; unassigned in v4.2</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v3 companion list; v4.2 assignment</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v4.2 build assignment)</t>
        </is>
      </c>
      <c r="P1693" t="inlineStr">
        <is>
          <t>FARMABLE / ACCOUNT-BOUND</t>
        </is>
      </c>
      <c r="R1693" t="inlineStr">
        <is>
          <t>v3 companion list; unassigned in v4.2</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v4.2 build assignment)</t>
        </is>
      </c>
      <c r="P1694" t="inlineStr">
        <is>
          <t>FARMABLE / ACCOUNT-BOUND</t>
        </is>
      </c>
      <c r="R1694" t="inlineStr">
        <is>
          <t>v3 companion list; unassigned in v4.2</t>
        </is>
      </c>
      <c r="AS1694" t="inlineStr">
        <is>
          <t>No</t>
        </is>
      </c>
    </row>
    <row r="1695">
      <c r="A1695" t="inlineStr">
        <is>
          <t>Mod</t>
        </is>
      </c>
      <c r="B1695" t="inlineStr">
        <is>
          <t>Swift Deth</t>
        </is>
      </c>
      <c r="E1695" t="inlineStr">
        <is>
          <t>Dethcube precept</t>
        </is>
      </c>
      <c r="F1695" t="n">
        <v>5</v>
      </c>
      <c r="G1695" t="n">
        <v>1</v>
      </c>
      <c r="H1695" t="inlineStr">
        <is>
          <t>In-game trade / Simaris-or-drop (no WFM listing)</t>
        </is>
      </c>
      <c r="I1695" t="inlineStr">
        <is>
          <t>Yes (wiki)</t>
        </is>
      </c>
      <c r="P1695" t="inlineStr">
        <is>
          <t>MARKET DATA UNAVAILABLE</t>
        </is>
      </c>
      <c r="R1695" t="inlineStr">
        <is>
          <t>v4.2 build-required (Dethcube Prime companion config); no Warframe.Market listing</t>
        </is>
      </c>
      <c r="AN1695" t="inlineStr">
        <is>
          <t>Dethcube</t>
        </is>
      </c>
      <c r="AS1695" t="inlineStr">
        <is>
          <t>No (no data)</t>
        </is>
      </c>
    </row>
    <row r="1696">
      <c r="A1696" t="inlineStr">
        <is>
          <t>Arcane</t>
        </is>
      </c>
      <c r="B1696" t="inlineStr">
        <is>
          <t>Akimbo Slip Shot</t>
        </is>
      </c>
      <c r="E1696" t="inlineStr">
        <is>
          <t>Secondary</t>
        </is>
      </c>
      <c r="F1696" t="n">
        <v>5</v>
      </c>
      <c r="G1696" t="n">
        <v>1</v>
      </c>
      <c r="H1696" t="inlineStr">
        <is>
          <t>Player trade (max rank)</t>
        </is>
      </c>
      <c r="I1696" t="inlineStr">
        <is>
          <t>Yes</t>
        </is>
      </c>
      <c r="K1696" t="inlineStr">
        <is>
          <t>Collection (optional)</t>
        </is>
      </c>
      <c r="L1696" t="n">
        <v>30</v>
      </c>
      <c r="M1696" t="n">
        <v>40</v>
      </c>
      <c r="N1696" t="n">
        <v>44</v>
      </c>
      <c r="O1696" t="inlineStr">
        <is>
          <t>2026-10-05 UTC (WFM pull 02:52-04:00)</t>
        </is>
      </c>
      <c r="P1696" t="inlineStr">
        <is>
          <t>OK</t>
        </is>
      </c>
      <c r="R1696" t="inlineStr">
        <is>
          <t>Arcanes share across items like mods (one max-rank copy covers every build).</t>
        </is>
      </c>
      <c r="S1696" t="inlineStr">
        <is>
          <t>akimbo_slip_shot</t>
        </is>
      </c>
      <c r="T1696" t="n">
        <v>11</v>
      </c>
      <c r="U1696" t="n">
        <v>11</v>
      </c>
      <c r="V1696" t="n">
        <v>30</v>
      </c>
      <c r="W1696" t="n">
        <v>30</v>
      </c>
      <c r="X1696" t="n">
        <v>30.3</v>
      </c>
      <c r="Y1696" t="n">
        <v>501</v>
      </c>
      <c r="Z1696" t="n">
        <v>14</v>
      </c>
      <c r="AA1696" t="n">
        <v>20</v>
      </c>
      <c r="AB1696" t="n">
        <v>10</v>
      </c>
      <c r="AQ1696" t="n">
        <v>4.5</v>
      </c>
      <c r="AR1696" t="n">
        <v>94.5</v>
      </c>
      <c r="AS1696" t="inlineStr">
        <is>
          <t>Collection (optional)</t>
        </is>
      </c>
    </row>
    <row r="1697">
      <c r="A1697" t="inlineStr">
        <is>
          <t>Arcane</t>
        </is>
      </c>
      <c r="B1697" t="inlineStr">
        <is>
          <t>Arcane Acceleration</t>
        </is>
      </c>
      <c r="E1697" t="inlineStr">
        <is>
          <t>Warframe</t>
        </is>
      </c>
      <c r="F1697" t="n">
        <v>5</v>
      </c>
      <c r="G1697" t="n">
        <v>1</v>
      </c>
      <c r="H1697" t="inlineStr">
        <is>
          <t>Player trade (max rank)</t>
        </is>
      </c>
      <c r="I1697" t="inlineStr">
        <is>
          <t>Yes</t>
        </is>
      </c>
      <c r="K1697" t="inlineStr">
        <is>
          <t>Collection (optional)</t>
        </is>
      </c>
      <c r="L1697" t="n">
        <v>70</v>
      </c>
      <c r="M1697" t="n">
        <v>85</v>
      </c>
      <c r="N1697" t="n">
        <v>100</v>
      </c>
      <c r="O1697" t="inlineStr">
        <is>
          <t>2026-10-05 UTC (WFM pull 02:52-04:00)</t>
        </is>
      </c>
      <c r="P1697" t="inlineStr">
        <is>
          <t>OK</t>
        </is>
      </c>
      <c r="R1697" t="inlineStr">
        <is>
          <t>Arcanes share across items like mods (one max-rank copy covers every build).</t>
        </is>
      </c>
      <c r="S1697" t="inlineStr">
        <is>
          <t>arcane_acceleration</t>
        </is>
      </c>
      <c r="T1697" t="n">
        <v>26</v>
      </c>
      <c r="U1697" t="n">
        <v>26</v>
      </c>
      <c r="V1697" t="n">
        <v>90</v>
      </c>
      <c r="W1697" t="n">
        <v>70</v>
      </c>
      <c r="X1697" t="n">
        <v>73.2</v>
      </c>
      <c r="Y1697" t="n">
        <v>3248</v>
      </c>
      <c r="Z1697" t="n">
        <v>85</v>
      </c>
      <c r="AA1697" t="n">
        <v>60</v>
      </c>
      <c r="AB1697" t="n">
        <v>10</v>
      </c>
      <c r="AQ1697" t="n">
        <v>7.5</v>
      </c>
      <c r="AR1697" t="n">
        <v>157.5</v>
      </c>
      <c r="AS1697" t="inlineStr">
        <is>
          <t>Collection (optional)</t>
        </is>
      </c>
    </row>
    <row r="1698">
      <c r="A1698" t="inlineStr">
        <is>
          <t>Arcane</t>
        </is>
      </c>
      <c r="B1698" t="inlineStr">
        <is>
          <t>Arcane Aegis</t>
        </is>
      </c>
      <c r="E1698" t="inlineStr">
        <is>
          <t>Warframe</t>
        </is>
      </c>
      <c r="F1698" t="n">
        <v>5</v>
      </c>
      <c r="G1698" t="n">
        <v>1</v>
      </c>
      <c r="H1698" t="inlineStr">
        <is>
          <t>Player trade (max rank)</t>
        </is>
      </c>
      <c r="I1698" t="inlineStr">
        <is>
          <t>Yes</t>
        </is>
      </c>
      <c r="K1698" t="inlineStr">
        <is>
          <t>Collection (optional)</t>
        </is>
      </c>
      <c r="L1698" t="n">
        <v>120</v>
      </c>
      <c r="M1698" t="n">
        <v>129</v>
      </c>
      <c r="N1698" t="n">
        <v>143</v>
      </c>
      <c r="O1698" t="inlineStr">
        <is>
          <t>2026-10-05 UTC (WFM pull 02:52-04:00)</t>
        </is>
      </c>
      <c r="P1698" t="inlineStr">
        <is>
          <t>OK</t>
        </is>
      </c>
      <c r="R1698" t="inlineStr">
        <is>
          <t>Arcanes share across items like mods (one max-rank copy covers every build).</t>
        </is>
      </c>
      <c r="S1698" t="inlineStr">
        <is>
          <t>arcane_aegis</t>
        </is>
      </c>
      <c r="T1698" t="n">
        <v>37</v>
      </c>
      <c r="U1698" t="n">
        <v>37</v>
      </c>
      <c r="V1698" t="n">
        <v>130</v>
      </c>
      <c r="W1698" t="n">
        <v>130</v>
      </c>
      <c r="X1698" t="n">
        <v>123.4</v>
      </c>
      <c r="Y1698" t="n">
        <v>8267</v>
      </c>
      <c r="Z1698" t="n">
        <v>165</v>
      </c>
      <c r="AA1698" t="n">
        <v>110</v>
      </c>
      <c r="AB1698" t="n">
        <v>10</v>
      </c>
      <c r="AQ1698" t="n">
        <v>8</v>
      </c>
      <c r="AR1698" t="n">
        <v>168</v>
      </c>
      <c r="AS1698" t="inlineStr">
        <is>
          <t>Collection (optional)</t>
        </is>
      </c>
    </row>
    <row r="1699">
      <c r="A1699" t="inlineStr">
        <is>
          <t>Arcane</t>
        </is>
      </c>
      <c r="B1699" t="inlineStr">
        <is>
          <t>Arcane Agility</t>
        </is>
      </c>
      <c r="E1699" t="inlineStr">
        <is>
          <t>Warframe</t>
        </is>
      </c>
      <c r="F1699" t="n">
        <v>5</v>
      </c>
      <c r="G1699" t="n">
        <v>1</v>
      </c>
      <c r="H1699" t="inlineStr">
        <is>
          <t>Player trade (max rank)</t>
        </is>
      </c>
      <c r="I1699" t="inlineStr">
        <is>
          <t>Yes</t>
        </is>
      </c>
      <c r="K1699" t="inlineStr">
        <is>
          <t>Collection (optional)</t>
        </is>
      </c>
      <c r="L1699" t="n">
        <v>60</v>
      </c>
      <c r="M1699" t="n">
        <v>60</v>
      </c>
      <c r="N1699" t="n">
        <v>88</v>
      </c>
      <c r="O1699" t="inlineStr">
        <is>
          <t>2026-10-05 UTC (WFM pull 02:52-04:00)</t>
        </is>
      </c>
      <c r="P1699" t="inlineStr">
        <is>
          <t>OK</t>
        </is>
      </c>
      <c r="R1699" t="inlineStr">
        <is>
          <t>Arcanes share across items like mods (one max-rank copy covers every build).</t>
        </is>
      </c>
      <c r="S1699" t="inlineStr">
        <is>
          <t>arcane_agility</t>
        </is>
      </c>
      <c r="T1699" t="n">
        <v>3</v>
      </c>
      <c r="U1699" t="n">
        <v>3</v>
      </c>
      <c r="V1699" t="n">
        <v>37</v>
      </c>
      <c r="W1699" t="n">
        <v>35</v>
      </c>
      <c r="X1699" t="n">
        <v>36.1</v>
      </c>
      <c r="Y1699" t="n">
        <v>770</v>
      </c>
      <c r="Z1699" t="n">
        <v>18</v>
      </c>
      <c r="AA1699" t="n">
        <v>28</v>
      </c>
      <c r="AB1699" t="n">
        <v>32</v>
      </c>
      <c r="AQ1699" t="n">
        <v>3</v>
      </c>
      <c r="AR1699" t="n">
        <v>63</v>
      </c>
      <c r="AS1699" t="inlineStr">
        <is>
          <t>Collection (optional)</t>
        </is>
      </c>
    </row>
    <row r="1700">
      <c r="A1700" t="inlineStr">
        <is>
          <t>Arcane</t>
        </is>
      </c>
      <c r="B1700" t="inlineStr">
        <is>
          <t>Arcane Arachne</t>
        </is>
      </c>
      <c r="E1700" t="inlineStr">
        <is>
          <t>Warframe</t>
        </is>
      </c>
      <c r="F1700" t="n">
        <v>5</v>
      </c>
      <c r="G1700" t="n">
        <v>1</v>
      </c>
      <c r="H1700" t="inlineStr">
        <is>
          <t>Player trade (max rank)</t>
        </is>
      </c>
      <c r="I1700" t="inlineStr">
        <is>
          <t>Yes</t>
        </is>
      </c>
      <c r="K1700" t="inlineStr">
        <is>
          <t>Collection (optional)</t>
        </is>
      </c>
      <c r="L1700" t="n">
        <v>75</v>
      </c>
      <c r="M1700" t="n">
        <v>75</v>
      </c>
      <c r="N1700" t="n">
        <v>88</v>
      </c>
      <c r="O1700" t="inlineStr">
        <is>
          <t>2026-10-05 UTC (WFM pull 02:52-04:00)</t>
        </is>
      </c>
      <c r="P1700" t="inlineStr">
        <is>
          <t>OK</t>
        </is>
      </c>
      <c r="R1700" t="inlineStr">
        <is>
          <t>Arcanes share across items like mods (one max-rank copy covers every build).</t>
        </is>
      </c>
      <c r="S1700" t="inlineStr">
        <is>
          <t>arcane_arachne</t>
        </is>
      </c>
      <c r="T1700" t="n">
        <v>18</v>
      </c>
      <c r="U1700" t="n">
        <v>18</v>
      </c>
      <c r="V1700" t="n">
        <v>70</v>
      </c>
      <c r="W1700" t="n">
        <v>79.5</v>
      </c>
      <c r="X1700" t="n">
        <v>76.3</v>
      </c>
      <c r="Y1700" t="n">
        <v>3415</v>
      </c>
      <c r="Z1700" t="n">
        <v>70</v>
      </c>
      <c r="AA1700" t="n">
        <v>60</v>
      </c>
      <c r="AB1700" t="n">
        <v>15</v>
      </c>
      <c r="AQ1700" t="n">
        <v>7.5</v>
      </c>
      <c r="AR1700" t="n">
        <v>157.5</v>
      </c>
      <c r="AS1700" t="inlineStr">
        <is>
          <t>Collection (optional)</t>
        </is>
      </c>
    </row>
    <row r="1701">
      <c r="A1701" t="inlineStr">
        <is>
          <t>Arcane</t>
        </is>
      </c>
      <c r="B1701" t="inlineStr">
        <is>
          <t>Arcane Avenger</t>
        </is>
      </c>
      <c r="E1701" t="inlineStr">
        <is>
          <t>Warframe</t>
        </is>
      </c>
      <c r="F1701" t="n">
        <v>5</v>
      </c>
      <c r="G1701" t="n">
        <v>1</v>
      </c>
      <c r="H1701" t="inlineStr">
        <is>
          <t>Player trade (max rank)</t>
        </is>
      </c>
      <c r="I1701" t="inlineStr">
        <is>
          <t>Yes</t>
        </is>
      </c>
      <c r="K1701" t="inlineStr">
        <is>
          <t>Required (v4.2 frame builds)</t>
        </is>
      </c>
      <c r="L1701" t="n">
        <v>90</v>
      </c>
      <c r="M1701" t="n">
        <v>90</v>
      </c>
      <c r="N1701" t="n">
        <v>105</v>
      </c>
      <c r="O1701" t="inlineStr">
        <is>
          <t>2026-10-05 UTC (WFM pull 02:52-04:00)</t>
        </is>
      </c>
      <c r="P1701" t="inlineStr">
        <is>
          <t>OK</t>
        </is>
      </c>
      <c r="R1701" t="inlineStr">
        <is>
          <t>Arcanes share across items like mods (one max-rank copy covers every build).</t>
        </is>
      </c>
      <c r="S1701" t="inlineStr">
        <is>
          <t>arcane_avenger</t>
        </is>
      </c>
      <c r="T1701" t="n">
        <v>29</v>
      </c>
      <c r="U1701" t="n">
        <v>29</v>
      </c>
      <c r="V1701" t="n">
        <v>85</v>
      </c>
      <c r="W1701" t="n">
        <v>80</v>
      </c>
      <c r="X1701" t="n">
        <v>79</v>
      </c>
      <c r="Y1701" t="n">
        <v>7013</v>
      </c>
      <c r="Z1701" t="n">
        <v>195</v>
      </c>
      <c r="AA1701" t="n">
        <v>70</v>
      </c>
      <c r="AB1701" t="n">
        <v>20</v>
      </c>
      <c r="AQ1701" t="n">
        <v>5</v>
      </c>
      <c r="AR1701" t="n">
        <v>105</v>
      </c>
      <c r="AS1701" t="inlineStr">
        <is>
          <t>Yes</t>
        </is>
      </c>
    </row>
    <row r="1702">
      <c r="A1702" t="inlineStr">
        <is>
          <t>Arcane</t>
        </is>
      </c>
      <c r="B1702" t="inlineStr">
        <is>
          <t>Arcane Awakening</t>
        </is>
      </c>
      <c r="E1702" t="inlineStr">
        <is>
          <t>Warframe</t>
        </is>
      </c>
      <c r="F1702" t="n">
        <v>5</v>
      </c>
      <c r="G1702" t="n">
        <v>1</v>
      </c>
      <c r="H1702" t="inlineStr">
        <is>
          <t>Player trade (max rank)</t>
        </is>
      </c>
      <c r="I1702" t="inlineStr">
        <is>
          <t>Yes</t>
        </is>
      </c>
      <c r="K1702" t="inlineStr">
        <is>
          <t>Collection (optional)</t>
        </is>
      </c>
      <c r="L1702" t="n">
        <v>39</v>
      </c>
      <c r="M1702" t="n">
        <v>40</v>
      </c>
      <c r="N1702" t="n">
        <v>50</v>
      </c>
      <c r="O1702" t="inlineStr">
        <is>
          <t>2026-10-05 UTC (WFM pull 02:52-04:00)</t>
        </is>
      </c>
      <c r="P1702" t="inlineStr">
        <is>
          <t>OK</t>
        </is>
      </c>
      <c r="R1702" t="inlineStr">
        <is>
          <t>Arcanes share across items like mods (one max-rank copy covers every build).</t>
        </is>
      </c>
      <c r="S1702" t="inlineStr">
        <is>
          <t>arcane_awakening</t>
        </is>
      </c>
      <c r="T1702" t="n">
        <v>9</v>
      </c>
      <c r="U1702" t="n">
        <v>9</v>
      </c>
      <c r="V1702" t="n">
        <v>30</v>
      </c>
      <c r="W1702" t="n">
        <v>30</v>
      </c>
      <c r="X1702" t="n">
        <v>32</v>
      </c>
      <c r="Y1702" t="n">
        <v>984</v>
      </c>
      <c r="Z1702" t="n">
        <v>25</v>
      </c>
      <c r="AA1702" t="n">
        <v>15</v>
      </c>
      <c r="AB1702" t="n">
        <v>24</v>
      </c>
      <c r="AQ1702" t="n">
        <v>2</v>
      </c>
      <c r="AR1702" t="n">
        <v>42</v>
      </c>
      <c r="AS1702" t="inlineStr">
        <is>
          <t>Collection (optional)</t>
        </is>
      </c>
    </row>
    <row r="1703">
      <c r="A1703" t="inlineStr">
        <is>
          <t>Arcane</t>
        </is>
      </c>
      <c r="B1703" t="inlineStr">
        <is>
          <t>Arcane Barrier</t>
        </is>
      </c>
      <c r="E1703" t="inlineStr">
        <is>
          <t>Warframe</t>
        </is>
      </c>
      <c r="F1703" t="n">
        <v>5</v>
      </c>
      <c r="G1703" t="n">
        <v>1</v>
      </c>
      <c r="H1703" t="inlineStr">
        <is>
          <t>Player trade (max rank)</t>
        </is>
      </c>
      <c r="I1703" t="inlineStr">
        <is>
          <t>Yes</t>
        </is>
      </c>
      <c r="K1703" t="inlineStr">
        <is>
          <t>Collection (optional)</t>
        </is>
      </c>
      <c r="L1703" t="n">
        <v>40</v>
      </c>
      <c r="M1703" t="n">
        <v>40</v>
      </c>
      <c r="N1703" t="n">
        <v>50</v>
      </c>
      <c r="O1703" t="inlineStr">
        <is>
          <t>2026-10-05 UTC (WFM pull 02:52-04:00)</t>
        </is>
      </c>
      <c r="P1703" t="inlineStr">
        <is>
          <t>OK</t>
        </is>
      </c>
      <c r="R1703" t="inlineStr">
        <is>
          <t>Arcanes share across items like mods (one max-rank copy covers every build).</t>
        </is>
      </c>
      <c r="S1703" t="inlineStr">
        <is>
          <t>arcane_barrier</t>
        </is>
      </c>
      <c r="T1703" t="n">
        <v>32</v>
      </c>
      <c r="U1703" t="n">
        <v>32</v>
      </c>
      <c r="V1703" t="n">
        <v>40</v>
      </c>
      <c r="W1703" t="n">
        <v>40</v>
      </c>
      <c r="X1703" t="n">
        <v>40.6</v>
      </c>
      <c r="Y1703" t="n">
        <v>1010</v>
      </c>
      <c r="Z1703" t="n">
        <v>21</v>
      </c>
      <c r="AA1703" t="n">
        <v>30</v>
      </c>
      <c r="AB1703" t="n">
        <v>10</v>
      </c>
      <c r="AQ1703" t="n">
        <v>4</v>
      </c>
      <c r="AR1703" t="n">
        <v>84</v>
      </c>
      <c r="AS1703" t="inlineStr">
        <is>
          <t>Collection (optional)</t>
        </is>
      </c>
    </row>
    <row r="1704">
      <c r="A1704" t="inlineStr">
        <is>
          <t>Arcane</t>
        </is>
      </c>
      <c r="B1704" t="inlineStr">
        <is>
          <t>Arcane Battery</t>
        </is>
      </c>
      <c r="E1704" t="inlineStr">
        <is>
          <t>Warframe</t>
        </is>
      </c>
      <c r="F1704" t="n">
        <v>5</v>
      </c>
      <c r="G1704" t="n">
        <v>1</v>
      </c>
      <c r="H1704" t="inlineStr">
        <is>
          <t>Player trade (max rank)</t>
        </is>
      </c>
      <c r="I1704" t="inlineStr">
        <is>
          <t>Yes</t>
        </is>
      </c>
      <c r="K1704" t="inlineStr">
        <is>
          <t>Collection (optional)</t>
        </is>
      </c>
      <c r="L1704" t="n">
        <v>80</v>
      </c>
      <c r="M1704" t="n">
        <v>80</v>
      </c>
      <c r="N1704" t="n">
        <v>100</v>
      </c>
      <c r="O1704" t="inlineStr">
        <is>
          <t>2026-10-05 UTC (WFM pull 02:52-04:00)</t>
        </is>
      </c>
      <c r="P1704" t="inlineStr">
        <is>
          <t>OK</t>
        </is>
      </c>
      <c r="R1704" t="inlineStr">
        <is>
          <t>Arcanes share across items like mods (one max-rank copy covers every build).</t>
        </is>
      </c>
      <c r="S1704" t="inlineStr">
        <is>
          <t>arcane_battery</t>
        </is>
      </c>
      <c r="T1704" t="n">
        <v>14</v>
      </c>
      <c r="U1704" t="n">
        <v>14</v>
      </c>
      <c r="V1704" t="n">
        <v>70</v>
      </c>
      <c r="W1704" t="n">
        <v>60</v>
      </c>
      <c r="X1704" t="n">
        <v>63.1</v>
      </c>
      <c r="Y1704" t="n">
        <v>7981</v>
      </c>
      <c r="Z1704" t="n">
        <v>224</v>
      </c>
      <c r="AA1704" t="n">
        <v>75</v>
      </c>
      <c r="AB1704" t="n">
        <v>5</v>
      </c>
      <c r="AQ1704" t="n">
        <v>4</v>
      </c>
      <c r="AR1704" t="n">
        <v>84</v>
      </c>
      <c r="AS1704" t="inlineStr">
        <is>
          <t>Collection (optional)</t>
        </is>
      </c>
    </row>
    <row r="1705">
      <c r="A1705" t="inlineStr">
        <is>
          <t>Arcane</t>
        </is>
      </c>
      <c r="B1705" t="inlineStr">
        <is>
          <t>Arcane Bellicose</t>
        </is>
      </c>
      <c r="E1705" t="inlineStr">
        <is>
          <t>Warframe</t>
        </is>
      </c>
      <c r="F1705" t="n">
        <v>5</v>
      </c>
      <c r="G1705" t="n">
        <v>1</v>
      </c>
      <c r="H1705" t="inlineStr">
        <is>
          <t>Player trade (max rank)</t>
        </is>
      </c>
      <c r="I1705" t="inlineStr">
        <is>
          <t>Yes</t>
        </is>
      </c>
      <c r="K1705" t="inlineStr">
        <is>
          <t>Required (v4.2 frame builds)</t>
        </is>
      </c>
      <c r="L1705" t="n">
        <v>25</v>
      </c>
      <c r="M1705" t="n">
        <v>27</v>
      </c>
      <c r="N1705" t="n">
        <v>31</v>
      </c>
      <c r="O1705" t="inlineStr">
        <is>
          <t>2026-10-05 UTC (WFM pull 02:52-04:00)</t>
        </is>
      </c>
      <c r="P1705" t="inlineStr">
        <is>
          <t>OK</t>
        </is>
      </c>
      <c r="R1705" t="inlineStr">
        <is>
          <t>Arcanes share across items like mods (one max-rank copy covers every build).</t>
        </is>
      </c>
      <c r="S1705" t="inlineStr">
        <is>
          <t>arcane_bellicose</t>
        </is>
      </c>
      <c r="T1705" t="n">
        <v>39</v>
      </c>
      <c r="U1705" t="n">
        <v>39</v>
      </c>
      <c r="V1705" t="n">
        <v>25</v>
      </c>
      <c r="W1705" t="n">
        <v>25</v>
      </c>
      <c r="X1705" t="n">
        <v>26.5</v>
      </c>
      <c r="Y1705" t="n">
        <v>8787</v>
      </c>
      <c r="Z1705" t="n">
        <v>185</v>
      </c>
      <c r="AA1705" t="n">
        <v>11</v>
      </c>
      <c r="AB1705" t="n">
        <v>14</v>
      </c>
      <c r="AQ1705" t="n">
        <v>2</v>
      </c>
      <c r="AR1705" t="n">
        <v>42</v>
      </c>
      <c r="AS1705" t="inlineStr">
        <is>
          <t>Yes</t>
        </is>
      </c>
    </row>
    <row r="1706">
      <c r="A1706" t="inlineStr">
        <is>
          <t>Arcane</t>
        </is>
      </c>
      <c r="B1706" t="inlineStr">
        <is>
          <t>Arcane Blade Charger</t>
        </is>
      </c>
      <c r="E1706" t="inlineStr">
        <is>
          <t>Warframe</t>
        </is>
      </c>
      <c r="F1706" t="n">
        <v>5</v>
      </c>
      <c r="G1706" t="n">
        <v>1</v>
      </c>
      <c r="H1706" t="inlineStr">
        <is>
          <t>Player trade (max rank)</t>
        </is>
      </c>
      <c r="I1706" t="inlineStr">
        <is>
          <t>Yes</t>
        </is>
      </c>
      <c r="K1706" t="inlineStr">
        <is>
          <t>Collection (optional)</t>
        </is>
      </c>
      <c r="L1706" t="n">
        <v>22</v>
      </c>
      <c r="M1706" t="n">
        <v>25</v>
      </c>
      <c r="N1706" t="n">
        <v>28</v>
      </c>
      <c r="O1706" t="inlineStr">
        <is>
          <t>2026-10-05 UTC (WFM pull 02:52-04:00)</t>
        </is>
      </c>
      <c r="P1706" t="inlineStr">
        <is>
          <t>OK</t>
        </is>
      </c>
      <c r="R1706" t="inlineStr">
        <is>
          <t>Arcanes share across items like mods (one max-rank copy covers every build).</t>
        </is>
      </c>
      <c r="S1706" t="inlineStr">
        <is>
          <t>arcane_blade_charger</t>
        </is>
      </c>
      <c r="T1706" t="n">
        <v>10</v>
      </c>
      <c r="U1706" t="n">
        <v>10</v>
      </c>
      <c r="V1706" t="n">
        <v>24.5</v>
      </c>
      <c r="W1706" t="n">
        <v>26</v>
      </c>
      <c r="X1706" t="n">
        <v>25.7</v>
      </c>
      <c r="Y1706" t="n">
        <v>419</v>
      </c>
      <c r="Z1706" t="n">
        <v>13</v>
      </c>
      <c r="AA1706" t="n">
        <v>6</v>
      </c>
      <c r="AB1706" t="n">
        <v>16</v>
      </c>
      <c r="AQ1706" t="n">
        <v>3</v>
      </c>
      <c r="AR1706" t="n">
        <v>63</v>
      </c>
      <c r="AS1706" t="inlineStr">
        <is>
          <t>Collection (optional)</t>
        </is>
      </c>
    </row>
    <row r="1707">
      <c r="A1707" t="inlineStr">
        <is>
          <t>Arcane</t>
        </is>
      </c>
      <c r="B1707" t="inlineStr">
        <is>
          <t>Arcane Blessing</t>
        </is>
      </c>
      <c r="E1707" t="inlineStr">
        <is>
          <t>Warframe</t>
        </is>
      </c>
      <c r="F1707" t="n">
        <v>5</v>
      </c>
      <c r="G1707" t="n">
        <v>1</v>
      </c>
      <c r="H1707" t="inlineStr">
        <is>
          <t>Player trade (max rank)</t>
        </is>
      </c>
      <c r="I1707" t="inlineStr">
        <is>
          <t>Yes</t>
        </is>
      </c>
      <c r="K1707" t="inlineStr">
        <is>
          <t>Required (v4.2 frame builds)</t>
        </is>
      </c>
      <c r="L1707" t="n">
        <v>34</v>
      </c>
      <c r="M1707" t="n">
        <v>40</v>
      </c>
      <c r="N1707" t="n">
        <v>50</v>
      </c>
      <c r="O1707" t="inlineStr">
        <is>
          <t>2026-10-05 UTC (WFM pull 02:52-04:00)</t>
        </is>
      </c>
      <c r="P1707" t="inlineStr">
        <is>
          <t>OK</t>
        </is>
      </c>
      <c r="R1707" t="inlineStr">
        <is>
          <t>Arcanes share across items like mods (one max-rank copy covers every build).</t>
        </is>
      </c>
      <c r="S1707" t="inlineStr">
        <is>
          <t>arcane_blessing</t>
        </is>
      </c>
      <c r="T1707" t="n">
        <v>9</v>
      </c>
      <c r="U1707" t="n">
        <v>9</v>
      </c>
      <c r="V1707" t="n">
        <v>30</v>
      </c>
      <c r="W1707" t="n">
        <v>29</v>
      </c>
      <c r="X1707" t="n">
        <v>27.7</v>
      </c>
      <c r="Y1707" t="n">
        <v>6860</v>
      </c>
      <c r="Z1707" t="n">
        <v>193</v>
      </c>
      <c r="AA1707" t="n">
        <v>15</v>
      </c>
      <c r="AB1707" t="n">
        <v>19</v>
      </c>
      <c r="AQ1707" t="n">
        <v>2</v>
      </c>
      <c r="AR1707" t="n">
        <v>42</v>
      </c>
      <c r="AS1707" t="inlineStr">
        <is>
          <t>Yes</t>
        </is>
      </c>
    </row>
    <row r="1708">
      <c r="A1708" t="inlineStr">
        <is>
          <t>Arcane</t>
        </is>
      </c>
      <c r="B1708" t="inlineStr">
        <is>
          <t>Arcane Bodyguard</t>
        </is>
      </c>
      <c r="E1708" t="inlineStr">
        <is>
          <t>Warframe</t>
        </is>
      </c>
      <c r="F1708" t="n">
        <v>5</v>
      </c>
      <c r="G1708" t="n">
        <v>1</v>
      </c>
      <c r="H1708" t="inlineStr">
        <is>
          <t>Player trade (max rank)</t>
        </is>
      </c>
      <c r="I1708" t="inlineStr">
        <is>
          <t>Yes</t>
        </is>
      </c>
      <c r="K1708" t="inlineStr">
        <is>
          <t>Collection (optional)</t>
        </is>
      </c>
      <c r="L1708" t="n">
        <v>24</v>
      </c>
      <c r="M1708" t="n">
        <v>34.5</v>
      </c>
      <c r="N1708" t="n">
        <v>76</v>
      </c>
      <c r="O1708" t="inlineStr">
        <is>
          <t>2026-10-05 UTC (WFM pull 02:52-04:00)</t>
        </is>
      </c>
      <c r="P1708" t="inlineStr">
        <is>
          <t>OK</t>
        </is>
      </c>
      <c r="R1708" t="inlineStr">
        <is>
          <t>Arcanes share across items like mods (one max-rank copy covers every build).</t>
        </is>
      </c>
      <c r="S1708" t="inlineStr">
        <is>
          <t>arcane_bodyguard</t>
        </is>
      </c>
      <c r="T1708" t="n">
        <v>3</v>
      </c>
      <c r="U1708" t="n">
        <v>3</v>
      </c>
      <c r="V1708" t="n">
        <v>23</v>
      </c>
      <c r="W1708" t="n">
        <v>27.5</v>
      </c>
      <c r="X1708" t="n">
        <v>27.3</v>
      </c>
      <c r="Y1708" t="n">
        <v>102</v>
      </c>
      <c r="Z1708" t="n">
        <v>4</v>
      </c>
      <c r="AA1708" t="n">
        <v>15</v>
      </c>
      <c r="AB1708" t="n">
        <v>9</v>
      </c>
      <c r="AQ1708" t="n">
        <v>4.5</v>
      </c>
      <c r="AR1708" t="n">
        <v>94.5</v>
      </c>
      <c r="AS1708" t="inlineStr">
        <is>
          <t>Collection (optional)</t>
        </is>
      </c>
    </row>
    <row r="1709">
      <c r="A1709" t="inlineStr">
        <is>
          <t>Arcane</t>
        </is>
      </c>
      <c r="B1709" t="inlineStr">
        <is>
          <t>Arcane Camisado</t>
        </is>
      </c>
      <c r="E1709" t="inlineStr">
        <is>
          <t>Warframe</t>
        </is>
      </c>
      <c r="F1709" t="n">
        <v>5</v>
      </c>
      <c r="G1709" t="n">
        <v>1</v>
      </c>
      <c r="H1709" t="inlineStr">
        <is>
          <t>Player trade (max rank)</t>
        </is>
      </c>
      <c r="I1709" t="inlineStr">
        <is>
          <t>Yes</t>
        </is>
      </c>
      <c r="K1709" t="inlineStr">
        <is>
          <t>Required (v4.2 frame builds)</t>
        </is>
      </c>
      <c r="L1709" t="n">
        <v>20</v>
      </c>
      <c r="M1709" t="n">
        <v>30</v>
      </c>
      <c r="N1709" t="n">
        <v>33</v>
      </c>
      <c r="O1709" t="inlineStr">
        <is>
          <t>2026-10-05 UTC (WFM pull 02:52-04:00)</t>
        </is>
      </c>
      <c r="P1709" t="inlineStr">
        <is>
          <t>OK</t>
        </is>
      </c>
      <c r="R1709" t="inlineStr">
        <is>
          <t>Arcanes share across items like mods (one max-rank copy covers every build).</t>
        </is>
      </c>
      <c r="S1709" t="inlineStr">
        <is>
          <t>arcane_camisado</t>
        </is>
      </c>
      <c r="T1709" t="n">
        <v>27</v>
      </c>
      <c r="U1709" t="n">
        <v>27</v>
      </c>
      <c r="V1709" t="n">
        <v>25</v>
      </c>
      <c r="W1709" t="n">
        <v>25</v>
      </c>
      <c r="X1709" t="n">
        <v>25.6</v>
      </c>
      <c r="Y1709" t="n">
        <v>7559</v>
      </c>
      <c r="Z1709" t="n">
        <v>239</v>
      </c>
      <c r="AA1709" t="n">
        <v>10</v>
      </c>
      <c r="AB1709" t="n">
        <v>10</v>
      </c>
      <c r="AQ1709" t="n">
        <v>2</v>
      </c>
      <c r="AR1709" t="n">
        <v>42</v>
      </c>
      <c r="AS1709" t="inlineStr">
        <is>
          <t>Yes</t>
        </is>
      </c>
    </row>
    <row r="1710">
      <c r="A1710" t="inlineStr">
        <is>
          <t>Arcane</t>
        </is>
      </c>
      <c r="B1710" t="inlineStr">
        <is>
          <t>Arcane Circumvent</t>
        </is>
      </c>
      <c r="E1710" t="inlineStr">
        <is>
          <t>Warframe</t>
        </is>
      </c>
      <c r="F1710" t="n">
        <v>5</v>
      </c>
      <c r="G1710" t="n">
        <v>1</v>
      </c>
      <c r="H1710" t="inlineStr">
        <is>
          <t>Player trade (max rank)</t>
        </is>
      </c>
      <c r="I1710" t="inlineStr">
        <is>
          <t>Yes</t>
        </is>
      </c>
      <c r="K1710" t="inlineStr">
        <is>
          <t>Collection (optional)</t>
        </is>
      </c>
      <c r="L1710" t="n">
        <v>40</v>
      </c>
      <c r="M1710" t="n">
        <v>40</v>
      </c>
      <c r="N1710" t="n">
        <v>50</v>
      </c>
      <c r="O1710" t="inlineStr">
        <is>
          <t>2026-10-05 UTC (WFM pull 02:52-04:00)</t>
        </is>
      </c>
      <c r="P1710" t="inlineStr">
        <is>
          <t>OK</t>
        </is>
      </c>
      <c r="R1710" t="inlineStr">
        <is>
          <t>Arcanes share across items like mods (one max-rank copy covers every build).</t>
        </is>
      </c>
      <c r="S1710" t="inlineStr">
        <is>
          <t>arcane_circumvent</t>
        </is>
      </c>
      <c r="T1710" t="n">
        <v>14</v>
      </c>
      <c r="U1710" t="n">
        <v>14</v>
      </c>
      <c r="V1710" t="n">
        <v>35</v>
      </c>
      <c r="W1710" t="n">
        <v>34</v>
      </c>
      <c r="X1710" t="n">
        <v>33.1</v>
      </c>
      <c r="Y1710" t="n">
        <v>4554</v>
      </c>
      <c r="Z1710" t="n">
        <v>117</v>
      </c>
      <c r="AA1710" t="n">
        <v>21</v>
      </c>
      <c r="AB1710" t="n">
        <v>19</v>
      </c>
      <c r="AQ1710" t="n">
        <v>3</v>
      </c>
      <c r="AR1710" t="n">
        <v>63</v>
      </c>
      <c r="AS1710" t="inlineStr">
        <is>
          <t>Collection (optional)</t>
        </is>
      </c>
    </row>
    <row r="1711">
      <c r="A1711" t="inlineStr">
        <is>
          <t>Arcane</t>
        </is>
      </c>
      <c r="B1711" t="inlineStr">
        <is>
          <t>Arcane Concentration</t>
        </is>
      </c>
      <c r="E1711" t="inlineStr">
        <is>
          <t>Warframe</t>
        </is>
      </c>
      <c r="F1711" t="n">
        <v>5</v>
      </c>
      <c r="G1711" t="n">
        <v>1</v>
      </c>
      <c r="H1711" t="inlineStr">
        <is>
          <t>Player trade (max rank)</t>
        </is>
      </c>
      <c r="I1711" t="inlineStr">
        <is>
          <t>Yes</t>
        </is>
      </c>
      <c r="K1711" t="inlineStr">
        <is>
          <t>Collection (optional)</t>
        </is>
      </c>
      <c r="L1711" t="n">
        <v>39</v>
      </c>
      <c r="M1711" t="n">
        <v>40</v>
      </c>
      <c r="N1711" t="n">
        <v>54</v>
      </c>
      <c r="O1711" t="inlineStr">
        <is>
          <t>2026-10-05 UTC (WFM pull 02:52-04:00)</t>
        </is>
      </c>
      <c r="P1711" t="inlineStr">
        <is>
          <t>OK</t>
        </is>
      </c>
      <c r="R1711" t="inlineStr">
        <is>
          <t>Arcanes share across items like mods (one max-rank copy covers every build).</t>
        </is>
      </c>
      <c r="S1711" t="inlineStr">
        <is>
          <t>arcane_concentration</t>
        </is>
      </c>
      <c r="T1711" t="n">
        <v>13</v>
      </c>
      <c r="U1711" t="n">
        <v>13</v>
      </c>
      <c r="V1711" t="n">
        <v>35</v>
      </c>
      <c r="W1711" t="n">
        <v>30</v>
      </c>
      <c r="X1711" t="n">
        <v>31.6</v>
      </c>
      <c r="Y1711" t="n">
        <v>14481</v>
      </c>
      <c r="Z1711" t="n">
        <v>430</v>
      </c>
      <c r="AA1711" t="n">
        <v>20</v>
      </c>
      <c r="AB1711" t="n">
        <v>19</v>
      </c>
      <c r="AQ1711" t="n">
        <v>3</v>
      </c>
      <c r="AR1711" t="n">
        <v>63</v>
      </c>
      <c r="AS1711" t="inlineStr">
        <is>
          <t>Collection (optional)</t>
        </is>
      </c>
    </row>
    <row r="1712">
      <c r="A1712" t="inlineStr">
        <is>
          <t>Arcane</t>
        </is>
      </c>
      <c r="B1712" t="inlineStr">
        <is>
          <t>Arcane Consequence</t>
        </is>
      </c>
      <c r="E1712" t="inlineStr">
        <is>
          <t>Warframe</t>
        </is>
      </c>
      <c r="F1712" t="n">
        <v>5</v>
      </c>
      <c r="G1712" t="n">
        <v>1</v>
      </c>
      <c r="H1712" t="inlineStr">
        <is>
          <t>Player trade (max rank)</t>
        </is>
      </c>
      <c r="I1712" t="inlineStr">
        <is>
          <t>Yes</t>
        </is>
      </c>
      <c r="K1712" t="inlineStr">
        <is>
          <t>Collection (optional)</t>
        </is>
      </c>
      <c r="L1712" t="n">
        <v>28</v>
      </c>
      <c r="M1712" t="n">
        <v>35</v>
      </c>
      <c r="N1712" t="n">
        <v>44</v>
      </c>
      <c r="O1712" t="inlineStr">
        <is>
          <t>2026-10-05 UTC (WFM pull 02:52-04:00)</t>
        </is>
      </c>
      <c r="P1712" t="inlineStr">
        <is>
          <t>OK</t>
        </is>
      </c>
      <c r="R1712" t="inlineStr">
        <is>
          <t>Arcanes share across items like mods (one max-rank copy covers every build).</t>
        </is>
      </c>
      <c r="S1712" t="inlineStr">
        <is>
          <t>arcane_consequence</t>
        </is>
      </c>
      <c r="T1712" t="n">
        <v>8</v>
      </c>
      <c r="U1712" t="n">
        <v>8</v>
      </c>
      <c r="V1712" t="n">
        <v>29.5</v>
      </c>
      <c r="W1712" t="n">
        <v>30</v>
      </c>
      <c r="X1712" t="n">
        <v>29.2</v>
      </c>
      <c r="Y1712" t="n">
        <v>430</v>
      </c>
      <c r="Z1712" t="n">
        <v>8</v>
      </c>
      <c r="AQ1712" t="n">
        <v>3</v>
      </c>
      <c r="AR1712" t="n">
        <v>63</v>
      </c>
      <c r="AS1712" t="inlineStr">
        <is>
          <t>Collection (optional)</t>
        </is>
      </c>
    </row>
    <row r="1713">
      <c r="A1713" t="inlineStr">
        <is>
          <t>Arcane</t>
        </is>
      </c>
      <c r="B1713" t="inlineStr">
        <is>
          <t>Arcane Crepuscular</t>
        </is>
      </c>
      <c r="E1713" t="inlineStr">
        <is>
          <t>Warframe</t>
        </is>
      </c>
      <c r="F1713" t="n">
        <v>5</v>
      </c>
      <c r="G1713" t="n">
        <v>1</v>
      </c>
      <c r="H1713" t="inlineStr">
        <is>
          <t>Player trade (max rank)</t>
        </is>
      </c>
      <c r="I1713" t="inlineStr">
        <is>
          <t>Yes</t>
        </is>
      </c>
      <c r="K1713" t="inlineStr">
        <is>
          <t>Required (v4.2 frame builds)</t>
        </is>
      </c>
      <c r="L1713" t="n">
        <v>25</v>
      </c>
      <c r="M1713" t="n">
        <v>29</v>
      </c>
      <c r="N1713" t="n">
        <v>33</v>
      </c>
      <c r="O1713" t="inlineStr">
        <is>
          <t>2026-10-05 UTC (WFM pull 02:52-04:00)</t>
        </is>
      </c>
      <c r="P1713" t="inlineStr">
        <is>
          <t>OK</t>
        </is>
      </c>
      <c r="R1713" t="inlineStr">
        <is>
          <t>Arcanes share across items like mods (one max-rank copy covers every build).</t>
        </is>
      </c>
      <c r="S1713" t="inlineStr">
        <is>
          <t>arcane_crepuscular</t>
        </is>
      </c>
      <c r="T1713" t="n">
        <v>33</v>
      </c>
      <c r="U1713" t="n">
        <v>33</v>
      </c>
      <c r="V1713" t="n">
        <v>25</v>
      </c>
      <c r="W1713" t="n">
        <v>27</v>
      </c>
      <c r="X1713" t="n">
        <v>27</v>
      </c>
      <c r="Y1713" t="n">
        <v>9263</v>
      </c>
      <c r="Z1713" t="n">
        <v>283</v>
      </c>
      <c r="AA1713" t="n">
        <v>17</v>
      </c>
      <c r="AB1713" t="n">
        <v>8</v>
      </c>
      <c r="AQ1713" t="n">
        <v>2</v>
      </c>
      <c r="AR1713" t="n">
        <v>42</v>
      </c>
      <c r="AS1713" t="inlineStr">
        <is>
          <t>Yes</t>
        </is>
      </c>
    </row>
    <row r="1714">
      <c r="A1714" t="inlineStr">
        <is>
          <t>Arcane</t>
        </is>
      </c>
      <c r="B1714" t="inlineStr">
        <is>
          <t>Arcane Deflection</t>
        </is>
      </c>
      <c r="E1714" t="inlineStr">
        <is>
          <t>Warframe</t>
        </is>
      </c>
      <c r="F1714" t="n">
        <v>5</v>
      </c>
      <c r="G1714" t="n">
        <v>1</v>
      </c>
      <c r="H1714" t="inlineStr">
        <is>
          <t>Player trade (max rank)</t>
        </is>
      </c>
      <c r="I1714" t="inlineStr">
        <is>
          <t>Yes</t>
        </is>
      </c>
      <c r="K1714" t="inlineStr">
        <is>
          <t>Collection (optional)</t>
        </is>
      </c>
      <c r="L1714" t="n">
        <v>25</v>
      </c>
      <c r="M1714" t="n">
        <v>29.5</v>
      </c>
      <c r="N1714" t="n">
        <v>65</v>
      </c>
      <c r="O1714" t="inlineStr">
        <is>
          <t>2026-10-05 UTC (WFM pull 02:52-04:00)</t>
        </is>
      </c>
      <c r="P1714" t="inlineStr">
        <is>
          <t>OK</t>
        </is>
      </c>
      <c r="R1714" t="inlineStr">
        <is>
          <t>Arcanes share across items like mods (one max-rank copy covers every build).</t>
        </is>
      </c>
      <c r="S1714" t="inlineStr">
        <is>
          <t>arcane_deflection</t>
        </is>
      </c>
      <c r="T1714" t="n">
        <v>4</v>
      </c>
      <c r="U1714" t="n">
        <v>4</v>
      </c>
      <c r="V1714" t="n">
        <v>24.5</v>
      </c>
      <c r="W1714" t="n">
        <v>21.5</v>
      </c>
      <c r="X1714" t="n">
        <v>22.1</v>
      </c>
      <c r="Y1714" t="n">
        <v>97</v>
      </c>
      <c r="Z1714" t="n">
        <v>2</v>
      </c>
      <c r="AA1714" t="n">
        <v>10</v>
      </c>
      <c r="AB1714" t="n">
        <v>15</v>
      </c>
      <c r="AQ1714" t="n">
        <v>3</v>
      </c>
      <c r="AR1714" t="n">
        <v>63</v>
      </c>
      <c r="AS1714" t="inlineStr">
        <is>
          <t>Collection (optional)</t>
        </is>
      </c>
    </row>
    <row r="1715">
      <c r="A1715" t="inlineStr">
        <is>
          <t>Arcane</t>
        </is>
      </c>
      <c r="B1715" t="inlineStr">
        <is>
          <t>Arcane Double Back</t>
        </is>
      </c>
      <c r="E1715" t="inlineStr">
        <is>
          <t>Warframe</t>
        </is>
      </c>
      <c r="F1715" t="n">
        <v>5</v>
      </c>
      <c r="G1715" t="n">
        <v>1</v>
      </c>
      <c r="H1715" t="inlineStr">
        <is>
          <t>Player trade (max rank)</t>
        </is>
      </c>
      <c r="I1715" t="inlineStr">
        <is>
          <t>Yes</t>
        </is>
      </c>
      <c r="K1715" t="inlineStr">
        <is>
          <t>Collection (optional)</t>
        </is>
      </c>
      <c r="L1715" t="n">
        <v>51</v>
      </c>
      <c r="M1715" t="n">
        <v>59</v>
      </c>
      <c r="N1715" t="n">
        <v>77</v>
      </c>
      <c r="O1715" t="inlineStr">
        <is>
          <t>2026-10-05 UTC (WFM pull 02:52-04:00)</t>
        </is>
      </c>
      <c r="P1715" t="inlineStr">
        <is>
          <t>OK</t>
        </is>
      </c>
      <c r="R1715" t="inlineStr">
        <is>
          <t>Arcanes share across items like mods (one max-rank copy covers every build).</t>
        </is>
      </c>
      <c r="S1715" t="inlineStr">
        <is>
          <t>arcane_double_back</t>
        </is>
      </c>
      <c r="T1715" t="n">
        <v>10</v>
      </c>
      <c r="U1715" t="n">
        <v>10</v>
      </c>
      <c r="V1715" t="n">
        <v>47</v>
      </c>
      <c r="W1715" t="n">
        <v>40</v>
      </c>
      <c r="X1715" t="n">
        <v>43</v>
      </c>
      <c r="Y1715" t="n">
        <v>318</v>
      </c>
      <c r="Z1715" t="n">
        <v>6</v>
      </c>
      <c r="AA1715" t="n">
        <v>50</v>
      </c>
      <c r="AB1715" t="n">
        <v>1</v>
      </c>
      <c r="AQ1715" t="n">
        <v>3</v>
      </c>
      <c r="AR1715" t="n">
        <v>63</v>
      </c>
      <c r="AS1715" t="inlineStr">
        <is>
          <t>Collection (optional)</t>
        </is>
      </c>
    </row>
    <row r="1716">
      <c r="A1716" t="inlineStr">
        <is>
          <t>Arcane</t>
        </is>
      </c>
      <c r="B1716" t="inlineStr">
        <is>
          <t>Arcane Energize</t>
        </is>
      </c>
      <c r="E1716" t="inlineStr">
        <is>
          <t>Warframe</t>
        </is>
      </c>
      <c r="F1716" t="n">
        <v>5</v>
      </c>
      <c r="G1716" t="n">
        <v>1</v>
      </c>
      <c r="H1716" t="inlineStr">
        <is>
          <t>Player trade (max rank)</t>
        </is>
      </c>
      <c r="I1716" t="inlineStr">
        <is>
          <t>Yes</t>
        </is>
      </c>
      <c r="K1716" t="inlineStr">
        <is>
          <t>Required (v4.2 frame builds)</t>
        </is>
      </c>
      <c r="L1716" t="n">
        <v>139</v>
      </c>
      <c r="M1716" t="n">
        <v>140</v>
      </c>
      <c r="N1716" t="n">
        <v>154</v>
      </c>
      <c r="O1716" t="inlineStr">
        <is>
          <t>2026-10-05 UTC (WFM pull 02:52-04:00)</t>
        </is>
      </c>
      <c r="P1716" t="inlineStr">
        <is>
          <t>OK</t>
        </is>
      </c>
      <c r="R1716" t="inlineStr">
        <is>
          <t>Arcanes share across items like mods (one max-rank copy covers every build).</t>
        </is>
      </c>
      <c r="S1716" t="inlineStr">
        <is>
          <t>arcane_energize</t>
        </is>
      </c>
      <c r="T1716" t="n">
        <v>59</v>
      </c>
      <c r="U1716" t="n">
        <v>59</v>
      </c>
      <c r="V1716" t="n">
        <v>134</v>
      </c>
      <c r="W1716" t="n">
        <v>130</v>
      </c>
      <c r="X1716" t="n">
        <v>126.5</v>
      </c>
      <c r="Y1716" t="n">
        <v>10798</v>
      </c>
      <c r="Z1716" t="n">
        <v>260</v>
      </c>
      <c r="AA1716" t="n">
        <v>90</v>
      </c>
      <c r="AB1716" t="n">
        <v>49</v>
      </c>
      <c r="AQ1716" t="n">
        <v>8</v>
      </c>
      <c r="AR1716" t="n">
        <v>168</v>
      </c>
      <c r="AS1716" t="inlineStr">
        <is>
          <t>Yes</t>
        </is>
      </c>
    </row>
    <row r="1717">
      <c r="A1717" t="inlineStr">
        <is>
          <t>Arcane</t>
        </is>
      </c>
      <c r="B1717" t="inlineStr">
        <is>
          <t>Arcane Eruption</t>
        </is>
      </c>
      <c r="E1717" t="inlineStr">
        <is>
          <t>Warframe</t>
        </is>
      </c>
      <c r="F1717" t="n">
        <v>5</v>
      </c>
      <c r="G1717" t="n">
        <v>1</v>
      </c>
      <c r="H1717" t="inlineStr">
        <is>
          <t>Player trade (max rank)</t>
        </is>
      </c>
      <c r="I1717" t="inlineStr">
        <is>
          <t>Yes</t>
        </is>
      </c>
      <c r="K1717" t="inlineStr">
        <is>
          <t>Collection (optional)</t>
        </is>
      </c>
      <c r="L1717" t="n">
        <v>35</v>
      </c>
      <c r="M1717" t="n">
        <v>44.2</v>
      </c>
      <c r="N1717" t="n">
        <v>98</v>
      </c>
      <c r="O1717" t="inlineStr">
        <is>
          <t>2026-10-05 UTC (WFM pull 02:52-04:00)</t>
        </is>
      </c>
      <c r="P1717" t="inlineStr">
        <is>
          <t>OK</t>
        </is>
      </c>
      <c r="R1717" t="inlineStr">
        <is>
          <t>Arcanes share across items like mods (one max-rank copy covers every build).</t>
        </is>
      </c>
      <c r="S1717" t="inlineStr">
        <is>
          <t>arcane_eruption</t>
        </is>
      </c>
      <c r="T1717" t="n">
        <v>6</v>
      </c>
      <c r="U1717" t="n">
        <v>6</v>
      </c>
      <c r="V1717" t="n">
        <v>29.5</v>
      </c>
      <c r="W1717" t="n">
        <v>27.5</v>
      </c>
      <c r="X1717" t="n">
        <v>26.2</v>
      </c>
      <c r="Y1717" t="n">
        <v>384</v>
      </c>
      <c r="Z1717" t="n">
        <v>16</v>
      </c>
      <c r="AA1717" t="n">
        <v>7</v>
      </c>
      <c r="AB1717" t="n">
        <v>28</v>
      </c>
      <c r="AQ1717" t="n">
        <v>3</v>
      </c>
      <c r="AR1717" t="n">
        <v>63</v>
      </c>
      <c r="AS1717" t="inlineStr">
        <is>
          <t>Collection (optional)</t>
        </is>
      </c>
    </row>
    <row r="1718">
      <c r="A1718" t="inlineStr">
        <is>
          <t>Arcane</t>
        </is>
      </c>
      <c r="B1718" t="inlineStr">
        <is>
          <t>Arcane Escapist</t>
        </is>
      </c>
      <c r="E1718" t="inlineStr">
        <is>
          <t>Warframe</t>
        </is>
      </c>
      <c r="F1718" t="n">
        <v>5</v>
      </c>
      <c r="G1718" t="n">
        <v>1</v>
      </c>
      <c r="H1718" t="inlineStr">
        <is>
          <t>Player trade (max rank)</t>
        </is>
      </c>
      <c r="I1718" t="inlineStr">
        <is>
          <t>Yes</t>
        </is>
      </c>
      <c r="K1718" t="inlineStr">
        <is>
          <t>Collection (optional)</t>
        </is>
      </c>
      <c r="L1718" t="n">
        <v>29</v>
      </c>
      <c r="M1718" t="n">
        <v>30</v>
      </c>
      <c r="N1718" t="n">
        <v>33</v>
      </c>
      <c r="O1718" t="inlineStr">
        <is>
          <t>2026-10-05 UTC (WFM pull 02:52-04:00)</t>
        </is>
      </c>
      <c r="P1718" t="inlineStr">
        <is>
          <t>OK</t>
        </is>
      </c>
      <c r="R1718" t="inlineStr">
        <is>
          <t>Arcanes share across items like mods (one max-rank copy covers every build).</t>
        </is>
      </c>
      <c r="S1718" t="inlineStr">
        <is>
          <t>arcane_escapist</t>
        </is>
      </c>
      <c r="T1718" t="n">
        <v>27</v>
      </c>
      <c r="U1718" t="n">
        <v>27</v>
      </c>
      <c r="V1718" t="n">
        <v>29</v>
      </c>
      <c r="W1718" t="n">
        <v>30</v>
      </c>
      <c r="X1718" t="n">
        <v>29.7</v>
      </c>
      <c r="Y1718" t="n">
        <v>602</v>
      </c>
      <c r="Z1718" t="n">
        <v>15</v>
      </c>
      <c r="AA1718" t="n">
        <v>25</v>
      </c>
      <c r="AB1718" t="n">
        <v>4</v>
      </c>
      <c r="AQ1718" t="n">
        <v>3</v>
      </c>
      <c r="AR1718" t="n">
        <v>63</v>
      </c>
      <c r="AS1718" t="inlineStr">
        <is>
          <t>Collection (optional)</t>
        </is>
      </c>
    </row>
    <row r="1719">
      <c r="A1719" t="inlineStr">
        <is>
          <t>Arcane</t>
        </is>
      </c>
      <c r="B1719" t="inlineStr">
        <is>
          <t>Arcane Expertise</t>
        </is>
      </c>
      <c r="E1719" t="inlineStr">
        <is>
          <t>Warframe</t>
        </is>
      </c>
      <c r="F1719" t="n">
        <v>5</v>
      </c>
      <c r="G1719" t="n">
        <v>1</v>
      </c>
      <c r="H1719" t="inlineStr">
        <is>
          <t>Player trade (max rank)</t>
        </is>
      </c>
      <c r="I1719" t="inlineStr">
        <is>
          <t>Yes</t>
        </is>
      </c>
      <c r="K1719" t="inlineStr">
        <is>
          <t>Required (v4.2 frame builds)</t>
        </is>
      </c>
      <c r="L1719" t="n">
        <v>35</v>
      </c>
      <c r="M1719" t="n">
        <v>39</v>
      </c>
      <c r="N1719" t="n">
        <v>44</v>
      </c>
      <c r="O1719" t="inlineStr">
        <is>
          <t>2026-10-05 UTC (WFM pull 02:52-04:00)</t>
        </is>
      </c>
      <c r="P1719" t="inlineStr">
        <is>
          <t>OK</t>
        </is>
      </c>
      <c r="R1719" t="inlineStr">
        <is>
          <t>Arcanes share across items like mods (one max-rank copy covers every build).</t>
        </is>
      </c>
      <c r="S1719" t="inlineStr">
        <is>
          <t>arcane_expertise</t>
        </is>
      </c>
      <c r="T1719" t="n">
        <v>23</v>
      </c>
      <c r="U1719" t="n">
        <v>23</v>
      </c>
      <c r="V1719" t="n">
        <v>30</v>
      </c>
      <c r="W1719" t="n">
        <v>30</v>
      </c>
      <c r="X1719" t="n">
        <v>31.2</v>
      </c>
      <c r="Y1719" t="n">
        <v>10195</v>
      </c>
      <c r="Z1719" t="n">
        <v>210</v>
      </c>
      <c r="AA1719" t="n">
        <v>22</v>
      </c>
      <c r="AB1719" t="n">
        <v>13</v>
      </c>
      <c r="AQ1719" t="n">
        <v>3</v>
      </c>
      <c r="AR1719" t="n">
        <v>63</v>
      </c>
      <c r="AS1719" t="inlineStr">
        <is>
          <t>Yes</t>
        </is>
      </c>
    </row>
    <row r="1720">
      <c r="A1720" t="inlineStr">
        <is>
          <t>Arcane</t>
        </is>
      </c>
      <c r="B1720" t="inlineStr">
        <is>
          <t>Arcane Fury</t>
        </is>
      </c>
      <c r="E1720" t="inlineStr">
        <is>
          <t>Warframe</t>
        </is>
      </c>
      <c r="F1720" t="n">
        <v>5</v>
      </c>
      <c r="G1720" t="n">
        <v>1</v>
      </c>
      <c r="H1720" t="inlineStr">
        <is>
          <t>Player trade (max rank)</t>
        </is>
      </c>
      <c r="I1720" t="inlineStr">
        <is>
          <t>Yes</t>
        </is>
      </c>
      <c r="K1720" t="inlineStr">
        <is>
          <t>Required (v4.2 frame builds)</t>
        </is>
      </c>
      <c r="L1720" t="n">
        <v>120</v>
      </c>
      <c r="M1720" t="n">
        <v>120</v>
      </c>
      <c r="N1720" t="n">
        <v>149</v>
      </c>
      <c r="O1720" t="inlineStr">
        <is>
          <t>2026-10-05 UTC (WFM pull 02:52-04:00)</t>
        </is>
      </c>
      <c r="P1720" t="inlineStr">
        <is>
          <t>OK</t>
        </is>
      </c>
      <c r="R1720" t="inlineStr">
        <is>
          <t>Arcanes share across items like mods (one max-rank copy covers every build).</t>
        </is>
      </c>
      <c r="S1720" t="inlineStr">
        <is>
          <t>arcane_fury</t>
        </is>
      </c>
      <c r="T1720" t="n">
        <v>34</v>
      </c>
      <c r="U1720" t="n">
        <v>34</v>
      </c>
      <c r="V1720" t="n">
        <v>135</v>
      </c>
      <c r="W1720" t="n">
        <v>135</v>
      </c>
      <c r="X1720" t="n">
        <v>125</v>
      </c>
      <c r="Y1720" t="n">
        <v>9266</v>
      </c>
      <c r="Z1720" t="n">
        <v>192</v>
      </c>
      <c r="AA1720" t="n">
        <v>108</v>
      </c>
      <c r="AB1720" t="n">
        <v>12</v>
      </c>
      <c r="AQ1720" t="n">
        <v>8</v>
      </c>
      <c r="AR1720" t="n">
        <v>168</v>
      </c>
      <c r="AS1720" t="inlineStr">
        <is>
          <t>Yes</t>
        </is>
      </c>
    </row>
    <row r="1721">
      <c r="A1721" t="inlineStr">
        <is>
          <t>Arcane</t>
        </is>
      </c>
      <c r="B1721" t="inlineStr">
        <is>
          <t>Arcane Grace</t>
        </is>
      </c>
      <c r="E1721" t="inlineStr">
        <is>
          <t>Warframe</t>
        </is>
      </c>
      <c r="F1721" t="n">
        <v>5</v>
      </c>
      <c r="G1721" t="n">
        <v>1</v>
      </c>
      <c r="H1721" t="inlineStr">
        <is>
          <t>Player trade (max rank)</t>
        </is>
      </c>
      <c r="I1721" t="inlineStr">
        <is>
          <t>Yes</t>
        </is>
      </c>
      <c r="K1721" t="inlineStr">
        <is>
          <t>Collection (optional)</t>
        </is>
      </c>
      <c r="L1721" t="n">
        <v>100</v>
      </c>
      <c r="M1721" t="n">
        <v>100</v>
      </c>
      <c r="N1721" t="n">
        <v>122</v>
      </c>
      <c r="O1721" t="inlineStr">
        <is>
          <t>2026-10-05 UTC (WFM pull 02:52-04:00)</t>
        </is>
      </c>
      <c r="P1721" t="inlineStr">
        <is>
          <t>OK</t>
        </is>
      </c>
      <c r="R1721" t="inlineStr">
        <is>
          <t>Arcanes share across items like mods (one max-rank copy covers every build).</t>
        </is>
      </c>
      <c r="S1721" t="inlineStr">
        <is>
          <t>arcane_grace</t>
        </is>
      </c>
      <c r="T1721" t="n">
        <v>30</v>
      </c>
      <c r="U1721" t="n">
        <v>30</v>
      </c>
      <c r="V1721" t="n">
        <v>100</v>
      </c>
      <c r="W1721" t="n">
        <v>100</v>
      </c>
      <c r="X1721" t="n">
        <v>100.2</v>
      </c>
      <c r="Y1721" t="n">
        <v>3267</v>
      </c>
      <c r="Z1721" t="n">
        <v>82</v>
      </c>
      <c r="AA1721" t="n">
        <v>60</v>
      </c>
      <c r="AB1721" t="n">
        <v>40</v>
      </c>
      <c r="AQ1721" t="n">
        <v>10</v>
      </c>
      <c r="AR1721" t="n">
        <v>210</v>
      </c>
      <c r="AS1721" t="inlineStr">
        <is>
          <t>Collection (optional)</t>
        </is>
      </c>
    </row>
    <row r="1722">
      <c r="A1722" t="inlineStr">
        <is>
          <t>Arcane</t>
        </is>
      </c>
      <c r="B1722" t="inlineStr">
        <is>
          <t>Arcane Guardian</t>
        </is>
      </c>
      <c r="E1722" t="inlineStr">
        <is>
          <t>Warframe</t>
        </is>
      </c>
      <c r="F1722" t="n">
        <v>5</v>
      </c>
      <c r="G1722" t="n">
        <v>1</v>
      </c>
      <c r="H1722" t="inlineStr">
        <is>
          <t>Player trade (max rank)</t>
        </is>
      </c>
      <c r="I1722" t="inlineStr">
        <is>
          <t>Yes</t>
        </is>
      </c>
      <c r="K1722" t="inlineStr">
        <is>
          <t>Collection (optional)</t>
        </is>
      </c>
      <c r="L1722" t="n">
        <v>50</v>
      </c>
      <c r="M1722" t="n">
        <v>60</v>
      </c>
      <c r="N1722" t="n">
        <v>66</v>
      </c>
      <c r="O1722" t="inlineStr">
        <is>
          <t>2026-10-05 UTC (WFM pull 02:52-04:00)</t>
        </is>
      </c>
      <c r="P1722" t="inlineStr">
        <is>
          <t>OK</t>
        </is>
      </c>
      <c r="R1722" t="inlineStr">
        <is>
          <t>Arcanes share across items like mods (one max-rank copy covers every build).</t>
        </is>
      </c>
      <c r="S1722" t="inlineStr">
        <is>
          <t>arcane_guardian</t>
        </is>
      </c>
      <c r="T1722" t="n">
        <v>15</v>
      </c>
      <c r="U1722" t="n">
        <v>15</v>
      </c>
      <c r="V1722" t="n">
        <v>55</v>
      </c>
      <c r="W1722" t="n">
        <v>50</v>
      </c>
      <c r="X1722" t="n">
        <v>51</v>
      </c>
      <c r="Y1722" t="n">
        <v>2921</v>
      </c>
      <c r="Z1722" t="n">
        <v>77</v>
      </c>
      <c r="AA1722" t="n">
        <v>27</v>
      </c>
      <c r="AB1722" t="n">
        <v>23</v>
      </c>
      <c r="AQ1722" t="n">
        <v>3</v>
      </c>
      <c r="AR1722" t="n">
        <v>63</v>
      </c>
      <c r="AS1722" t="inlineStr">
        <is>
          <t>Collection (optional)</t>
        </is>
      </c>
    </row>
    <row r="1723">
      <c r="A1723" t="inlineStr">
        <is>
          <t>Arcane</t>
        </is>
      </c>
      <c r="B1723" t="inlineStr">
        <is>
          <t>Arcane Healing</t>
        </is>
      </c>
      <c r="E1723" t="inlineStr">
        <is>
          <t>Warframe</t>
        </is>
      </c>
      <c r="F1723" t="n">
        <v>5</v>
      </c>
      <c r="G1723" t="n">
        <v>1</v>
      </c>
      <c r="H1723" t="inlineStr">
        <is>
          <t>Player trade (max rank)</t>
        </is>
      </c>
      <c r="I1723" t="inlineStr">
        <is>
          <t>Yes</t>
        </is>
      </c>
      <c r="K1723" t="inlineStr">
        <is>
          <t>Collection (optional)</t>
        </is>
      </c>
      <c r="L1723" t="n">
        <v>19</v>
      </c>
      <c r="M1723" t="n">
        <v>20</v>
      </c>
      <c r="N1723" t="n">
        <v>28</v>
      </c>
      <c r="O1723" t="inlineStr">
        <is>
          <t>2026-10-05 UTC (WFM pull 02:52-04:00)</t>
        </is>
      </c>
      <c r="P1723" t="inlineStr">
        <is>
          <t>OK</t>
        </is>
      </c>
      <c r="R1723" t="inlineStr">
        <is>
          <t>Arcanes share across items like mods (one max-rank copy covers every build).</t>
        </is>
      </c>
      <c r="S1723" t="inlineStr">
        <is>
          <t>arcane_healing</t>
        </is>
      </c>
      <c r="T1723" t="n">
        <v>7</v>
      </c>
      <c r="U1723" t="n">
        <v>7</v>
      </c>
      <c r="V1723" t="n">
        <v>17</v>
      </c>
      <c r="W1723" t="n">
        <v>19</v>
      </c>
      <c r="X1723" t="n">
        <v>17.5</v>
      </c>
      <c r="Y1723" t="n">
        <v>89</v>
      </c>
      <c r="Z1723" t="n">
        <v>3</v>
      </c>
      <c r="AA1723" t="n">
        <v>10</v>
      </c>
      <c r="AB1723" t="n">
        <v>9</v>
      </c>
      <c r="AQ1723" t="n">
        <v>3</v>
      </c>
      <c r="AR1723" t="n">
        <v>63</v>
      </c>
      <c r="AS1723" t="inlineStr">
        <is>
          <t>Collection (optional)</t>
        </is>
      </c>
    </row>
    <row r="1724">
      <c r="A1724" t="inlineStr">
        <is>
          <t>Arcane</t>
        </is>
      </c>
      <c r="B1724" t="inlineStr">
        <is>
          <t>Arcane Hot Shot</t>
        </is>
      </c>
      <c r="E1724" t="inlineStr">
        <is>
          <t>Warframe</t>
        </is>
      </c>
      <c r="F1724" t="n">
        <v>5</v>
      </c>
      <c r="G1724" t="n">
        <v>1</v>
      </c>
      <c r="H1724" t="inlineStr">
        <is>
          <t>Player trade (max rank)</t>
        </is>
      </c>
      <c r="I1724" t="inlineStr">
        <is>
          <t>Yes</t>
        </is>
      </c>
      <c r="K1724" t="inlineStr">
        <is>
          <t>Required (v4.2 frame builds)</t>
        </is>
      </c>
      <c r="L1724" t="n">
        <v>310</v>
      </c>
      <c r="M1724" t="n">
        <v>320</v>
      </c>
      <c r="N1724" t="n">
        <v>386</v>
      </c>
      <c r="O1724" t="inlineStr">
        <is>
          <t>2026-10-05 UTC (WFM pull 02:52-04:00)</t>
        </is>
      </c>
      <c r="P1724" t="inlineStr">
        <is>
          <t>OK</t>
        </is>
      </c>
      <c r="Q1724" t="inlineStr">
        <is>
          <t>Cheaper via 21x R0 (294p realistic) than buying max rank</t>
        </is>
      </c>
      <c r="R1724" t="inlineStr">
        <is>
          <t>Arcanes share across items like mods (one max-rank copy covers every build).</t>
        </is>
      </c>
      <c r="S1724" t="inlineStr">
        <is>
          <t>arcane_hot_shot</t>
        </is>
      </c>
      <c r="T1724" t="n">
        <v>84</v>
      </c>
      <c r="U1724" t="n">
        <v>84</v>
      </c>
      <c r="V1724" t="n">
        <v>350</v>
      </c>
      <c r="W1724" t="n">
        <v>449</v>
      </c>
      <c r="X1724" t="n">
        <v>434.2</v>
      </c>
      <c r="Y1724" t="n">
        <v>12285</v>
      </c>
      <c r="Z1724" t="n">
        <v>337</v>
      </c>
      <c r="AA1724" t="n">
        <v>290</v>
      </c>
      <c r="AB1724" t="n">
        <v>20</v>
      </c>
      <c r="AQ1724" t="n">
        <v>14</v>
      </c>
      <c r="AR1724" t="n">
        <v>294</v>
      </c>
      <c r="AS1724" t="inlineStr">
        <is>
          <t>Yes</t>
        </is>
      </c>
    </row>
    <row r="1725">
      <c r="A1725" t="inlineStr">
        <is>
          <t>Arcane</t>
        </is>
      </c>
      <c r="B1725" t="inlineStr">
        <is>
          <t>Arcane Ice</t>
        </is>
      </c>
      <c r="E1725" t="inlineStr">
        <is>
          <t>Warframe</t>
        </is>
      </c>
      <c r="F1725" t="n">
        <v>5</v>
      </c>
      <c r="G1725" t="n">
        <v>1</v>
      </c>
      <c r="H1725" t="inlineStr">
        <is>
          <t>Player trade (max rank)</t>
        </is>
      </c>
      <c r="I1725" t="inlineStr">
        <is>
          <t>Yes</t>
        </is>
      </c>
      <c r="K1725" t="inlineStr">
        <is>
          <t>Collection (optional)</t>
        </is>
      </c>
      <c r="L1725" t="n">
        <v>20</v>
      </c>
      <c r="M1725" t="n">
        <v>30</v>
      </c>
      <c r="N1725" t="n">
        <v>66</v>
      </c>
      <c r="O1725" t="inlineStr">
        <is>
          <t>2026-10-05 UTC (WFM pull 02:52-04:00)</t>
        </is>
      </c>
      <c r="P1725" t="inlineStr">
        <is>
          <t>OK</t>
        </is>
      </c>
      <c r="R1725" t="inlineStr">
        <is>
          <t>Arcanes share across items like mods (one max-rank copy covers every build).</t>
        </is>
      </c>
      <c r="S1725" t="inlineStr">
        <is>
          <t>arcane_ice</t>
        </is>
      </c>
      <c r="T1725" t="n">
        <v>6</v>
      </c>
      <c r="U1725" t="n">
        <v>6</v>
      </c>
      <c r="V1725" t="n">
        <v>20</v>
      </c>
      <c r="W1725" t="n">
        <v>20</v>
      </c>
      <c r="X1725" t="n">
        <v>19.7</v>
      </c>
      <c r="Y1725" t="n">
        <v>170</v>
      </c>
      <c r="Z1725" t="n">
        <v>5</v>
      </c>
      <c r="AQ1725" t="n">
        <v>3</v>
      </c>
      <c r="AR1725" t="n">
        <v>63</v>
      </c>
      <c r="AS1725" t="inlineStr">
        <is>
          <t>Collection (optional)</t>
        </is>
      </c>
    </row>
    <row r="1726">
      <c r="A1726" t="inlineStr">
        <is>
          <t>Arcane</t>
        </is>
      </c>
      <c r="B1726" t="inlineStr">
        <is>
          <t>Arcane Ice Storm</t>
        </is>
      </c>
      <c r="E1726" t="inlineStr">
        <is>
          <t>Warframe</t>
        </is>
      </c>
      <c r="F1726" t="n">
        <v>5</v>
      </c>
      <c r="G1726" t="n">
        <v>1</v>
      </c>
      <c r="H1726" t="inlineStr">
        <is>
          <t>Player trade (max rank)</t>
        </is>
      </c>
      <c r="I1726" t="inlineStr">
        <is>
          <t>Yes</t>
        </is>
      </c>
      <c r="K1726" t="inlineStr">
        <is>
          <t>Required (v4.2 frame builds)</t>
        </is>
      </c>
      <c r="L1726" t="n">
        <v>74</v>
      </c>
      <c r="M1726" t="n">
        <v>78</v>
      </c>
      <c r="N1726" t="n">
        <v>94</v>
      </c>
      <c r="O1726" t="inlineStr">
        <is>
          <t>2026-10-05 UTC (WFM pull 02:52-04:00)</t>
        </is>
      </c>
      <c r="P1726" t="inlineStr">
        <is>
          <t>OK</t>
        </is>
      </c>
      <c r="R1726" t="inlineStr">
        <is>
          <t>Arcanes share across items like mods (one max-rank copy covers every build).</t>
        </is>
      </c>
      <c r="S1726" t="inlineStr">
        <is>
          <t>arcane_ice_storm</t>
        </is>
      </c>
      <c r="T1726" t="n">
        <v>22</v>
      </c>
      <c r="U1726" t="n">
        <v>22</v>
      </c>
      <c r="V1726" t="n">
        <v>85</v>
      </c>
      <c r="W1726" t="n">
        <v>80</v>
      </c>
      <c r="X1726" t="n">
        <v>77.40000000000001</v>
      </c>
      <c r="Y1726" t="n">
        <v>8874</v>
      </c>
      <c r="Z1726" t="n">
        <v>533</v>
      </c>
      <c r="AA1726" t="n">
        <v>70</v>
      </c>
      <c r="AB1726" t="n">
        <v>4</v>
      </c>
      <c r="AQ1726" t="n">
        <v>5</v>
      </c>
      <c r="AR1726" t="n">
        <v>105</v>
      </c>
      <c r="AS1726" t="inlineStr">
        <is>
          <t>Yes</t>
        </is>
      </c>
    </row>
    <row r="1727">
      <c r="A1727" t="inlineStr">
        <is>
          <t>Arcane</t>
        </is>
      </c>
      <c r="B1727" t="inlineStr">
        <is>
          <t>Arcane Impetus</t>
        </is>
      </c>
      <c r="E1727" t="inlineStr">
        <is>
          <t>Warframe</t>
        </is>
      </c>
      <c r="F1727" t="n">
        <v>5</v>
      </c>
      <c r="G1727" t="n">
        <v>1</v>
      </c>
      <c r="H1727" t="inlineStr">
        <is>
          <t>Player trade (max rank)</t>
        </is>
      </c>
      <c r="I1727" t="inlineStr">
        <is>
          <t>Yes</t>
        </is>
      </c>
      <c r="K1727" t="inlineStr">
        <is>
          <t>Required (v4.2 frame builds)</t>
        </is>
      </c>
      <c r="L1727" t="n">
        <v>24</v>
      </c>
      <c r="M1727" t="n">
        <v>28</v>
      </c>
      <c r="N1727" t="n">
        <v>31</v>
      </c>
      <c r="O1727" t="inlineStr">
        <is>
          <t>2026-10-05 UTC (WFM pull 02:52-04:00)</t>
        </is>
      </c>
      <c r="P1727" t="inlineStr">
        <is>
          <t>OK</t>
        </is>
      </c>
      <c r="R1727" t="inlineStr">
        <is>
          <t>Arcanes share across items like mods (one max-rank copy covers every build).</t>
        </is>
      </c>
      <c r="S1727" t="inlineStr">
        <is>
          <t>arcane_impetus</t>
        </is>
      </c>
      <c r="T1727" t="n">
        <v>34</v>
      </c>
      <c r="U1727" t="n">
        <v>34</v>
      </c>
      <c r="V1727" t="n">
        <v>25</v>
      </c>
      <c r="W1727" t="n">
        <v>28</v>
      </c>
      <c r="X1727" t="n">
        <v>27.4</v>
      </c>
      <c r="Y1727" t="n">
        <v>8311</v>
      </c>
      <c r="Z1727" t="n">
        <v>281</v>
      </c>
      <c r="AA1727" t="n">
        <v>7</v>
      </c>
      <c r="AB1727" t="n">
        <v>17</v>
      </c>
      <c r="AQ1727" t="n">
        <v>2</v>
      </c>
      <c r="AR1727" t="n">
        <v>42</v>
      </c>
      <c r="AS1727" t="inlineStr">
        <is>
          <t>Yes</t>
        </is>
      </c>
    </row>
    <row r="1728">
      <c r="A1728" t="inlineStr">
        <is>
          <t>Arcane</t>
        </is>
      </c>
      <c r="B1728" t="inlineStr">
        <is>
          <t>Arcane Intention</t>
        </is>
      </c>
      <c r="E1728" t="inlineStr">
        <is>
          <t>Warframe</t>
        </is>
      </c>
      <c r="F1728" t="n">
        <v>5</v>
      </c>
      <c r="G1728" t="n">
        <v>1</v>
      </c>
      <c r="H1728" t="inlineStr">
        <is>
          <t>Player trade (max rank)</t>
        </is>
      </c>
      <c r="I1728" t="inlineStr">
        <is>
          <t>Yes</t>
        </is>
      </c>
      <c r="K1728" t="inlineStr">
        <is>
          <t>Collection (optional)</t>
        </is>
      </c>
      <c r="L1728" t="n">
        <v>15</v>
      </c>
      <c r="M1728" t="n">
        <v>20</v>
      </c>
      <c r="N1728" t="n">
        <v>22</v>
      </c>
      <c r="O1728" t="inlineStr">
        <is>
          <t>2026-10-05 UTC (WFM pull 02:52-04:00)</t>
        </is>
      </c>
      <c r="P1728" t="inlineStr">
        <is>
          <t>OK</t>
        </is>
      </c>
      <c r="R1728" t="inlineStr">
        <is>
          <t>Arcanes share across items like mods (one max-rank copy covers every build).</t>
        </is>
      </c>
      <c r="S1728" t="inlineStr">
        <is>
          <t>arcane_intention</t>
        </is>
      </c>
      <c r="T1728" t="n">
        <v>12</v>
      </c>
      <c r="U1728" t="n">
        <v>12</v>
      </c>
      <c r="V1728" t="n">
        <v>15</v>
      </c>
      <c r="W1728" t="n">
        <v>15</v>
      </c>
      <c r="X1728" t="n">
        <v>15.8</v>
      </c>
      <c r="Y1728" t="n">
        <v>171</v>
      </c>
      <c r="Z1728" t="n">
        <v>6</v>
      </c>
      <c r="AA1728" t="n">
        <v>7</v>
      </c>
      <c r="AB1728" t="n">
        <v>8</v>
      </c>
      <c r="AQ1728" t="n">
        <v>2</v>
      </c>
      <c r="AR1728" t="n">
        <v>42</v>
      </c>
      <c r="AS1728" t="inlineStr">
        <is>
          <t>Collection (optional)</t>
        </is>
      </c>
    </row>
    <row r="1729">
      <c r="A1729" t="inlineStr">
        <is>
          <t>Arcane</t>
        </is>
      </c>
      <c r="B1729" t="inlineStr">
        <is>
          <t>Arcane Momentum</t>
        </is>
      </c>
      <c r="E1729" t="inlineStr">
        <is>
          <t>Warframe</t>
        </is>
      </c>
      <c r="F1729" t="n">
        <v>5</v>
      </c>
      <c r="G1729" t="n">
        <v>1</v>
      </c>
      <c r="H1729" t="inlineStr">
        <is>
          <t>Player trade (max rank)</t>
        </is>
      </c>
      <c r="I1729" t="inlineStr">
        <is>
          <t>Yes</t>
        </is>
      </c>
      <c r="K1729" t="inlineStr">
        <is>
          <t>Collection (optional)</t>
        </is>
      </c>
      <c r="L1729" t="n">
        <v>20</v>
      </c>
      <c r="M1729" t="n">
        <v>20</v>
      </c>
      <c r="N1729" t="n">
        <v>33</v>
      </c>
      <c r="O1729" t="inlineStr">
        <is>
          <t>2026-10-05 UTC (WFM pull 02:52-04:00)</t>
        </is>
      </c>
      <c r="P1729" t="inlineStr">
        <is>
          <t>OK</t>
        </is>
      </c>
      <c r="R1729" t="inlineStr">
        <is>
          <t>Arcanes share across items like mods (one max-rank copy covers every build).</t>
        </is>
      </c>
      <c r="S1729" t="inlineStr">
        <is>
          <t>arcane_momentum</t>
        </is>
      </c>
      <c r="T1729" t="n">
        <v>10</v>
      </c>
      <c r="U1729" t="n">
        <v>10</v>
      </c>
      <c r="V1729" t="n">
        <v>19</v>
      </c>
      <c r="W1729" t="n">
        <v>19</v>
      </c>
      <c r="X1729" t="n">
        <v>18.5</v>
      </c>
      <c r="Y1729" t="n">
        <v>220</v>
      </c>
      <c r="Z1729" t="n">
        <v>0</v>
      </c>
      <c r="AA1729" t="n">
        <v>5</v>
      </c>
      <c r="AB1729" t="n">
        <v>15</v>
      </c>
      <c r="AQ1729" t="n">
        <v>3</v>
      </c>
      <c r="AR1729" t="n">
        <v>63</v>
      </c>
      <c r="AS1729" t="inlineStr">
        <is>
          <t>Collection (optional)</t>
        </is>
      </c>
    </row>
    <row r="1730">
      <c r="A1730" t="inlineStr">
        <is>
          <t>Arcane</t>
        </is>
      </c>
      <c r="B1730" t="inlineStr">
        <is>
          <t>Arcane Nullifier</t>
        </is>
      </c>
      <c r="E1730" t="inlineStr">
        <is>
          <t>Warframe</t>
        </is>
      </c>
      <c r="F1730" t="n">
        <v>5</v>
      </c>
      <c r="G1730" t="n">
        <v>1</v>
      </c>
      <c r="H1730" t="inlineStr">
        <is>
          <t>Player trade (max rank)</t>
        </is>
      </c>
      <c r="I1730" t="inlineStr">
        <is>
          <t>Yes</t>
        </is>
      </c>
      <c r="K1730" t="inlineStr">
        <is>
          <t>Collection (optional)</t>
        </is>
      </c>
      <c r="L1730" t="n">
        <v>55</v>
      </c>
      <c r="M1730" t="n">
        <v>57</v>
      </c>
      <c r="N1730" t="n">
        <v>66</v>
      </c>
      <c r="O1730" t="inlineStr">
        <is>
          <t>2026-10-05 UTC (WFM pull 02:52-04:00)</t>
        </is>
      </c>
      <c r="P1730" t="inlineStr">
        <is>
          <t>OK</t>
        </is>
      </c>
      <c r="R1730" t="inlineStr">
        <is>
          <t>Arcanes share across items like mods (one max-rank copy covers every build).</t>
        </is>
      </c>
      <c r="S1730" t="inlineStr">
        <is>
          <t>arcane_nullifier</t>
        </is>
      </c>
      <c r="T1730" t="n">
        <v>23</v>
      </c>
      <c r="U1730" t="n">
        <v>23</v>
      </c>
      <c r="V1730" t="n">
        <v>60</v>
      </c>
      <c r="W1730" t="n">
        <v>60</v>
      </c>
      <c r="X1730" t="n">
        <v>58.3</v>
      </c>
      <c r="Y1730" t="n">
        <v>2919</v>
      </c>
      <c r="Z1730" t="n">
        <v>59</v>
      </c>
      <c r="AA1730" t="n">
        <v>47</v>
      </c>
      <c r="AB1730" t="n">
        <v>8</v>
      </c>
      <c r="AQ1730" t="n">
        <v>5</v>
      </c>
      <c r="AR1730" t="n">
        <v>105</v>
      </c>
      <c r="AS1730" t="inlineStr">
        <is>
          <t>Collection (optional)</t>
        </is>
      </c>
    </row>
    <row r="1731">
      <c r="A1731" t="inlineStr">
        <is>
          <t>Arcane</t>
        </is>
      </c>
      <c r="B1731" t="inlineStr">
        <is>
          <t>Arcane Persistence</t>
        </is>
      </c>
      <c r="E1731" t="inlineStr">
        <is>
          <t>Warframe</t>
        </is>
      </c>
      <c r="F1731" t="n">
        <v>5</v>
      </c>
      <c r="G1731" t="n">
        <v>1</v>
      </c>
      <c r="H1731" t="inlineStr">
        <is>
          <t>Player trade (max rank)</t>
        </is>
      </c>
      <c r="I1731" t="inlineStr">
        <is>
          <t>Yes</t>
        </is>
      </c>
      <c r="K1731" t="inlineStr">
        <is>
          <t>Collection (optional)</t>
        </is>
      </c>
      <c r="L1731" t="n">
        <v>40</v>
      </c>
      <c r="M1731" t="n">
        <v>40</v>
      </c>
      <c r="N1731" t="n">
        <v>50</v>
      </c>
      <c r="O1731" t="inlineStr">
        <is>
          <t>2026-10-05 UTC (WFM pull 02:52-04:00)</t>
        </is>
      </c>
      <c r="P1731" t="inlineStr">
        <is>
          <t>OK</t>
        </is>
      </c>
      <c r="R1731" t="inlineStr">
        <is>
          <t>Arcanes share across items like mods (one max-rank copy covers every build).</t>
        </is>
      </c>
      <c r="S1731" t="inlineStr">
        <is>
          <t>arcane_persistence</t>
        </is>
      </c>
      <c r="T1731" t="n">
        <v>14</v>
      </c>
      <c r="U1731" t="n">
        <v>14</v>
      </c>
      <c r="V1731" t="n">
        <v>35</v>
      </c>
      <c r="W1731" t="n">
        <v>33.5</v>
      </c>
      <c r="X1731" t="n">
        <v>32.6</v>
      </c>
      <c r="Y1731" t="n">
        <v>10623</v>
      </c>
      <c r="Z1731" t="n">
        <v>323</v>
      </c>
      <c r="AA1731" t="n">
        <v>30</v>
      </c>
      <c r="AB1731" t="n">
        <v>10</v>
      </c>
      <c r="AQ1731" t="n">
        <v>3</v>
      </c>
      <c r="AR1731" t="n">
        <v>63</v>
      </c>
      <c r="AS1731" t="inlineStr">
        <is>
          <t>Collection (optional)</t>
        </is>
      </c>
    </row>
    <row r="1732">
      <c r="A1732" t="inlineStr">
        <is>
          <t>Arcane</t>
        </is>
      </c>
      <c r="B1732" t="inlineStr">
        <is>
          <t>Arcane Phantasm</t>
        </is>
      </c>
      <c r="E1732" t="inlineStr">
        <is>
          <t>Warframe</t>
        </is>
      </c>
      <c r="F1732" t="n">
        <v>5</v>
      </c>
      <c r="G1732" t="n">
        <v>1</v>
      </c>
      <c r="H1732" t="inlineStr">
        <is>
          <t>Player trade (max rank)</t>
        </is>
      </c>
      <c r="I1732" t="inlineStr">
        <is>
          <t>Yes</t>
        </is>
      </c>
      <c r="K1732" t="inlineStr">
        <is>
          <t>Collection (optional)</t>
        </is>
      </c>
      <c r="L1732" t="n">
        <v>30</v>
      </c>
      <c r="M1732" t="n">
        <v>30</v>
      </c>
      <c r="N1732" t="n">
        <v>66</v>
      </c>
      <c r="O1732" t="inlineStr">
        <is>
          <t>2026-10-05 UTC (WFM pull 02:52-04:00)</t>
        </is>
      </c>
      <c r="P1732" t="inlineStr">
        <is>
          <t>OK</t>
        </is>
      </c>
      <c r="R1732" t="inlineStr">
        <is>
          <t>Arcanes share across items like mods (one max-rank copy covers every build).</t>
        </is>
      </c>
      <c r="S1732" t="inlineStr">
        <is>
          <t>arcane_phantasm</t>
        </is>
      </c>
      <c r="T1732" t="n">
        <v>5</v>
      </c>
      <c r="U1732" t="n">
        <v>5</v>
      </c>
      <c r="V1732" t="n">
        <v>20</v>
      </c>
      <c r="W1732" t="n">
        <v>20</v>
      </c>
      <c r="X1732" t="n">
        <v>21</v>
      </c>
      <c r="Y1732" t="n">
        <v>219</v>
      </c>
      <c r="Z1732" t="n">
        <v>7</v>
      </c>
      <c r="AA1732" t="n">
        <v>7</v>
      </c>
      <c r="AB1732" t="n">
        <v>23</v>
      </c>
      <c r="AQ1732" t="n">
        <v>3</v>
      </c>
      <c r="AR1732" t="n">
        <v>63</v>
      </c>
      <c r="AS1732" t="inlineStr">
        <is>
          <t>Collection (optional)</t>
        </is>
      </c>
    </row>
    <row r="1733">
      <c r="A1733" t="inlineStr">
        <is>
          <t>Arcane</t>
        </is>
      </c>
      <c r="B1733" t="inlineStr">
        <is>
          <t>Arcane Pistoleer</t>
        </is>
      </c>
      <c r="E1733" t="inlineStr">
        <is>
          <t>Warframe</t>
        </is>
      </c>
      <c r="F1733" t="n">
        <v>5</v>
      </c>
      <c r="G1733" t="n">
        <v>1</v>
      </c>
      <c r="H1733" t="inlineStr">
        <is>
          <t>Player trade (max rank)</t>
        </is>
      </c>
      <c r="I1733" t="inlineStr">
        <is>
          <t>Yes</t>
        </is>
      </c>
      <c r="K1733" t="inlineStr">
        <is>
          <t>Collection (optional)</t>
        </is>
      </c>
      <c r="L1733" t="n">
        <v>55</v>
      </c>
      <c r="M1733" t="n">
        <v>55</v>
      </c>
      <c r="N1733" t="n">
        <v>62</v>
      </c>
      <c r="O1733" t="inlineStr">
        <is>
          <t>2026-10-05 UTC (WFM pull 02:52-04:00)</t>
        </is>
      </c>
      <c r="P1733" t="inlineStr">
        <is>
          <t>OK</t>
        </is>
      </c>
      <c r="R1733" t="inlineStr">
        <is>
          <t>Arcanes share across items like mods (one max-rank copy covers every build).</t>
        </is>
      </c>
      <c r="S1733" t="inlineStr">
        <is>
          <t>arcane_pistoleer</t>
        </is>
      </c>
      <c r="T1733" t="n">
        <v>19</v>
      </c>
      <c r="U1733" t="n">
        <v>19</v>
      </c>
      <c r="V1733" t="n">
        <v>50</v>
      </c>
      <c r="W1733" t="n">
        <v>48</v>
      </c>
      <c r="X1733" t="n">
        <v>47.2</v>
      </c>
      <c r="Y1733" t="n">
        <v>8311</v>
      </c>
      <c r="Z1733" t="n">
        <v>234</v>
      </c>
      <c r="AA1733" t="n">
        <v>45</v>
      </c>
      <c r="AB1733" t="n">
        <v>10</v>
      </c>
      <c r="AQ1733" t="n">
        <v>4</v>
      </c>
      <c r="AR1733" t="n">
        <v>84</v>
      </c>
      <c r="AS1733" t="inlineStr">
        <is>
          <t>Collection (optional)</t>
        </is>
      </c>
    </row>
    <row r="1734">
      <c r="A1734" t="inlineStr">
        <is>
          <t>Arcane</t>
        </is>
      </c>
      <c r="B1734" t="inlineStr">
        <is>
          <t>Arcane Power Ramp</t>
        </is>
      </c>
      <c r="E1734" t="inlineStr">
        <is>
          <t>Warframe</t>
        </is>
      </c>
      <c r="F1734" t="n">
        <v>5</v>
      </c>
      <c r="G1734" t="n">
        <v>1</v>
      </c>
      <c r="H1734" t="inlineStr">
        <is>
          <t>Player trade (max rank)</t>
        </is>
      </c>
      <c r="I1734" t="inlineStr">
        <is>
          <t>Yes</t>
        </is>
      </c>
      <c r="K1734" t="inlineStr">
        <is>
          <t>Collection (optional)</t>
        </is>
      </c>
      <c r="L1734" t="n">
        <v>30</v>
      </c>
      <c r="M1734" t="n">
        <v>35</v>
      </c>
      <c r="N1734" t="n">
        <v>44</v>
      </c>
      <c r="O1734" t="inlineStr">
        <is>
          <t>2026-10-05 UTC (WFM pull 02:52-04:00)</t>
        </is>
      </c>
      <c r="P1734" t="inlineStr">
        <is>
          <t>OK</t>
        </is>
      </c>
      <c r="R1734" t="inlineStr">
        <is>
          <t>Arcanes share across items like mods (one max-rank copy covers every build).</t>
        </is>
      </c>
      <c r="S1734" t="inlineStr">
        <is>
          <t>arcane_power_ramp</t>
        </is>
      </c>
      <c r="T1734" t="n">
        <v>15</v>
      </c>
      <c r="U1734" t="n">
        <v>15</v>
      </c>
      <c r="V1734" t="n">
        <v>35</v>
      </c>
      <c r="W1734" t="n">
        <v>38.5</v>
      </c>
      <c r="X1734" t="n">
        <v>37.6</v>
      </c>
      <c r="Y1734" t="n">
        <v>742</v>
      </c>
      <c r="Z1734" t="n">
        <v>11</v>
      </c>
      <c r="AA1734" t="n">
        <v>20</v>
      </c>
      <c r="AB1734" t="n">
        <v>10</v>
      </c>
      <c r="AQ1734" t="n">
        <v>5.2</v>
      </c>
      <c r="AR1734" t="n">
        <v>109.2</v>
      </c>
      <c r="AS1734" t="inlineStr">
        <is>
          <t>Collection (optional)</t>
        </is>
      </c>
    </row>
    <row r="1735">
      <c r="A1735" t="inlineStr">
        <is>
          <t>Arcane</t>
        </is>
      </c>
      <c r="B1735" t="inlineStr">
        <is>
          <t>Arcane Precision</t>
        </is>
      </c>
      <c r="E1735" t="inlineStr">
        <is>
          <t>Warframe</t>
        </is>
      </c>
      <c r="F1735" t="n">
        <v>5</v>
      </c>
      <c r="G1735" t="n">
        <v>1</v>
      </c>
      <c r="H1735" t="inlineStr">
        <is>
          <t>Player trade (max rank)</t>
        </is>
      </c>
      <c r="I1735" t="inlineStr">
        <is>
          <t>Yes</t>
        </is>
      </c>
      <c r="K1735" t="inlineStr">
        <is>
          <t>Collection (optional)</t>
        </is>
      </c>
      <c r="L1735" t="n">
        <v>145</v>
      </c>
      <c r="M1735" t="n">
        <v>150</v>
      </c>
      <c r="N1735" t="n">
        <v>176</v>
      </c>
      <c r="O1735" t="inlineStr">
        <is>
          <t>2026-10-05 UTC (WFM pull 02:52-04:00)</t>
        </is>
      </c>
      <c r="P1735" t="inlineStr">
        <is>
          <t>OK</t>
        </is>
      </c>
      <c r="R1735" t="inlineStr">
        <is>
          <t>Arcanes share across items like mods (one max-rank copy covers every build).</t>
        </is>
      </c>
      <c r="S1735" t="inlineStr">
        <is>
          <t>arcane_precision</t>
        </is>
      </c>
      <c r="T1735" t="n">
        <v>30</v>
      </c>
      <c r="U1735" t="n">
        <v>30</v>
      </c>
      <c r="V1735" t="n">
        <v>160</v>
      </c>
      <c r="W1735" t="n">
        <v>150</v>
      </c>
      <c r="X1735" t="n">
        <v>141</v>
      </c>
      <c r="Y1735" t="n">
        <v>5120</v>
      </c>
      <c r="Z1735" t="n">
        <v>125</v>
      </c>
      <c r="AA1735" t="n">
        <v>145</v>
      </c>
      <c r="AB1735" t="n">
        <v>0</v>
      </c>
      <c r="AQ1735" t="n">
        <v>10</v>
      </c>
      <c r="AR1735" t="n">
        <v>210</v>
      </c>
      <c r="AS1735" t="inlineStr">
        <is>
          <t>Collection (optional)</t>
        </is>
      </c>
    </row>
    <row r="1736">
      <c r="A1736" t="inlineStr">
        <is>
          <t>Arcane</t>
        </is>
      </c>
      <c r="B1736" t="inlineStr">
        <is>
          <t>Arcane Primary Charger</t>
        </is>
      </c>
      <c r="E1736" t="inlineStr">
        <is>
          <t>Warframe</t>
        </is>
      </c>
      <c r="F1736" t="n">
        <v>5</v>
      </c>
      <c r="G1736" t="n">
        <v>1</v>
      </c>
      <c r="H1736" t="inlineStr">
        <is>
          <t>Player trade (max rank)</t>
        </is>
      </c>
      <c r="I1736" t="inlineStr">
        <is>
          <t>Yes</t>
        </is>
      </c>
      <c r="K1736" t="inlineStr">
        <is>
          <t>Collection (optional)</t>
        </is>
      </c>
      <c r="L1736" t="n">
        <v>20</v>
      </c>
      <c r="M1736" t="n">
        <v>24</v>
      </c>
      <c r="N1736" t="n">
        <v>28</v>
      </c>
      <c r="O1736" t="inlineStr">
        <is>
          <t>2026-10-05 UTC (WFM pull 02:52-04:00)</t>
        </is>
      </c>
      <c r="P1736" t="inlineStr">
        <is>
          <t>OK</t>
        </is>
      </c>
      <c r="R1736" t="inlineStr">
        <is>
          <t>Arcanes share across items like mods (one max-rank copy covers every build).</t>
        </is>
      </c>
      <c r="S1736" t="inlineStr">
        <is>
          <t>arcane_primary_charger</t>
        </is>
      </c>
      <c r="T1736" t="n">
        <v>15</v>
      </c>
      <c r="U1736" t="n">
        <v>15</v>
      </c>
      <c r="V1736" t="n">
        <v>19</v>
      </c>
      <c r="W1736" t="n">
        <v>20</v>
      </c>
      <c r="X1736" t="n">
        <v>21.1</v>
      </c>
      <c r="Y1736" t="n">
        <v>222</v>
      </c>
      <c r="Z1736" t="n">
        <v>4</v>
      </c>
      <c r="AA1736" t="n">
        <v>7</v>
      </c>
      <c r="AB1736" t="n">
        <v>13</v>
      </c>
      <c r="AQ1736" t="n">
        <v>5</v>
      </c>
      <c r="AR1736" t="n">
        <v>105</v>
      </c>
      <c r="AS1736" t="inlineStr">
        <is>
          <t>Collection (optional)</t>
        </is>
      </c>
    </row>
    <row r="1737">
      <c r="A1737" t="inlineStr">
        <is>
          <t>Arcane</t>
        </is>
      </c>
      <c r="B1737" t="inlineStr">
        <is>
          <t>Arcane Pulse</t>
        </is>
      </c>
      <c r="E1737" t="inlineStr">
        <is>
          <t>Warframe</t>
        </is>
      </c>
      <c r="F1737" t="n">
        <v>5</v>
      </c>
      <c r="G1737" t="n">
        <v>1</v>
      </c>
      <c r="H1737" t="inlineStr">
        <is>
          <t>Player trade (max rank)</t>
        </is>
      </c>
      <c r="I1737" t="inlineStr">
        <is>
          <t>Yes</t>
        </is>
      </c>
      <c r="K1737" t="inlineStr">
        <is>
          <t>Collection (optional)</t>
        </is>
      </c>
      <c r="L1737" t="n">
        <v>20</v>
      </c>
      <c r="M1737" t="n">
        <v>20</v>
      </c>
      <c r="N1737" t="n">
        <v>28</v>
      </c>
      <c r="O1737" t="inlineStr">
        <is>
          <t>2026-10-05 UTC (WFM pull 02:52-04:00)</t>
        </is>
      </c>
      <c r="P1737" t="inlineStr">
        <is>
          <t>OK</t>
        </is>
      </c>
      <c r="R1737" t="inlineStr">
        <is>
          <t>Arcanes share across items like mods (one max-rank copy covers every build).</t>
        </is>
      </c>
      <c r="S1737" t="inlineStr">
        <is>
          <t>arcane_pulse</t>
        </is>
      </c>
      <c r="T1737" t="n">
        <v>11</v>
      </c>
      <c r="U1737" t="n">
        <v>11</v>
      </c>
      <c r="V1737" t="n">
        <v>18</v>
      </c>
      <c r="W1737" t="n">
        <v>17.5</v>
      </c>
      <c r="X1737" t="n">
        <v>16.7</v>
      </c>
      <c r="Y1737" t="n">
        <v>164</v>
      </c>
      <c r="Z1737" t="n">
        <v>3</v>
      </c>
      <c r="AA1737" t="n">
        <v>15</v>
      </c>
      <c r="AB1737" t="n">
        <v>5</v>
      </c>
      <c r="AQ1737" t="n">
        <v>2</v>
      </c>
      <c r="AR1737" t="n">
        <v>42</v>
      </c>
      <c r="AS1737" t="inlineStr">
        <is>
          <t>Collection (optional)</t>
        </is>
      </c>
    </row>
    <row r="1738">
      <c r="A1738" t="inlineStr">
        <is>
          <t>Arcane</t>
        </is>
      </c>
      <c r="B1738" t="inlineStr">
        <is>
          <t>Arcane Rage</t>
        </is>
      </c>
      <c r="E1738" t="inlineStr">
        <is>
          <t>Warframe</t>
        </is>
      </c>
      <c r="F1738" t="n">
        <v>5</v>
      </c>
      <c r="G1738" t="n">
        <v>1</v>
      </c>
      <c r="H1738" t="inlineStr">
        <is>
          <t>Player trade (max rank)</t>
        </is>
      </c>
      <c r="I1738" t="inlineStr">
        <is>
          <t>Yes</t>
        </is>
      </c>
      <c r="K1738" t="inlineStr">
        <is>
          <t>Collection (optional)</t>
        </is>
      </c>
      <c r="L1738" t="n">
        <v>50</v>
      </c>
      <c r="M1738" t="n">
        <v>50</v>
      </c>
      <c r="N1738" t="n">
        <v>56</v>
      </c>
      <c r="O1738" t="inlineStr">
        <is>
          <t>2026-10-05 UTC (WFM pull 02:52-04:00)</t>
        </is>
      </c>
      <c r="P1738" t="inlineStr">
        <is>
          <t>OK</t>
        </is>
      </c>
      <c r="R1738" t="inlineStr">
        <is>
          <t>Arcanes share across items like mods (one max-rank copy covers every build).</t>
        </is>
      </c>
      <c r="S1738" t="inlineStr">
        <is>
          <t>arcane_rage</t>
        </is>
      </c>
      <c r="T1738" t="n">
        <v>26</v>
      </c>
      <c r="U1738" t="n">
        <v>26</v>
      </c>
      <c r="V1738" t="n">
        <v>50</v>
      </c>
      <c r="W1738" t="n">
        <v>45</v>
      </c>
      <c r="X1738" t="n">
        <v>44.7</v>
      </c>
      <c r="Y1738" t="n">
        <v>3103</v>
      </c>
      <c r="Z1738" t="n">
        <v>73</v>
      </c>
      <c r="AA1738" t="n">
        <v>27</v>
      </c>
      <c r="AB1738" t="n">
        <v>23</v>
      </c>
      <c r="AQ1738" t="n">
        <v>3</v>
      </c>
      <c r="AR1738" t="n">
        <v>63</v>
      </c>
      <c r="AS1738" t="inlineStr">
        <is>
          <t>Collection (optional)</t>
        </is>
      </c>
    </row>
    <row r="1739">
      <c r="A1739" t="inlineStr">
        <is>
          <t>Arcane</t>
        </is>
      </c>
      <c r="B1739" t="inlineStr">
        <is>
          <t>Arcane Reaper</t>
        </is>
      </c>
      <c r="E1739" t="inlineStr">
        <is>
          <t>Warframe</t>
        </is>
      </c>
      <c r="F1739" t="n">
        <v>5</v>
      </c>
      <c r="G1739" t="n">
        <v>1</v>
      </c>
      <c r="H1739" t="inlineStr">
        <is>
          <t>Player trade (max rank)</t>
        </is>
      </c>
      <c r="I1739" t="inlineStr">
        <is>
          <t>Yes</t>
        </is>
      </c>
      <c r="K1739" t="inlineStr">
        <is>
          <t>Required (v4.2 frame builds)</t>
        </is>
      </c>
      <c r="L1739" t="n">
        <v>350</v>
      </c>
      <c r="M1739" t="n">
        <v>390</v>
      </c>
      <c r="N1739" t="n">
        <v>441</v>
      </c>
      <c r="O1739" t="inlineStr">
        <is>
          <t>2026-10-05 UTC (WFM pull 02:52-04:00)</t>
        </is>
      </c>
      <c r="P1739" t="inlineStr">
        <is>
          <t>OK</t>
        </is>
      </c>
      <c r="Q1739" t="inlineStr">
        <is>
          <t>Cheaper via 21x R0 (294p realistic) than buying max rank</t>
        </is>
      </c>
      <c r="R1739" t="inlineStr">
        <is>
          <t>Arcanes share across items like mods (one max-rank copy covers every build).</t>
        </is>
      </c>
      <c r="S1739" t="inlineStr">
        <is>
          <t>arcane_reaper</t>
        </is>
      </c>
      <c r="T1739" t="n">
        <v>15</v>
      </c>
      <c r="U1739" t="n">
        <v>15</v>
      </c>
      <c r="V1739" t="n">
        <v>395</v>
      </c>
      <c r="W1739" t="n">
        <v>397</v>
      </c>
      <c r="X1739" t="n">
        <v>394.5</v>
      </c>
      <c r="Y1739" t="n">
        <v>1371</v>
      </c>
      <c r="Z1739" t="n">
        <v>19</v>
      </c>
      <c r="AA1739" t="n">
        <v>320</v>
      </c>
      <c r="AB1739" t="n">
        <v>30</v>
      </c>
      <c r="AQ1739" t="n">
        <v>14</v>
      </c>
      <c r="AR1739" t="n">
        <v>294</v>
      </c>
      <c r="AS1739" t="inlineStr">
        <is>
          <t>Yes</t>
        </is>
      </c>
    </row>
    <row r="1740">
      <c r="A1740" t="inlineStr">
        <is>
          <t>Arcane</t>
        </is>
      </c>
      <c r="B1740" t="inlineStr">
        <is>
          <t>Arcane Resistance</t>
        </is>
      </c>
      <c r="E1740" t="inlineStr">
        <is>
          <t>Warframe</t>
        </is>
      </c>
      <c r="F1740" t="n">
        <v>5</v>
      </c>
      <c r="G1740" t="n">
        <v>1</v>
      </c>
      <c r="H1740" t="inlineStr">
        <is>
          <t>Player trade (max rank)</t>
        </is>
      </c>
      <c r="I1740" t="inlineStr">
        <is>
          <t>Yes</t>
        </is>
      </c>
      <c r="K1740" t="inlineStr">
        <is>
          <t>Collection (optional)</t>
        </is>
      </c>
      <c r="L1740" t="n">
        <v>45</v>
      </c>
      <c r="M1740" t="n">
        <v>49</v>
      </c>
      <c r="N1740" t="n">
        <v>58</v>
      </c>
      <c r="O1740" t="inlineStr">
        <is>
          <t>2026-10-05 UTC (WFM pull 02:52-04:00)</t>
        </is>
      </c>
      <c r="P1740" t="inlineStr">
        <is>
          <t>OK</t>
        </is>
      </c>
      <c r="R1740" t="inlineStr">
        <is>
          <t>Arcanes share across items like mods (one max-rank copy covers every build).</t>
        </is>
      </c>
      <c r="S1740" t="inlineStr">
        <is>
          <t>arcane_resistance</t>
        </is>
      </c>
      <c r="T1740" t="n">
        <v>11</v>
      </c>
      <c r="U1740" t="n">
        <v>11</v>
      </c>
      <c r="V1740" t="n">
        <v>47.5</v>
      </c>
      <c r="W1740" t="n">
        <v>45</v>
      </c>
      <c r="X1740" t="n">
        <v>44.5</v>
      </c>
      <c r="Y1740" t="n">
        <v>402</v>
      </c>
      <c r="Z1740" t="n">
        <v>13</v>
      </c>
      <c r="AA1740" t="n">
        <v>15</v>
      </c>
      <c r="AB1740" t="n">
        <v>30</v>
      </c>
      <c r="AQ1740" t="n">
        <v>5</v>
      </c>
      <c r="AR1740" t="n">
        <v>105</v>
      </c>
      <c r="AS1740" t="inlineStr">
        <is>
          <t>Collection (optional)</t>
        </is>
      </c>
    </row>
    <row r="1741">
      <c r="A1741" t="inlineStr">
        <is>
          <t>Arcane</t>
        </is>
      </c>
      <c r="B1741" t="inlineStr">
        <is>
          <t>Arcane Rise</t>
        </is>
      </c>
      <c r="E1741" t="inlineStr">
        <is>
          <t>Warframe</t>
        </is>
      </c>
      <c r="F1741" t="n">
        <v>5</v>
      </c>
      <c r="G1741" t="n">
        <v>1</v>
      </c>
      <c r="H1741" t="inlineStr">
        <is>
          <t>Player trade (max rank)</t>
        </is>
      </c>
      <c r="I1741" t="inlineStr">
        <is>
          <t>Yes</t>
        </is>
      </c>
      <c r="K1741" t="inlineStr">
        <is>
          <t>Collection (optional)</t>
        </is>
      </c>
      <c r="L1741" t="n">
        <v>30</v>
      </c>
      <c r="M1741" t="n">
        <v>30</v>
      </c>
      <c r="N1741" t="n">
        <v>50</v>
      </c>
      <c r="O1741" t="inlineStr">
        <is>
          <t>2026-10-05 UTC (WFM pull 02:52-04:00)</t>
        </is>
      </c>
      <c r="P1741" t="inlineStr">
        <is>
          <t>OK</t>
        </is>
      </c>
      <c r="R1741" t="inlineStr">
        <is>
          <t>Arcanes share across items like mods (one max-rank copy covers every build).</t>
        </is>
      </c>
      <c r="S1741" t="inlineStr">
        <is>
          <t>arcane_rise</t>
        </is>
      </c>
      <c r="T1741" t="n">
        <v>10</v>
      </c>
      <c r="U1741" t="n">
        <v>10</v>
      </c>
      <c r="V1741" t="n">
        <v>35</v>
      </c>
      <c r="W1741" t="n">
        <v>27</v>
      </c>
      <c r="X1741" t="n">
        <v>29.6</v>
      </c>
      <c r="Y1741" t="n">
        <v>1545</v>
      </c>
      <c r="Z1741" t="n">
        <v>22</v>
      </c>
      <c r="AA1741" t="n">
        <v>10</v>
      </c>
      <c r="AB1741" t="n">
        <v>20</v>
      </c>
      <c r="AQ1741" t="n">
        <v>3</v>
      </c>
      <c r="AR1741" t="n">
        <v>63</v>
      </c>
      <c r="AS1741" t="inlineStr">
        <is>
          <t>Collection (optional)</t>
        </is>
      </c>
    </row>
    <row r="1742">
      <c r="A1742" t="inlineStr">
        <is>
          <t>Arcane</t>
        </is>
      </c>
      <c r="B1742" t="inlineStr">
        <is>
          <t>Arcane Sculptor</t>
        </is>
      </c>
      <c r="E1742" t="inlineStr">
        <is>
          <t>Warframe</t>
        </is>
      </c>
      <c r="F1742" t="n">
        <v>5</v>
      </c>
      <c r="G1742" t="n">
        <v>1</v>
      </c>
      <c r="H1742" t="inlineStr">
        <is>
          <t>Player trade (max rank)</t>
        </is>
      </c>
      <c r="I1742" t="inlineStr">
        <is>
          <t>Yes</t>
        </is>
      </c>
      <c r="K1742" t="inlineStr">
        <is>
          <t>Collection (optional)</t>
        </is>
      </c>
      <c r="L1742" t="n">
        <v>180</v>
      </c>
      <c r="M1742" t="n">
        <v>190</v>
      </c>
      <c r="N1742" t="n">
        <v>210</v>
      </c>
      <c r="O1742" t="inlineStr">
        <is>
          <t>2026-10-05 UTC (WFM pull 02:52-04:00)</t>
        </is>
      </c>
      <c r="P1742" t="inlineStr">
        <is>
          <t>OK</t>
        </is>
      </c>
      <c r="R1742" t="inlineStr">
        <is>
          <t>Arcanes share across items like mods (one max-rank copy covers every build).</t>
        </is>
      </c>
      <c r="S1742" t="inlineStr">
        <is>
          <t>arcane_sculptor</t>
        </is>
      </c>
      <c r="T1742" t="n">
        <v>24</v>
      </c>
      <c r="U1742" t="n">
        <v>24</v>
      </c>
      <c r="V1742" t="n">
        <v>190</v>
      </c>
      <c r="W1742" t="n">
        <v>145</v>
      </c>
      <c r="X1742" t="n">
        <v>153.9</v>
      </c>
      <c r="Y1742" t="n">
        <v>21742</v>
      </c>
      <c r="Z1742" t="n">
        <v>691</v>
      </c>
      <c r="AA1742" t="n">
        <v>163</v>
      </c>
      <c r="AB1742" t="n">
        <v>17</v>
      </c>
      <c r="AQ1742" t="n">
        <v>10</v>
      </c>
      <c r="AR1742" t="n">
        <v>210</v>
      </c>
      <c r="AS1742" t="inlineStr">
        <is>
          <t>Collection (optional)</t>
        </is>
      </c>
    </row>
    <row r="1743">
      <c r="A1743" t="inlineStr">
        <is>
          <t>Arcane</t>
        </is>
      </c>
      <c r="B1743" t="inlineStr">
        <is>
          <t>Arcane Steadfast</t>
        </is>
      </c>
      <c r="E1743" t="inlineStr">
        <is>
          <t>Warframe</t>
        </is>
      </c>
      <c r="F1743" t="n">
        <v>5</v>
      </c>
      <c r="G1743" t="n">
        <v>1</v>
      </c>
      <c r="H1743" t="inlineStr">
        <is>
          <t>Player trade (max rank)</t>
        </is>
      </c>
      <c r="I1743" t="inlineStr">
        <is>
          <t>Yes</t>
        </is>
      </c>
      <c r="K1743" t="inlineStr">
        <is>
          <t>Collection (optional)</t>
        </is>
      </c>
      <c r="L1743" t="n">
        <v>220</v>
      </c>
      <c r="M1743" t="n">
        <v>225</v>
      </c>
      <c r="N1743" t="n">
        <v>254</v>
      </c>
      <c r="O1743" t="inlineStr">
        <is>
          <t>2026-10-05 UTC (WFM pull 02:52-04:00)</t>
        </is>
      </c>
      <c r="P1743" t="inlineStr">
        <is>
          <t>OK</t>
        </is>
      </c>
      <c r="R1743" t="inlineStr">
        <is>
          <t>Arcanes share across items like mods (one max-rank copy covers every build).</t>
        </is>
      </c>
      <c r="S1743" t="inlineStr">
        <is>
          <t>arcane_steadfast</t>
        </is>
      </c>
      <c r="T1743" t="n">
        <v>23</v>
      </c>
      <c r="U1743" t="n">
        <v>23</v>
      </c>
      <c r="V1743" t="n">
        <v>210</v>
      </c>
      <c r="W1743" t="n">
        <v>191.5</v>
      </c>
      <c r="X1743" t="n">
        <v>194.8</v>
      </c>
      <c r="Y1743" t="n">
        <v>5150</v>
      </c>
      <c r="Z1743" t="n">
        <v>223</v>
      </c>
      <c r="AA1743" t="n">
        <v>205</v>
      </c>
      <c r="AB1743" t="n">
        <v>15</v>
      </c>
      <c r="AQ1743" t="n">
        <v>15</v>
      </c>
      <c r="AR1743" t="n">
        <v>315</v>
      </c>
      <c r="AS1743" t="inlineStr">
        <is>
          <t>Collection (optional)</t>
        </is>
      </c>
    </row>
    <row r="1744">
      <c r="A1744" t="inlineStr">
        <is>
          <t>Arcane</t>
        </is>
      </c>
      <c r="B1744" t="inlineStr">
        <is>
          <t>Arcane Strike</t>
        </is>
      </c>
      <c r="E1744" t="inlineStr">
        <is>
          <t>Warframe</t>
        </is>
      </c>
      <c r="F1744" t="n">
        <v>5</v>
      </c>
      <c r="G1744" t="n">
        <v>1</v>
      </c>
      <c r="H1744" t="inlineStr">
        <is>
          <t>Player trade (max rank)</t>
        </is>
      </c>
      <c r="I1744" t="inlineStr">
        <is>
          <t>Yes</t>
        </is>
      </c>
      <c r="K1744" t="inlineStr">
        <is>
          <t>Collection (optional)</t>
        </is>
      </c>
      <c r="L1744" t="n">
        <v>80</v>
      </c>
      <c r="M1744" t="n">
        <v>88</v>
      </c>
      <c r="N1744" t="n">
        <v>108</v>
      </c>
      <c r="O1744" t="inlineStr">
        <is>
          <t>2026-10-05 UTC (WFM pull 02:52-04:00)</t>
        </is>
      </c>
      <c r="P1744" t="inlineStr">
        <is>
          <t>OK</t>
        </is>
      </c>
      <c r="R1744" t="inlineStr">
        <is>
          <t>Arcanes share across items like mods (one max-rank copy covers every build).</t>
        </is>
      </c>
      <c r="S1744" t="inlineStr">
        <is>
          <t>arcane_strike</t>
        </is>
      </c>
      <c r="T1744" t="n">
        <v>31</v>
      </c>
      <c r="U1744" t="n">
        <v>31</v>
      </c>
      <c r="V1744" t="n">
        <v>94</v>
      </c>
      <c r="W1744" t="n">
        <v>90</v>
      </c>
      <c r="X1744" t="n">
        <v>83.5</v>
      </c>
      <c r="Y1744" t="n">
        <v>4695</v>
      </c>
      <c r="Z1744" t="n">
        <v>114</v>
      </c>
      <c r="AA1744" t="n">
        <v>80</v>
      </c>
      <c r="AB1744" t="n">
        <v>0</v>
      </c>
      <c r="AQ1744" t="n">
        <v>7.5</v>
      </c>
      <c r="AR1744" t="n">
        <v>157.5</v>
      </c>
      <c r="AS1744" t="inlineStr">
        <is>
          <t>Collection (optional)</t>
        </is>
      </c>
    </row>
    <row r="1745">
      <c r="A1745" t="inlineStr">
        <is>
          <t>Arcane</t>
        </is>
      </c>
      <c r="B1745" t="inlineStr">
        <is>
          <t>Arcane Tanker</t>
        </is>
      </c>
      <c r="E1745" t="inlineStr">
        <is>
          <t>Warframe</t>
        </is>
      </c>
      <c r="F1745" t="n">
        <v>5</v>
      </c>
      <c r="G1745" t="n">
        <v>1</v>
      </c>
      <c r="H1745" t="inlineStr">
        <is>
          <t>Player trade (max rank)</t>
        </is>
      </c>
      <c r="I1745" t="inlineStr">
        <is>
          <t>Yes</t>
        </is>
      </c>
      <c r="K1745" t="inlineStr">
        <is>
          <t>Collection (optional)</t>
        </is>
      </c>
      <c r="L1745" t="n">
        <v>24</v>
      </c>
      <c r="M1745" t="n">
        <v>30</v>
      </c>
      <c r="N1745" t="n">
        <v>38</v>
      </c>
      <c r="O1745" t="inlineStr">
        <is>
          <t>2026-10-05 UTC (WFM pull 02:52-04:00)</t>
        </is>
      </c>
      <c r="P1745" t="inlineStr">
        <is>
          <t>OK</t>
        </is>
      </c>
      <c r="R1745" t="inlineStr">
        <is>
          <t>Arcanes share across items like mods (one max-rank copy covers every build).</t>
        </is>
      </c>
      <c r="S1745" t="inlineStr">
        <is>
          <t>arcane_tanker</t>
        </is>
      </c>
      <c r="T1745" t="n">
        <v>9</v>
      </c>
      <c r="U1745" t="n">
        <v>9</v>
      </c>
      <c r="V1745" t="n">
        <v>25</v>
      </c>
      <c r="W1745" t="n">
        <v>28</v>
      </c>
      <c r="X1745" t="n">
        <v>28.2</v>
      </c>
      <c r="Y1745" t="n">
        <v>477</v>
      </c>
      <c r="Z1745" t="n">
        <v>9</v>
      </c>
      <c r="AA1745" t="n">
        <v>16</v>
      </c>
      <c r="AB1745" t="n">
        <v>8</v>
      </c>
      <c r="AQ1745" t="n">
        <v>3</v>
      </c>
      <c r="AR1745" t="n">
        <v>63</v>
      </c>
      <c r="AS1745" t="inlineStr">
        <is>
          <t>Collection (optional)</t>
        </is>
      </c>
    </row>
    <row r="1746">
      <c r="A1746" t="inlineStr">
        <is>
          <t>Arcane</t>
        </is>
      </c>
      <c r="B1746" t="inlineStr">
        <is>
          <t>Arcane Tempo</t>
        </is>
      </c>
      <c r="E1746" t="inlineStr">
        <is>
          <t>Warframe</t>
        </is>
      </c>
      <c r="F1746" t="n">
        <v>5</v>
      </c>
      <c r="G1746" t="n">
        <v>1</v>
      </c>
      <c r="H1746" t="inlineStr">
        <is>
          <t>Player trade (max rank)</t>
        </is>
      </c>
      <c r="I1746" t="inlineStr">
        <is>
          <t>Yes</t>
        </is>
      </c>
      <c r="K1746" t="inlineStr">
        <is>
          <t>Collection (optional)</t>
        </is>
      </c>
      <c r="L1746" t="n">
        <v>59</v>
      </c>
      <c r="M1746" t="n">
        <v>60</v>
      </c>
      <c r="N1746" t="n">
        <v>72</v>
      </c>
      <c r="O1746" t="inlineStr">
        <is>
          <t>2026-10-05 UTC (WFM pull 02:52-04:00)</t>
        </is>
      </c>
      <c r="P1746" t="inlineStr">
        <is>
          <t>OK</t>
        </is>
      </c>
      <c r="R1746" t="inlineStr">
        <is>
          <t>Arcanes share across items like mods (one max-rank copy covers every build).</t>
        </is>
      </c>
      <c r="S1746" t="inlineStr">
        <is>
          <t>arcane_tempo</t>
        </is>
      </c>
      <c r="T1746" t="n">
        <v>15</v>
      </c>
      <c r="U1746" t="n">
        <v>15</v>
      </c>
      <c r="V1746" t="n">
        <v>65</v>
      </c>
      <c r="W1746" t="n">
        <v>60</v>
      </c>
      <c r="X1746" t="n">
        <v>59.5</v>
      </c>
      <c r="Y1746" t="n">
        <v>2788</v>
      </c>
      <c r="Z1746" t="n">
        <v>57</v>
      </c>
      <c r="AA1746" t="n">
        <v>34</v>
      </c>
      <c r="AB1746" t="n">
        <v>25</v>
      </c>
      <c r="AQ1746" t="n">
        <v>5</v>
      </c>
      <c r="AR1746" t="n">
        <v>105</v>
      </c>
      <c r="AS1746" t="inlineStr">
        <is>
          <t>Collection (optional)</t>
        </is>
      </c>
    </row>
    <row r="1747">
      <c r="A1747" t="inlineStr">
        <is>
          <t>Arcane</t>
        </is>
      </c>
      <c r="B1747" t="inlineStr">
        <is>
          <t>Arcane Trickery</t>
        </is>
      </c>
      <c r="E1747" t="inlineStr">
        <is>
          <t>Warframe</t>
        </is>
      </c>
      <c r="F1747" t="n">
        <v>5</v>
      </c>
      <c r="G1747" t="n">
        <v>1</v>
      </c>
      <c r="H1747" t="inlineStr">
        <is>
          <t>Player trade (max rank)</t>
        </is>
      </c>
      <c r="I1747" t="inlineStr">
        <is>
          <t>Yes</t>
        </is>
      </c>
      <c r="K1747" t="inlineStr">
        <is>
          <t>Collection (optional)</t>
        </is>
      </c>
      <c r="L1747" t="n">
        <v>30</v>
      </c>
      <c r="M1747" t="n">
        <v>30</v>
      </c>
      <c r="N1747" t="n">
        <v>33</v>
      </c>
      <c r="O1747" t="inlineStr">
        <is>
          <t>2026-10-05 UTC (WFM pull 02:52-04:00)</t>
        </is>
      </c>
      <c r="P1747" t="inlineStr">
        <is>
          <t>OK</t>
        </is>
      </c>
      <c r="R1747" t="inlineStr">
        <is>
          <t>Arcanes share across items like mods (one max-rank copy covers every build).</t>
        </is>
      </c>
      <c r="S1747" t="inlineStr">
        <is>
          <t>arcane_trickery</t>
        </is>
      </c>
      <c r="T1747" t="n">
        <v>12</v>
      </c>
      <c r="U1747" t="n">
        <v>12</v>
      </c>
      <c r="V1747" t="n">
        <v>23</v>
      </c>
      <c r="W1747" t="n">
        <v>23.5</v>
      </c>
      <c r="X1747" t="n">
        <v>23.4</v>
      </c>
      <c r="Y1747" t="n">
        <v>392</v>
      </c>
      <c r="Z1747" t="n">
        <v>7</v>
      </c>
      <c r="AA1747" t="n">
        <v>10</v>
      </c>
      <c r="AB1747" t="n">
        <v>20</v>
      </c>
      <c r="AQ1747" t="n">
        <v>3</v>
      </c>
      <c r="AR1747" t="n">
        <v>63</v>
      </c>
      <c r="AS1747" t="inlineStr">
        <is>
          <t>Collection (optional)</t>
        </is>
      </c>
    </row>
    <row r="1748">
      <c r="A1748" t="inlineStr">
        <is>
          <t>Arcane</t>
        </is>
      </c>
      <c r="B1748" t="inlineStr">
        <is>
          <t>Arcane Truculence</t>
        </is>
      </c>
      <c r="E1748" t="inlineStr">
        <is>
          <t>Warframe</t>
        </is>
      </c>
      <c r="F1748" t="n">
        <v>5</v>
      </c>
      <c r="G1748" t="n">
        <v>1</v>
      </c>
      <c r="H1748" t="inlineStr">
        <is>
          <t>Player trade (max rank)</t>
        </is>
      </c>
      <c r="I1748" t="inlineStr">
        <is>
          <t>Yes</t>
        </is>
      </c>
      <c r="K1748" t="inlineStr">
        <is>
          <t>Required (v4.2 frame builds)</t>
        </is>
      </c>
      <c r="L1748" t="n">
        <v>19</v>
      </c>
      <c r="M1748" t="n">
        <v>20</v>
      </c>
      <c r="N1748" t="n">
        <v>22</v>
      </c>
      <c r="O1748" t="inlineStr">
        <is>
          <t>2026-10-05 UTC (WFM pull 02:52-04:00)</t>
        </is>
      </c>
      <c r="P1748" t="inlineStr">
        <is>
          <t>OK</t>
        </is>
      </c>
      <c r="R1748" t="inlineStr">
        <is>
          <t>Arcanes share across items like mods (one max-rank copy covers every build).</t>
        </is>
      </c>
      <c r="S1748" t="inlineStr">
        <is>
          <t>arcane_truculence</t>
        </is>
      </c>
      <c r="T1748" t="n">
        <v>20</v>
      </c>
      <c r="U1748" t="n">
        <v>20</v>
      </c>
      <c r="V1748" t="n">
        <v>20</v>
      </c>
      <c r="W1748" t="n">
        <v>20</v>
      </c>
      <c r="X1748" t="n">
        <v>19.2</v>
      </c>
      <c r="Y1748" t="n">
        <v>3122</v>
      </c>
      <c r="Z1748" t="n">
        <v>30</v>
      </c>
      <c r="AA1748" t="n">
        <v>10</v>
      </c>
      <c r="AB1748" t="n">
        <v>9</v>
      </c>
      <c r="AQ1748" t="n">
        <v>2</v>
      </c>
      <c r="AR1748" t="n">
        <v>42</v>
      </c>
      <c r="AS1748" t="inlineStr">
        <is>
          <t>Yes</t>
        </is>
      </c>
    </row>
    <row r="1749">
      <c r="A1749" t="inlineStr">
        <is>
          <t>Arcane</t>
        </is>
      </c>
      <c r="B1749" t="inlineStr">
        <is>
          <t>Arcane Ultimatum</t>
        </is>
      </c>
      <c r="E1749" t="inlineStr">
        <is>
          <t>Warframe</t>
        </is>
      </c>
      <c r="F1749" t="n">
        <v>5</v>
      </c>
      <c r="G1749" t="n">
        <v>1</v>
      </c>
      <c r="H1749" t="inlineStr">
        <is>
          <t>Player trade (max rank)</t>
        </is>
      </c>
      <c r="I1749" t="inlineStr">
        <is>
          <t>Yes</t>
        </is>
      </c>
      <c r="K1749" t="inlineStr">
        <is>
          <t>Collection (optional)</t>
        </is>
      </c>
      <c r="L1749" t="n">
        <v>30</v>
      </c>
      <c r="M1749" t="n">
        <v>30</v>
      </c>
      <c r="N1749" t="n">
        <v>66</v>
      </c>
      <c r="O1749" t="inlineStr">
        <is>
          <t>2026-10-05 UTC (WFM pull 02:52-04:00)</t>
        </is>
      </c>
      <c r="P1749" t="inlineStr">
        <is>
          <t>OK</t>
        </is>
      </c>
      <c r="R1749" t="inlineStr">
        <is>
          <t>Arcanes share across items like mods (one max-rank copy covers every build).</t>
        </is>
      </c>
      <c r="S1749" t="inlineStr">
        <is>
          <t>arcane_ultimatum</t>
        </is>
      </c>
      <c r="T1749" t="n">
        <v>6</v>
      </c>
      <c r="U1749" t="n">
        <v>6</v>
      </c>
      <c r="V1749" t="n">
        <v>20</v>
      </c>
      <c r="W1749" t="n">
        <v>20</v>
      </c>
      <c r="X1749" t="n">
        <v>20.1</v>
      </c>
      <c r="Y1749" t="n">
        <v>211</v>
      </c>
      <c r="Z1749" t="n">
        <v>2</v>
      </c>
      <c r="AA1749" t="n">
        <v>5</v>
      </c>
      <c r="AB1749" t="n">
        <v>25</v>
      </c>
      <c r="AQ1749" t="n">
        <v>3</v>
      </c>
      <c r="AR1749" t="n">
        <v>63</v>
      </c>
      <c r="AS1749" t="inlineStr">
        <is>
          <t>Collection (optional)</t>
        </is>
      </c>
    </row>
    <row r="1750">
      <c r="A1750" t="inlineStr">
        <is>
          <t>Arcane</t>
        </is>
      </c>
      <c r="B1750" t="inlineStr">
        <is>
          <t>Arcane Universal Fallout</t>
        </is>
      </c>
      <c r="E1750" t="inlineStr">
        <is>
          <t>Warframe</t>
        </is>
      </c>
      <c r="F1750" t="n">
        <v>5</v>
      </c>
      <c r="G1750" t="n">
        <v>1</v>
      </c>
      <c r="H1750" t="inlineStr">
        <is>
          <t>Player trade (max rank)</t>
        </is>
      </c>
      <c r="I1750" t="inlineStr">
        <is>
          <t>Yes</t>
        </is>
      </c>
      <c r="K1750" t="inlineStr">
        <is>
          <t>Required (v4.2 frame builds)</t>
        </is>
      </c>
      <c r="L1750" t="n">
        <v>90</v>
      </c>
      <c r="M1750" t="n">
        <v>95</v>
      </c>
      <c r="N1750" t="n">
        <v>111</v>
      </c>
      <c r="O1750" t="inlineStr">
        <is>
          <t>2026-10-05 UTC (WFM pull 02:52-04:00)</t>
        </is>
      </c>
      <c r="P1750" t="inlineStr">
        <is>
          <t>OK</t>
        </is>
      </c>
      <c r="R1750" t="inlineStr">
        <is>
          <t>Arcanes share across items like mods (one max-rank copy covers every build).</t>
        </is>
      </c>
      <c r="S1750" t="inlineStr">
        <is>
          <t>arcane_universal_fallout</t>
        </is>
      </c>
      <c r="T1750" t="n">
        <v>40</v>
      </c>
      <c r="U1750" t="n">
        <v>40</v>
      </c>
      <c r="V1750" t="n">
        <v>85</v>
      </c>
      <c r="W1750" t="n">
        <v>99</v>
      </c>
      <c r="X1750" t="n">
        <v>93.59999999999999</v>
      </c>
      <c r="Y1750" t="n">
        <v>3952</v>
      </c>
      <c r="Z1750" t="n">
        <v>135</v>
      </c>
      <c r="AA1750" t="n">
        <v>60</v>
      </c>
      <c r="AB1750" t="n">
        <v>30</v>
      </c>
      <c r="AQ1750" t="n">
        <v>5</v>
      </c>
      <c r="AR1750" t="n">
        <v>105</v>
      </c>
      <c r="AS1750" t="inlineStr">
        <is>
          <t>Yes</t>
        </is>
      </c>
    </row>
    <row r="1751">
      <c r="A1751" t="inlineStr">
        <is>
          <t>Arcane</t>
        </is>
      </c>
      <c r="B1751" t="inlineStr">
        <is>
          <t>Arcane Velocity</t>
        </is>
      </c>
      <c r="E1751" t="inlineStr">
        <is>
          <t>Warframe</t>
        </is>
      </c>
      <c r="F1751" t="n">
        <v>5</v>
      </c>
      <c r="G1751" t="n">
        <v>1</v>
      </c>
      <c r="H1751" t="inlineStr">
        <is>
          <t>Player trade (max rank)</t>
        </is>
      </c>
      <c r="I1751" t="inlineStr">
        <is>
          <t>Yes</t>
        </is>
      </c>
      <c r="K1751" t="inlineStr">
        <is>
          <t>Collection (optional)</t>
        </is>
      </c>
      <c r="L1751" t="n">
        <v>180</v>
      </c>
      <c r="M1751" t="n">
        <v>180</v>
      </c>
      <c r="N1751" t="n">
        <v>210</v>
      </c>
      <c r="O1751" t="inlineStr">
        <is>
          <t>2026-10-05 UTC (WFM pull 02:52-04:00)</t>
        </is>
      </c>
      <c r="P1751" t="inlineStr">
        <is>
          <t>OK</t>
        </is>
      </c>
      <c r="R1751" t="inlineStr">
        <is>
          <t>Arcanes share across items like mods (one max-rank copy covers every build).</t>
        </is>
      </c>
      <c r="S1751" t="inlineStr">
        <is>
          <t>arcane_velocity</t>
        </is>
      </c>
      <c r="T1751" t="n">
        <v>27</v>
      </c>
      <c r="U1751" t="n">
        <v>27</v>
      </c>
      <c r="V1751" t="n">
        <v>170</v>
      </c>
      <c r="W1751" t="n">
        <v>155</v>
      </c>
      <c r="X1751" t="n">
        <v>155.7</v>
      </c>
      <c r="Y1751" t="n">
        <v>11515</v>
      </c>
      <c r="Z1751" t="n">
        <v>192</v>
      </c>
      <c r="AA1751" t="n">
        <v>140</v>
      </c>
      <c r="AB1751" t="n">
        <v>40</v>
      </c>
      <c r="AQ1751" t="n">
        <v>10</v>
      </c>
      <c r="AR1751" t="n">
        <v>210</v>
      </c>
      <c r="AS1751" t="inlineStr">
        <is>
          <t>Collection (optional)</t>
        </is>
      </c>
    </row>
    <row r="1752">
      <c r="A1752" t="inlineStr">
        <is>
          <t>Arcane</t>
        </is>
      </c>
      <c r="B1752" t="inlineStr">
        <is>
          <t>Arcane Victory</t>
        </is>
      </c>
      <c r="E1752" t="inlineStr">
        <is>
          <t>Warframe</t>
        </is>
      </c>
      <c r="F1752" t="n">
        <v>5</v>
      </c>
      <c r="G1752" t="n">
        <v>1</v>
      </c>
      <c r="H1752" t="inlineStr">
        <is>
          <t>Player trade (max rank)</t>
        </is>
      </c>
      <c r="I1752" t="inlineStr">
        <is>
          <t>Yes</t>
        </is>
      </c>
      <c r="K1752" t="inlineStr">
        <is>
          <t>Collection (optional)</t>
        </is>
      </c>
      <c r="L1752" t="n">
        <v>25</v>
      </c>
      <c r="M1752" t="n">
        <v>25</v>
      </c>
      <c r="N1752" t="n">
        <v>56</v>
      </c>
      <c r="O1752" t="inlineStr">
        <is>
          <t>2026-10-05 UTC (WFM pull 02:52-04:00)</t>
        </is>
      </c>
      <c r="P1752" t="inlineStr">
        <is>
          <t>OK</t>
        </is>
      </c>
      <c r="R1752" t="inlineStr">
        <is>
          <t>Arcanes share across items like mods (one max-rank copy covers every build).</t>
        </is>
      </c>
      <c r="S1752" t="inlineStr">
        <is>
          <t>arcane_victory</t>
        </is>
      </c>
      <c r="T1752" t="n">
        <v>4</v>
      </c>
      <c r="U1752" t="n">
        <v>4</v>
      </c>
      <c r="V1752" t="n">
        <v>15</v>
      </c>
      <c r="W1752" t="n">
        <v>15</v>
      </c>
      <c r="X1752" t="n">
        <v>15.1</v>
      </c>
      <c r="Y1752" t="n">
        <v>136</v>
      </c>
      <c r="Z1752" t="n">
        <v>1</v>
      </c>
      <c r="AA1752" t="n">
        <v>8</v>
      </c>
      <c r="AB1752" t="n">
        <v>17</v>
      </c>
      <c r="AQ1752" t="n">
        <v>2</v>
      </c>
      <c r="AR1752" t="n">
        <v>42</v>
      </c>
      <c r="AS1752" t="inlineStr">
        <is>
          <t>Collection (optional)</t>
        </is>
      </c>
    </row>
    <row r="1753">
      <c r="A1753" t="inlineStr">
        <is>
          <t>Arcane</t>
        </is>
      </c>
      <c r="B1753" t="inlineStr">
        <is>
          <t>Arcane Warmth</t>
        </is>
      </c>
      <c r="E1753" t="inlineStr">
        <is>
          <t>Warframe</t>
        </is>
      </c>
      <c r="F1753" t="n">
        <v>5</v>
      </c>
      <c r="G1753" t="n">
        <v>1</v>
      </c>
      <c r="H1753" t="inlineStr">
        <is>
          <t>Player trade (max rank)</t>
        </is>
      </c>
      <c r="I1753" t="inlineStr">
        <is>
          <t>Yes</t>
        </is>
      </c>
      <c r="K1753" t="inlineStr">
        <is>
          <t>Collection (optional)</t>
        </is>
      </c>
      <c r="L1753" t="n">
        <v>20</v>
      </c>
      <c r="M1753" t="n">
        <v>20</v>
      </c>
      <c r="N1753" t="n">
        <v>33</v>
      </c>
      <c r="O1753" t="inlineStr">
        <is>
          <t>2026-10-05 UTC (WFM pull 02:52-04:00)</t>
        </is>
      </c>
      <c r="P1753" t="inlineStr">
        <is>
          <t>OK</t>
        </is>
      </c>
      <c r="R1753" t="inlineStr">
        <is>
          <t>Arcanes share across items like mods (one max-rank copy covers every build).</t>
        </is>
      </c>
      <c r="S1753" t="inlineStr">
        <is>
          <t>arcane_warmth</t>
        </is>
      </c>
      <c r="T1753" t="n">
        <v>7</v>
      </c>
      <c r="U1753" t="n">
        <v>7</v>
      </c>
      <c r="V1753" t="n">
        <v>10</v>
      </c>
      <c r="W1753" t="n">
        <v>14.5</v>
      </c>
      <c r="X1753" t="n">
        <v>14.4</v>
      </c>
      <c r="Y1753" t="n">
        <v>86</v>
      </c>
      <c r="Z1753" t="n">
        <v>2</v>
      </c>
      <c r="AA1753" t="n">
        <v>5</v>
      </c>
      <c r="AB1753" t="n">
        <v>15</v>
      </c>
      <c r="AQ1753" t="n">
        <v>3</v>
      </c>
      <c r="AR1753" t="n">
        <v>63</v>
      </c>
      <c r="AS1753" t="inlineStr">
        <is>
          <t>Collection (optional)</t>
        </is>
      </c>
    </row>
    <row r="1754">
      <c r="A1754" t="inlineStr">
        <is>
          <t>Arcane</t>
        </is>
      </c>
      <c r="B1754" t="inlineStr">
        <is>
          <t>Cascadia Accuracy</t>
        </is>
      </c>
      <c r="E1754" t="inlineStr">
        <is>
          <t>Secondary</t>
        </is>
      </c>
      <c r="F1754" t="n">
        <v>5</v>
      </c>
      <c r="G1754" t="n">
        <v>1</v>
      </c>
      <c r="H1754" t="inlineStr">
        <is>
          <t>Player trade (max rank)</t>
        </is>
      </c>
      <c r="I1754" t="inlineStr">
        <is>
          <t>Yes</t>
        </is>
      </c>
      <c r="K1754" t="inlineStr">
        <is>
          <t>Collection (optional)</t>
        </is>
      </c>
      <c r="L1754" t="n">
        <v>8</v>
      </c>
      <c r="M1754" t="n">
        <v>9</v>
      </c>
      <c r="N1754" t="n">
        <v>11</v>
      </c>
      <c r="O1754" t="inlineStr">
        <is>
          <t>2026-10-05 UTC (WFM pull 02:52-04:00)</t>
        </is>
      </c>
      <c r="P1754" t="inlineStr">
        <is>
          <t>OK</t>
        </is>
      </c>
      <c r="R1754" t="inlineStr">
        <is>
          <t>Arcanes share across items like mods (one max-rank copy covers every build).</t>
        </is>
      </c>
      <c r="S1754" t="inlineStr">
        <is>
          <t>cascadia_accuracy</t>
        </is>
      </c>
      <c r="T1754" t="n">
        <v>21</v>
      </c>
      <c r="U1754" t="n">
        <v>21</v>
      </c>
      <c r="V1754" t="n">
        <v>9</v>
      </c>
      <c r="W1754" t="n">
        <v>9</v>
      </c>
      <c r="X1754" t="n">
        <v>8.699999999999999</v>
      </c>
      <c r="Y1754" t="n">
        <v>388</v>
      </c>
      <c r="Z1754" t="n">
        <v>3</v>
      </c>
      <c r="AQ1754" t="n">
        <v>2</v>
      </c>
      <c r="AR1754" t="n">
        <v>42</v>
      </c>
      <c r="AS1754" t="inlineStr">
        <is>
          <t>Collection (optional)</t>
        </is>
      </c>
    </row>
    <row r="1755">
      <c r="A1755" t="inlineStr">
        <is>
          <t>Arcane</t>
        </is>
      </c>
      <c r="B1755" t="inlineStr">
        <is>
          <t>Cascadia Empowered</t>
        </is>
      </c>
      <c r="E1755" t="inlineStr">
        <is>
          <t>Secondary</t>
        </is>
      </c>
      <c r="F1755" t="n">
        <v>5</v>
      </c>
      <c r="G1755" t="n">
        <v>1</v>
      </c>
      <c r="H1755" t="inlineStr">
        <is>
          <t>Player trade (max rank)</t>
        </is>
      </c>
      <c r="I1755" t="inlineStr">
        <is>
          <t>Yes</t>
        </is>
      </c>
      <c r="K1755" t="inlineStr">
        <is>
          <t>Collection (optional)</t>
        </is>
      </c>
      <c r="L1755" t="n">
        <v>10</v>
      </c>
      <c r="M1755" t="n">
        <v>15</v>
      </c>
      <c r="N1755" t="n">
        <v>22</v>
      </c>
      <c r="O1755" t="inlineStr">
        <is>
          <t>2026-10-05 UTC (WFM pull 02:52-04:00)</t>
        </is>
      </c>
      <c r="P1755" t="inlineStr">
        <is>
          <t>OK</t>
        </is>
      </c>
      <c r="R1755" t="inlineStr">
        <is>
          <t>Arcanes share across items like mods (one max-rank copy covers every build).</t>
        </is>
      </c>
      <c r="S1755" t="inlineStr">
        <is>
          <t>cascadia_empowered</t>
        </is>
      </c>
      <c r="T1755" t="n">
        <v>14</v>
      </c>
      <c r="U1755" t="n">
        <v>14</v>
      </c>
      <c r="V1755" t="n">
        <v>14</v>
      </c>
      <c r="W1755" t="n">
        <v>14</v>
      </c>
      <c r="X1755" t="n">
        <v>13.7</v>
      </c>
      <c r="Y1755" t="n">
        <v>603</v>
      </c>
      <c r="Z1755" t="n">
        <v>13</v>
      </c>
      <c r="AA1755" t="n">
        <v>40</v>
      </c>
      <c r="AB1755" t="n">
        <v>-30</v>
      </c>
      <c r="AQ1755" t="n">
        <v>2</v>
      </c>
      <c r="AR1755" t="n">
        <v>42</v>
      </c>
      <c r="AS1755" t="inlineStr">
        <is>
          <t>Collection (optional)</t>
        </is>
      </c>
    </row>
    <row r="1756">
      <c r="A1756" t="inlineStr">
        <is>
          <t>Arcane</t>
        </is>
      </c>
      <c r="B1756" t="inlineStr">
        <is>
          <t>Cascadia Flare</t>
        </is>
      </c>
      <c r="E1756" t="inlineStr">
        <is>
          <t>Secondary</t>
        </is>
      </c>
      <c r="F1756" t="n">
        <v>5</v>
      </c>
      <c r="G1756" t="n">
        <v>1</v>
      </c>
      <c r="H1756" t="inlineStr">
        <is>
          <t>Player trade (max rank)</t>
        </is>
      </c>
      <c r="I1756" t="inlineStr">
        <is>
          <t>Yes</t>
        </is>
      </c>
      <c r="K1756" t="inlineStr">
        <is>
          <t>Collection (optional)</t>
        </is>
      </c>
      <c r="L1756" t="n">
        <v>27</v>
      </c>
      <c r="M1756" t="n">
        <v>28</v>
      </c>
      <c r="N1756" t="n">
        <v>33</v>
      </c>
      <c r="O1756" t="inlineStr">
        <is>
          <t>2026-10-05 UTC (WFM pull 02:52-04:00)</t>
        </is>
      </c>
      <c r="P1756" t="inlineStr">
        <is>
          <t>OK</t>
        </is>
      </c>
      <c r="R1756" t="inlineStr">
        <is>
          <t>Arcanes share across items like mods (one max-rank copy covers every build).</t>
        </is>
      </c>
      <c r="S1756" t="inlineStr">
        <is>
          <t>cascadia_flare</t>
        </is>
      </c>
      <c r="T1756" t="n">
        <v>41</v>
      </c>
      <c r="U1756" t="n">
        <v>41</v>
      </c>
      <c r="V1756" t="n">
        <v>30</v>
      </c>
      <c r="W1756" t="n">
        <v>30</v>
      </c>
      <c r="X1756" t="n">
        <v>31.8</v>
      </c>
      <c r="Y1756" t="n">
        <v>9711</v>
      </c>
      <c r="Z1756" t="n">
        <v>69</v>
      </c>
      <c r="AA1756" t="n">
        <v>20</v>
      </c>
      <c r="AB1756" t="n">
        <v>7</v>
      </c>
      <c r="AQ1756" t="n">
        <v>2</v>
      </c>
      <c r="AR1756" t="n">
        <v>42</v>
      </c>
      <c r="AS1756" t="inlineStr">
        <is>
          <t>Collection (optional)</t>
        </is>
      </c>
    </row>
    <row r="1757">
      <c r="A1757" t="inlineStr">
        <is>
          <t>Arcane</t>
        </is>
      </c>
      <c r="B1757" t="inlineStr">
        <is>
          <t>Cascadia Overcharge</t>
        </is>
      </c>
      <c r="E1757" t="inlineStr">
        <is>
          <t>Secondary</t>
        </is>
      </c>
      <c r="F1757" t="n">
        <v>5</v>
      </c>
      <c r="G1757" t="n">
        <v>1</v>
      </c>
      <c r="H1757" t="inlineStr">
        <is>
          <t>Player trade (max rank)</t>
        </is>
      </c>
      <c r="I1757" t="inlineStr">
        <is>
          <t>Yes</t>
        </is>
      </c>
      <c r="K1757" t="inlineStr">
        <is>
          <t>Collection (optional)</t>
        </is>
      </c>
      <c r="L1757" t="n">
        <v>15</v>
      </c>
      <c r="M1757" t="n">
        <v>18</v>
      </c>
      <c r="N1757" t="n">
        <v>22</v>
      </c>
      <c r="O1757" t="inlineStr">
        <is>
          <t>2026-10-05 UTC (WFM pull 02:52-04:00)</t>
        </is>
      </c>
      <c r="P1757" t="inlineStr">
        <is>
          <t>OK</t>
        </is>
      </c>
      <c r="R1757" t="inlineStr">
        <is>
          <t>Arcanes share across items like mods (one max-rank copy covers every build).</t>
        </is>
      </c>
      <c r="S1757" t="inlineStr">
        <is>
          <t>cascadia_overcharge</t>
        </is>
      </c>
      <c r="T1757" t="n">
        <v>19</v>
      </c>
      <c r="U1757" t="n">
        <v>19</v>
      </c>
      <c r="V1757" t="n">
        <v>19</v>
      </c>
      <c r="W1757" t="n">
        <v>20</v>
      </c>
      <c r="X1757" t="n">
        <v>21.7</v>
      </c>
      <c r="Y1757" t="n">
        <v>2304</v>
      </c>
      <c r="Z1757" t="n">
        <v>40</v>
      </c>
      <c r="AA1757" t="n">
        <v>5</v>
      </c>
      <c r="AB1757" t="n">
        <v>10</v>
      </c>
      <c r="AQ1757" t="n">
        <v>2</v>
      </c>
      <c r="AR1757" t="n">
        <v>42</v>
      </c>
      <c r="AS1757" t="inlineStr">
        <is>
          <t>Collection (optional)</t>
        </is>
      </c>
    </row>
    <row r="1758">
      <c r="A1758" t="inlineStr">
        <is>
          <t>Arcane</t>
        </is>
      </c>
      <c r="B1758" t="inlineStr">
        <is>
          <t>Conjunction Voltage</t>
        </is>
      </c>
      <c r="E1758" t="inlineStr">
        <is>
          <t>Secondary</t>
        </is>
      </c>
      <c r="F1758" t="n">
        <v>5</v>
      </c>
      <c r="G1758" t="n">
        <v>1</v>
      </c>
      <c r="H1758" t="inlineStr">
        <is>
          <t>Player trade (max rank)</t>
        </is>
      </c>
      <c r="I1758" t="inlineStr">
        <is>
          <t>Yes</t>
        </is>
      </c>
      <c r="K1758" t="inlineStr">
        <is>
          <t>Collection (optional)</t>
        </is>
      </c>
      <c r="L1758" t="n">
        <v>25</v>
      </c>
      <c r="M1758" t="n">
        <v>25</v>
      </c>
      <c r="N1758" t="n">
        <v>33</v>
      </c>
      <c r="O1758" t="inlineStr">
        <is>
          <t>2026-10-05 UTC (WFM pull 02:52-04:00)</t>
        </is>
      </c>
      <c r="P1758" t="inlineStr">
        <is>
          <t>OK</t>
        </is>
      </c>
      <c r="R1758" t="inlineStr">
        <is>
          <t>Arcanes share across items like mods (one max-rank copy covers every build).</t>
        </is>
      </c>
      <c r="S1758" t="inlineStr">
        <is>
          <t>conjunction_voltage</t>
        </is>
      </c>
      <c r="T1758" t="n">
        <v>12</v>
      </c>
      <c r="U1758" t="n">
        <v>12</v>
      </c>
      <c r="V1758" t="n">
        <v>21</v>
      </c>
      <c r="W1758" t="n">
        <v>20</v>
      </c>
      <c r="X1758" t="n">
        <v>21.3</v>
      </c>
      <c r="Y1758" t="n">
        <v>848</v>
      </c>
      <c r="Z1758" t="n">
        <v>27</v>
      </c>
      <c r="AA1758" t="n">
        <v>5</v>
      </c>
      <c r="AB1758" t="n">
        <v>20</v>
      </c>
      <c r="AQ1758" t="n">
        <v>2</v>
      </c>
      <c r="AR1758" t="n">
        <v>42</v>
      </c>
      <c r="AS1758" t="inlineStr">
        <is>
          <t>Collection (optional)</t>
        </is>
      </c>
    </row>
    <row r="1759">
      <c r="A1759" t="inlineStr">
        <is>
          <t>Arcane</t>
        </is>
      </c>
      <c r="B1759" t="inlineStr">
        <is>
          <t>Emergence Dissipate</t>
        </is>
      </c>
      <c r="E1759" t="inlineStr">
        <is>
          <t>Operator</t>
        </is>
      </c>
      <c r="F1759" t="n">
        <v>5</v>
      </c>
      <c r="G1759" t="n">
        <v>1</v>
      </c>
      <c r="H1759" t="inlineStr">
        <is>
          <t>Player trade (max rank)</t>
        </is>
      </c>
      <c r="I1759" t="inlineStr">
        <is>
          <t>Yes</t>
        </is>
      </c>
      <c r="K1759" t="inlineStr">
        <is>
          <t>Collection (optional)</t>
        </is>
      </c>
      <c r="L1759" t="n">
        <v>10</v>
      </c>
      <c r="M1759" t="n">
        <v>10</v>
      </c>
      <c r="N1759" t="n">
        <v>11</v>
      </c>
      <c r="O1759" t="inlineStr">
        <is>
          <t>2026-10-05 UTC (WFM pull 02:52-04:00)</t>
        </is>
      </c>
      <c r="P1759" t="inlineStr">
        <is>
          <t>OK</t>
        </is>
      </c>
      <c r="R1759" t="inlineStr">
        <is>
          <t>Arcanes share across items like mods (one max-rank copy covers every build).</t>
        </is>
      </c>
      <c r="S1759" t="inlineStr">
        <is>
          <t>emergence_dissipate</t>
        </is>
      </c>
      <c r="T1759" t="n">
        <v>22</v>
      </c>
      <c r="U1759" t="n">
        <v>22</v>
      </c>
      <c r="V1759" t="n">
        <v>10</v>
      </c>
      <c r="W1759" t="n">
        <v>10</v>
      </c>
      <c r="X1759" t="n">
        <v>10.1</v>
      </c>
      <c r="Y1759" t="n">
        <v>272</v>
      </c>
      <c r="Z1759" t="n">
        <v>1</v>
      </c>
      <c r="AA1759" t="n">
        <v>36</v>
      </c>
      <c r="AB1759" t="n">
        <v>-26</v>
      </c>
      <c r="AQ1759" t="n">
        <v>2</v>
      </c>
      <c r="AR1759" t="n">
        <v>42</v>
      </c>
      <c r="AS1759" t="inlineStr">
        <is>
          <t>Collection (optional)</t>
        </is>
      </c>
    </row>
    <row r="1760">
      <c r="A1760" t="inlineStr">
        <is>
          <t>Arcane</t>
        </is>
      </c>
      <c r="B1760" t="inlineStr">
        <is>
          <t>Emergence Renewed</t>
        </is>
      </c>
      <c r="E1760" t="inlineStr">
        <is>
          <t>Operator</t>
        </is>
      </c>
      <c r="F1760" t="n">
        <v>5</v>
      </c>
      <c r="G1760" t="n">
        <v>1</v>
      </c>
      <c r="H1760" t="inlineStr">
        <is>
          <t>Player trade (max rank)</t>
        </is>
      </c>
      <c r="I1760" t="inlineStr">
        <is>
          <t>Yes</t>
        </is>
      </c>
      <c r="K1760" t="inlineStr">
        <is>
          <t>Collection (optional)</t>
        </is>
      </c>
      <c r="L1760" t="n">
        <v>15</v>
      </c>
      <c r="M1760" t="n">
        <v>15</v>
      </c>
      <c r="N1760" t="n">
        <v>17</v>
      </c>
      <c r="O1760" t="inlineStr">
        <is>
          <t>2026-10-05 UTC (WFM pull 02:52-04:00)</t>
        </is>
      </c>
      <c r="P1760" t="inlineStr">
        <is>
          <t>OK</t>
        </is>
      </c>
      <c r="R1760" t="inlineStr">
        <is>
          <t>Arcanes share across items like mods (one max-rank copy covers every build).</t>
        </is>
      </c>
      <c r="S1760" t="inlineStr">
        <is>
          <t>emergence_renewed</t>
        </is>
      </c>
      <c r="T1760" t="n">
        <v>13</v>
      </c>
      <c r="U1760" t="n">
        <v>13</v>
      </c>
      <c r="V1760" t="n">
        <v>12</v>
      </c>
      <c r="W1760" t="n">
        <v>12</v>
      </c>
      <c r="X1760" t="n">
        <v>12</v>
      </c>
      <c r="Y1760" t="n">
        <v>524</v>
      </c>
      <c r="Z1760" t="n">
        <v>14</v>
      </c>
      <c r="AQ1760" t="n">
        <v>2</v>
      </c>
      <c r="AR1760" t="n">
        <v>42</v>
      </c>
      <c r="AS1760" t="inlineStr">
        <is>
          <t>Collection (optional)</t>
        </is>
      </c>
    </row>
    <row r="1761">
      <c r="A1761" t="inlineStr">
        <is>
          <t>Arcane</t>
        </is>
      </c>
      <c r="B1761" t="inlineStr">
        <is>
          <t>Emergence Savior</t>
        </is>
      </c>
      <c r="E1761" t="inlineStr">
        <is>
          <t>Operator</t>
        </is>
      </c>
      <c r="F1761" t="n">
        <v>5</v>
      </c>
      <c r="G1761" t="n">
        <v>1</v>
      </c>
      <c r="H1761" t="inlineStr">
        <is>
          <t>Player trade (max rank)</t>
        </is>
      </c>
      <c r="I1761" t="inlineStr">
        <is>
          <t>Yes</t>
        </is>
      </c>
      <c r="K1761" t="inlineStr">
        <is>
          <t>Collection (optional)</t>
        </is>
      </c>
      <c r="L1761" t="n">
        <v>15</v>
      </c>
      <c r="M1761" t="n">
        <v>15</v>
      </c>
      <c r="N1761" t="n">
        <v>22</v>
      </c>
      <c r="O1761" t="inlineStr">
        <is>
          <t>2026-10-05 UTC (WFM pull 02:52-04:00)</t>
        </is>
      </c>
      <c r="P1761" t="inlineStr">
        <is>
          <t>OK</t>
        </is>
      </c>
      <c r="R1761" t="inlineStr">
        <is>
          <t>Arcanes share across items like mods (one max-rank copy covers every build).</t>
        </is>
      </c>
      <c r="S1761" t="inlineStr">
        <is>
          <t>emergence_savior</t>
        </is>
      </c>
      <c r="T1761" t="n">
        <v>16</v>
      </c>
      <c r="U1761" t="n">
        <v>16</v>
      </c>
      <c r="V1761" t="n">
        <v>15</v>
      </c>
      <c r="W1761" t="n">
        <v>15</v>
      </c>
      <c r="X1761" t="n">
        <v>14.4</v>
      </c>
      <c r="Y1761" t="n">
        <v>667</v>
      </c>
      <c r="Z1761" t="n">
        <v>16</v>
      </c>
      <c r="AA1761" t="n">
        <v>36</v>
      </c>
      <c r="AB1761" t="n">
        <v>-21</v>
      </c>
      <c r="AQ1761" t="n">
        <v>2</v>
      </c>
      <c r="AR1761" t="n">
        <v>42</v>
      </c>
      <c r="AS1761" t="inlineStr">
        <is>
          <t>Collection (optional)</t>
        </is>
      </c>
    </row>
    <row r="1762">
      <c r="A1762" t="inlineStr">
        <is>
          <t>Arcane</t>
        </is>
      </c>
      <c r="B1762" t="inlineStr">
        <is>
          <t>Eternal Eradicate</t>
        </is>
      </c>
      <c r="E1762" t="inlineStr">
        <is>
          <t>Amp</t>
        </is>
      </c>
      <c r="F1762" t="n">
        <v>5</v>
      </c>
      <c r="G1762" t="n">
        <v>1</v>
      </c>
      <c r="H1762" t="inlineStr">
        <is>
          <t>Player trade (max rank)</t>
        </is>
      </c>
      <c r="I1762" t="inlineStr">
        <is>
          <t>Yes</t>
        </is>
      </c>
      <c r="K1762" t="inlineStr">
        <is>
          <t>Collection (optional)</t>
        </is>
      </c>
      <c r="L1762" t="n">
        <v>20</v>
      </c>
      <c r="M1762" t="n">
        <v>20</v>
      </c>
      <c r="N1762" t="n">
        <v>27</v>
      </c>
      <c r="O1762" t="inlineStr">
        <is>
          <t>2026-10-05 UTC (WFM pull 02:52-04:00)</t>
        </is>
      </c>
      <c r="P1762" t="inlineStr">
        <is>
          <t>OK</t>
        </is>
      </c>
      <c r="R1762" t="inlineStr">
        <is>
          <t>Arcanes share across items like mods (one max-rank copy covers every build).</t>
        </is>
      </c>
      <c r="S1762" t="inlineStr">
        <is>
          <t>eternal_eradicate</t>
        </is>
      </c>
      <c r="T1762" t="n">
        <v>27</v>
      </c>
      <c r="U1762" t="n">
        <v>27</v>
      </c>
      <c r="V1762" t="n">
        <v>24</v>
      </c>
      <c r="W1762" t="n">
        <v>25</v>
      </c>
      <c r="X1762" t="n">
        <v>24.2</v>
      </c>
      <c r="Y1762" t="n">
        <v>4356</v>
      </c>
      <c r="Z1762" t="n">
        <v>92</v>
      </c>
      <c r="AA1762" t="n">
        <v>10</v>
      </c>
      <c r="AB1762" t="n">
        <v>10</v>
      </c>
      <c r="AQ1762" t="n">
        <v>2</v>
      </c>
      <c r="AR1762" t="n">
        <v>42</v>
      </c>
      <c r="AS1762" t="inlineStr">
        <is>
          <t>Collection (optional)</t>
        </is>
      </c>
    </row>
    <row r="1763">
      <c r="A1763" t="inlineStr">
        <is>
          <t>Arcane</t>
        </is>
      </c>
      <c r="B1763" t="inlineStr">
        <is>
          <t>Eternal Logistics</t>
        </is>
      </c>
      <c r="E1763" t="inlineStr">
        <is>
          <t>Amp</t>
        </is>
      </c>
      <c r="F1763" t="n">
        <v>5</v>
      </c>
      <c r="G1763" t="n">
        <v>1</v>
      </c>
      <c r="H1763" t="inlineStr">
        <is>
          <t>Player trade (max rank)</t>
        </is>
      </c>
      <c r="I1763" t="inlineStr">
        <is>
          <t>Yes</t>
        </is>
      </c>
      <c r="K1763" t="inlineStr">
        <is>
          <t>Collection (optional)</t>
        </is>
      </c>
      <c r="L1763" t="n">
        <v>25</v>
      </c>
      <c r="M1763" t="n">
        <v>29</v>
      </c>
      <c r="N1763" t="n">
        <v>44</v>
      </c>
      <c r="O1763" t="inlineStr">
        <is>
          <t>2026-10-05 UTC (WFM pull 02:52-04:00)</t>
        </is>
      </c>
      <c r="P1763" t="inlineStr">
        <is>
          <t>OK</t>
        </is>
      </c>
      <c r="R1763" t="inlineStr">
        <is>
          <t>Arcanes share across items like mods (one max-rank copy covers every build).</t>
        </is>
      </c>
      <c r="S1763" t="inlineStr">
        <is>
          <t>eternal_logistics</t>
        </is>
      </c>
      <c r="T1763" t="n">
        <v>12</v>
      </c>
      <c r="U1763" t="n">
        <v>12</v>
      </c>
      <c r="V1763" t="n">
        <v>30</v>
      </c>
      <c r="W1763" t="n">
        <v>30</v>
      </c>
      <c r="X1763" t="n">
        <v>30</v>
      </c>
      <c r="Y1763" t="n">
        <v>3981</v>
      </c>
      <c r="Z1763" t="n">
        <v>38</v>
      </c>
      <c r="AQ1763" t="n">
        <v>2</v>
      </c>
      <c r="AR1763" t="n">
        <v>42</v>
      </c>
      <c r="AS1763" t="inlineStr">
        <is>
          <t>Collection (optional)</t>
        </is>
      </c>
    </row>
    <row r="1764">
      <c r="A1764" t="inlineStr">
        <is>
          <t>Arcane</t>
        </is>
      </c>
      <c r="B1764" t="inlineStr">
        <is>
          <t>Eternal Onslaught</t>
        </is>
      </c>
      <c r="E1764" t="inlineStr">
        <is>
          <t>Amp</t>
        </is>
      </c>
      <c r="F1764" t="n">
        <v>5</v>
      </c>
      <c r="G1764" t="n">
        <v>1</v>
      </c>
      <c r="H1764" t="inlineStr">
        <is>
          <t>Player trade (max rank)</t>
        </is>
      </c>
      <c r="I1764" t="inlineStr">
        <is>
          <t>Yes</t>
        </is>
      </c>
      <c r="K1764" t="inlineStr">
        <is>
          <t>Collection (optional)</t>
        </is>
      </c>
      <c r="L1764" t="n">
        <v>20</v>
      </c>
      <c r="M1764" t="n">
        <v>20</v>
      </c>
      <c r="N1764" t="n">
        <v>25</v>
      </c>
      <c r="O1764" t="inlineStr">
        <is>
          <t>2026-10-05 UTC (WFM pull 02:52-04:00)</t>
        </is>
      </c>
      <c r="P1764" t="inlineStr">
        <is>
          <t>OK</t>
        </is>
      </c>
      <c r="R1764" t="inlineStr">
        <is>
          <t>Arcanes share across items like mods (one max-rank copy covers every build).</t>
        </is>
      </c>
      <c r="S1764" t="inlineStr">
        <is>
          <t>eternal_onslaught</t>
        </is>
      </c>
      <c r="T1764" t="n">
        <v>25</v>
      </c>
      <c r="U1764" t="n">
        <v>25</v>
      </c>
      <c r="V1764" t="n">
        <v>22.5</v>
      </c>
      <c r="W1764" t="n">
        <v>24</v>
      </c>
      <c r="X1764" t="n">
        <v>23.3</v>
      </c>
      <c r="Y1764" t="n">
        <v>3843</v>
      </c>
      <c r="Z1764" t="n">
        <v>66</v>
      </c>
      <c r="AA1764" t="n">
        <v>30</v>
      </c>
      <c r="AB1764" t="n">
        <v>-10</v>
      </c>
      <c r="AQ1764" t="n">
        <v>2</v>
      </c>
      <c r="AR1764" t="n">
        <v>42</v>
      </c>
      <c r="AS1764" t="inlineStr">
        <is>
          <t>Collection (optional)</t>
        </is>
      </c>
    </row>
    <row r="1765">
      <c r="A1765" t="inlineStr">
        <is>
          <t>Arcane</t>
        </is>
      </c>
      <c r="B1765" t="inlineStr">
        <is>
          <t>Exodia Brave</t>
        </is>
      </c>
      <c r="E1765" t="inlineStr">
        <is>
          <t>Zaw</t>
        </is>
      </c>
      <c r="F1765" t="n">
        <v>3</v>
      </c>
      <c r="G1765" t="n">
        <v>1</v>
      </c>
      <c r="H1765" t="inlineStr">
        <is>
          <t>Player trade (max rank)</t>
        </is>
      </c>
      <c r="I1765" t="inlineStr">
        <is>
          <t>Yes</t>
        </is>
      </c>
      <c r="K1765" t="inlineStr">
        <is>
          <t>Collection (optional)</t>
        </is>
      </c>
      <c r="L1765" t="n">
        <v>80</v>
      </c>
      <c r="M1765" t="n">
        <v>82.5</v>
      </c>
      <c r="N1765" t="n">
        <v>111</v>
      </c>
      <c r="O1765" t="inlineStr">
        <is>
          <t>2026-10-05 UTC (WFM pull 02:52-04:00)</t>
        </is>
      </c>
      <c r="P1765" t="inlineStr">
        <is>
          <t>OK</t>
        </is>
      </c>
      <c r="Q1765" t="inlineStr">
        <is>
          <t>Cheaper via 10x R0 (50p realistic) than buying max rank</t>
        </is>
      </c>
      <c r="R1765" t="inlineStr">
        <is>
          <t>Arcanes share across items like mods (one max-rank copy covers every build).</t>
        </is>
      </c>
      <c r="S1765" t="inlineStr">
        <is>
          <t>exodia_brave</t>
        </is>
      </c>
      <c r="T1765" t="n">
        <v>3</v>
      </c>
      <c r="U1765" t="n">
        <v>3</v>
      </c>
      <c r="V1765" t="n">
        <v>55</v>
      </c>
      <c r="W1765" t="n">
        <v>57.5</v>
      </c>
      <c r="X1765" t="n">
        <v>58.2</v>
      </c>
      <c r="Y1765" t="n">
        <v>84</v>
      </c>
      <c r="Z1765" t="n">
        <v>3</v>
      </c>
      <c r="AQ1765" t="n">
        <v>5</v>
      </c>
      <c r="AR1765" t="n">
        <v>50</v>
      </c>
      <c r="AS1765" t="inlineStr">
        <is>
          <t>Collection (optional)</t>
        </is>
      </c>
    </row>
    <row r="1766">
      <c r="A1766" t="inlineStr">
        <is>
          <t>Arcane</t>
        </is>
      </c>
      <c r="B1766" t="inlineStr">
        <is>
          <t>Exodia Contagion</t>
        </is>
      </c>
      <c r="E1766" t="inlineStr">
        <is>
          <t>Zaw</t>
        </is>
      </c>
      <c r="F1766" t="n">
        <v>3</v>
      </c>
      <c r="G1766" t="n">
        <v>1</v>
      </c>
      <c r="H1766" t="inlineStr">
        <is>
          <t>Player trade (max rank)</t>
        </is>
      </c>
      <c r="I1766" t="inlineStr">
        <is>
          <t>Yes</t>
        </is>
      </c>
      <c r="K1766" t="inlineStr">
        <is>
          <t>Collection (optional)</t>
        </is>
      </c>
      <c r="L1766" t="n">
        <v>100</v>
      </c>
      <c r="M1766" t="n">
        <v>110</v>
      </c>
      <c r="N1766" t="n">
        <v>142</v>
      </c>
      <c r="O1766" t="inlineStr">
        <is>
          <t>2026-10-05 UTC (WFM pull 02:52-04:00)</t>
        </is>
      </c>
      <c r="P1766" t="inlineStr">
        <is>
          <t>OK</t>
        </is>
      </c>
      <c r="R1766" t="inlineStr">
        <is>
          <t>Arcanes share across items like mods (one max-rank copy covers every build).</t>
        </is>
      </c>
      <c r="S1766" t="inlineStr">
        <is>
          <t>exodia_contagion</t>
        </is>
      </c>
      <c r="T1766" t="n">
        <v>21</v>
      </c>
      <c r="U1766" t="n">
        <v>21</v>
      </c>
      <c r="V1766" t="n">
        <v>98</v>
      </c>
      <c r="W1766" t="n">
        <v>99</v>
      </c>
      <c r="X1766" t="n">
        <v>96.90000000000001</v>
      </c>
      <c r="Y1766" t="n">
        <v>3334</v>
      </c>
      <c r="Z1766" t="n">
        <v>57</v>
      </c>
      <c r="AA1766" t="n">
        <v>72</v>
      </c>
      <c r="AB1766" t="n">
        <v>28</v>
      </c>
      <c r="AQ1766" t="n">
        <v>14</v>
      </c>
      <c r="AR1766" t="n">
        <v>140</v>
      </c>
      <c r="AS1766" t="inlineStr">
        <is>
          <t>Collection (optional)</t>
        </is>
      </c>
    </row>
    <row r="1767">
      <c r="A1767" t="inlineStr">
        <is>
          <t>Arcane</t>
        </is>
      </c>
      <c r="B1767" t="inlineStr">
        <is>
          <t>Exodia Epidemic</t>
        </is>
      </c>
      <c r="E1767" t="inlineStr">
        <is>
          <t>Zaw</t>
        </is>
      </c>
      <c r="F1767" t="n">
        <v>3</v>
      </c>
      <c r="G1767" t="n">
        <v>1</v>
      </c>
      <c r="H1767" t="inlineStr">
        <is>
          <t>Player trade (max rank)</t>
        </is>
      </c>
      <c r="I1767" t="inlineStr">
        <is>
          <t>Yes</t>
        </is>
      </c>
      <c r="K1767" t="inlineStr">
        <is>
          <t>Collection (optional)</t>
        </is>
      </c>
      <c r="L1767" t="n">
        <v>135</v>
      </c>
      <c r="M1767" t="n">
        <v>150</v>
      </c>
      <c r="N1767" t="n">
        <v>330</v>
      </c>
      <c r="O1767" t="inlineStr">
        <is>
          <t>2026-10-05 UTC (WFM pull 02:52-04:00)</t>
        </is>
      </c>
      <c r="P1767" t="inlineStr">
        <is>
          <t>OK</t>
        </is>
      </c>
      <c r="R1767" t="inlineStr">
        <is>
          <t>Arcanes share across items like mods (one max-rank copy covers every build).</t>
        </is>
      </c>
      <c r="S1767" t="inlineStr">
        <is>
          <t>exodia_epidemic</t>
        </is>
      </c>
      <c r="T1767" t="n">
        <v>5</v>
      </c>
      <c r="U1767" t="n">
        <v>5</v>
      </c>
      <c r="V1767" t="n">
        <v>100</v>
      </c>
      <c r="W1767" t="n">
        <v>100</v>
      </c>
      <c r="X1767" t="n">
        <v>96.90000000000001</v>
      </c>
      <c r="Y1767" t="n">
        <v>414</v>
      </c>
      <c r="Z1767" t="n">
        <v>4</v>
      </c>
      <c r="AA1767" t="n">
        <v>70</v>
      </c>
      <c r="AB1767" t="n">
        <v>65</v>
      </c>
      <c r="AQ1767" t="n">
        <v>15</v>
      </c>
      <c r="AR1767" t="n">
        <v>150</v>
      </c>
      <c r="AS1767" t="inlineStr">
        <is>
          <t>Collection (optional)</t>
        </is>
      </c>
    </row>
    <row r="1768">
      <c r="A1768" t="inlineStr">
        <is>
          <t>Arcane</t>
        </is>
      </c>
      <c r="B1768" t="inlineStr">
        <is>
          <t>Exodia Force</t>
        </is>
      </c>
      <c r="E1768" t="inlineStr">
        <is>
          <t>Zaw</t>
        </is>
      </c>
      <c r="F1768" t="n">
        <v>3</v>
      </c>
      <c r="G1768" t="n">
        <v>1</v>
      </c>
      <c r="H1768" t="inlineStr">
        <is>
          <t>Player trade (max rank)</t>
        </is>
      </c>
      <c r="I1768" t="inlineStr">
        <is>
          <t>Yes</t>
        </is>
      </c>
      <c r="K1768" t="inlineStr">
        <is>
          <t>Collection (optional)</t>
        </is>
      </c>
      <c r="L1768" t="n">
        <v>80</v>
      </c>
      <c r="M1768" t="n">
        <v>97.5</v>
      </c>
      <c r="N1768" t="n">
        <v>215</v>
      </c>
      <c r="O1768" t="inlineStr">
        <is>
          <t>2026-10-05 UTC (WFM pull 02:52-04:00)</t>
        </is>
      </c>
      <c r="P1768" t="inlineStr">
        <is>
          <t>OK</t>
        </is>
      </c>
      <c r="R1768" t="inlineStr">
        <is>
          <t>Arcanes share across items like mods (one max-rank copy covers every build).</t>
        </is>
      </c>
      <c r="S1768" t="inlineStr">
        <is>
          <t>exodia_force</t>
        </is>
      </c>
      <c r="T1768" t="n">
        <v>4</v>
      </c>
      <c r="U1768" t="n">
        <v>4</v>
      </c>
      <c r="V1768" t="n">
        <v>65</v>
      </c>
      <c r="W1768" t="n">
        <v>59</v>
      </c>
      <c r="X1768" t="n">
        <v>59.2</v>
      </c>
      <c r="Y1768" t="n">
        <v>415</v>
      </c>
      <c r="Z1768" t="n">
        <v>17</v>
      </c>
      <c r="AA1768" t="n">
        <v>25</v>
      </c>
      <c r="AB1768" t="n">
        <v>55</v>
      </c>
      <c r="AQ1768" t="n">
        <v>11</v>
      </c>
      <c r="AR1768" t="n">
        <v>110</v>
      </c>
      <c r="AS1768" t="inlineStr">
        <is>
          <t>Collection (optional)</t>
        </is>
      </c>
    </row>
    <row r="1769">
      <c r="A1769" t="inlineStr">
        <is>
          <t>Arcane</t>
        </is>
      </c>
      <c r="B1769" t="inlineStr">
        <is>
          <t>Exodia Hunt</t>
        </is>
      </c>
      <c r="E1769" t="inlineStr">
        <is>
          <t>Zaw</t>
        </is>
      </c>
      <c r="F1769" t="n">
        <v>3</v>
      </c>
      <c r="G1769" t="n">
        <v>1</v>
      </c>
      <c r="H1769" t="inlineStr">
        <is>
          <t>Player trade (max rank)</t>
        </is>
      </c>
      <c r="I1769" t="inlineStr">
        <is>
          <t>Yes</t>
        </is>
      </c>
      <c r="K1769" t="inlineStr">
        <is>
          <t>Collection (optional)</t>
        </is>
      </c>
      <c r="L1769" t="n">
        <v>35</v>
      </c>
      <c r="M1769" t="n">
        <v>80</v>
      </c>
      <c r="N1769" t="n">
        <v>105</v>
      </c>
      <c r="O1769" t="inlineStr">
        <is>
          <t>2026-10-05 UTC (WFM pull 02:52-04:00)</t>
        </is>
      </c>
      <c r="P1769" t="inlineStr">
        <is>
          <t>OK</t>
        </is>
      </c>
      <c r="Q1769" t="inlineStr">
        <is>
          <t>Cheaper via 10x R0 (70p realistic) than buying max rank</t>
        </is>
      </c>
      <c r="R1769" t="inlineStr">
        <is>
          <t>Arcanes share across items like mods (one max-rank copy covers every build).</t>
        </is>
      </c>
      <c r="S1769" t="inlineStr">
        <is>
          <t>exodia_hunt</t>
        </is>
      </c>
      <c r="T1769" t="n">
        <v>8</v>
      </c>
      <c r="U1769" t="n">
        <v>8</v>
      </c>
      <c r="V1769" t="n">
        <v>65</v>
      </c>
      <c r="W1769" t="n">
        <v>60</v>
      </c>
      <c r="X1769" t="n">
        <v>59.2</v>
      </c>
      <c r="Y1769" t="n">
        <v>108</v>
      </c>
      <c r="Z1769" t="n">
        <v>5</v>
      </c>
      <c r="AQ1769" t="n">
        <v>7</v>
      </c>
      <c r="AR1769" t="n">
        <v>70</v>
      </c>
      <c r="AS1769" t="inlineStr">
        <is>
          <t>Collection (optional)</t>
        </is>
      </c>
    </row>
    <row r="1770">
      <c r="A1770" t="inlineStr">
        <is>
          <t>Arcane</t>
        </is>
      </c>
      <c r="B1770" t="inlineStr">
        <is>
          <t>Exodia Might</t>
        </is>
      </c>
      <c r="E1770" t="inlineStr">
        <is>
          <t>Zaw</t>
        </is>
      </c>
      <c r="F1770" t="n">
        <v>3</v>
      </c>
      <c r="G1770" t="n">
        <v>1</v>
      </c>
      <c r="H1770" t="inlineStr">
        <is>
          <t>Player trade (max rank)</t>
        </is>
      </c>
      <c r="I1770" t="inlineStr">
        <is>
          <t>Yes</t>
        </is>
      </c>
      <c r="K1770" t="inlineStr">
        <is>
          <t>Collection (optional)</t>
        </is>
      </c>
      <c r="L1770" t="n">
        <v>70</v>
      </c>
      <c r="M1770" t="n">
        <v>90</v>
      </c>
      <c r="N1770" t="n">
        <v>111</v>
      </c>
      <c r="O1770" t="inlineStr">
        <is>
          <t>2026-10-05 UTC (WFM pull 02:52-04:00)</t>
        </is>
      </c>
      <c r="P1770" t="inlineStr">
        <is>
          <t>OK</t>
        </is>
      </c>
      <c r="Q1770" t="inlineStr">
        <is>
          <t>Cheaper via 10x R0 (80p realistic) than buying max rank</t>
        </is>
      </c>
      <c r="R1770" t="inlineStr">
        <is>
          <t>Arcanes share across items like mods (one max-rank copy covers every build).</t>
        </is>
      </c>
      <c r="S1770" t="inlineStr">
        <is>
          <t>exodia_might</t>
        </is>
      </c>
      <c r="T1770" t="n">
        <v>8</v>
      </c>
      <c r="U1770" t="n">
        <v>8</v>
      </c>
      <c r="V1770" t="n">
        <v>65</v>
      </c>
      <c r="W1770" t="n">
        <v>69</v>
      </c>
      <c r="X1770" t="n">
        <v>69</v>
      </c>
      <c r="Y1770" t="n">
        <v>40</v>
      </c>
      <c r="Z1770" t="n">
        <v>0</v>
      </c>
      <c r="AA1770" t="n">
        <v>30</v>
      </c>
      <c r="AB1770" t="n">
        <v>40</v>
      </c>
      <c r="AQ1770" t="n">
        <v>8</v>
      </c>
      <c r="AR1770" t="n">
        <v>80</v>
      </c>
      <c r="AS1770" t="inlineStr">
        <is>
          <t>Collection (optional)</t>
        </is>
      </c>
    </row>
    <row r="1771">
      <c r="A1771" t="inlineStr">
        <is>
          <t>Arcane</t>
        </is>
      </c>
      <c r="B1771" t="inlineStr">
        <is>
          <t>Exodia Triumph</t>
        </is>
      </c>
      <c r="E1771" t="inlineStr">
        <is>
          <t>Zaw</t>
        </is>
      </c>
      <c r="F1771" t="n">
        <v>3</v>
      </c>
      <c r="G1771" t="n">
        <v>1</v>
      </c>
      <c r="H1771" t="inlineStr">
        <is>
          <t>Player trade (max rank)</t>
        </is>
      </c>
      <c r="I1771" t="inlineStr">
        <is>
          <t>Yes</t>
        </is>
      </c>
      <c r="K1771" t="inlineStr">
        <is>
          <t>Collection (optional)</t>
        </is>
      </c>
      <c r="L1771" t="n">
        <v>80</v>
      </c>
      <c r="M1771" t="n">
        <v>90</v>
      </c>
      <c r="N1771" t="n">
        <v>111</v>
      </c>
      <c r="O1771" t="inlineStr">
        <is>
          <t>2026-10-05 UTC (WFM pull 02:52-04:00)</t>
        </is>
      </c>
      <c r="P1771" t="inlineStr">
        <is>
          <t>OK</t>
        </is>
      </c>
      <c r="Q1771" t="inlineStr">
        <is>
          <t>Cheaper via 10x R0 (75.0p realistic) than buying max rank</t>
        </is>
      </c>
      <c r="R1771" t="inlineStr">
        <is>
          <t>Arcanes share across items like mods (one max-rank copy covers every build).</t>
        </is>
      </c>
      <c r="S1771" t="inlineStr">
        <is>
          <t>exodia_triumph</t>
        </is>
      </c>
      <c r="T1771" t="n">
        <v>8</v>
      </c>
      <c r="U1771" t="n">
        <v>8</v>
      </c>
      <c r="V1771" t="n">
        <v>67</v>
      </c>
      <c r="W1771" t="n">
        <v>65</v>
      </c>
      <c r="X1771" t="n">
        <v>65.7</v>
      </c>
      <c r="Y1771" t="n">
        <v>80</v>
      </c>
      <c r="Z1771" t="n">
        <v>1</v>
      </c>
      <c r="AA1771" t="n">
        <v>30</v>
      </c>
      <c r="AB1771" t="n">
        <v>50</v>
      </c>
      <c r="AQ1771" t="n">
        <v>7.5</v>
      </c>
      <c r="AR1771" t="n">
        <v>75</v>
      </c>
      <c r="AS1771" t="inlineStr">
        <is>
          <t>Collection (optional)</t>
        </is>
      </c>
    </row>
    <row r="1772">
      <c r="A1772" t="inlineStr">
        <is>
          <t>Arcane</t>
        </is>
      </c>
      <c r="B1772" t="inlineStr">
        <is>
          <t>Exodia Valor</t>
        </is>
      </c>
      <c r="E1772" t="inlineStr">
        <is>
          <t>Zaw</t>
        </is>
      </c>
      <c r="F1772" t="n">
        <v>3</v>
      </c>
      <c r="G1772" t="n">
        <v>1</v>
      </c>
      <c r="H1772" t="inlineStr">
        <is>
          <t>Player trade (max rank)</t>
        </is>
      </c>
      <c r="I1772" t="inlineStr">
        <is>
          <t>Yes</t>
        </is>
      </c>
      <c r="K1772" t="inlineStr">
        <is>
          <t>Collection (optional)</t>
        </is>
      </c>
      <c r="L1772" t="n">
        <v>50</v>
      </c>
      <c r="M1772" t="n">
        <v>80</v>
      </c>
      <c r="N1772" t="n">
        <v>111</v>
      </c>
      <c r="O1772" t="inlineStr">
        <is>
          <t>2026-10-05 UTC (WFM pull 02:52-04:00)</t>
        </is>
      </c>
      <c r="P1772" t="inlineStr">
        <is>
          <t>OK</t>
        </is>
      </c>
      <c r="Q1772" t="inlineStr">
        <is>
          <t>Cheaper via 10x R0 (60p realistic) than buying max rank</t>
        </is>
      </c>
      <c r="R1772" t="inlineStr">
        <is>
          <t>Arcanes share across items like mods (one max-rank copy covers every build).</t>
        </is>
      </c>
      <c r="S1772" t="inlineStr">
        <is>
          <t>exodia_valor</t>
        </is>
      </c>
      <c r="T1772" t="n">
        <v>3</v>
      </c>
      <c r="U1772" t="n">
        <v>3</v>
      </c>
      <c r="V1772" t="n">
        <v>60</v>
      </c>
      <c r="W1772" t="n">
        <v>64</v>
      </c>
      <c r="X1772" t="n">
        <v>63.1</v>
      </c>
      <c r="Y1772" t="n">
        <v>33</v>
      </c>
      <c r="Z1772" t="n">
        <v>1</v>
      </c>
      <c r="AQ1772" t="n">
        <v>6</v>
      </c>
      <c r="AR1772" t="n">
        <v>60</v>
      </c>
      <c r="AS1772" t="inlineStr">
        <is>
          <t>Collection (optional)</t>
        </is>
      </c>
    </row>
    <row r="1773">
      <c r="A1773" t="inlineStr">
        <is>
          <t>Arcane</t>
        </is>
      </c>
      <c r="B1773" t="inlineStr">
        <is>
          <t>Fractalized Reset</t>
        </is>
      </c>
      <c r="E1773" t="inlineStr">
        <is>
          <t>Primary</t>
        </is>
      </c>
      <c r="F1773" t="n">
        <v>5</v>
      </c>
      <c r="G1773" t="n">
        <v>1</v>
      </c>
      <c r="H1773" t="inlineStr">
        <is>
          <t>Player trade (max rank)</t>
        </is>
      </c>
      <c r="I1773" t="inlineStr">
        <is>
          <t>Yes</t>
        </is>
      </c>
      <c r="K1773" t="inlineStr">
        <is>
          <t>Collection (optional)</t>
        </is>
      </c>
      <c r="L1773" t="n">
        <v>15</v>
      </c>
      <c r="M1773" t="n">
        <v>15</v>
      </c>
      <c r="N1773" t="n">
        <v>22</v>
      </c>
      <c r="O1773" t="inlineStr">
        <is>
          <t>2026-10-05 UTC (WFM pull 02:52-04:00)</t>
        </is>
      </c>
      <c r="P1773" t="inlineStr">
        <is>
          <t>OK</t>
        </is>
      </c>
      <c r="R1773" t="inlineStr">
        <is>
          <t>Arcanes share across items like mods (one max-rank copy covers every build).</t>
        </is>
      </c>
      <c r="S1773" t="inlineStr">
        <is>
          <t>fractalized_reset</t>
        </is>
      </c>
      <c r="T1773" t="n">
        <v>12</v>
      </c>
      <c r="U1773" t="n">
        <v>12</v>
      </c>
      <c r="V1773" t="n">
        <v>13.5</v>
      </c>
      <c r="W1773" t="n">
        <v>14</v>
      </c>
      <c r="X1773" t="n">
        <v>13.5</v>
      </c>
      <c r="Y1773" t="n">
        <v>463</v>
      </c>
      <c r="Z1773" t="n">
        <v>6</v>
      </c>
      <c r="AQ1773" t="n">
        <v>2</v>
      </c>
      <c r="AR1773" t="n">
        <v>42</v>
      </c>
      <c r="AS1773" t="inlineStr">
        <is>
          <t>Collection (optional)</t>
        </is>
      </c>
    </row>
    <row r="1774">
      <c r="A1774" t="inlineStr">
        <is>
          <t>Arcane</t>
        </is>
      </c>
      <c r="B1774" t="inlineStr">
        <is>
          <t>Longbow Sharpshot</t>
        </is>
      </c>
      <c r="E1774" t="inlineStr">
        <is>
          <t>Bow</t>
        </is>
      </c>
      <c r="F1774" t="n">
        <v>5</v>
      </c>
      <c r="G1774" t="n">
        <v>1</v>
      </c>
      <c r="H1774" t="inlineStr">
        <is>
          <t>Player trade (max rank)</t>
        </is>
      </c>
      <c r="I1774" t="inlineStr">
        <is>
          <t>Yes</t>
        </is>
      </c>
      <c r="K1774" t="inlineStr">
        <is>
          <t>Collection (optional)</t>
        </is>
      </c>
      <c r="L1774" t="n">
        <v>320</v>
      </c>
      <c r="M1774" t="n">
        <v>340</v>
      </c>
      <c r="N1774" t="n">
        <v>386</v>
      </c>
      <c r="O1774" t="inlineStr">
        <is>
          <t>2026-10-05 UTC (WFM pull 02:52-04:00)</t>
        </is>
      </c>
      <c r="P1774" t="inlineStr">
        <is>
          <t>OK</t>
        </is>
      </c>
      <c r="Q1774" t="inlineStr">
        <is>
          <t>Cheaper via 21x R0 (294p realistic) than buying max rank</t>
        </is>
      </c>
      <c r="R1774" t="inlineStr">
        <is>
          <t>Arcanes share across items like mods (one max-rank copy covers every build).</t>
        </is>
      </c>
      <c r="S1774" t="inlineStr">
        <is>
          <t>longbow_sharpshot</t>
        </is>
      </c>
      <c r="T1774" t="n">
        <v>10</v>
      </c>
      <c r="U1774" t="n">
        <v>10</v>
      </c>
      <c r="V1774" t="n">
        <v>300</v>
      </c>
      <c r="W1774" t="n">
        <v>240</v>
      </c>
      <c r="X1774" t="n">
        <v>251.4</v>
      </c>
      <c r="Y1774" t="n">
        <v>1203</v>
      </c>
      <c r="Z1774" t="n">
        <v>55</v>
      </c>
      <c r="AA1774" t="n">
        <v>300</v>
      </c>
      <c r="AB1774" t="n">
        <v>20</v>
      </c>
      <c r="AQ1774" t="n">
        <v>14</v>
      </c>
      <c r="AR1774" t="n">
        <v>294</v>
      </c>
      <c r="AS1774" t="inlineStr">
        <is>
          <t>Collection (optional)</t>
        </is>
      </c>
    </row>
    <row r="1775">
      <c r="A1775" t="inlineStr">
        <is>
          <t>Arcane</t>
        </is>
      </c>
      <c r="B1775" t="inlineStr">
        <is>
          <t>Magus Accelerant</t>
        </is>
      </c>
      <c r="E1775" t="inlineStr">
        <is>
          <t>Operator</t>
        </is>
      </c>
      <c r="F1775" t="n">
        <v>5</v>
      </c>
      <c r="G1775" t="n">
        <v>1</v>
      </c>
      <c r="H1775" t="inlineStr">
        <is>
          <t>Player trade (max rank)</t>
        </is>
      </c>
      <c r="I1775" t="inlineStr">
        <is>
          <t>Yes</t>
        </is>
      </c>
      <c r="K1775" t="inlineStr">
        <is>
          <t>Collection (optional)</t>
        </is>
      </c>
      <c r="L1775" t="n">
        <v>114</v>
      </c>
      <c r="M1775" t="n">
        <v>140</v>
      </c>
      <c r="N1775" t="n">
        <v>165</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magus_accelerant</t>
        </is>
      </c>
      <c r="T1775" t="n">
        <v>7</v>
      </c>
      <c r="U1775" t="n">
        <v>7</v>
      </c>
      <c r="V1775" t="n">
        <v>105</v>
      </c>
      <c r="W1775" t="n">
        <v>99.5</v>
      </c>
      <c r="X1775" t="n">
        <v>100.3</v>
      </c>
      <c r="Y1775" t="n">
        <v>104</v>
      </c>
      <c r="Z1775" t="n">
        <v>0</v>
      </c>
      <c r="AQ1775" t="n">
        <v>5</v>
      </c>
      <c r="AR1775" t="n">
        <v>105</v>
      </c>
      <c r="AS1775" t="inlineStr">
        <is>
          <t>Collection (optional)</t>
        </is>
      </c>
    </row>
    <row r="1776">
      <c r="A1776" t="inlineStr">
        <is>
          <t>Arcane</t>
        </is>
      </c>
      <c r="B1776" t="inlineStr">
        <is>
          <t>Magus Aggress</t>
        </is>
      </c>
      <c r="E1776" t="inlineStr">
        <is>
          <t>Operator</t>
        </is>
      </c>
      <c r="F1776" t="n">
        <v>5</v>
      </c>
      <c r="G1776" t="n">
        <v>1</v>
      </c>
      <c r="H1776" t="inlineStr">
        <is>
          <t>Player trade (max rank)</t>
        </is>
      </c>
      <c r="I1776" t="inlineStr">
        <is>
          <t>Yes</t>
        </is>
      </c>
      <c r="K1776" t="inlineStr">
        <is>
          <t>Collection (optional)</t>
        </is>
      </c>
      <c r="L1776" t="n">
        <v>14</v>
      </c>
      <c r="M1776" t="n">
        <v>20</v>
      </c>
      <c r="N1776" t="n">
        <v>22</v>
      </c>
      <c r="O1776" t="inlineStr">
        <is>
          <t>2026-10-05 UTC (WFM pull 02:52-04:00)</t>
        </is>
      </c>
      <c r="P1776" t="inlineStr">
        <is>
          <t>OK</t>
        </is>
      </c>
      <c r="R1776" t="inlineStr">
        <is>
          <t>Arcanes share across items like mods (one max-rank copy covers every build).</t>
        </is>
      </c>
      <c r="S1776" t="inlineStr">
        <is>
          <t>magus_aggress</t>
        </is>
      </c>
      <c r="T1776" t="n">
        <v>11</v>
      </c>
      <c r="U1776" t="n">
        <v>11</v>
      </c>
      <c r="V1776" t="n">
        <v>15</v>
      </c>
      <c r="W1776" t="n">
        <v>15</v>
      </c>
      <c r="X1776" t="n">
        <v>15.2</v>
      </c>
      <c r="Y1776" t="n">
        <v>260</v>
      </c>
      <c r="Z1776" t="n">
        <v>19</v>
      </c>
      <c r="AA1776" t="n">
        <v>7</v>
      </c>
      <c r="AB1776" t="n">
        <v>7</v>
      </c>
      <c r="AQ1776" t="n">
        <v>2</v>
      </c>
      <c r="AR1776" t="n">
        <v>42</v>
      </c>
      <c r="AS1776" t="inlineStr">
        <is>
          <t>Collection (optional)</t>
        </is>
      </c>
    </row>
    <row r="1777">
      <c r="A1777" t="inlineStr">
        <is>
          <t>Arcane</t>
        </is>
      </c>
      <c r="B1777" t="inlineStr">
        <is>
          <t>Magus Anomaly</t>
        </is>
      </c>
      <c r="E1777" t="inlineStr">
        <is>
          <t>Operator</t>
        </is>
      </c>
      <c r="F1777" t="n">
        <v>5</v>
      </c>
      <c r="G1777" t="n">
        <v>1</v>
      </c>
      <c r="H1777" t="inlineStr">
        <is>
          <t>Player trade (max rank)</t>
        </is>
      </c>
      <c r="I1777" t="inlineStr">
        <is>
          <t>Yes</t>
        </is>
      </c>
      <c r="K1777" t="inlineStr">
        <is>
          <t>Collection (optional)</t>
        </is>
      </c>
      <c r="L1777" t="n">
        <v>90</v>
      </c>
      <c r="M1777" t="n">
        <v>95</v>
      </c>
      <c r="N1777" t="n">
        <v>109</v>
      </c>
      <c r="O1777" t="inlineStr">
        <is>
          <t>2026-10-05 UTC (WFM pull 02:52-04:00)</t>
        </is>
      </c>
      <c r="P1777" t="inlineStr">
        <is>
          <t>OK</t>
        </is>
      </c>
      <c r="R1777" t="inlineStr">
        <is>
          <t>Arcanes share across items like mods (one max-rank copy covers every build).</t>
        </is>
      </c>
      <c r="S1777" t="inlineStr">
        <is>
          <t>magus_anomaly</t>
        </is>
      </c>
      <c r="T1777" t="n">
        <v>16</v>
      </c>
      <c r="U1777" t="n">
        <v>16</v>
      </c>
      <c r="V1777" t="n">
        <v>90</v>
      </c>
      <c r="W1777" t="n">
        <v>90.5</v>
      </c>
      <c r="X1777" t="n">
        <v>92.5</v>
      </c>
      <c r="Y1777" t="n">
        <v>838</v>
      </c>
      <c r="Z1777" t="n">
        <v>18</v>
      </c>
      <c r="AA1777" t="n">
        <v>39</v>
      </c>
      <c r="AB1777" t="n">
        <v>51</v>
      </c>
      <c r="AQ1777" t="n">
        <v>10</v>
      </c>
      <c r="AR1777" t="n">
        <v>210</v>
      </c>
      <c r="AS1777" t="inlineStr">
        <is>
          <t>Collection (optional)</t>
        </is>
      </c>
    </row>
    <row r="1778">
      <c r="A1778" t="inlineStr">
        <is>
          <t>Arcane</t>
        </is>
      </c>
      <c r="B1778" t="inlineStr">
        <is>
          <t>Magus Cadence</t>
        </is>
      </c>
      <c r="E1778" t="inlineStr">
        <is>
          <t>Operator</t>
        </is>
      </c>
      <c r="F1778" t="n">
        <v>5</v>
      </c>
      <c r="G1778" t="n">
        <v>1</v>
      </c>
      <c r="H1778" t="inlineStr">
        <is>
          <t>Player trade (max rank)</t>
        </is>
      </c>
      <c r="I1778" t="inlineStr">
        <is>
          <t>Yes</t>
        </is>
      </c>
      <c r="K1778" t="inlineStr">
        <is>
          <t>Collection (optional)</t>
        </is>
      </c>
      <c r="L1778" t="n">
        <v>69</v>
      </c>
      <c r="M1778" t="n">
        <v>75</v>
      </c>
      <c r="N1778" t="n">
        <v>88</v>
      </c>
      <c r="O1778" t="inlineStr">
        <is>
          <t>2026-10-05 UTC (WFM pull 02:52-04:00)</t>
        </is>
      </c>
      <c r="P1778" t="inlineStr">
        <is>
          <t>OK</t>
        </is>
      </c>
      <c r="R1778" t="inlineStr">
        <is>
          <t>Arcanes share across items like mods (one max-rank copy covers every build).</t>
        </is>
      </c>
      <c r="S1778" t="inlineStr">
        <is>
          <t>magus_cadence</t>
        </is>
      </c>
      <c r="T1778" t="n">
        <v>10</v>
      </c>
      <c r="U1778" t="n">
        <v>10</v>
      </c>
      <c r="V1778" t="n">
        <v>62.5</v>
      </c>
      <c r="W1778" t="n">
        <v>65</v>
      </c>
      <c r="X1778" t="n">
        <v>65.09999999999999</v>
      </c>
      <c r="Y1778" t="n">
        <v>139</v>
      </c>
      <c r="Z1778" t="n">
        <v>4</v>
      </c>
      <c r="AQ1778" t="n">
        <v>4</v>
      </c>
      <c r="AR1778" t="n">
        <v>84</v>
      </c>
      <c r="AS1778" t="inlineStr">
        <is>
          <t>Collection (optional)</t>
        </is>
      </c>
    </row>
    <row r="1779">
      <c r="A1779" t="inlineStr">
        <is>
          <t>Arcane</t>
        </is>
      </c>
      <c r="B1779" t="inlineStr">
        <is>
          <t>Magus Cloud</t>
        </is>
      </c>
      <c r="E1779" t="inlineStr">
        <is>
          <t>Operator</t>
        </is>
      </c>
      <c r="F1779" t="n">
        <v>5</v>
      </c>
      <c r="G1779" t="n">
        <v>1</v>
      </c>
      <c r="H1779" t="inlineStr">
        <is>
          <t>Player trade (max rank)</t>
        </is>
      </c>
      <c r="I1779" t="inlineStr">
        <is>
          <t>Yes</t>
        </is>
      </c>
      <c r="K1779" t="inlineStr">
        <is>
          <t>Collection (optional)</t>
        </is>
      </c>
      <c r="L1779" t="n">
        <v>49</v>
      </c>
      <c r="M1779" t="n">
        <v>55</v>
      </c>
      <c r="N1779" t="n">
        <v>66</v>
      </c>
      <c r="O1779" t="inlineStr">
        <is>
          <t>2026-10-05 UTC (WFM pull 02:52-04:00)</t>
        </is>
      </c>
      <c r="P1779" t="inlineStr">
        <is>
          <t>OK</t>
        </is>
      </c>
      <c r="R1779" t="inlineStr">
        <is>
          <t>Arcanes share across items like mods (one max-rank copy covers every build).</t>
        </is>
      </c>
      <c r="S1779" t="inlineStr">
        <is>
          <t>magus_cloud</t>
        </is>
      </c>
      <c r="T1779" t="n">
        <v>15</v>
      </c>
      <c r="U1779" t="n">
        <v>15</v>
      </c>
      <c r="V1779" t="n">
        <v>50</v>
      </c>
      <c r="W1779" t="n">
        <v>54</v>
      </c>
      <c r="X1779" t="n">
        <v>53.4</v>
      </c>
      <c r="Y1779" t="n">
        <v>1632</v>
      </c>
      <c r="Z1779" t="n">
        <v>42</v>
      </c>
      <c r="AA1779" t="n">
        <v>35</v>
      </c>
      <c r="AB1779" t="n">
        <v>14</v>
      </c>
      <c r="AQ1779" t="n">
        <v>4</v>
      </c>
      <c r="AR1779" t="n">
        <v>84</v>
      </c>
      <c r="AS1779" t="inlineStr">
        <is>
          <t>Collection (optional)</t>
        </is>
      </c>
    </row>
    <row r="1780">
      <c r="A1780" t="inlineStr">
        <is>
          <t>Arcane</t>
        </is>
      </c>
      <c r="B1780" t="inlineStr">
        <is>
          <t>Magus Destruct</t>
        </is>
      </c>
      <c r="E1780" t="inlineStr">
        <is>
          <t>Operator</t>
        </is>
      </c>
      <c r="F1780" t="n">
        <v>5</v>
      </c>
      <c r="G1780" t="n">
        <v>1</v>
      </c>
      <c r="H1780" t="inlineStr">
        <is>
          <t>Player trade (max rank)</t>
        </is>
      </c>
      <c r="I1780" t="inlineStr">
        <is>
          <t>Yes</t>
        </is>
      </c>
      <c r="K1780" t="inlineStr">
        <is>
          <t>Collection (optional)</t>
        </is>
      </c>
      <c r="L1780" t="n">
        <v>149</v>
      </c>
      <c r="M1780" t="n">
        <v>149</v>
      </c>
      <c r="N1780" t="n">
        <v>221</v>
      </c>
      <c r="O1780" t="inlineStr">
        <is>
          <t>2026-10-05 UTC (WFM pull 02:52-04:00)</t>
        </is>
      </c>
      <c r="P1780" t="inlineStr">
        <is>
          <t>OK</t>
        </is>
      </c>
      <c r="Q1780" t="inlineStr">
        <is>
          <t>Cheaper via 21x R0 (105p realistic) than buying max rank</t>
        </is>
      </c>
      <c r="R1780" t="inlineStr">
        <is>
          <t>Arcanes share across items like mods (one max-rank copy covers every build).</t>
        </is>
      </c>
      <c r="S1780" t="inlineStr">
        <is>
          <t>magus_destruct</t>
        </is>
      </c>
      <c r="T1780" t="n">
        <v>6</v>
      </c>
      <c r="U1780" t="n">
        <v>6</v>
      </c>
      <c r="V1780" t="n">
        <v>95</v>
      </c>
      <c r="W1780" t="n">
        <v>100</v>
      </c>
      <c r="X1780" t="n">
        <v>102.4</v>
      </c>
      <c r="Y1780" t="n">
        <v>46</v>
      </c>
      <c r="Z1780" t="n">
        <v>4</v>
      </c>
      <c r="AQ1780" t="n">
        <v>5</v>
      </c>
      <c r="AR1780" t="n">
        <v>105</v>
      </c>
      <c r="AS1780" t="inlineStr">
        <is>
          <t>Collection (optional)</t>
        </is>
      </c>
    </row>
    <row r="1781">
      <c r="A1781" t="inlineStr">
        <is>
          <t>Arcane</t>
        </is>
      </c>
      <c r="B1781" t="inlineStr">
        <is>
          <t>Magus Drive</t>
        </is>
      </c>
      <c r="E1781" t="inlineStr">
        <is>
          <t>Operator</t>
        </is>
      </c>
      <c r="F1781" t="n">
        <v>5</v>
      </c>
      <c r="G1781" t="n">
        <v>1</v>
      </c>
      <c r="H1781" t="inlineStr">
        <is>
          <t>Player trade (max rank)</t>
        </is>
      </c>
      <c r="I1781" t="inlineStr">
        <is>
          <t>Yes</t>
        </is>
      </c>
      <c r="K1781" t="inlineStr">
        <is>
          <t>Collection (optional)</t>
        </is>
      </c>
      <c r="L1781" t="n">
        <v>90</v>
      </c>
      <c r="M1781" t="n">
        <v>139</v>
      </c>
      <c r="N1781" t="n">
        <v>210</v>
      </c>
      <c r="O1781" t="inlineStr">
        <is>
          <t>2026-10-05 UTC (WFM pull 02:52-04:00)</t>
        </is>
      </c>
      <c r="P1781" t="inlineStr">
        <is>
          <t>OK</t>
        </is>
      </c>
      <c r="R1781" t="inlineStr">
        <is>
          <t>Arcanes share across items like mods (one max-rank copy covers every build).</t>
        </is>
      </c>
      <c r="S1781" t="inlineStr">
        <is>
          <t>magus_drive</t>
        </is>
      </c>
      <c r="T1781" t="n">
        <v>7</v>
      </c>
      <c r="U1781" t="n">
        <v>7</v>
      </c>
      <c r="V1781" t="n">
        <v>99.5</v>
      </c>
      <c r="W1781" t="n">
        <v>90</v>
      </c>
      <c r="X1781" t="n">
        <v>89.09999999999999</v>
      </c>
      <c r="Y1781" t="n">
        <v>53</v>
      </c>
      <c r="Z1781" t="n">
        <v>0</v>
      </c>
      <c r="AQ1781" t="n">
        <v>7</v>
      </c>
      <c r="AR1781" t="n">
        <v>147</v>
      </c>
      <c r="AS1781" t="inlineStr">
        <is>
          <t>Collection (optional)</t>
        </is>
      </c>
    </row>
    <row r="1782">
      <c r="A1782" t="inlineStr">
        <is>
          <t>Arcane</t>
        </is>
      </c>
      <c r="B1782" t="inlineStr">
        <is>
          <t>Magus Elevate</t>
        </is>
      </c>
      <c r="E1782" t="inlineStr">
        <is>
          <t>Operator</t>
        </is>
      </c>
      <c r="F1782" t="n">
        <v>5</v>
      </c>
      <c r="G1782" t="n">
        <v>1</v>
      </c>
      <c r="H1782" t="inlineStr">
        <is>
          <t>Player trade (max rank)</t>
        </is>
      </c>
      <c r="I1782" t="inlineStr">
        <is>
          <t>Yes</t>
        </is>
      </c>
      <c r="K1782" t="inlineStr">
        <is>
          <t>Collection (optional)</t>
        </is>
      </c>
      <c r="L1782" t="n">
        <v>50</v>
      </c>
      <c r="M1782" t="n">
        <v>55</v>
      </c>
      <c r="N1782" t="n">
        <v>66</v>
      </c>
      <c r="O1782" t="inlineStr">
        <is>
          <t>2026-10-05 UTC (WFM pull 02:52-04:00)</t>
        </is>
      </c>
      <c r="P1782" t="inlineStr">
        <is>
          <t>OK</t>
        </is>
      </c>
      <c r="R1782" t="inlineStr">
        <is>
          <t>Arcanes share across items like mods (one max-rank copy covers every build).</t>
        </is>
      </c>
      <c r="S1782" t="inlineStr">
        <is>
          <t>magus_elevate</t>
        </is>
      </c>
      <c r="T1782" t="n">
        <v>17</v>
      </c>
      <c r="U1782" t="n">
        <v>17</v>
      </c>
      <c r="V1782" t="n">
        <v>50</v>
      </c>
      <c r="W1782" t="n">
        <v>59</v>
      </c>
      <c r="X1782" t="n">
        <v>57.1</v>
      </c>
      <c r="Y1782" t="n">
        <v>1475</v>
      </c>
      <c r="Z1782" t="n">
        <v>26</v>
      </c>
      <c r="AA1782" t="n">
        <v>21</v>
      </c>
      <c r="AB1782" t="n">
        <v>29</v>
      </c>
      <c r="AQ1782" t="n">
        <v>5</v>
      </c>
      <c r="AR1782" t="n">
        <v>105</v>
      </c>
      <c r="AS1782" t="inlineStr">
        <is>
          <t>Collection (optional)</t>
        </is>
      </c>
    </row>
    <row r="1783">
      <c r="A1783" t="inlineStr">
        <is>
          <t>Arcane</t>
        </is>
      </c>
      <c r="B1783" t="inlineStr">
        <is>
          <t>Magus Firewall</t>
        </is>
      </c>
      <c r="E1783" t="inlineStr">
        <is>
          <t>Operator</t>
        </is>
      </c>
      <c r="F1783" t="n">
        <v>5</v>
      </c>
      <c r="G1783" t="n">
        <v>1</v>
      </c>
      <c r="H1783" t="inlineStr">
        <is>
          <t>Player trade (max rank)</t>
        </is>
      </c>
      <c r="I1783" t="inlineStr">
        <is>
          <t>Yes</t>
        </is>
      </c>
      <c r="K1783" t="inlineStr">
        <is>
          <t>Collection (optional)</t>
        </is>
      </c>
      <c r="L1783" t="n">
        <v>100</v>
      </c>
      <c r="M1783" t="n">
        <v>114</v>
      </c>
      <c r="N1783" t="n">
        <v>175</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magus_firewall</t>
        </is>
      </c>
      <c r="T1783" t="n">
        <v>10</v>
      </c>
      <c r="U1783" t="n">
        <v>10</v>
      </c>
      <c r="V1783" t="n">
        <v>90</v>
      </c>
      <c r="W1783" t="n">
        <v>90</v>
      </c>
      <c r="X1783" t="n">
        <v>91.2</v>
      </c>
      <c r="Y1783" t="n">
        <v>41</v>
      </c>
      <c r="Z1783" t="n">
        <v>2</v>
      </c>
      <c r="AQ1783" t="n">
        <v>5</v>
      </c>
      <c r="AR1783" t="n">
        <v>105</v>
      </c>
      <c r="AS1783" t="inlineStr">
        <is>
          <t>Collection (optional)</t>
        </is>
      </c>
    </row>
    <row r="1784">
      <c r="A1784" t="inlineStr">
        <is>
          <t>Arcane</t>
        </is>
      </c>
      <c r="B1784" t="inlineStr">
        <is>
          <t>Magus Glitch</t>
        </is>
      </c>
      <c r="E1784" t="inlineStr">
        <is>
          <t>Operator</t>
        </is>
      </c>
      <c r="F1784" t="n">
        <v>5</v>
      </c>
      <c r="G1784" t="n">
        <v>1</v>
      </c>
      <c r="H1784" t="inlineStr">
        <is>
          <t>Player trade (max rank)</t>
        </is>
      </c>
      <c r="I1784" t="inlineStr">
        <is>
          <t>Yes</t>
        </is>
      </c>
      <c r="K1784" t="inlineStr">
        <is>
          <t>Collection (optional)</t>
        </is>
      </c>
      <c r="L1784" t="n">
        <v>99</v>
      </c>
      <c r="M1784" t="n">
        <v>125</v>
      </c>
      <c r="N1784" t="n">
        <v>154</v>
      </c>
      <c r="O1784" t="inlineStr">
        <is>
          <t>2026-10-05 UTC (WFM pull 02:52-04:00)</t>
        </is>
      </c>
      <c r="P1784" t="inlineStr">
        <is>
          <t>OK</t>
        </is>
      </c>
      <c r="Q1784" t="inlineStr">
        <is>
          <t>Cheaper via 21x R0 (105p realistic) than buying max rank</t>
        </is>
      </c>
      <c r="R1784" t="inlineStr">
        <is>
          <t>Arcanes share across items like mods (one max-rank copy covers every build).</t>
        </is>
      </c>
      <c r="S1784" t="inlineStr">
        <is>
          <t>magus_glitch</t>
        </is>
      </c>
      <c r="T1784" t="n">
        <v>8</v>
      </c>
      <c r="U1784" t="n">
        <v>8</v>
      </c>
      <c r="V1784" t="n">
        <v>97.5</v>
      </c>
      <c r="W1784" t="n">
        <v>97.5</v>
      </c>
      <c r="X1784" t="n">
        <v>96.59999999999999</v>
      </c>
      <c r="Y1784" t="n">
        <v>90</v>
      </c>
      <c r="Z1784" t="n">
        <v>2</v>
      </c>
      <c r="AA1784" t="n">
        <v>37</v>
      </c>
      <c r="AB1784" t="n">
        <v>62</v>
      </c>
      <c r="AQ1784" t="n">
        <v>5</v>
      </c>
      <c r="AR1784" t="n">
        <v>105</v>
      </c>
      <c r="AS1784" t="inlineStr">
        <is>
          <t>Collection (optional)</t>
        </is>
      </c>
    </row>
    <row r="1785">
      <c r="A1785" t="inlineStr">
        <is>
          <t>Arcane</t>
        </is>
      </c>
      <c r="B1785" t="inlineStr">
        <is>
          <t>Magus Husk</t>
        </is>
      </c>
      <c r="E1785" t="inlineStr">
        <is>
          <t>Operator</t>
        </is>
      </c>
      <c r="F1785" t="n">
        <v>5</v>
      </c>
      <c r="G1785" t="n">
        <v>1</v>
      </c>
      <c r="H1785" t="inlineStr">
        <is>
          <t>Player trade (max rank)</t>
        </is>
      </c>
      <c r="I1785" t="inlineStr">
        <is>
          <t>Yes</t>
        </is>
      </c>
      <c r="K1785" t="inlineStr">
        <is>
          <t>Collection (optional)</t>
        </is>
      </c>
      <c r="L1785" t="n">
        <v>60</v>
      </c>
      <c r="M1785" t="n">
        <v>61.5</v>
      </c>
      <c r="N1785" t="n">
        <v>111</v>
      </c>
      <c r="O1785" t="inlineStr">
        <is>
          <t>2026-10-05 UTC (WFM pull 02:52-04:00)</t>
        </is>
      </c>
      <c r="P1785" t="inlineStr">
        <is>
          <t>OK</t>
        </is>
      </c>
      <c r="R1785" t="inlineStr">
        <is>
          <t>Arcanes share across items like mods (one max-rank copy covers every build).</t>
        </is>
      </c>
      <c r="S1785" t="inlineStr">
        <is>
          <t>magus_husk</t>
        </is>
      </c>
      <c r="T1785" t="n">
        <v>6</v>
      </c>
      <c r="U1785" t="n">
        <v>6</v>
      </c>
      <c r="V1785" t="n">
        <v>41</v>
      </c>
      <c r="W1785" t="n">
        <v>42.5</v>
      </c>
      <c r="X1785" t="n">
        <v>43</v>
      </c>
      <c r="Y1785" t="n">
        <v>121</v>
      </c>
      <c r="Z1785" t="n">
        <v>3</v>
      </c>
      <c r="AA1785" t="n">
        <v>15</v>
      </c>
      <c r="AB1785" t="n">
        <v>45</v>
      </c>
      <c r="AQ1785" t="n">
        <v>4</v>
      </c>
      <c r="AR1785" t="n">
        <v>84</v>
      </c>
      <c r="AS1785" t="inlineStr">
        <is>
          <t>Collection (optional)</t>
        </is>
      </c>
    </row>
    <row r="1786">
      <c r="A1786" t="inlineStr">
        <is>
          <t>Arcane</t>
        </is>
      </c>
      <c r="B1786" t="inlineStr">
        <is>
          <t>Magus Lockdown</t>
        </is>
      </c>
      <c r="E1786" t="inlineStr">
        <is>
          <t>Operator</t>
        </is>
      </c>
      <c r="F1786" t="n">
        <v>5</v>
      </c>
      <c r="G1786" t="n">
        <v>1</v>
      </c>
      <c r="H1786" t="inlineStr">
        <is>
          <t>Player trade (max rank)</t>
        </is>
      </c>
      <c r="I1786" t="inlineStr">
        <is>
          <t>Yes</t>
        </is>
      </c>
      <c r="K1786" t="inlineStr">
        <is>
          <t>Collection (optional)</t>
        </is>
      </c>
      <c r="L1786" t="n">
        <v>85</v>
      </c>
      <c r="M1786" t="n">
        <v>88</v>
      </c>
      <c r="N1786" t="n">
        <v>100</v>
      </c>
      <c r="O1786" t="inlineStr">
        <is>
          <t>2026-10-05 UTC (WFM pull 02:52-04:00)</t>
        </is>
      </c>
      <c r="P1786" t="inlineStr">
        <is>
          <t>OK</t>
        </is>
      </c>
      <c r="R1786" t="inlineStr">
        <is>
          <t>Arcanes share across items like mods (one max-rank copy covers every build).</t>
        </is>
      </c>
      <c r="S1786" t="inlineStr">
        <is>
          <t>magus_lockdown</t>
        </is>
      </c>
      <c r="T1786" t="n">
        <v>23</v>
      </c>
      <c r="U1786" t="n">
        <v>23</v>
      </c>
      <c r="V1786" t="n">
        <v>80</v>
      </c>
      <c r="W1786" t="n">
        <v>90</v>
      </c>
      <c r="X1786" t="n">
        <v>87.8</v>
      </c>
      <c r="Y1786" t="n">
        <v>2316</v>
      </c>
      <c r="Z1786" t="n">
        <v>50</v>
      </c>
      <c r="AA1786" t="n">
        <v>60</v>
      </c>
      <c r="AB1786" t="n">
        <v>25</v>
      </c>
      <c r="AQ1786" t="n">
        <v>6</v>
      </c>
      <c r="AR1786" t="n">
        <v>126</v>
      </c>
      <c r="AS1786" t="inlineStr">
        <is>
          <t>Collection (optional)</t>
        </is>
      </c>
    </row>
    <row r="1787">
      <c r="A1787" t="inlineStr">
        <is>
          <t>Arcane</t>
        </is>
      </c>
      <c r="B1787" t="inlineStr">
        <is>
          <t>Magus Melt</t>
        </is>
      </c>
      <c r="E1787" t="inlineStr">
        <is>
          <t>Operator</t>
        </is>
      </c>
      <c r="F1787" t="n">
        <v>5</v>
      </c>
      <c r="G1787" t="n">
        <v>1</v>
      </c>
      <c r="H1787" t="inlineStr">
        <is>
          <t>Player trade (max rank)</t>
        </is>
      </c>
      <c r="I1787" t="inlineStr">
        <is>
          <t>Yes</t>
        </is>
      </c>
      <c r="K1787" t="inlineStr">
        <is>
          <t>Collection (optional)</t>
        </is>
      </c>
      <c r="L1787" t="n">
        <v>83</v>
      </c>
      <c r="M1787" t="n">
        <v>85</v>
      </c>
      <c r="N1787" t="n">
        <v>94</v>
      </c>
      <c r="O1787" t="inlineStr">
        <is>
          <t>2026-10-05 UTC (WFM pull 02:52-04:00)</t>
        </is>
      </c>
      <c r="P1787" t="inlineStr">
        <is>
          <t>OK</t>
        </is>
      </c>
      <c r="R1787" t="inlineStr">
        <is>
          <t>Arcanes share across items like mods (one max-rank copy covers every build).</t>
        </is>
      </c>
      <c r="S1787" t="inlineStr">
        <is>
          <t>magus_melt</t>
        </is>
      </c>
      <c r="T1787" t="n">
        <v>23</v>
      </c>
      <c r="U1787" t="n">
        <v>23</v>
      </c>
      <c r="V1787" t="n">
        <v>83</v>
      </c>
      <c r="W1787" t="n">
        <v>90</v>
      </c>
      <c r="X1787" t="n">
        <v>89</v>
      </c>
      <c r="Y1787" t="n">
        <v>3397</v>
      </c>
      <c r="Z1787" t="n">
        <v>93</v>
      </c>
      <c r="AA1787" t="n">
        <v>70</v>
      </c>
      <c r="AB1787" t="n">
        <v>13</v>
      </c>
      <c r="AQ1787" t="n">
        <v>5</v>
      </c>
      <c r="AR1787" t="n">
        <v>105</v>
      </c>
      <c r="AS1787" t="inlineStr">
        <is>
          <t>Collection (optional)</t>
        </is>
      </c>
    </row>
    <row r="1788">
      <c r="A1788" t="inlineStr">
        <is>
          <t>Arcane</t>
        </is>
      </c>
      <c r="B1788" t="inlineStr">
        <is>
          <t>Magus Nourish</t>
        </is>
      </c>
      <c r="E1788" t="inlineStr">
        <is>
          <t>Operator</t>
        </is>
      </c>
      <c r="F1788" t="n">
        <v>5</v>
      </c>
      <c r="G1788" t="n">
        <v>1</v>
      </c>
      <c r="H1788" t="inlineStr">
        <is>
          <t>Player trade (max rank)</t>
        </is>
      </c>
      <c r="I1788" t="inlineStr">
        <is>
          <t>Yes</t>
        </is>
      </c>
      <c r="K1788" t="inlineStr">
        <is>
          <t>Collection (optional)</t>
        </is>
      </c>
      <c r="L1788" t="n">
        <v>49</v>
      </c>
      <c r="M1788" t="n">
        <v>60</v>
      </c>
      <c r="N1788" t="n">
        <v>88</v>
      </c>
      <c r="O1788" t="inlineStr">
        <is>
          <t>2026-10-05 UTC (WFM pull 02:52-04:00)</t>
        </is>
      </c>
      <c r="P1788" t="inlineStr">
        <is>
          <t>OK</t>
        </is>
      </c>
      <c r="R1788" t="inlineStr">
        <is>
          <t>Arcanes share across items like mods (one max-rank copy covers every build).</t>
        </is>
      </c>
      <c r="S1788" t="inlineStr">
        <is>
          <t>magus_nourish</t>
        </is>
      </c>
      <c r="T1788" t="n">
        <v>10</v>
      </c>
      <c r="U1788" t="n">
        <v>10</v>
      </c>
      <c r="V1788" t="n">
        <v>50</v>
      </c>
      <c r="W1788" t="n">
        <v>55</v>
      </c>
      <c r="X1788" t="n">
        <v>54.5</v>
      </c>
      <c r="Y1788" t="n">
        <v>193</v>
      </c>
      <c r="Z1788" t="n">
        <v>7</v>
      </c>
      <c r="AA1788" t="n">
        <v>36</v>
      </c>
      <c r="AB1788" t="n">
        <v>13</v>
      </c>
      <c r="AQ1788" t="n">
        <v>6</v>
      </c>
      <c r="AR1788" t="n">
        <v>126</v>
      </c>
      <c r="AS1788" t="inlineStr">
        <is>
          <t>Collection (optional)</t>
        </is>
      </c>
    </row>
    <row r="1789">
      <c r="A1789" t="inlineStr">
        <is>
          <t>Arcane</t>
        </is>
      </c>
      <c r="B1789" t="inlineStr">
        <is>
          <t>Magus Overload</t>
        </is>
      </c>
      <c r="E1789" t="inlineStr">
        <is>
          <t>Operator</t>
        </is>
      </c>
      <c r="F1789" t="n">
        <v>5</v>
      </c>
      <c r="G1789" t="n">
        <v>1</v>
      </c>
      <c r="H1789" t="inlineStr">
        <is>
          <t>Player trade (max rank)</t>
        </is>
      </c>
      <c r="I1789" t="inlineStr">
        <is>
          <t>Yes</t>
        </is>
      </c>
      <c r="K1789" t="inlineStr">
        <is>
          <t>Collection (optional)</t>
        </is>
      </c>
      <c r="L1789" t="n">
        <v>94</v>
      </c>
      <c r="M1789" t="n">
        <v>120</v>
      </c>
      <c r="N1789" t="n">
        <v>199</v>
      </c>
      <c r="O1789" t="inlineStr">
        <is>
          <t>2026-10-05 UTC (WFM pull 02:52-04:00)</t>
        </is>
      </c>
      <c r="P1789" t="inlineStr">
        <is>
          <t>OK</t>
        </is>
      </c>
      <c r="R1789" t="inlineStr">
        <is>
          <t>Arcanes share across items like mods (one max-rank copy covers every build).</t>
        </is>
      </c>
      <c r="S1789" t="inlineStr">
        <is>
          <t>magus_overload</t>
        </is>
      </c>
      <c r="T1789" t="n">
        <v>7</v>
      </c>
      <c r="U1789" t="n">
        <v>7</v>
      </c>
      <c r="V1789" t="n">
        <v>80</v>
      </c>
      <c r="W1789" t="n">
        <v>82.5</v>
      </c>
      <c r="X1789" t="n">
        <v>86.2</v>
      </c>
      <c r="Y1789" t="n">
        <v>48</v>
      </c>
      <c r="Z1789" t="n">
        <v>2</v>
      </c>
      <c r="AQ1789" t="n">
        <v>6</v>
      </c>
      <c r="AR1789" t="n">
        <v>126</v>
      </c>
      <c r="AS1789" t="inlineStr">
        <is>
          <t>Collection (optional)</t>
        </is>
      </c>
    </row>
    <row r="1790">
      <c r="A1790" t="inlineStr">
        <is>
          <t>Arcane</t>
        </is>
      </c>
      <c r="B1790" t="inlineStr">
        <is>
          <t>Magus Repair</t>
        </is>
      </c>
      <c r="E1790" t="inlineStr">
        <is>
          <t>Operator</t>
        </is>
      </c>
      <c r="F1790" t="n">
        <v>5</v>
      </c>
      <c r="G1790" t="n">
        <v>1</v>
      </c>
      <c r="H1790" t="inlineStr">
        <is>
          <t>Player trade (max rank)</t>
        </is>
      </c>
      <c r="I1790" t="inlineStr">
        <is>
          <t>Yes</t>
        </is>
      </c>
      <c r="K1790" t="inlineStr">
        <is>
          <t>Collection (optional)</t>
        </is>
      </c>
      <c r="L1790" t="n">
        <v>90</v>
      </c>
      <c r="M1790" t="n">
        <v>95</v>
      </c>
      <c r="N1790" t="n">
        <v>111</v>
      </c>
      <c r="O1790" t="inlineStr">
        <is>
          <t>2026-10-05 UTC (WFM pull 02:52-04:00)</t>
        </is>
      </c>
      <c r="P1790" t="inlineStr">
        <is>
          <t>OK</t>
        </is>
      </c>
      <c r="R1790" t="inlineStr">
        <is>
          <t>Arcanes share across items like mods (one max-rank copy covers every build).</t>
        </is>
      </c>
      <c r="S1790" t="inlineStr">
        <is>
          <t>magus_repair</t>
        </is>
      </c>
      <c r="T1790" t="n">
        <v>12</v>
      </c>
      <c r="U1790" t="n">
        <v>12</v>
      </c>
      <c r="V1790" t="n">
        <v>90</v>
      </c>
      <c r="W1790" t="n">
        <v>95</v>
      </c>
      <c r="X1790" t="n">
        <v>93.59999999999999</v>
      </c>
      <c r="Y1790" t="n">
        <v>802</v>
      </c>
      <c r="Z1790" t="n">
        <v>22</v>
      </c>
      <c r="AA1790" t="n">
        <v>65</v>
      </c>
      <c r="AB1790" t="n">
        <v>25</v>
      </c>
      <c r="AQ1790" t="n">
        <v>8</v>
      </c>
      <c r="AR1790" t="n">
        <v>168</v>
      </c>
      <c r="AS1790" t="inlineStr">
        <is>
          <t>Collection (optional)</t>
        </is>
      </c>
    </row>
    <row r="1791">
      <c r="A1791" t="inlineStr">
        <is>
          <t>Arcane</t>
        </is>
      </c>
      <c r="B1791" t="inlineStr">
        <is>
          <t>Magus Replenish</t>
        </is>
      </c>
      <c r="E1791" t="inlineStr">
        <is>
          <t>Operator</t>
        </is>
      </c>
      <c r="F1791" t="n">
        <v>5</v>
      </c>
      <c r="G1791" t="n">
        <v>1</v>
      </c>
      <c r="H1791" t="inlineStr">
        <is>
          <t>Player trade (max rank)</t>
        </is>
      </c>
      <c r="I1791" t="inlineStr">
        <is>
          <t>Yes</t>
        </is>
      </c>
      <c r="K1791" t="inlineStr">
        <is>
          <t>Collection (optional)</t>
        </is>
      </c>
      <c r="L1791" t="n">
        <v>70</v>
      </c>
      <c r="M1791" t="n">
        <v>90</v>
      </c>
      <c r="N1791" t="n">
        <v>199</v>
      </c>
      <c r="O1791" t="inlineStr">
        <is>
          <t>2026-10-05 UTC (WFM pull 02:52-04:00)</t>
        </is>
      </c>
      <c r="P1791" t="inlineStr">
        <is>
          <t>OK</t>
        </is>
      </c>
      <c r="R1791" t="inlineStr">
        <is>
          <t>Arcanes share across items like mods (one max-rank copy covers every build).</t>
        </is>
      </c>
      <c r="S1791" t="inlineStr">
        <is>
          <t>magus_replenish</t>
        </is>
      </c>
      <c r="T1791" t="n">
        <v>5</v>
      </c>
      <c r="U1791" t="n">
        <v>5</v>
      </c>
      <c r="V1791" t="n">
        <v>60</v>
      </c>
      <c r="W1791" t="n">
        <v>65</v>
      </c>
      <c r="X1791" t="n">
        <v>66.2</v>
      </c>
      <c r="Y1791" t="n">
        <v>113</v>
      </c>
      <c r="Z1791" t="n">
        <v>2</v>
      </c>
      <c r="AA1791" t="n">
        <v>21</v>
      </c>
      <c r="AB1791" t="n">
        <v>49</v>
      </c>
      <c r="AQ1791" t="n">
        <v>5</v>
      </c>
      <c r="AR1791" t="n">
        <v>105</v>
      </c>
      <c r="AS1791" t="inlineStr">
        <is>
          <t>Collection (optional)</t>
        </is>
      </c>
    </row>
    <row r="1792">
      <c r="A1792" t="inlineStr">
        <is>
          <t>Arcane</t>
        </is>
      </c>
      <c r="B1792" t="inlineStr">
        <is>
          <t>Magus Revert</t>
        </is>
      </c>
      <c r="E1792" t="inlineStr">
        <is>
          <t>Operator</t>
        </is>
      </c>
      <c r="F1792" t="n">
        <v>5</v>
      </c>
      <c r="G1792" t="n">
        <v>1</v>
      </c>
      <c r="H1792" t="inlineStr">
        <is>
          <t>Player trade (max rank)</t>
        </is>
      </c>
      <c r="I1792" t="inlineStr">
        <is>
          <t>Yes</t>
        </is>
      </c>
      <c r="K1792" t="inlineStr">
        <is>
          <t>Collection (optional)</t>
        </is>
      </c>
      <c r="L1792" t="n">
        <v>109</v>
      </c>
      <c r="M1792" t="n">
        <v>150</v>
      </c>
      <c r="N1792" t="n">
        <v>184</v>
      </c>
      <c r="O1792" t="inlineStr">
        <is>
          <t>2026-10-05 UTC (WFM pull 02:52-04:00)</t>
        </is>
      </c>
      <c r="P1792" t="inlineStr">
        <is>
          <t>OK</t>
        </is>
      </c>
      <c r="Q1792" t="inlineStr">
        <is>
          <t>Cheaper via 21x R0 (105p realistic) than buying max rank</t>
        </is>
      </c>
      <c r="R1792" t="inlineStr">
        <is>
          <t>Arcanes share across items like mods (one max-rank copy covers every build).</t>
        </is>
      </c>
      <c r="S1792" t="inlineStr">
        <is>
          <t>magus_revert</t>
        </is>
      </c>
      <c r="T1792" t="n">
        <v>6</v>
      </c>
      <c r="U1792" t="n">
        <v>6</v>
      </c>
      <c r="V1792" t="n">
        <v>100</v>
      </c>
      <c r="W1792" t="n">
        <v>95</v>
      </c>
      <c r="X1792" t="n">
        <v>96.09999999999999</v>
      </c>
      <c r="Y1792" t="n">
        <v>36</v>
      </c>
      <c r="Z1792" t="n">
        <v>0</v>
      </c>
      <c r="AA1792" t="n">
        <v>42</v>
      </c>
      <c r="AB1792" t="n">
        <v>67</v>
      </c>
      <c r="AQ1792" t="n">
        <v>5</v>
      </c>
      <c r="AR1792" t="n">
        <v>105</v>
      </c>
      <c r="AS1792" t="inlineStr">
        <is>
          <t>Collection (optional)</t>
        </is>
      </c>
    </row>
    <row r="1793">
      <c r="A1793" t="inlineStr">
        <is>
          <t>Arcane</t>
        </is>
      </c>
      <c r="B1793" t="inlineStr">
        <is>
          <t>Magus Vigor</t>
        </is>
      </c>
      <c r="E1793" t="inlineStr">
        <is>
          <t>Operator</t>
        </is>
      </c>
      <c r="F1793" t="n">
        <v>5</v>
      </c>
      <c r="G1793" t="n">
        <v>1</v>
      </c>
      <c r="H1793" t="inlineStr">
        <is>
          <t>Player trade (max rank)</t>
        </is>
      </c>
      <c r="I1793" t="inlineStr">
        <is>
          <t>Yes</t>
        </is>
      </c>
      <c r="K1793" t="inlineStr">
        <is>
          <t>Collection (optional)</t>
        </is>
      </c>
      <c r="L1793" t="n">
        <v>19</v>
      </c>
      <c r="M1793" t="n">
        <v>30.8</v>
      </c>
      <c r="N1793" t="n">
        <v>68</v>
      </c>
      <c r="O1793" t="inlineStr">
        <is>
          <t>2026-10-05 UTC (WFM pull 02:52-04:00)</t>
        </is>
      </c>
      <c r="P1793" t="inlineStr">
        <is>
          <t>OK</t>
        </is>
      </c>
      <c r="R1793" t="inlineStr">
        <is>
          <t>Arcanes share across items like mods (one max-rank copy covers every build).</t>
        </is>
      </c>
      <c r="S1793" t="inlineStr">
        <is>
          <t>magus_vigor</t>
        </is>
      </c>
      <c r="T1793" t="n">
        <v>4</v>
      </c>
      <c r="U1793" t="n">
        <v>4</v>
      </c>
      <c r="V1793" t="n">
        <v>20.5</v>
      </c>
      <c r="W1793" t="n">
        <v>22.5</v>
      </c>
      <c r="X1793" t="n">
        <v>22.7</v>
      </c>
      <c r="Y1793" t="n">
        <v>246</v>
      </c>
      <c r="Z1793" t="n">
        <v>7</v>
      </c>
      <c r="AQ1793" t="n">
        <v>3</v>
      </c>
      <c r="AR1793" t="n">
        <v>63</v>
      </c>
      <c r="AS1793" t="inlineStr">
        <is>
          <t>Collection (optional)</t>
        </is>
      </c>
    </row>
    <row r="1794">
      <c r="A1794" t="inlineStr">
        <is>
          <t>Arcane</t>
        </is>
      </c>
      <c r="B1794" t="inlineStr">
        <is>
          <t>Melee Afflictions</t>
        </is>
      </c>
      <c r="E1794" t="inlineStr">
        <is>
          <t>Melee</t>
        </is>
      </c>
      <c r="F1794" t="n">
        <v>5</v>
      </c>
      <c r="G1794" t="n">
        <v>1</v>
      </c>
      <c r="H1794" t="inlineStr">
        <is>
          <t>Player trade (max rank)</t>
        </is>
      </c>
      <c r="I1794" t="inlineStr">
        <is>
          <t>Yes</t>
        </is>
      </c>
      <c r="K1794" t="inlineStr">
        <is>
          <t>Collection (optional)</t>
        </is>
      </c>
      <c r="L1794" t="n">
        <v>70</v>
      </c>
      <c r="M1794" t="n">
        <v>70</v>
      </c>
      <c r="N1794" t="n">
        <v>83</v>
      </c>
      <c r="O1794" t="inlineStr">
        <is>
          <t>2026-10-05 UTC (WFM pull 02:52-04:00)</t>
        </is>
      </c>
      <c r="P1794" t="inlineStr">
        <is>
          <t>OK</t>
        </is>
      </c>
      <c r="R1794" t="inlineStr">
        <is>
          <t>Arcanes share across items like mods (one max-rank copy covers every build).</t>
        </is>
      </c>
      <c r="S1794" t="inlineStr">
        <is>
          <t>melee_afflictions</t>
        </is>
      </c>
      <c r="T1794" t="n">
        <v>15</v>
      </c>
      <c r="U1794" t="n">
        <v>15</v>
      </c>
      <c r="V1794" t="n">
        <v>69.5</v>
      </c>
      <c r="W1794" t="n">
        <v>61</v>
      </c>
      <c r="X1794" t="n">
        <v>62.2</v>
      </c>
      <c r="Y1794" t="n">
        <v>4663</v>
      </c>
      <c r="Z1794" t="n">
        <v>103</v>
      </c>
      <c r="AA1794" t="n">
        <v>50</v>
      </c>
      <c r="AB1794" t="n">
        <v>20</v>
      </c>
      <c r="AQ1794" t="n">
        <v>4</v>
      </c>
      <c r="AR1794" t="n">
        <v>84</v>
      </c>
      <c r="AS1794" t="inlineStr">
        <is>
          <t>Collection (optional)</t>
        </is>
      </c>
    </row>
    <row r="1795">
      <c r="A1795" t="inlineStr">
        <is>
          <t>Arcane</t>
        </is>
      </c>
      <c r="B1795" t="inlineStr">
        <is>
          <t>Melee Animosity</t>
        </is>
      </c>
      <c r="E1795" t="inlineStr">
        <is>
          <t>Melee</t>
        </is>
      </c>
      <c r="F1795" t="n">
        <v>5</v>
      </c>
      <c r="G1795" t="n">
        <v>1</v>
      </c>
      <c r="H1795" t="inlineStr">
        <is>
          <t>Player trade (max rank)</t>
        </is>
      </c>
      <c r="I1795" t="inlineStr">
        <is>
          <t>Yes</t>
        </is>
      </c>
      <c r="K1795" t="inlineStr">
        <is>
          <t>Required (v4.2 weapon/exalted builds)</t>
        </is>
      </c>
      <c r="L1795" t="n">
        <v>60</v>
      </c>
      <c r="M1795" t="n">
        <v>64</v>
      </c>
      <c r="N1795" t="n">
        <v>77</v>
      </c>
      <c r="O1795" t="inlineStr">
        <is>
          <t>2026-10-05 UTC (WFM pull 02:52-04:00)</t>
        </is>
      </c>
      <c r="P1795" t="inlineStr">
        <is>
          <t>OK</t>
        </is>
      </c>
      <c r="R1795" t="inlineStr">
        <is>
          <t>Arcanes share across items like mods (one max-rank copy covers every build).</t>
        </is>
      </c>
      <c r="S1795" t="inlineStr">
        <is>
          <t>melee_animosity</t>
        </is>
      </c>
      <c r="T1795" t="n">
        <v>11</v>
      </c>
      <c r="U1795" t="n">
        <v>11</v>
      </c>
      <c r="V1795" t="n">
        <v>59</v>
      </c>
      <c r="W1795" t="n">
        <v>60</v>
      </c>
      <c r="X1795" t="n">
        <v>58.5</v>
      </c>
      <c r="Y1795" t="n">
        <v>1554</v>
      </c>
      <c r="Z1795" t="n">
        <v>32</v>
      </c>
      <c r="AA1795" t="n">
        <v>34</v>
      </c>
      <c r="AB1795" t="n">
        <v>26</v>
      </c>
      <c r="AQ1795" t="n">
        <v>4.5</v>
      </c>
      <c r="AR1795" t="n">
        <v>94.5</v>
      </c>
      <c r="AS1795" t="inlineStr">
        <is>
          <t>Yes</t>
        </is>
      </c>
    </row>
    <row r="1796">
      <c r="A1796" t="inlineStr">
        <is>
          <t>Arcane</t>
        </is>
      </c>
      <c r="B1796" t="inlineStr">
        <is>
          <t>Melee Assimilation</t>
        </is>
      </c>
      <c r="E1796" t="inlineStr">
        <is>
          <t>Melee</t>
        </is>
      </c>
      <c r="F1796" t="n">
        <v>5</v>
      </c>
      <c r="G1796" t="n">
        <v>1</v>
      </c>
      <c r="H1796" t="inlineStr">
        <is>
          <t>Player trade (max rank)</t>
        </is>
      </c>
      <c r="I1796" t="inlineStr">
        <is>
          <t>Yes</t>
        </is>
      </c>
      <c r="K1796" t="inlineStr">
        <is>
          <t>Collection (optional)</t>
        </is>
      </c>
      <c r="L1796" t="n">
        <v>59</v>
      </c>
      <c r="M1796" t="n">
        <v>60</v>
      </c>
      <c r="N1796" t="n">
        <v>98</v>
      </c>
      <c r="O1796" t="inlineStr">
        <is>
          <t>2026-10-05 UTC (WFM pull 02:52-04:00)</t>
        </is>
      </c>
      <c r="P1796" t="inlineStr">
        <is>
          <t>OK</t>
        </is>
      </c>
      <c r="R1796" t="inlineStr">
        <is>
          <t>Arcanes share across items like mods (one max-rank copy covers every build).</t>
        </is>
      </c>
      <c r="S1796" t="inlineStr">
        <is>
          <t>melee_assimilation</t>
        </is>
      </c>
      <c r="T1796" t="n">
        <v>5</v>
      </c>
      <c r="U1796" t="n">
        <v>5</v>
      </c>
      <c r="V1796" t="n">
        <v>54</v>
      </c>
      <c r="W1796" t="n">
        <v>40</v>
      </c>
      <c r="X1796" t="n">
        <v>43.4</v>
      </c>
      <c r="Y1796" t="n">
        <v>789</v>
      </c>
      <c r="Z1796" t="n">
        <v>30</v>
      </c>
      <c r="AA1796" t="n">
        <v>40</v>
      </c>
      <c r="AB1796" t="n">
        <v>19</v>
      </c>
      <c r="AQ1796" t="n">
        <v>7</v>
      </c>
      <c r="AR1796" t="n">
        <v>147</v>
      </c>
      <c r="AS1796" t="inlineStr">
        <is>
          <t>Collection (optional)</t>
        </is>
      </c>
    </row>
    <row r="1797">
      <c r="A1797" t="inlineStr">
        <is>
          <t>Arcane</t>
        </is>
      </c>
      <c r="B1797" t="inlineStr">
        <is>
          <t>Melee Careen</t>
        </is>
      </c>
      <c r="E1797" t="inlineStr">
        <is>
          <t>Melee</t>
        </is>
      </c>
      <c r="F1797" t="n">
        <v>5</v>
      </c>
      <c r="G1797" t="n">
        <v>1</v>
      </c>
      <c r="H1797" t="inlineStr">
        <is>
          <t>Player trade (max rank)</t>
        </is>
      </c>
      <c r="I1797" t="inlineStr">
        <is>
          <t>Yes</t>
        </is>
      </c>
      <c r="K1797" t="inlineStr">
        <is>
          <t>Collection (optional)</t>
        </is>
      </c>
      <c r="L1797" t="n">
        <v>39</v>
      </c>
      <c r="M1797" t="n">
        <v>40</v>
      </c>
      <c r="N1797" t="n">
        <v>66</v>
      </c>
      <c r="O1797" t="inlineStr">
        <is>
          <t>2026-10-05 UTC (WFM pull 02:52-04:00)</t>
        </is>
      </c>
      <c r="P1797" t="inlineStr">
        <is>
          <t>OK</t>
        </is>
      </c>
      <c r="R1797" t="inlineStr">
        <is>
          <t>Arcanes share across items like mods (one max-rank copy covers every build).</t>
        </is>
      </c>
      <c r="S1797" t="inlineStr">
        <is>
          <t>melee_careen</t>
        </is>
      </c>
      <c r="T1797" t="n">
        <v>9</v>
      </c>
      <c r="U1797" t="n">
        <v>9</v>
      </c>
      <c r="V1797" t="n">
        <v>30</v>
      </c>
      <c r="W1797" t="n">
        <v>29</v>
      </c>
      <c r="X1797" t="n">
        <v>28.4</v>
      </c>
      <c r="Y1797" t="n">
        <v>1795</v>
      </c>
      <c r="Z1797" t="n">
        <v>62</v>
      </c>
      <c r="AA1797" t="n">
        <v>20</v>
      </c>
      <c r="AB1797" t="n">
        <v>19</v>
      </c>
      <c r="AQ1797" t="n">
        <v>3</v>
      </c>
      <c r="AR1797" t="n">
        <v>63</v>
      </c>
      <c r="AS1797" t="inlineStr">
        <is>
          <t>Collection (optional)</t>
        </is>
      </c>
    </row>
    <row r="1798">
      <c r="A1798" t="inlineStr">
        <is>
          <t>Arcane</t>
        </is>
      </c>
      <c r="B1798" t="inlineStr">
        <is>
          <t>Melee Crescendo</t>
        </is>
      </c>
      <c r="E1798" t="inlineStr">
        <is>
          <t>Melee</t>
        </is>
      </c>
      <c r="F1798" t="n">
        <v>5</v>
      </c>
      <c r="G1798" t="n">
        <v>1</v>
      </c>
      <c r="H1798" t="inlineStr">
        <is>
          <t>Player trade (max rank)</t>
        </is>
      </c>
      <c r="I1798" t="inlineStr">
        <is>
          <t>Yes</t>
        </is>
      </c>
      <c r="K1798" t="inlineStr">
        <is>
          <t>Required (v4.2 weapon/exalted builds)</t>
        </is>
      </c>
      <c r="L1798" t="n">
        <v>95</v>
      </c>
      <c r="M1798" t="n">
        <v>98</v>
      </c>
      <c r="N1798" t="n">
        <v>111</v>
      </c>
      <c r="O1798" t="inlineStr">
        <is>
          <t>2026-10-05 UTC (WFM pull 02:52-04:00)</t>
        </is>
      </c>
      <c r="P1798" t="inlineStr">
        <is>
          <t>OK</t>
        </is>
      </c>
      <c r="R1798" t="inlineStr">
        <is>
          <t>Arcanes share across items like mods (one max-rank copy covers every build).</t>
        </is>
      </c>
      <c r="S1798" t="inlineStr">
        <is>
          <t>melee_crescendo</t>
        </is>
      </c>
      <c r="T1798" t="n">
        <v>43</v>
      </c>
      <c r="U1798" t="n">
        <v>43</v>
      </c>
      <c r="V1798" t="n">
        <v>100</v>
      </c>
      <c r="W1798" t="n">
        <v>120</v>
      </c>
      <c r="X1798" t="n">
        <v>115.7</v>
      </c>
      <c r="Y1798" t="n">
        <v>2846</v>
      </c>
      <c r="Z1798" t="n">
        <v>71</v>
      </c>
      <c r="AA1798" t="n">
        <v>76</v>
      </c>
      <c r="AB1798" t="n">
        <v>19</v>
      </c>
      <c r="AQ1798" t="n">
        <v>5</v>
      </c>
      <c r="AR1798" t="n">
        <v>105</v>
      </c>
      <c r="AS1798" t="inlineStr">
        <is>
          <t>Yes</t>
        </is>
      </c>
    </row>
    <row r="1799">
      <c r="A1799" t="inlineStr">
        <is>
          <t>Arcane</t>
        </is>
      </c>
      <c r="B1799" t="inlineStr">
        <is>
          <t>Melee Doughty</t>
        </is>
      </c>
      <c r="E1799" t="inlineStr">
        <is>
          <t>Melee</t>
        </is>
      </c>
      <c r="F1799" t="n">
        <v>5</v>
      </c>
      <c r="G1799" t="n">
        <v>1</v>
      </c>
      <c r="H1799" t="inlineStr">
        <is>
          <t>Player trade (max rank)</t>
        </is>
      </c>
      <c r="I1799" t="inlineStr">
        <is>
          <t>Yes</t>
        </is>
      </c>
      <c r="K1799" t="inlineStr">
        <is>
          <t>Collection (optional)</t>
        </is>
      </c>
      <c r="L1799" t="n">
        <v>14</v>
      </c>
      <c r="M1799" t="n">
        <v>15</v>
      </c>
      <c r="N1799" t="n">
        <v>17</v>
      </c>
      <c r="O1799" t="inlineStr">
        <is>
          <t>2026-10-05 UTC (WFM pull 02:52-04:00)</t>
        </is>
      </c>
      <c r="P1799" t="inlineStr">
        <is>
          <t>OK</t>
        </is>
      </c>
      <c r="R1799" t="inlineStr">
        <is>
          <t>Arcanes share across items like mods (one max-rank copy covers every build).</t>
        </is>
      </c>
      <c r="S1799" t="inlineStr">
        <is>
          <t>melee_doughty</t>
        </is>
      </c>
      <c r="T1799" t="n">
        <v>24</v>
      </c>
      <c r="U1799" t="n">
        <v>24</v>
      </c>
      <c r="V1799" t="n">
        <v>15</v>
      </c>
      <c r="W1799" t="n">
        <v>15</v>
      </c>
      <c r="X1799" t="n">
        <v>14.5</v>
      </c>
      <c r="Y1799" t="n">
        <v>1355</v>
      </c>
      <c r="Z1799" t="n">
        <v>22</v>
      </c>
      <c r="AA1799" t="n">
        <v>5</v>
      </c>
      <c r="AB1799" t="n">
        <v>9</v>
      </c>
      <c r="AQ1799" t="n">
        <v>2</v>
      </c>
      <c r="AR1799" t="n">
        <v>42</v>
      </c>
      <c r="AS1799" t="inlineStr">
        <is>
          <t>Collection (optional)</t>
        </is>
      </c>
    </row>
    <row r="1800">
      <c r="A1800" t="inlineStr">
        <is>
          <t>Arcane</t>
        </is>
      </c>
      <c r="B1800" t="inlineStr">
        <is>
          <t>Melee Duplicate</t>
        </is>
      </c>
      <c r="E1800" t="inlineStr">
        <is>
          <t>Melee</t>
        </is>
      </c>
      <c r="F1800" t="n">
        <v>5</v>
      </c>
      <c r="G1800" t="n">
        <v>1</v>
      </c>
      <c r="H1800" t="inlineStr">
        <is>
          <t>Player trade (max rank)</t>
        </is>
      </c>
      <c r="I1800" t="inlineStr">
        <is>
          <t>Yes</t>
        </is>
      </c>
      <c r="K1800" t="inlineStr">
        <is>
          <t>Required (v4.2 weapon/exalted builds)</t>
        </is>
      </c>
      <c r="L1800" t="n">
        <v>170</v>
      </c>
      <c r="M1800" t="n">
        <v>180</v>
      </c>
      <c r="N1800" t="n">
        <v>221</v>
      </c>
      <c r="O1800" t="inlineStr">
        <is>
          <t>2026-10-05 UTC (WFM pull 02:52-04:00)</t>
        </is>
      </c>
      <c r="P1800" t="inlineStr">
        <is>
          <t>OK</t>
        </is>
      </c>
      <c r="Q1800" t="inlineStr">
        <is>
          <t>Cheaper via 21x R0 (147p realistic) than buying max rank</t>
        </is>
      </c>
      <c r="R1800" t="inlineStr">
        <is>
          <t>Arcanes share across items like mods (one max-rank copy covers every build).</t>
        </is>
      </c>
      <c r="S1800" t="inlineStr">
        <is>
          <t>melee_duplicate</t>
        </is>
      </c>
      <c r="T1800" t="n">
        <v>23</v>
      </c>
      <c r="U1800" t="n">
        <v>23</v>
      </c>
      <c r="V1800" t="n">
        <v>155</v>
      </c>
      <c r="W1800" t="n">
        <v>180</v>
      </c>
      <c r="X1800" t="n">
        <v>173.7</v>
      </c>
      <c r="Y1800" t="n">
        <v>3476</v>
      </c>
      <c r="Z1800" t="n">
        <v>88</v>
      </c>
      <c r="AA1800" t="n">
        <v>101</v>
      </c>
      <c r="AB1800" t="n">
        <v>69</v>
      </c>
      <c r="AQ1800" t="n">
        <v>7</v>
      </c>
      <c r="AR1800" t="n">
        <v>147</v>
      </c>
      <c r="AS1800" t="inlineStr">
        <is>
          <t>Yes</t>
        </is>
      </c>
    </row>
    <row r="1801">
      <c r="A1801" t="inlineStr">
        <is>
          <t>Arcane</t>
        </is>
      </c>
      <c r="B1801" t="inlineStr">
        <is>
          <t>Melee Exposure</t>
        </is>
      </c>
      <c r="E1801" t="inlineStr">
        <is>
          <t>Melee</t>
        </is>
      </c>
      <c r="F1801" t="n">
        <v>5</v>
      </c>
      <c r="G1801" t="n">
        <v>1</v>
      </c>
      <c r="H1801" t="inlineStr">
        <is>
          <t>Player trade (max rank)</t>
        </is>
      </c>
      <c r="I1801" t="inlineStr">
        <is>
          <t>Yes</t>
        </is>
      </c>
      <c r="K1801" t="inlineStr">
        <is>
          <t>Collection (optional)</t>
        </is>
      </c>
      <c r="L1801" t="n">
        <v>69</v>
      </c>
      <c r="M1801" t="n">
        <v>73</v>
      </c>
      <c r="N1801" t="n">
        <v>83</v>
      </c>
      <c r="O1801" t="inlineStr">
        <is>
          <t>2026-10-05 UTC (WFM pull 02:52-04:00)</t>
        </is>
      </c>
      <c r="P1801" t="inlineStr">
        <is>
          <t>OK</t>
        </is>
      </c>
      <c r="R1801" t="inlineStr">
        <is>
          <t>Arcanes share across items like mods (one max-rank copy covers every build).</t>
        </is>
      </c>
      <c r="S1801" t="inlineStr">
        <is>
          <t>melee_exposure</t>
        </is>
      </c>
      <c r="T1801" t="n">
        <v>28</v>
      </c>
      <c r="U1801" t="n">
        <v>28</v>
      </c>
      <c r="V1801" t="n">
        <v>75</v>
      </c>
      <c r="W1801" t="n">
        <v>75</v>
      </c>
      <c r="X1801" t="n">
        <v>73.2</v>
      </c>
      <c r="Y1801" t="n">
        <v>8763</v>
      </c>
      <c r="Z1801" t="n">
        <v>211</v>
      </c>
      <c r="AA1801" t="n">
        <v>57</v>
      </c>
      <c r="AB1801" t="n">
        <v>12</v>
      </c>
      <c r="AQ1801" t="n">
        <v>5</v>
      </c>
      <c r="AR1801" t="n">
        <v>105</v>
      </c>
      <c r="AS1801" t="inlineStr">
        <is>
          <t>Collection (optional)</t>
        </is>
      </c>
    </row>
    <row r="1802">
      <c r="A1802" t="inlineStr">
        <is>
          <t>Arcane</t>
        </is>
      </c>
      <c r="B1802" t="inlineStr">
        <is>
          <t>Melee Fortification</t>
        </is>
      </c>
      <c r="E1802" t="inlineStr">
        <is>
          <t>Melee</t>
        </is>
      </c>
      <c r="F1802" t="n">
        <v>5</v>
      </c>
      <c r="G1802" t="n">
        <v>1</v>
      </c>
      <c r="H1802" t="inlineStr">
        <is>
          <t>Player trade (max rank)</t>
        </is>
      </c>
      <c r="I1802" t="inlineStr">
        <is>
          <t>Yes</t>
        </is>
      </c>
      <c r="K1802" t="inlineStr">
        <is>
          <t>Collection (optional)</t>
        </is>
      </c>
      <c r="L1802" t="n">
        <v>14</v>
      </c>
      <c r="M1802" t="n">
        <v>15</v>
      </c>
      <c r="N1802" t="n">
        <v>17</v>
      </c>
      <c r="O1802" t="inlineStr">
        <is>
          <t>2026-10-05 UTC (WFM pull 02:52-04:00)</t>
        </is>
      </c>
      <c r="P1802" t="inlineStr">
        <is>
          <t>OK</t>
        </is>
      </c>
      <c r="R1802" t="inlineStr">
        <is>
          <t>Arcanes share across items like mods (one max-rank copy covers every build).</t>
        </is>
      </c>
      <c r="S1802" t="inlineStr">
        <is>
          <t>melee_fortification</t>
        </is>
      </c>
      <c r="T1802" t="n">
        <v>15</v>
      </c>
      <c r="U1802" t="n">
        <v>15</v>
      </c>
      <c r="V1802" t="n">
        <v>14.5</v>
      </c>
      <c r="W1802" t="n">
        <v>15</v>
      </c>
      <c r="X1802" t="n">
        <v>14.2</v>
      </c>
      <c r="Y1802" t="n">
        <v>456</v>
      </c>
      <c r="Z1802" t="n">
        <v>14</v>
      </c>
      <c r="AA1802" t="n">
        <v>5</v>
      </c>
      <c r="AB1802" t="n">
        <v>9</v>
      </c>
      <c r="AQ1802" t="n">
        <v>2</v>
      </c>
      <c r="AR1802" t="n">
        <v>42</v>
      </c>
      <c r="AS1802" t="inlineStr">
        <is>
          <t>Collection (optional)</t>
        </is>
      </c>
    </row>
    <row r="1803">
      <c r="A1803" t="inlineStr">
        <is>
          <t>Arcane</t>
        </is>
      </c>
      <c r="B1803" t="inlineStr">
        <is>
          <t>Melee Influence</t>
        </is>
      </c>
      <c r="E1803" t="inlineStr">
        <is>
          <t>Melee</t>
        </is>
      </c>
      <c r="F1803" t="n">
        <v>5</v>
      </c>
      <c r="G1803" t="n">
        <v>1</v>
      </c>
      <c r="H1803" t="inlineStr">
        <is>
          <t>Player trade (max rank)</t>
        </is>
      </c>
      <c r="I1803" t="inlineStr">
        <is>
          <t>Yes</t>
        </is>
      </c>
      <c r="K1803" t="inlineStr">
        <is>
          <t>Required (v4.2 weapon/exalted builds)</t>
        </is>
      </c>
      <c r="L1803" t="n">
        <v>59</v>
      </c>
      <c r="M1803" t="n">
        <v>65</v>
      </c>
      <c r="N1803" t="n">
        <v>72</v>
      </c>
      <c r="O1803" t="inlineStr">
        <is>
          <t>2026-10-05 UTC (WFM pull 02:52-04:00)</t>
        </is>
      </c>
      <c r="P1803" t="inlineStr">
        <is>
          <t>OK</t>
        </is>
      </c>
      <c r="R1803" t="inlineStr">
        <is>
          <t>Arcanes share across items like mods (one max-rank copy covers every build).</t>
        </is>
      </c>
      <c r="S1803" t="inlineStr">
        <is>
          <t>melee_influence</t>
        </is>
      </c>
      <c r="T1803" t="n">
        <v>45</v>
      </c>
      <c r="U1803" t="n">
        <v>45</v>
      </c>
      <c r="V1803" t="n">
        <v>63</v>
      </c>
      <c r="W1803" t="n">
        <v>65</v>
      </c>
      <c r="X1803" t="n">
        <v>66.2</v>
      </c>
      <c r="Y1803" t="n">
        <v>12312</v>
      </c>
      <c r="Z1803" t="n">
        <v>323</v>
      </c>
      <c r="AA1803" t="n">
        <v>50</v>
      </c>
      <c r="AB1803" t="n">
        <v>9</v>
      </c>
      <c r="AQ1803" t="n">
        <v>4</v>
      </c>
      <c r="AR1803" t="n">
        <v>84</v>
      </c>
      <c r="AS1803" t="inlineStr">
        <is>
          <t>Yes</t>
        </is>
      </c>
    </row>
    <row r="1804">
      <c r="A1804" t="inlineStr">
        <is>
          <t>Arcane</t>
        </is>
      </c>
      <c r="B1804" t="inlineStr">
        <is>
          <t>Melee Retaliation</t>
        </is>
      </c>
      <c r="E1804" t="inlineStr">
        <is>
          <t>Melee</t>
        </is>
      </c>
      <c r="F1804" t="n">
        <v>5</v>
      </c>
      <c r="G1804" t="n">
        <v>1</v>
      </c>
      <c r="H1804" t="inlineStr">
        <is>
          <t>Player trade (max rank)</t>
        </is>
      </c>
      <c r="I1804" t="inlineStr">
        <is>
          <t>Yes</t>
        </is>
      </c>
      <c r="K1804" t="inlineStr">
        <is>
          <t>Collection (optional)</t>
        </is>
      </c>
      <c r="L1804" t="n">
        <v>19</v>
      </c>
      <c r="M1804" t="n">
        <v>20</v>
      </c>
      <c r="N1804" t="n">
        <v>28</v>
      </c>
      <c r="O1804" t="inlineStr">
        <is>
          <t>2026-10-05 UTC (WFM pull 02:52-04:00)</t>
        </is>
      </c>
      <c r="P1804" t="inlineStr">
        <is>
          <t>OK</t>
        </is>
      </c>
      <c r="R1804" t="inlineStr">
        <is>
          <t>Arcanes share across items like mods (one max-rank copy covers every build).</t>
        </is>
      </c>
      <c r="S1804" t="inlineStr">
        <is>
          <t>melee_retaliation</t>
        </is>
      </c>
      <c r="T1804" t="n">
        <v>17</v>
      </c>
      <c r="U1804" t="n">
        <v>17</v>
      </c>
      <c r="V1804" t="n">
        <v>20</v>
      </c>
      <c r="W1804" t="n">
        <v>23</v>
      </c>
      <c r="X1804" t="n">
        <v>22.5</v>
      </c>
      <c r="Y1804" t="n">
        <v>1375</v>
      </c>
      <c r="Z1804" t="n">
        <v>26</v>
      </c>
      <c r="AA1804" t="n">
        <v>5</v>
      </c>
      <c r="AB1804" t="n">
        <v>14</v>
      </c>
      <c r="AQ1804" t="n">
        <v>2</v>
      </c>
      <c r="AR1804" t="n">
        <v>42</v>
      </c>
      <c r="AS1804" t="inlineStr">
        <is>
          <t>Collection (optional)</t>
        </is>
      </c>
    </row>
    <row r="1805">
      <c r="A1805" t="inlineStr">
        <is>
          <t>Arcane</t>
        </is>
      </c>
      <c r="B1805" t="inlineStr">
        <is>
          <t>Melee Vortex</t>
        </is>
      </c>
      <c r="E1805" t="inlineStr">
        <is>
          <t>Melee</t>
        </is>
      </c>
      <c r="F1805" t="n">
        <v>5</v>
      </c>
      <c r="G1805" t="n">
        <v>1</v>
      </c>
      <c r="H1805" t="inlineStr">
        <is>
          <t>Player trade (max rank)</t>
        </is>
      </c>
      <c r="I1805" t="inlineStr">
        <is>
          <t>Yes</t>
        </is>
      </c>
      <c r="K1805" t="inlineStr">
        <is>
          <t>Collection (optional)</t>
        </is>
      </c>
      <c r="L1805" t="n">
        <v>60</v>
      </c>
      <c r="M1805" t="n">
        <v>65</v>
      </c>
      <c r="N1805" t="n">
        <v>77</v>
      </c>
      <c r="O1805" t="inlineStr">
        <is>
          <t>2026-10-05 UTC (WFM pull 02:52-04:00)</t>
        </is>
      </c>
      <c r="P1805" t="inlineStr">
        <is>
          <t>OK</t>
        </is>
      </c>
      <c r="R1805" t="inlineStr">
        <is>
          <t>Arcanes share across items like mods (one max-rank copy covers every build).</t>
        </is>
      </c>
      <c r="S1805" t="inlineStr">
        <is>
          <t>melee_vortex</t>
        </is>
      </c>
      <c r="T1805" t="n">
        <v>16</v>
      </c>
      <c r="U1805" t="n">
        <v>16</v>
      </c>
      <c r="V1805" t="n">
        <v>60</v>
      </c>
      <c r="W1805" t="n">
        <v>60</v>
      </c>
      <c r="X1805" t="n">
        <v>58.4</v>
      </c>
      <c r="Y1805" t="n">
        <v>2006</v>
      </c>
      <c r="Z1805" t="n">
        <v>54</v>
      </c>
      <c r="AA1805" t="n">
        <v>50</v>
      </c>
      <c r="AB1805" t="n">
        <v>10</v>
      </c>
      <c r="AQ1805" t="n">
        <v>4</v>
      </c>
      <c r="AR1805" t="n">
        <v>84</v>
      </c>
      <c r="AS1805" t="inlineStr">
        <is>
          <t>Collection (optional)</t>
        </is>
      </c>
    </row>
    <row r="1806">
      <c r="A1806" t="inlineStr">
        <is>
          <t>Arcane</t>
        </is>
      </c>
      <c r="B1806" t="inlineStr">
        <is>
          <t>Molt Augmented</t>
        </is>
      </c>
      <c r="E1806" t="inlineStr">
        <is>
          <t>Warframe</t>
        </is>
      </c>
      <c r="F1806" t="n">
        <v>5</v>
      </c>
      <c r="G1806" t="n">
        <v>1</v>
      </c>
      <c r="H1806" t="inlineStr">
        <is>
          <t>Player trade (max rank)</t>
        </is>
      </c>
      <c r="I1806" t="inlineStr">
        <is>
          <t>Yes</t>
        </is>
      </c>
      <c r="K1806" t="inlineStr">
        <is>
          <t>Required (v4.2 frame builds)</t>
        </is>
      </c>
      <c r="L1806" t="n">
        <v>35</v>
      </c>
      <c r="M1806" t="n">
        <v>40</v>
      </c>
      <c r="N1806" t="n">
        <v>44</v>
      </c>
      <c r="O1806" t="inlineStr">
        <is>
          <t>2026-10-05 UTC (WFM pull 02:52-04:00)</t>
        </is>
      </c>
      <c r="P1806" t="inlineStr">
        <is>
          <t>OK</t>
        </is>
      </c>
      <c r="R1806" t="inlineStr">
        <is>
          <t>Arcanes share across items like mods (one max-rank copy covers every build).</t>
        </is>
      </c>
      <c r="S1806" t="inlineStr">
        <is>
          <t>molt_augmented</t>
        </is>
      </c>
      <c r="T1806" t="n">
        <v>67</v>
      </c>
      <c r="U1806" t="n">
        <v>67</v>
      </c>
      <c r="V1806" t="n">
        <v>40</v>
      </c>
      <c r="W1806" t="n">
        <v>49</v>
      </c>
      <c r="X1806" t="n">
        <v>45.2</v>
      </c>
      <c r="Y1806" t="n">
        <v>19940</v>
      </c>
      <c r="Z1806" t="n">
        <v>532</v>
      </c>
      <c r="AA1806" t="n">
        <v>21</v>
      </c>
      <c r="AB1806" t="n">
        <v>14</v>
      </c>
      <c r="AQ1806" t="n">
        <v>3</v>
      </c>
      <c r="AR1806" t="n">
        <v>63</v>
      </c>
      <c r="AS1806" t="inlineStr">
        <is>
          <t>Yes</t>
        </is>
      </c>
    </row>
    <row r="1807">
      <c r="A1807" t="inlineStr">
        <is>
          <t>Arcane</t>
        </is>
      </c>
      <c r="B1807" t="inlineStr">
        <is>
          <t>Molt Efficiency</t>
        </is>
      </c>
      <c r="E1807" t="inlineStr">
        <is>
          <t>Warframe</t>
        </is>
      </c>
      <c r="F1807" t="n">
        <v>5</v>
      </c>
      <c r="G1807" t="n">
        <v>1</v>
      </c>
      <c r="H1807" t="inlineStr">
        <is>
          <t>Player trade (max rank)</t>
        </is>
      </c>
      <c r="I1807" t="inlineStr">
        <is>
          <t>Yes</t>
        </is>
      </c>
      <c r="K1807" t="inlineStr">
        <is>
          <t>Collection (optional)</t>
        </is>
      </c>
      <c r="L1807" t="n">
        <v>28</v>
      </c>
      <c r="M1807" t="n">
        <v>30</v>
      </c>
      <c r="N1807" t="n">
        <v>33</v>
      </c>
      <c r="O1807" t="inlineStr">
        <is>
          <t>2026-10-05 UTC (WFM pull 02:52-04:00)</t>
        </is>
      </c>
      <c r="P1807" t="inlineStr">
        <is>
          <t>OK</t>
        </is>
      </c>
      <c r="R1807" t="inlineStr">
        <is>
          <t>Arcanes share across items like mods (one max-rank copy covers every build).</t>
        </is>
      </c>
      <c r="S1807" t="inlineStr">
        <is>
          <t>molt_efficiency</t>
        </is>
      </c>
      <c r="T1807" t="n">
        <v>26</v>
      </c>
      <c r="U1807" t="n">
        <v>26</v>
      </c>
      <c r="V1807" t="n">
        <v>30</v>
      </c>
      <c r="W1807" t="n">
        <v>30</v>
      </c>
      <c r="X1807" t="n">
        <v>30.2</v>
      </c>
      <c r="Y1807" t="n">
        <v>6315</v>
      </c>
      <c r="Z1807" t="n">
        <v>174</v>
      </c>
      <c r="AA1807" t="n">
        <v>10</v>
      </c>
      <c r="AB1807" t="n">
        <v>18</v>
      </c>
      <c r="AQ1807" t="n">
        <v>3</v>
      </c>
      <c r="AR1807" t="n">
        <v>63</v>
      </c>
      <c r="AS1807" t="inlineStr">
        <is>
          <t>Collection (optional)</t>
        </is>
      </c>
    </row>
    <row r="1808">
      <c r="A1808" t="inlineStr">
        <is>
          <t>Arcane</t>
        </is>
      </c>
      <c r="B1808" t="inlineStr">
        <is>
          <t>Molt Reconstruct</t>
        </is>
      </c>
      <c r="E1808" t="inlineStr">
        <is>
          <t>Warframe</t>
        </is>
      </c>
      <c r="F1808" t="n">
        <v>5</v>
      </c>
      <c r="G1808" t="n">
        <v>1</v>
      </c>
      <c r="H1808" t="inlineStr">
        <is>
          <t>Player trade (max rank)</t>
        </is>
      </c>
      <c r="I1808" t="inlineStr">
        <is>
          <t>Yes</t>
        </is>
      </c>
      <c r="K1808" t="inlineStr">
        <is>
          <t>Collection (optional)</t>
        </is>
      </c>
      <c r="L1808" t="n">
        <v>15</v>
      </c>
      <c r="M1808" t="n">
        <v>20</v>
      </c>
      <c r="N1808" t="n">
        <v>22</v>
      </c>
      <c r="O1808" t="inlineStr">
        <is>
          <t>2026-10-05 UTC (WFM pull 02:52-04:00)</t>
        </is>
      </c>
      <c r="P1808" t="inlineStr">
        <is>
          <t>OK</t>
        </is>
      </c>
      <c r="R1808" t="inlineStr">
        <is>
          <t>Arcanes share across items like mods (one max-rank copy covers every build).</t>
        </is>
      </c>
      <c r="S1808" t="inlineStr">
        <is>
          <t>molt_reconstruct</t>
        </is>
      </c>
      <c r="T1808" t="n">
        <v>27</v>
      </c>
      <c r="U1808" t="n">
        <v>27</v>
      </c>
      <c r="V1808" t="n">
        <v>20</v>
      </c>
      <c r="W1808" t="n">
        <v>20</v>
      </c>
      <c r="X1808" t="n">
        <v>21.5</v>
      </c>
      <c r="Y1808" t="n">
        <v>2756</v>
      </c>
      <c r="Z1808" t="n">
        <v>39</v>
      </c>
      <c r="AQ1808" t="n">
        <v>2</v>
      </c>
      <c r="AR1808" t="n">
        <v>42</v>
      </c>
      <c r="AS1808" t="inlineStr">
        <is>
          <t>Collection (optional)</t>
        </is>
      </c>
    </row>
    <row r="1809">
      <c r="A1809" t="inlineStr">
        <is>
          <t>Arcane</t>
        </is>
      </c>
      <c r="B1809" t="inlineStr">
        <is>
          <t>Molt Vigor</t>
        </is>
      </c>
      <c r="E1809" t="inlineStr">
        <is>
          <t>Warframe</t>
        </is>
      </c>
      <c r="F1809" t="n">
        <v>5</v>
      </c>
      <c r="G1809" t="n">
        <v>1</v>
      </c>
      <c r="H1809" t="inlineStr">
        <is>
          <t>Player trade (max rank)</t>
        </is>
      </c>
      <c r="I1809" t="inlineStr">
        <is>
          <t>Yes</t>
        </is>
      </c>
      <c r="K1809" t="inlineStr">
        <is>
          <t>Collection (optional)</t>
        </is>
      </c>
      <c r="L1809" t="n">
        <v>19</v>
      </c>
      <c r="M1809" t="n">
        <v>23</v>
      </c>
      <c r="N1809" t="n">
        <v>28</v>
      </c>
      <c r="O1809" t="inlineStr">
        <is>
          <t>2026-10-05 UTC (WFM pull 02:52-04:00)</t>
        </is>
      </c>
      <c r="P1809" t="inlineStr">
        <is>
          <t>OK</t>
        </is>
      </c>
      <c r="R1809" t="inlineStr">
        <is>
          <t>Arcanes share across items like mods (one max-rank copy covers every build).</t>
        </is>
      </c>
      <c r="S1809" t="inlineStr">
        <is>
          <t>molt_vigor</t>
        </is>
      </c>
      <c r="T1809" t="n">
        <v>24</v>
      </c>
      <c r="U1809" t="n">
        <v>24</v>
      </c>
      <c r="V1809" t="n">
        <v>23</v>
      </c>
      <c r="W1809" t="n">
        <v>24</v>
      </c>
      <c r="X1809" t="n">
        <v>23.1</v>
      </c>
      <c r="Y1809" t="n">
        <v>3810</v>
      </c>
      <c r="Z1809" t="n">
        <v>72</v>
      </c>
      <c r="AA1809" t="n">
        <v>18</v>
      </c>
      <c r="AB1809" t="n">
        <v>1</v>
      </c>
      <c r="AQ1809" t="n">
        <v>2</v>
      </c>
      <c r="AR1809" t="n">
        <v>42</v>
      </c>
      <c r="AS1809" t="inlineStr">
        <is>
          <t>Collection (optional)</t>
        </is>
      </c>
    </row>
    <row r="1810">
      <c r="A1810" t="inlineStr">
        <is>
          <t>Arcane</t>
        </is>
      </c>
      <c r="B1810" t="inlineStr">
        <is>
          <t>Pax Bolt</t>
        </is>
      </c>
      <c r="E1810" t="inlineStr">
        <is>
          <t>Kitgun</t>
        </is>
      </c>
      <c r="F1810" t="n">
        <v>3</v>
      </c>
      <c r="G1810" t="n">
        <v>1</v>
      </c>
      <c r="H1810" t="inlineStr">
        <is>
          <t>Player trade (max rank)</t>
        </is>
      </c>
      <c r="I1810" t="inlineStr">
        <is>
          <t>Yes</t>
        </is>
      </c>
      <c r="K1810" t="inlineStr">
        <is>
          <t>Collection (optional)</t>
        </is>
      </c>
      <c r="L1810" t="n">
        <v>35</v>
      </c>
      <c r="M1810" t="n">
        <v>50</v>
      </c>
      <c r="N1810" t="n">
        <v>83</v>
      </c>
      <c r="O1810" t="inlineStr">
        <is>
          <t>2026-10-05 UTC (WFM pull 02:52-04:00)</t>
        </is>
      </c>
      <c r="P1810" t="inlineStr">
        <is>
          <t>OK</t>
        </is>
      </c>
      <c r="Q1810" t="inlineStr">
        <is>
          <t>Cheaper via 10x R0 (40p realistic) than buying max rank</t>
        </is>
      </c>
      <c r="R1810" t="inlineStr">
        <is>
          <t>Arcanes share across items like mods (one max-rank copy covers every build).</t>
        </is>
      </c>
      <c r="S1810" t="inlineStr">
        <is>
          <t>pax_bolt</t>
        </is>
      </c>
      <c r="T1810" t="n">
        <v>7</v>
      </c>
      <c r="U1810" t="n">
        <v>7</v>
      </c>
      <c r="V1810" t="n">
        <v>35</v>
      </c>
      <c r="W1810" t="n">
        <v>37.5</v>
      </c>
      <c r="X1810" t="n">
        <v>36.8</v>
      </c>
      <c r="Y1810" t="n">
        <v>133</v>
      </c>
      <c r="Z1810" t="n">
        <v>6</v>
      </c>
      <c r="AA1810" t="n">
        <v>20</v>
      </c>
      <c r="AB1810" t="n">
        <v>15</v>
      </c>
      <c r="AQ1810" t="n">
        <v>4</v>
      </c>
      <c r="AR1810" t="n">
        <v>40</v>
      </c>
      <c r="AS1810" t="inlineStr">
        <is>
          <t>Collection (optional)</t>
        </is>
      </c>
    </row>
    <row r="1811">
      <c r="A1811" t="inlineStr">
        <is>
          <t>Arcane</t>
        </is>
      </c>
      <c r="B1811" t="inlineStr">
        <is>
          <t>Pax Charge</t>
        </is>
      </c>
      <c r="E1811" t="inlineStr">
        <is>
          <t>Kitgun</t>
        </is>
      </c>
      <c r="F1811" t="n">
        <v>3</v>
      </c>
      <c r="G1811" t="n">
        <v>1</v>
      </c>
      <c r="H1811" t="inlineStr">
        <is>
          <t>Player trade (max rank)</t>
        </is>
      </c>
      <c r="I1811" t="inlineStr">
        <is>
          <t>Yes</t>
        </is>
      </c>
      <c r="K1811" t="inlineStr">
        <is>
          <t>Collection (optional)</t>
        </is>
      </c>
      <c r="L1811" t="n">
        <v>49</v>
      </c>
      <c r="M1811" t="n">
        <v>50</v>
      </c>
      <c r="N1811" t="n">
        <v>66</v>
      </c>
      <c r="O1811" t="inlineStr">
        <is>
          <t>2026-10-05 UTC (WFM pull 02:52-04:00)</t>
        </is>
      </c>
      <c r="P1811" t="inlineStr">
        <is>
          <t>OK</t>
        </is>
      </c>
      <c r="R1811" t="inlineStr">
        <is>
          <t>Arcanes share across items like mods (one max-rank copy covers every build).</t>
        </is>
      </c>
      <c r="S1811" t="inlineStr">
        <is>
          <t>pax_charge</t>
        </is>
      </c>
      <c r="T1811" t="n">
        <v>8</v>
      </c>
      <c r="U1811" t="n">
        <v>8</v>
      </c>
      <c r="V1811" t="n">
        <v>40</v>
      </c>
      <c r="W1811" t="n">
        <v>44</v>
      </c>
      <c r="X1811" t="n">
        <v>43.6</v>
      </c>
      <c r="Y1811" t="n">
        <v>1527</v>
      </c>
      <c r="Z1811" t="n">
        <v>43</v>
      </c>
      <c r="AA1811" t="n">
        <v>30</v>
      </c>
      <c r="AB1811" t="n">
        <v>19</v>
      </c>
      <c r="AQ1811" t="n">
        <v>5</v>
      </c>
      <c r="AR1811" t="n">
        <v>50</v>
      </c>
      <c r="AS1811" t="inlineStr">
        <is>
          <t>Collection (optional)</t>
        </is>
      </c>
    </row>
    <row r="1812">
      <c r="A1812" t="inlineStr">
        <is>
          <t>Arcane</t>
        </is>
      </c>
      <c r="B1812" t="inlineStr">
        <is>
          <t>Pax Seeker</t>
        </is>
      </c>
      <c r="E1812" t="inlineStr">
        <is>
          <t>Kitgun</t>
        </is>
      </c>
      <c r="F1812" t="n">
        <v>3</v>
      </c>
      <c r="G1812" t="n">
        <v>1</v>
      </c>
      <c r="H1812" t="inlineStr">
        <is>
          <t>Player trade (max rank)</t>
        </is>
      </c>
      <c r="I1812" t="inlineStr">
        <is>
          <t>Yes</t>
        </is>
      </c>
      <c r="K1812" t="inlineStr">
        <is>
          <t>Collection (optional)</t>
        </is>
      </c>
      <c r="L1812" t="n">
        <v>49</v>
      </c>
      <c r="M1812" t="n">
        <v>69</v>
      </c>
      <c r="N1812" t="n">
        <v>152</v>
      </c>
      <c r="O1812" t="inlineStr">
        <is>
          <t>2026-10-05 UTC (WFM pull 02:52-04:00)</t>
        </is>
      </c>
      <c r="P1812" t="inlineStr">
        <is>
          <t>OK</t>
        </is>
      </c>
      <c r="Q1812" t="inlineStr">
        <is>
          <t>Cheaper via 10x R0 (30p realistic) than buying max rank</t>
        </is>
      </c>
      <c r="R1812" t="inlineStr">
        <is>
          <t>Arcanes share across items like mods (one max-rank copy covers every build).</t>
        </is>
      </c>
      <c r="S1812" t="inlineStr">
        <is>
          <t>pax_seeker</t>
        </is>
      </c>
      <c r="T1812" t="n">
        <v>5</v>
      </c>
      <c r="U1812" t="n">
        <v>5</v>
      </c>
      <c r="V1812" t="n">
        <v>50</v>
      </c>
      <c r="W1812" t="n">
        <v>50</v>
      </c>
      <c r="X1812" t="n">
        <v>52.8</v>
      </c>
      <c r="Y1812" t="n">
        <v>464</v>
      </c>
      <c r="Z1812" t="n">
        <v>13</v>
      </c>
      <c r="AA1812" t="n">
        <v>15</v>
      </c>
      <c r="AB1812" t="n">
        <v>34</v>
      </c>
      <c r="AQ1812" t="n">
        <v>3</v>
      </c>
      <c r="AR1812" t="n">
        <v>30</v>
      </c>
      <c r="AS1812" t="inlineStr">
        <is>
          <t>Collection (optional)</t>
        </is>
      </c>
    </row>
    <row r="1813">
      <c r="A1813" t="inlineStr">
        <is>
          <t>Arcane</t>
        </is>
      </c>
      <c r="B1813" t="inlineStr">
        <is>
          <t>Pax Soar</t>
        </is>
      </c>
      <c r="E1813" t="inlineStr">
        <is>
          <t>Kitgun</t>
        </is>
      </c>
      <c r="F1813" t="n">
        <v>3</v>
      </c>
      <c r="G1813" t="n">
        <v>1</v>
      </c>
      <c r="H1813" t="inlineStr">
        <is>
          <t>Player trade (max rank)</t>
        </is>
      </c>
      <c r="I1813" t="inlineStr">
        <is>
          <t>Yes</t>
        </is>
      </c>
      <c r="K1813" t="inlineStr">
        <is>
          <t>Collection (optional)</t>
        </is>
      </c>
      <c r="L1813" t="n">
        <v>25</v>
      </c>
      <c r="M1813" t="n">
        <v>40</v>
      </c>
      <c r="N1813" t="n">
        <v>88</v>
      </c>
      <c r="O1813" t="inlineStr">
        <is>
          <t>2026-10-05 UTC (WFM pull 02:52-04:00)</t>
        </is>
      </c>
      <c r="P1813" t="inlineStr">
        <is>
          <t>OK</t>
        </is>
      </c>
      <c r="R1813" t="inlineStr">
        <is>
          <t>Arcanes share across items like mods (one max-rank copy covers every build).</t>
        </is>
      </c>
      <c r="S1813" t="inlineStr">
        <is>
          <t>pax_soar</t>
        </is>
      </c>
      <c r="T1813" t="n">
        <v>6</v>
      </c>
      <c r="U1813" t="n">
        <v>6</v>
      </c>
      <c r="V1813" t="n">
        <v>30</v>
      </c>
      <c r="W1813" t="n">
        <v>30</v>
      </c>
      <c r="X1813" t="n">
        <v>33.4</v>
      </c>
      <c r="Y1813" t="n">
        <v>47</v>
      </c>
      <c r="Z1813" t="n">
        <v>6</v>
      </c>
      <c r="AA1813" t="n">
        <v>15</v>
      </c>
      <c r="AB1813" t="n">
        <v>10</v>
      </c>
      <c r="AQ1813" t="n">
        <v>4</v>
      </c>
      <c r="AR1813" t="n">
        <v>40</v>
      </c>
      <c r="AS1813" t="inlineStr">
        <is>
          <t>Collection (optional)</t>
        </is>
      </c>
    </row>
    <row r="1814">
      <c r="A1814" t="inlineStr">
        <is>
          <t>Arcane</t>
        </is>
      </c>
      <c r="B1814" t="inlineStr">
        <is>
          <t>Peculiar Audience</t>
        </is>
      </c>
      <c r="E1814" t="inlineStr">
        <is>
          <t>mod,peculiar,warframe</t>
        </is>
      </c>
      <c r="F1814" t="n">
        <v>5</v>
      </c>
      <c r="G1814" t="n">
        <v>1</v>
      </c>
      <c r="H1814" t="inlineStr">
        <is>
          <t>Player trade (max rank)</t>
        </is>
      </c>
      <c r="I1814" t="inlineStr">
        <is>
          <t>Yes</t>
        </is>
      </c>
      <c r="K1814" t="inlineStr">
        <is>
          <t>Collection (optional)</t>
        </is>
      </c>
      <c r="L1814" t="n">
        <v>44</v>
      </c>
      <c r="M1814" t="n">
        <v>44</v>
      </c>
      <c r="N1814" t="n">
        <v>56</v>
      </c>
      <c r="O1814" t="inlineStr">
        <is>
          <t>2026-10-05 UTC (WFM pull 02:52-04:00)</t>
        </is>
      </c>
      <c r="P1814" t="inlineStr">
        <is>
          <t>OK</t>
        </is>
      </c>
      <c r="R1814" t="inlineStr">
        <is>
          <t>Arcanes share across items like mods (one max-rank copy covers every build).</t>
        </is>
      </c>
      <c r="S1814" t="inlineStr">
        <is>
          <t>peculiar_audience</t>
        </is>
      </c>
      <c r="T1814" t="n">
        <v>3</v>
      </c>
      <c r="U1814" t="n">
        <v>3</v>
      </c>
      <c r="V1814" t="n">
        <v>18</v>
      </c>
      <c r="W1814" t="n">
        <v>20</v>
      </c>
      <c r="X1814" t="n">
        <v>22.6</v>
      </c>
      <c r="Y1814" t="n">
        <v>98</v>
      </c>
      <c r="Z1814" t="n">
        <v>6</v>
      </c>
      <c r="AQ1814" t="n">
        <v>10</v>
      </c>
      <c r="AR1814" t="n">
        <v>210</v>
      </c>
      <c r="AS1814" t="inlineStr">
        <is>
          <t>Collection (optional)</t>
        </is>
      </c>
    </row>
    <row r="1815">
      <c r="A1815" t="inlineStr">
        <is>
          <t>Arcane</t>
        </is>
      </c>
      <c r="B1815" t="inlineStr">
        <is>
          <t>Peculiar Bloom</t>
        </is>
      </c>
      <c r="E1815" t="inlineStr">
        <is>
          <t>mod,peculiar,warframe</t>
        </is>
      </c>
      <c r="F1815" t="n">
        <v>5</v>
      </c>
      <c r="G1815" t="n">
        <v>1</v>
      </c>
      <c r="H1815" t="inlineStr">
        <is>
          <t>Player trade (max rank)</t>
        </is>
      </c>
      <c r="I1815" t="inlineStr">
        <is>
          <t>Yes</t>
        </is>
      </c>
      <c r="K1815" t="inlineStr">
        <is>
          <t>Collection (optional)</t>
        </is>
      </c>
      <c r="L1815" t="n">
        <v>30</v>
      </c>
      <c r="M1815" t="n">
        <v>39</v>
      </c>
      <c r="N1815" t="n">
        <v>86</v>
      </c>
      <c r="O1815" t="inlineStr">
        <is>
          <t>2026-10-05 UTC (WFM pull 02:52-04:00)</t>
        </is>
      </c>
      <c r="P1815" t="inlineStr">
        <is>
          <t>OK</t>
        </is>
      </c>
      <c r="R1815" t="inlineStr">
        <is>
          <t>Arcanes share across items like mods (one max-rank copy covers every build).</t>
        </is>
      </c>
      <c r="S1815" t="inlineStr">
        <is>
          <t>peculiar_bloom</t>
        </is>
      </c>
      <c r="T1815" t="n">
        <v>4</v>
      </c>
      <c r="U1815" t="n">
        <v>4</v>
      </c>
      <c r="V1815" t="n">
        <v>26</v>
      </c>
      <c r="W1815" t="n">
        <v>30</v>
      </c>
      <c r="X1815" t="n">
        <v>32.7</v>
      </c>
      <c r="Y1815" t="n">
        <v>46</v>
      </c>
      <c r="Z1815" t="n">
        <v>1</v>
      </c>
      <c r="AQ1815" t="n">
        <v>20</v>
      </c>
      <c r="AR1815" t="n">
        <v>420</v>
      </c>
      <c r="AS1815" t="inlineStr">
        <is>
          <t>Collection (optional)</t>
        </is>
      </c>
    </row>
    <row r="1816">
      <c r="A1816" t="inlineStr">
        <is>
          <t>Arcane</t>
        </is>
      </c>
      <c r="B1816" t="inlineStr">
        <is>
          <t>Peculiar End</t>
        </is>
      </c>
      <c r="E1816" t="inlineStr">
        <is>
          <t>mod,peculiar,warframe</t>
        </is>
      </c>
      <c r="F1816" t="n">
        <v>5</v>
      </c>
      <c r="G1816" t="n">
        <v>1</v>
      </c>
      <c r="H1816" t="inlineStr">
        <is>
          <t>Player trade (max rank)</t>
        </is>
      </c>
      <c r="I1816" t="inlineStr">
        <is>
          <t>Yes</t>
        </is>
      </c>
      <c r="K1816" t="inlineStr">
        <is>
          <t>Collection (optional)</t>
        </is>
      </c>
      <c r="L1816" t="n">
        <v>40</v>
      </c>
      <c r="M1816" t="n">
        <v>45</v>
      </c>
      <c r="N1816" t="n">
        <v>56</v>
      </c>
      <c r="O1816" t="inlineStr">
        <is>
          <t>2026-10-05 UTC (WFM pull 02:52-04:00)</t>
        </is>
      </c>
      <c r="P1816" t="inlineStr">
        <is>
          <t>OK</t>
        </is>
      </c>
      <c r="R1816" t="inlineStr">
        <is>
          <t>Arcanes share across items like mods (one max-rank copy covers every build).</t>
        </is>
      </c>
      <c r="S1816" t="inlineStr">
        <is>
          <t>peculiar_end</t>
        </is>
      </c>
      <c r="T1816" t="n">
        <v>27</v>
      </c>
      <c r="U1816" t="n">
        <v>2</v>
      </c>
      <c r="V1816" t="n">
        <v>42.5</v>
      </c>
      <c r="W1816" t="n">
        <v>47.5</v>
      </c>
      <c r="X1816" t="n">
        <v>48</v>
      </c>
      <c r="Y1816" t="n">
        <v>47</v>
      </c>
      <c r="Z1816" t="n">
        <v>2</v>
      </c>
      <c r="AQ1816" t="n">
        <v>45</v>
      </c>
      <c r="AR1816" t="n">
        <v>945</v>
      </c>
      <c r="AS1816" t="inlineStr">
        <is>
          <t>Collection (optional)</t>
        </is>
      </c>
    </row>
    <row r="1817">
      <c r="A1817" t="inlineStr">
        <is>
          <t>Arcane</t>
        </is>
      </c>
      <c r="B1817" t="inlineStr">
        <is>
          <t>Peculiar Growth</t>
        </is>
      </c>
      <c r="E1817" t="inlineStr">
        <is>
          <t>mod,peculiar,warframe</t>
        </is>
      </c>
      <c r="F1817" t="n">
        <v>5</v>
      </c>
      <c r="G1817" t="n">
        <v>1</v>
      </c>
      <c r="H1817" t="inlineStr">
        <is>
          <t>Player trade (max rank)</t>
        </is>
      </c>
      <c r="I1817" t="inlineStr">
        <is>
          <t>Yes</t>
        </is>
      </c>
      <c r="K1817" t="inlineStr">
        <is>
          <t>Collection (optional)</t>
        </is>
      </c>
      <c r="L1817" t="n">
        <v>20</v>
      </c>
      <c r="M1817" t="n">
        <v>25</v>
      </c>
      <c r="N1817" t="n">
        <v>33</v>
      </c>
      <c r="O1817" t="inlineStr">
        <is>
          <t>2026-10-05 UTC (WFM pull 02:52-04:00)</t>
        </is>
      </c>
      <c r="P1817" t="inlineStr">
        <is>
          <t>OK</t>
        </is>
      </c>
      <c r="R1817" t="inlineStr">
        <is>
          <t>Arcanes share across items like mods (one max-rank copy covers every build).</t>
        </is>
      </c>
      <c r="S1817" t="inlineStr">
        <is>
          <t>peculiar_growth</t>
        </is>
      </c>
      <c r="T1817" t="n">
        <v>44</v>
      </c>
      <c r="U1817" t="n">
        <v>1</v>
      </c>
      <c r="V1817" t="n">
        <v>25</v>
      </c>
      <c r="W1817" t="n">
        <v>20</v>
      </c>
      <c r="X1817" t="n">
        <v>22.4</v>
      </c>
      <c r="Y1817" t="n">
        <v>52</v>
      </c>
      <c r="Z1817" t="n">
        <v>0</v>
      </c>
      <c r="AQ1817" t="n">
        <v>30</v>
      </c>
      <c r="AR1817" t="n">
        <v>630</v>
      </c>
      <c r="AS1817" t="inlineStr">
        <is>
          <t>Collection (optional)</t>
        </is>
      </c>
    </row>
    <row r="1818">
      <c r="A1818" t="inlineStr">
        <is>
          <t>Arcane</t>
        </is>
      </c>
      <c r="B1818" t="inlineStr">
        <is>
          <t>Primary Blight</t>
        </is>
      </c>
      <c r="E1818" t="inlineStr">
        <is>
          <t>Primary</t>
        </is>
      </c>
      <c r="F1818" t="n">
        <v>5</v>
      </c>
      <c r="G1818" t="n">
        <v>1</v>
      </c>
      <c r="H1818" t="inlineStr">
        <is>
          <t>Player trade (max rank)</t>
        </is>
      </c>
      <c r="I1818" t="inlineStr">
        <is>
          <t>Yes</t>
        </is>
      </c>
      <c r="K1818" t="inlineStr">
        <is>
          <t>Collection (optional)</t>
        </is>
      </c>
      <c r="L1818" t="n">
        <v>59</v>
      </c>
      <c r="M1818" t="n">
        <v>60</v>
      </c>
      <c r="N1818" t="n">
        <v>77</v>
      </c>
      <c r="O1818" t="inlineStr">
        <is>
          <t>2026-10-05 UTC (WFM pull 02:52-04:00)</t>
        </is>
      </c>
      <c r="P1818" t="inlineStr">
        <is>
          <t>OK</t>
        </is>
      </c>
      <c r="R1818" t="inlineStr">
        <is>
          <t>Arcanes share across items like mods (one max-rank copy covers every build).</t>
        </is>
      </c>
      <c r="S1818" t="inlineStr">
        <is>
          <t>primary_blight</t>
        </is>
      </c>
      <c r="T1818" t="n">
        <v>12</v>
      </c>
      <c r="U1818" t="n">
        <v>12</v>
      </c>
      <c r="V1818" t="n">
        <v>50</v>
      </c>
      <c r="W1818" t="n">
        <v>53</v>
      </c>
      <c r="X1818" t="n">
        <v>52.6</v>
      </c>
      <c r="Y1818" t="n">
        <v>6044</v>
      </c>
      <c r="Z1818" t="n">
        <v>129</v>
      </c>
      <c r="AA1818" t="n">
        <v>45</v>
      </c>
      <c r="AB1818" t="n">
        <v>14</v>
      </c>
      <c r="AQ1818" t="n">
        <v>5</v>
      </c>
      <c r="AR1818" t="n">
        <v>105</v>
      </c>
      <c r="AS1818" t="inlineStr">
        <is>
          <t>Collection (optional)</t>
        </is>
      </c>
    </row>
    <row r="1819">
      <c r="A1819" t="inlineStr">
        <is>
          <t>Arcane</t>
        </is>
      </c>
      <c r="B1819" t="inlineStr">
        <is>
          <t>Primary Bulwark</t>
        </is>
      </c>
      <c r="E1819" t="inlineStr">
        <is>
          <t>Primary</t>
        </is>
      </c>
      <c r="F1819" t="n">
        <v>5</v>
      </c>
      <c r="G1819" t="n">
        <v>1</v>
      </c>
      <c r="H1819" t="inlineStr">
        <is>
          <t>Player trade (max rank)</t>
        </is>
      </c>
      <c r="I1819" t="inlineStr">
        <is>
          <t>Yes</t>
        </is>
      </c>
      <c r="K1819" t="inlineStr">
        <is>
          <t>Collection (optional)</t>
        </is>
      </c>
      <c r="L1819" t="n">
        <v>39</v>
      </c>
      <c r="M1819" t="n">
        <v>40</v>
      </c>
      <c r="N1819" t="n">
        <v>44</v>
      </c>
      <c r="O1819" t="inlineStr">
        <is>
          <t>2026-10-05 UTC (WFM pull 02:52-04:00)</t>
        </is>
      </c>
      <c r="P1819" t="inlineStr">
        <is>
          <t>OK</t>
        </is>
      </c>
      <c r="R1819" t="inlineStr">
        <is>
          <t>Arcanes share across items like mods (one max-rank copy covers every build).</t>
        </is>
      </c>
      <c r="S1819" t="inlineStr">
        <is>
          <t>primary_bulwark</t>
        </is>
      </c>
      <c r="T1819" t="n">
        <v>17</v>
      </c>
      <c r="U1819" t="n">
        <v>17</v>
      </c>
      <c r="V1819" t="n">
        <v>35</v>
      </c>
      <c r="W1819" t="n">
        <v>30</v>
      </c>
      <c r="X1819" t="n">
        <v>32.2</v>
      </c>
      <c r="Y1819" t="n">
        <v>3334</v>
      </c>
      <c r="Z1819" t="n">
        <v>75</v>
      </c>
      <c r="AA1819" t="n">
        <v>20</v>
      </c>
      <c r="AB1819" t="n">
        <v>19</v>
      </c>
      <c r="AQ1819" t="n">
        <v>3</v>
      </c>
      <c r="AR1819" t="n">
        <v>63</v>
      </c>
      <c r="AS1819" t="inlineStr">
        <is>
          <t>Collection (optional)</t>
        </is>
      </c>
    </row>
    <row r="1820">
      <c r="A1820" t="inlineStr">
        <is>
          <t>Arcane</t>
        </is>
      </c>
      <c r="B1820" t="inlineStr">
        <is>
          <t>Primary Compression</t>
        </is>
      </c>
      <c r="E1820" t="inlineStr">
        <is>
          <t>Primary</t>
        </is>
      </c>
      <c r="F1820" t="n">
        <v>5</v>
      </c>
      <c r="G1820" t="n">
        <v>1</v>
      </c>
      <c r="H1820" t="inlineStr">
        <is>
          <t>Player trade (max rank)</t>
        </is>
      </c>
      <c r="I1820" t="inlineStr">
        <is>
          <t>Yes</t>
        </is>
      </c>
      <c r="K1820" t="inlineStr">
        <is>
          <t>Collection (optional)</t>
        </is>
      </c>
      <c r="L1820" t="n">
        <v>180</v>
      </c>
      <c r="M1820" t="n">
        <v>190</v>
      </c>
      <c r="N1820" t="n">
        <v>237</v>
      </c>
      <c r="O1820" t="inlineStr">
        <is>
          <t>2026-10-05 UTC (WFM pull 02:52-04:00)</t>
        </is>
      </c>
      <c r="P1820" t="inlineStr">
        <is>
          <t>OK</t>
        </is>
      </c>
      <c r="R1820" t="inlineStr">
        <is>
          <t>Arcanes share across items like mods (one max-rank copy covers every build).</t>
        </is>
      </c>
      <c r="S1820" t="inlineStr">
        <is>
          <t>primary_compression</t>
        </is>
      </c>
      <c r="T1820" t="n">
        <v>17</v>
      </c>
      <c r="U1820" t="n">
        <v>17</v>
      </c>
      <c r="V1820" t="n">
        <v>215</v>
      </c>
      <c r="W1820" t="n">
        <v>170</v>
      </c>
      <c r="X1820" t="n">
        <v>179.9</v>
      </c>
      <c r="Y1820" t="n">
        <v>8089</v>
      </c>
      <c r="Z1820" t="n">
        <v>177</v>
      </c>
      <c r="AA1820" t="n">
        <v>170</v>
      </c>
      <c r="AB1820" t="n">
        <v>10</v>
      </c>
      <c r="AQ1820" t="n">
        <v>10</v>
      </c>
      <c r="AR1820" t="n">
        <v>210</v>
      </c>
      <c r="AS1820" t="inlineStr">
        <is>
          <t>Collection (optional)</t>
        </is>
      </c>
    </row>
    <row r="1821">
      <c r="A1821" t="inlineStr">
        <is>
          <t>Arcane</t>
        </is>
      </c>
      <c r="B1821" t="inlineStr">
        <is>
          <t>Primary Crux</t>
        </is>
      </c>
      <c r="E1821" t="inlineStr">
        <is>
          <t>Primary</t>
        </is>
      </c>
      <c r="F1821" t="n">
        <v>5</v>
      </c>
      <c r="G1821" t="n">
        <v>1</v>
      </c>
      <c r="H1821" t="inlineStr">
        <is>
          <t>Player trade (max rank)</t>
        </is>
      </c>
      <c r="I1821" t="inlineStr">
        <is>
          <t>Yes</t>
        </is>
      </c>
      <c r="K1821" t="inlineStr">
        <is>
          <t>Collection (optional)</t>
        </is>
      </c>
      <c r="L1821" t="n">
        <v>25</v>
      </c>
      <c r="M1821" t="n">
        <v>29</v>
      </c>
      <c r="N1821" t="n">
        <v>33</v>
      </c>
      <c r="O1821" t="inlineStr">
        <is>
          <t>2026-10-05 UTC (WFM pull 02:52-04:00)</t>
        </is>
      </c>
      <c r="P1821" t="inlineStr">
        <is>
          <t>OK</t>
        </is>
      </c>
      <c r="R1821" t="inlineStr">
        <is>
          <t>Arcanes share across items like mods (one max-rank copy covers every build).</t>
        </is>
      </c>
      <c r="S1821" t="inlineStr">
        <is>
          <t>primary_crux</t>
        </is>
      </c>
      <c r="T1821" t="n">
        <v>28</v>
      </c>
      <c r="U1821" t="n">
        <v>28</v>
      </c>
      <c r="V1821" t="n">
        <v>25</v>
      </c>
      <c r="W1821" t="n">
        <v>25</v>
      </c>
      <c r="X1821" t="n">
        <v>25.8</v>
      </c>
      <c r="Y1821" t="n">
        <v>6246</v>
      </c>
      <c r="Z1821" t="n">
        <v>70</v>
      </c>
      <c r="AA1821" t="n">
        <v>8</v>
      </c>
      <c r="AB1821" t="n">
        <v>17</v>
      </c>
      <c r="AQ1821" t="n">
        <v>2</v>
      </c>
      <c r="AR1821" t="n">
        <v>42</v>
      </c>
      <c r="AS1821" t="inlineStr">
        <is>
          <t>Collection (optional)</t>
        </is>
      </c>
    </row>
    <row r="1822">
      <c r="A1822" t="inlineStr">
        <is>
          <t>Arcane</t>
        </is>
      </c>
      <c r="B1822" t="inlineStr">
        <is>
          <t>Primary Deadhead</t>
        </is>
      </c>
      <c r="E1822" t="inlineStr">
        <is>
          <t>Primary</t>
        </is>
      </c>
      <c r="F1822" t="n">
        <v>5</v>
      </c>
      <c r="G1822" t="n">
        <v>1</v>
      </c>
      <c r="H1822" t="inlineStr">
        <is>
          <t>Player trade (max rank)</t>
        </is>
      </c>
      <c r="I1822" t="inlineStr">
        <is>
          <t>Yes</t>
        </is>
      </c>
      <c r="K1822" t="inlineStr">
        <is>
          <t>Required (v4.2 weapon/exalted builds)</t>
        </is>
      </c>
      <c r="L1822" t="n">
        <v>13</v>
      </c>
      <c r="M1822" t="n">
        <v>13</v>
      </c>
      <c r="N1822" t="n">
        <v>17</v>
      </c>
      <c r="O1822" t="inlineStr">
        <is>
          <t>2026-10-05 UTC (WFM pull 02:52-04:00)</t>
        </is>
      </c>
      <c r="P1822" t="inlineStr">
        <is>
          <t>OK</t>
        </is>
      </c>
      <c r="R1822" t="inlineStr">
        <is>
          <t>Arcanes share across items like mods (one max-rank copy covers every build).</t>
        </is>
      </c>
      <c r="S1822" t="inlineStr">
        <is>
          <t>primary_deadhead</t>
        </is>
      </c>
      <c r="T1822" t="n">
        <v>38</v>
      </c>
      <c r="U1822" t="n">
        <v>38</v>
      </c>
      <c r="V1822" t="n">
        <v>15</v>
      </c>
      <c r="W1822" t="n">
        <v>15</v>
      </c>
      <c r="X1822" t="n">
        <v>14.1</v>
      </c>
      <c r="Y1822" t="n">
        <v>7566</v>
      </c>
      <c r="Z1822" t="n">
        <v>174</v>
      </c>
      <c r="AA1822" t="n">
        <v>40</v>
      </c>
      <c r="AB1822" t="n">
        <v>-27</v>
      </c>
      <c r="AQ1822" t="n">
        <v>2</v>
      </c>
      <c r="AR1822" t="n">
        <v>42</v>
      </c>
      <c r="AS1822" t="inlineStr">
        <is>
          <t>Yes</t>
        </is>
      </c>
    </row>
    <row r="1823">
      <c r="A1823" t="inlineStr">
        <is>
          <t>Arcane</t>
        </is>
      </c>
      <c r="B1823" t="inlineStr">
        <is>
          <t>Primary Debilitate</t>
        </is>
      </c>
      <c r="E1823" t="inlineStr">
        <is>
          <t>Primary</t>
        </is>
      </c>
      <c r="F1823" t="n">
        <v>5</v>
      </c>
      <c r="G1823" t="n">
        <v>1</v>
      </c>
      <c r="H1823" t="inlineStr">
        <is>
          <t>Player trade (max rank)</t>
        </is>
      </c>
      <c r="I1823" t="inlineStr">
        <is>
          <t>Yes</t>
        </is>
      </c>
      <c r="K1823" t="inlineStr">
        <is>
          <t>Collection (optional)</t>
        </is>
      </c>
      <c r="L1823" t="n">
        <v>40</v>
      </c>
      <c r="M1823" t="n">
        <v>40</v>
      </c>
      <c r="N1823" t="n">
        <v>54</v>
      </c>
      <c r="O1823" t="inlineStr">
        <is>
          <t>2026-10-05 UTC (WFM pull 02:52-04:00)</t>
        </is>
      </c>
      <c r="P1823" t="inlineStr">
        <is>
          <t>OK</t>
        </is>
      </c>
      <c r="R1823" t="inlineStr">
        <is>
          <t>Arcanes share across items like mods (one max-rank copy covers every build).</t>
        </is>
      </c>
      <c r="S1823" t="inlineStr">
        <is>
          <t>primary_debilitate</t>
        </is>
      </c>
      <c r="T1823" t="n">
        <v>14</v>
      </c>
      <c r="U1823" t="n">
        <v>14</v>
      </c>
      <c r="V1823" t="n">
        <v>34</v>
      </c>
      <c r="W1823" t="n">
        <v>30</v>
      </c>
      <c r="X1823" t="n">
        <v>32.1</v>
      </c>
      <c r="Y1823" t="n">
        <v>3751</v>
      </c>
      <c r="Z1823" t="n">
        <v>99</v>
      </c>
      <c r="AA1823" t="n">
        <v>21</v>
      </c>
      <c r="AB1823" t="n">
        <v>19</v>
      </c>
      <c r="AQ1823" t="n">
        <v>3</v>
      </c>
      <c r="AR1823" t="n">
        <v>63</v>
      </c>
      <c r="AS1823" t="inlineStr">
        <is>
          <t>Collection (optional)</t>
        </is>
      </c>
    </row>
    <row r="1824">
      <c r="A1824" t="inlineStr">
        <is>
          <t>Arcane</t>
        </is>
      </c>
      <c r="B1824" t="inlineStr">
        <is>
          <t>Primary Dexterity</t>
        </is>
      </c>
      <c r="E1824" t="inlineStr">
        <is>
          <t>Primary</t>
        </is>
      </c>
      <c r="F1824" t="n">
        <v>5</v>
      </c>
      <c r="G1824" t="n">
        <v>1</v>
      </c>
      <c r="H1824" t="inlineStr">
        <is>
          <t>Player trade (max rank)</t>
        </is>
      </c>
      <c r="I1824" t="inlineStr">
        <is>
          <t>Yes</t>
        </is>
      </c>
      <c r="K1824" t="inlineStr">
        <is>
          <t>Required (v4.2 weapon/exalted builds)</t>
        </is>
      </c>
      <c r="L1824" t="n">
        <v>6</v>
      </c>
      <c r="M1824" t="n">
        <v>7</v>
      </c>
      <c r="N1824" t="n">
        <v>9</v>
      </c>
      <c r="O1824" t="inlineStr">
        <is>
          <t>2026-10-05 UTC (WFM pull 02:52-04:00)</t>
        </is>
      </c>
      <c r="P1824" t="inlineStr">
        <is>
          <t>OK</t>
        </is>
      </c>
      <c r="R1824" t="inlineStr">
        <is>
          <t>Arcanes share across items like mods (one max-rank copy covers every build).</t>
        </is>
      </c>
      <c r="S1824" t="inlineStr">
        <is>
          <t>primary_dexterity</t>
        </is>
      </c>
      <c r="T1824" t="n">
        <v>50</v>
      </c>
      <c r="U1824" t="n">
        <v>50</v>
      </c>
      <c r="V1824" t="n">
        <v>8</v>
      </c>
      <c r="W1824" t="n">
        <v>8</v>
      </c>
      <c r="X1824" t="n">
        <v>7.9</v>
      </c>
      <c r="Y1824" t="n">
        <v>3926</v>
      </c>
      <c r="Z1824" t="n">
        <v>88</v>
      </c>
      <c r="AA1824" t="n">
        <v>36</v>
      </c>
      <c r="AB1824" t="n">
        <v>-30</v>
      </c>
      <c r="AQ1824" t="n">
        <v>1</v>
      </c>
      <c r="AR1824" t="n">
        <v>21</v>
      </c>
      <c r="AS1824" t="inlineStr">
        <is>
          <t>Yes</t>
        </is>
      </c>
    </row>
    <row r="1825">
      <c r="A1825" t="inlineStr">
        <is>
          <t>Arcane</t>
        </is>
      </c>
      <c r="B1825" t="inlineStr">
        <is>
          <t>Primary Exhilarate</t>
        </is>
      </c>
      <c r="E1825" t="inlineStr">
        <is>
          <t>Primary</t>
        </is>
      </c>
      <c r="F1825" t="n">
        <v>5</v>
      </c>
      <c r="G1825" t="n">
        <v>1</v>
      </c>
      <c r="H1825" t="inlineStr">
        <is>
          <t>Player trade (max rank)</t>
        </is>
      </c>
      <c r="I1825" t="inlineStr">
        <is>
          <t>Yes</t>
        </is>
      </c>
      <c r="K1825" t="inlineStr">
        <is>
          <t>Collection (optional)</t>
        </is>
      </c>
      <c r="L1825" t="n">
        <v>30</v>
      </c>
      <c r="M1825" t="n">
        <v>35</v>
      </c>
      <c r="N1825" t="n">
        <v>44</v>
      </c>
      <c r="O1825" t="inlineStr">
        <is>
          <t>2026-10-05 UTC (WFM pull 02:52-04:00)</t>
        </is>
      </c>
      <c r="P1825" t="inlineStr">
        <is>
          <t>OK</t>
        </is>
      </c>
      <c r="R1825" t="inlineStr">
        <is>
          <t>Arcanes share across items like mods (one max-rank copy covers every build).</t>
        </is>
      </c>
      <c r="S1825" t="inlineStr">
        <is>
          <t>primary_exhilarate</t>
        </is>
      </c>
      <c r="T1825" t="n">
        <v>12</v>
      </c>
      <c r="U1825" t="n">
        <v>12</v>
      </c>
      <c r="V1825" t="n">
        <v>35</v>
      </c>
      <c r="W1825" t="n">
        <v>35</v>
      </c>
      <c r="X1825" t="n">
        <v>35.8</v>
      </c>
      <c r="Y1825" t="n">
        <v>505</v>
      </c>
      <c r="Z1825" t="n">
        <v>10</v>
      </c>
      <c r="AA1825" t="n">
        <v>15</v>
      </c>
      <c r="AB1825" t="n">
        <v>15</v>
      </c>
      <c r="AQ1825" t="n">
        <v>4</v>
      </c>
      <c r="AR1825" t="n">
        <v>84</v>
      </c>
      <c r="AS1825" t="inlineStr">
        <is>
          <t>Collection (optional)</t>
        </is>
      </c>
    </row>
    <row r="1826">
      <c r="A1826" t="inlineStr">
        <is>
          <t>Arcane</t>
        </is>
      </c>
      <c r="B1826" t="inlineStr">
        <is>
          <t>Primary Frostbite</t>
        </is>
      </c>
      <c r="E1826" t="inlineStr">
        <is>
          <t>Primary</t>
        </is>
      </c>
      <c r="F1826" t="n">
        <v>5</v>
      </c>
      <c r="G1826" t="n">
        <v>1</v>
      </c>
      <c r="H1826" t="inlineStr">
        <is>
          <t>Player trade (max rank)</t>
        </is>
      </c>
      <c r="I1826" t="inlineStr">
        <is>
          <t>Yes</t>
        </is>
      </c>
      <c r="K1826" t="inlineStr">
        <is>
          <t>Required (v4.2 weapon/exalted builds)</t>
        </is>
      </c>
      <c r="L1826" t="n">
        <v>35</v>
      </c>
      <c r="M1826" t="n">
        <v>40</v>
      </c>
      <c r="N1826" t="n">
        <v>66</v>
      </c>
      <c r="O1826" t="inlineStr">
        <is>
          <t>2026-10-05 UTC (WFM pull 02:52-04:00)</t>
        </is>
      </c>
      <c r="P1826" t="inlineStr">
        <is>
          <t>OK</t>
        </is>
      </c>
      <c r="R1826" t="inlineStr">
        <is>
          <t>Arcanes share across items like mods (one max-rank copy covers every build).</t>
        </is>
      </c>
      <c r="S1826" t="inlineStr">
        <is>
          <t>primary_frostbite</t>
        </is>
      </c>
      <c r="T1826" t="n">
        <v>7</v>
      </c>
      <c r="U1826" t="n">
        <v>7</v>
      </c>
      <c r="V1826" t="n">
        <v>30</v>
      </c>
      <c r="W1826" t="n">
        <v>25</v>
      </c>
      <c r="X1826" t="n">
        <v>26.9</v>
      </c>
      <c r="Y1826" t="n">
        <v>5192</v>
      </c>
      <c r="Z1826" t="n">
        <v>209</v>
      </c>
      <c r="AA1826" t="n">
        <v>10</v>
      </c>
      <c r="AB1826" t="n">
        <v>25</v>
      </c>
      <c r="AQ1826" t="n">
        <v>3</v>
      </c>
      <c r="AR1826" t="n">
        <v>63</v>
      </c>
      <c r="AS1826" t="inlineStr">
        <is>
          <t>Yes</t>
        </is>
      </c>
    </row>
    <row r="1827">
      <c r="A1827" t="inlineStr">
        <is>
          <t>Arcane</t>
        </is>
      </c>
      <c r="B1827" t="inlineStr">
        <is>
          <t>Primary Merciless</t>
        </is>
      </c>
      <c r="E1827" t="inlineStr">
        <is>
          <t>Primary</t>
        </is>
      </c>
      <c r="F1827" t="n">
        <v>5</v>
      </c>
      <c r="G1827" t="n">
        <v>1</v>
      </c>
      <c r="H1827" t="inlineStr">
        <is>
          <t>Player trade (max rank)</t>
        </is>
      </c>
      <c r="I1827" t="inlineStr">
        <is>
          <t>Yes</t>
        </is>
      </c>
      <c r="K1827" t="inlineStr">
        <is>
          <t>Required (v4.2 weapon/exalted builds)</t>
        </is>
      </c>
      <c r="L1827" t="n">
        <v>12</v>
      </c>
      <c r="M1827" t="n">
        <v>15</v>
      </c>
      <c r="N1827" t="n">
        <v>22</v>
      </c>
      <c r="O1827" t="inlineStr">
        <is>
          <t>2026-10-05 UTC (WFM pull 02:52-04:00)</t>
        </is>
      </c>
      <c r="P1827" t="inlineStr">
        <is>
          <t>OK</t>
        </is>
      </c>
      <c r="R1827" t="inlineStr">
        <is>
          <t>Arcanes share across items like mods (one max-rank copy covers every build).</t>
        </is>
      </c>
      <c r="S1827" t="inlineStr">
        <is>
          <t>primary_merciless</t>
        </is>
      </c>
      <c r="T1827" t="n">
        <v>28</v>
      </c>
      <c r="U1827" t="n">
        <v>28</v>
      </c>
      <c r="V1827" t="n">
        <v>15</v>
      </c>
      <c r="W1827" t="n">
        <v>15</v>
      </c>
      <c r="X1827" t="n">
        <v>15.4</v>
      </c>
      <c r="Y1827" t="n">
        <v>9325</v>
      </c>
      <c r="Z1827" t="n">
        <v>283</v>
      </c>
      <c r="AA1827" t="n">
        <v>40</v>
      </c>
      <c r="AB1827" t="n">
        <v>-28</v>
      </c>
      <c r="AQ1827" t="n">
        <v>2</v>
      </c>
      <c r="AR1827" t="n">
        <v>42</v>
      </c>
      <c r="AS1827" t="inlineStr">
        <is>
          <t>Yes</t>
        </is>
      </c>
    </row>
    <row r="1828">
      <c r="A1828" t="inlineStr">
        <is>
          <t>Arcane</t>
        </is>
      </c>
      <c r="B1828" t="inlineStr">
        <is>
          <t>Primary Obstruct</t>
        </is>
      </c>
      <c r="E1828" t="inlineStr">
        <is>
          <t>Primary</t>
        </is>
      </c>
      <c r="F1828" t="n">
        <v>5</v>
      </c>
      <c r="G1828" t="n">
        <v>1</v>
      </c>
      <c r="H1828" t="inlineStr">
        <is>
          <t>Player trade (max rank)</t>
        </is>
      </c>
      <c r="I1828" t="inlineStr">
        <is>
          <t>Yes</t>
        </is>
      </c>
      <c r="K1828" t="inlineStr">
        <is>
          <t>Collection (optional)</t>
        </is>
      </c>
      <c r="L1828" t="n">
        <v>30</v>
      </c>
      <c r="M1828" t="n">
        <v>35</v>
      </c>
      <c r="N1828" t="n">
        <v>44</v>
      </c>
      <c r="O1828" t="inlineStr">
        <is>
          <t>2026-10-05 UTC (WFM pull 02:52-04:00)</t>
        </is>
      </c>
      <c r="P1828" t="inlineStr">
        <is>
          <t>OK</t>
        </is>
      </c>
      <c r="R1828" t="inlineStr">
        <is>
          <t>Arcanes share across items like mods (one max-rank copy covers every build).</t>
        </is>
      </c>
      <c r="S1828" t="inlineStr">
        <is>
          <t>primary_obstruct</t>
        </is>
      </c>
      <c r="T1828" t="n">
        <v>12</v>
      </c>
      <c r="U1828" t="n">
        <v>12</v>
      </c>
      <c r="V1828" t="n">
        <v>35</v>
      </c>
      <c r="W1828" t="n">
        <v>40</v>
      </c>
      <c r="X1828" t="n">
        <v>38.6</v>
      </c>
      <c r="Y1828" t="n">
        <v>503</v>
      </c>
      <c r="Z1828" t="n">
        <v>26</v>
      </c>
      <c r="AA1828" t="n">
        <v>15</v>
      </c>
      <c r="AB1828" t="n">
        <v>15</v>
      </c>
      <c r="AQ1828" t="n">
        <v>3</v>
      </c>
      <c r="AR1828" t="n">
        <v>63</v>
      </c>
      <c r="AS1828" t="inlineStr">
        <is>
          <t>Collection (optional)</t>
        </is>
      </c>
    </row>
    <row r="1829">
      <c r="A1829" t="inlineStr">
        <is>
          <t>Arcane</t>
        </is>
      </c>
      <c r="B1829" t="inlineStr">
        <is>
          <t>Primary Overcharge</t>
        </is>
      </c>
      <c r="E1829" t="inlineStr">
        <is>
          <t>Primary</t>
        </is>
      </c>
      <c r="F1829" t="n">
        <v>5</v>
      </c>
      <c r="G1829" t="n">
        <v>1</v>
      </c>
      <c r="H1829" t="inlineStr">
        <is>
          <t>Player trade (max rank)</t>
        </is>
      </c>
      <c r="I1829" t="inlineStr">
        <is>
          <t>Yes</t>
        </is>
      </c>
      <c r="K1829" t="inlineStr">
        <is>
          <t>Collection (optional)</t>
        </is>
      </c>
      <c r="L1829" t="n">
        <v>40</v>
      </c>
      <c r="M1829" t="n">
        <v>44</v>
      </c>
      <c r="N1829" t="n">
        <v>54</v>
      </c>
      <c r="O1829" t="inlineStr">
        <is>
          <t>2026-10-05 UTC (WFM pull 02:52-04:00)</t>
        </is>
      </c>
      <c r="P1829" t="inlineStr">
        <is>
          <t>OK</t>
        </is>
      </c>
      <c r="R1829" t="inlineStr">
        <is>
          <t>Arcanes share across items like mods (one max-rank copy covers every build).</t>
        </is>
      </c>
      <c r="S1829" t="inlineStr">
        <is>
          <t>primary_overcharge</t>
        </is>
      </c>
      <c r="T1829" t="n">
        <v>14</v>
      </c>
      <c r="U1829" t="n">
        <v>14</v>
      </c>
      <c r="V1829" t="n">
        <v>38</v>
      </c>
      <c r="W1829" t="n">
        <v>35</v>
      </c>
      <c r="X1829" t="n">
        <v>34</v>
      </c>
      <c r="Y1829" t="n">
        <v>4116</v>
      </c>
      <c r="Z1829" t="n">
        <v>92</v>
      </c>
      <c r="AA1829" t="n">
        <v>30</v>
      </c>
      <c r="AB1829" t="n">
        <v>10</v>
      </c>
      <c r="AQ1829" t="n">
        <v>3</v>
      </c>
      <c r="AR1829" t="n">
        <v>63</v>
      </c>
      <c r="AS1829" t="inlineStr">
        <is>
          <t>Collection (optional)</t>
        </is>
      </c>
    </row>
    <row r="1830">
      <c r="A1830" t="inlineStr">
        <is>
          <t>Arcane</t>
        </is>
      </c>
      <c r="B1830" t="inlineStr">
        <is>
          <t>Primary Plated Round</t>
        </is>
      </c>
      <c r="E1830" t="inlineStr">
        <is>
          <t>Primary</t>
        </is>
      </c>
      <c r="F1830" t="n">
        <v>5</v>
      </c>
      <c r="G1830" t="n">
        <v>1</v>
      </c>
      <c r="H1830" t="inlineStr">
        <is>
          <t>Player trade (max rank)</t>
        </is>
      </c>
      <c r="I1830" t="inlineStr">
        <is>
          <t>Yes</t>
        </is>
      </c>
      <c r="K1830" t="inlineStr">
        <is>
          <t>Collection (optional)</t>
        </is>
      </c>
      <c r="L1830" t="n">
        <v>80</v>
      </c>
      <c r="M1830" t="n">
        <v>85</v>
      </c>
      <c r="N1830" t="n">
        <v>109</v>
      </c>
      <c r="O1830" t="inlineStr">
        <is>
          <t>2026-10-05 UTC (WFM pull 02:52-04:00)</t>
        </is>
      </c>
      <c r="P1830" t="inlineStr">
        <is>
          <t>OK</t>
        </is>
      </c>
      <c r="R1830" t="inlineStr">
        <is>
          <t>Arcanes share across items like mods (one max-rank copy covers every build).</t>
        </is>
      </c>
      <c r="S1830" t="inlineStr">
        <is>
          <t>primary_plated_round</t>
        </is>
      </c>
      <c r="T1830" t="n">
        <v>9</v>
      </c>
      <c r="U1830" t="n">
        <v>9</v>
      </c>
      <c r="V1830" t="n">
        <v>87.5</v>
      </c>
      <c r="W1830" t="n">
        <v>70</v>
      </c>
      <c r="X1830" t="n">
        <v>72.90000000000001</v>
      </c>
      <c r="Y1830" t="n">
        <v>562</v>
      </c>
      <c r="Z1830" t="n">
        <v>7</v>
      </c>
      <c r="AA1830" t="n">
        <v>51</v>
      </c>
      <c r="AB1830" t="n">
        <v>29</v>
      </c>
      <c r="AQ1830" t="n">
        <v>6</v>
      </c>
      <c r="AR1830" t="n">
        <v>126</v>
      </c>
      <c r="AS1830" t="inlineStr">
        <is>
          <t>Collection (optional)</t>
        </is>
      </c>
    </row>
    <row r="1831">
      <c r="A1831" t="inlineStr">
        <is>
          <t>Arcane</t>
        </is>
      </c>
      <c r="B1831" t="inlineStr">
        <is>
          <t>Residual Boils</t>
        </is>
      </c>
      <c r="E1831" t="inlineStr">
        <is>
          <t>Kitgun</t>
        </is>
      </c>
      <c r="F1831" t="n">
        <v>3</v>
      </c>
      <c r="G1831" t="n">
        <v>1</v>
      </c>
      <c r="H1831" t="inlineStr">
        <is>
          <t>Player trade (max rank)</t>
        </is>
      </c>
      <c r="I1831" t="inlineStr">
        <is>
          <t>Yes</t>
        </is>
      </c>
      <c r="K1831" t="inlineStr">
        <is>
          <t>Collection (optional)</t>
        </is>
      </c>
      <c r="L1831" t="n">
        <v>23</v>
      </c>
      <c r="M1831" t="n">
        <v>25</v>
      </c>
      <c r="N1831" t="n">
        <v>33</v>
      </c>
      <c r="O1831" t="inlineStr">
        <is>
          <t>2026-10-05 UTC (WFM pull 02:52-04:00)</t>
        </is>
      </c>
      <c r="P1831" t="inlineStr">
        <is>
          <t>OK</t>
        </is>
      </c>
      <c r="R1831" t="inlineStr">
        <is>
          <t>Arcanes share across items like mods (one max-rank copy covers every build).</t>
        </is>
      </c>
      <c r="S1831" t="inlineStr">
        <is>
          <t>residual_boils</t>
        </is>
      </c>
      <c r="T1831" t="n">
        <v>7</v>
      </c>
      <c r="U1831" t="n">
        <v>7</v>
      </c>
      <c r="V1831" t="n">
        <v>20</v>
      </c>
      <c r="W1831" t="n">
        <v>20</v>
      </c>
      <c r="X1831" t="n">
        <v>20.3</v>
      </c>
      <c r="Y1831" t="n">
        <v>168</v>
      </c>
      <c r="Z1831" t="n">
        <v>6</v>
      </c>
      <c r="AQ1831" t="n">
        <v>3</v>
      </c>
      <c r="AR1831" t="n">
        <v>30</v>
      </c>
      <c r="AS1831" t="inlineStr">
        <is>
          <t>Collection (optional)</t>
        </is>
      </c>
    </row>
    <row r="1832">
      <c r="A1832" t="inlineStr">
        <is>
          <t>Arcane</t>
        </is>
      </c>
      <c r="B1832" t="inlineStr">
        <is>
          <t>Residual Malodor</t>
        </is>
      </c>
      <c r="E1832" t="inlineStr">
        <is>
          <t>Kitgun</t>
        </is>
      </c>
      <c r="F1832" t="n">
        <v>3</v>
      </c>
      <c r="G1832" t="n">
        <v>1</v>
      </c>
      <c r="H1832" t="inlineStr">
        <is>
          <t>Player trade (max rank)</t>
        </is>
      </c>
      <c r="I1832" t="inlineStr">
        <is>
          <t>Yes</t>
        </is>
      </c>
      <c r="K1832" t="inlineStr">
        <is>
          <t>Collection (optional)</t>
        </is>
      </c>
      <c r="L1832" t="n">
        <v>15</v>
      </c>
      <c r="M1832" t="n">
        <v>19</v>
      </c>
      <c r="N1832" t="n">
        <v>22</v>
      </c>
      <c r="O1832" t="inlineStr">
        <is>
          <t>2026-10-05 UTC (WFM pull 02:52-04:00)</t>
        </is>
      </c>
      <c r="P1832" t="inlineStr">
        <is>
          <t>OK</t>
        </is>
      </c>
      <c r="R1832" t="inlineStr">
        <is>
          <t>Arcanes share across items like mods (one max-rank copy covers every build).</t>
        </is>
      </c>
      <c r="S1832" t="inlineStr">
        <is>
          <t>residual_malodor</t>
        </is>
      </c>
      <c r="T1832" t="n">
        <v>9</v>
      </c>
      <c r="U1832" t="n">
        <v>9</v>
      </c>
      <c r="V1832" t="n">
        <v>15</v>
      </c>
      <c r="W1832" t="n">
        <v>15</v>
      </c>
      <c r="X1832" t="n">
        <v>15.9</v>
      </c>
      <c r="Y1832" t="n">
        <v>91</v>
      </c>
      <c r="Z1832" t="n">
        <v>3</v>
      </c>
      <c r="AQ1832" t="n">
        <v>3</v>
      </c>
      <c r="AR1832" t="n">
        <v>30</v>
      </c>
      <c r="AS1832" t="inlineStr">
        <is>
          <t>Collection (optional)</t>
        </is>
      </c>
    </row>
    <row r="1833">
      <c r="A1833" t="inlineStr">
        <is>
          <t>Arcane</t>
        </is>
      </c>
      <c r="B1833" t="inlineStr">
        <is>
          <t>Residual Shock</t>
        </is>
      </c>
      <c r="E1833" t="inlineStr">
        <is>
          <t>Kitgun</t>
        </is>
      </c>
      <c r="F1833" t="n">
        <v>3</v>
      </c>
      <c r="G1833" t="n">
        <v>1</v>
      </c>
      <c r="H1833" t="inlineStr">
        <is>
          <t>Player trade (max rank)</t>
        </is>
      </c>
      <c r="I1833" t="inlineStr">
        <is>
          <t>Yes</t>
        </is>
      </c>
      <c r="K1833" t="inlineStr">
        <is>
          <t>Collection (optional)</t>
        </is>
      </c>
      <c r="L1833" t="n">
        <v>20</v>
      </c>
      <c r="M1833" t="n">
        <v>25</v>
      </c>
      <c r="N1833" t="n">
        <v>33</v>
      </c>
      <c r="O1833" t="inlineStr">
        <is>
          <t>2026-10-05 UTC (WFM pull 02:52-04:00)</t>
        </is>
      </c>
      <c r="P1833" t="inlineStr">
        <is>
          <t>OK</t>
        </is>
      </c>
      <c r="R1833" t="inlineStr">
        <is>
          <t>Arcanes share across items like mods (one max-rank copy covers every build).</t>
        </is>
      </c>
      <c r="S1833" t="inlineStr">
        <is>
          <t>residual_shock</t>
        </is>
      </c>
      <c r="T1833" t="n">
        <v>8</v>
      </c>
      <c r="U1833" t="n">
        <v>8</v>
      </c>
      <c r="V1833" t="n">
        <v>22.5</v>
      </c>
      <c r="W1833" t="n">
        <v>25</v>
      </c>
      <c r="X1833" t="n">
        <v>26</v>
      </c>
      <c r="Y1833" t="n">
        <v>156</v>
      </c>
      <c r="Z1833" t="n">
        <v>7</v>
      </c>
      <c r="AQ1833" t="n">
        <v>3</v>
      </c>
      <c r="AR1833" t="n">
        <v>30</v>
      </c>
      <c r="AS1833" t="inlineStr">
        <is>
          <t>Collection (optional)</t>
        </is>
      </c>
    </row>
    <row r="1834">
      <c r="A1834" t="inlineStr">
        <is>
          <t>Arcane</t>
        </is>
      </c>
      <c r="B1834" t="inlineStr">
        <is>
          <t>Residual Viremia</t>
        </is>
      </c>
      <c r="E1834" t="inlineStr">
        <is>
          <t>Kitgun</t>
        </is>
      </c>
      <c r="F1834" t="n">
        <v>3</v>
      </c>
      <c r="G1834" t="n">
        <v>1</v>
      </c>
      <c r="H1834" t="inlineStr">
        <is>
          <t>Player trade (max rank)</t>
        </is>
      </c>
      <c r="I1834" t="inlineStr">
        <is>
          <t>Yes</t>
        </is>
      </c>
      <c r="K1834" t="inlineStr">
        <is>
          <t>Collection (optional)</t>
        </is>
      </c>
      <c r="L1834" t="n">
        <v>20</v>
      </c>
      <c r="M1834" t="n">
        <v>25</v>
      </c>
      <c r="N1834" t="n">
        <v>56</v>
      </c>
      <c r="O1834" t="inlineStr">
        <is>
          <t>2026-10-05 UTC (WFM pull 02:52-04:00)</t>
        </is>
      </c>
      <c r="P1834" t="inlineStr">
        <is>
          <t>OK</t>
        </is>
      </c>
      <c r="Q1834" t="inlineStr">
        <is>
          <t>Cheaper via 10x R0 (20p realistic) than buying max rank</t>
        </is>
      </c>
      <c r="R1834" t="inlineStr">
        <is>
          <t>Arcanes share across items like mods (one max-rank copy covers every build).</t>
        </is>
      </c>
      <c r="S1834" t="inlineStr">
        <is>
          <t>residual_viremia</t>
        </is>
      </c>
      <c r="T1834" t="n">
        <v>6</v>
      </c>
      <c r="U1834" t="n">
        <v>6</v>
      </c>
      <c r="V1834" t="n">
        <v>24</v>
      </c>
      <c r="W1834" t="n">
        <v>25</v>
      </c>
      <c r="X1834" t="n">
        <v>26.5</v>
      </c>
      <c r="Y1834" t="n">
        <v>187</v>
      </c>
      <c r="Z1834" t="n">
        <v>4</v>
      </c>
      <c r="AQ1834" t="n">
        <v>2</v>
      </c>
      <c r="AR1834" t="n">
        <v>20</v>
      </c>
      <c r="AS1834" t="inlineStr">
        <is>
          <t>Collection (optional)</t>
        </is>
      </c>
    </row>
    <row r="1835">
      <c r="A1835" t="inlineStr">
        <is>
          <t>Arcane</t>
        </is>
      </c>
      <c r="B1835" t="inlineStr">
        <is>
          <t>Secondary Cryogenic</t>
        </is>
      </c>
      <c r="E1835" t="inlineStr">
        <is>
          <t>Secondary</t>
        </is>
      </c>
      <c r="F1835" t="n">
        <v>5</v>
      </c>
      <c r="G1835" t="n">
        <v>1</v>
      </c>
      <c r="H1835" t="inlineStr">
        <is>
          <t>Player trade (max rank)</t>
        </is>
      </c>
      <c r="I1835" t="inlineStr">
        <is>
          <t>Yes</t>
        </is>
      </c>
      <c r="K1835" t="inlineStr">
        <is>
          <t>Collection (optional)</t>
        </is>
      </c>
      <c r="L1835" t="n">
        <v>100</v>
      </c>
      <c r="M1835" t="n">
        <v>102</v>
      </c>
      <c r="N1835" t="n">
        <v>221</v>
      </c>
      <c r="O1835" t="inlineStr">
        <is>
          <t>2026-10-05 UTC (WFM pull 02:52-04:00)</t>
        </is>
      </c>
      <c r="P1835" t="inlineStr">
        <is>
          <t>OK</t>
        </is>
      </c>
      <c r="R1835" t="inlineStr">
        <is>
          <t>Arcanes share across items like mods (one max-rank copy covers every build).</t>
        </is>
      </c>
      <c r="S1835" t="inlineStr">
        <is>
          <t>secondary_cryogenic</t>
        </is>
      </c>
      <c r="T1835" t="n">
        <v>7</v>
      </c>
      <c r="U1835" t="n">
        <v>7</v>
      </c>
      <c r="V1835" t="n">
        <v>70</v>
      </c>
      <c r="W1835" t="n">
        <v>44</v>
      </c>
      <c r="X1835" t="n">
        <v>60</v>
      </c>
      <c r="Y1835" t="n">
        <v>981</v>
      </c>
      <c r="Z1835" t="n">
        <v>44</v>
      </c>
      <c r="AA1835" t="n">
        <v>35</v>
      </c>
      <c r="AB1835" t="n">
        <v>65</v>
      </c>
      <c r="AQ1835" t="n">
        <v>5</v>
      </c>
      <c r="AR1835" t="n">
        <v>105</v>
      </c>
      <c r="AS1835" t="inlineStr">
        <is>
          <t>Collection (optional)</t>
        </is>
      </c>
    </row>
    <row r="1836">
      <c r="A1836" t="inlineStr">
        <is>
          <t>Arcane</t>
        </is>
      </c>
      <c r="B1836" t="inlineStr">
        <is>
          <t>Secondary Deadhead</t>
        </is>
      </c>
      <c r="E1836" t="inlineStr">
        <is>
          <t>Secondary</t>
        </is>
      </c>
      <c r="F1836" t="n">
        <v>5</v>
      </c>
      <c r="G1836" t="n">
        <v>1</v>
      </c>
      <c r="H1836" t="inlineStr">
        <is>
          <t>Player trade (max rank)</t>
        </is>
      </c>
      <c r="I1836" t="inlineStr">
        <is>
          <t>Yes</t>
        </is>
      </c>
      <c r="K1836" t="inlineStr">
        <is>
          <t>Required (v4.2 weapon/exalted builds)</t>
        </is>
      </c>
      <c r="L1836" t="n">
        <v>8</v>
      </c>
      <c r="M1836" t="n">
        <v>10</v>
      </c>
      <c r="N1836" t="n">
        <v>11</v>
      </c>
      <c r="O1836" t="inlineStr">
        <is>
          <t>2026-10-05 UTC (WFM pull 02:52-04:00)</t>
        </is>
      </c>
      <c r="P1836" t="inlineStr">
        <is>
          <t>OK</t>
        </is>
      </c>
      <c r="R1836" t="inlineStr">
        <is>
          <t>Arcanes share across items like mods (one max-rank copy covers every build).</t>
        </is>
      </c>
      <c r="S1836" t="inlineStr">
        <is>
          <t>secondary_deadhead</t>
        </is>
      </c>
      <c r="T1836" t="n">
        <v>39</v>
      </c>
      <c r="U1836" t="n">
        <v>39</v>
      </c>
      <c r="V1836" t="n">
        <v>9</v>
      </c>
      <c r="W1836" t="n">
        <v>9</v>
      </c>
      <c r="X1836" t="n">
        <v>8.699999999999999</v>
      </c>
      <c r="Y1836" t="n">
        <v>4517</v>
      </c>
      <c r="Z1836" t="n">
        <v>168</v>
      </c>
      <c r="AA1836" t="n">
        <v>40</v>
      </c>
      <c r="AB1836" t="n">
        <v>-32</v>
      </c>
      <c r="AQ1836" t="n">
        <v>1</v>
      </c>
      <c r="AR1836" t="n">
        <v>21</v>
      </c>
      <c r="AS1836" t="inlineStr">
        <is>
          <t>Yes</t>
        </is>
      </c>
    </row>
    <row r="1837">
      <c r="A1837" t="inlineStr">
        <is>
          <t>Arcane</t>
        </is>
      </c>
      <c r="B1837" t="inlineStr">
        <is>
          <t>Secondary Dexterity</t>
        </is>
      </c>
      <c r="E1837" t="inlineStr">
        <is>
          <t>Secondary</t>
        </is>
      </c>
      <c r="F1837" t="n">
        <v>5</v>
      </c>
      <c r="G1837" t="n">
        <v>1</v>
      </c>
      <c r="H1837" t="inlineStr">
        <is>
          <t>Player trade (max rank)</t>
        </is>
      </c>
      <c r="I1837" t="inlineStr">
        <is>
          <t>Yes</t>
        </is>
      </c>
      <c r="K1837" t="inlineStr">
        <is>
          <t>Required (v4.2 weapon/exalted builds)</t>
        </is>
      </c>
      <c r="L1837" t="n">
        <v>8</v>
      </c>
      <c r="M1837" t="n">
        <v>9</v>
      </c>
      <c r="N1837" t="n">
        <v>11</v>
      </c>
      <c r="O1837" t="inlineStr">
        <is>
          <t>2026-10-05 UTC (WFM pull 02:52-04:00)</t>
        </is>
      </c>
      <c r="P1837" t="inlineStr">
        <is>
          <t>OK</t>
        </is>
      </c>
      <c r="R1837" t="inlineStr">
        <is>
          <t>Arcanes share across items like mods (one max-rank copy covers every build).</t>
        </is>
      </c>
      <c r="S1837" t="inlineStr">
        <is>
          <t>secondary_dexterity</t>
        </is>
      </c>
      <c r="T1837" t="n">
        <v>50</v>
      </c>
      <c r="U1837" t="n">
        <v>50</v>
      </c>
      <c r="V1837" t="n">
        <v>8</v>
      </c>
      <c r="W1837" t="n">
        <v>8</v>
      </c>
      <c r="X1837" t="n">
        <v>7.8</v>
      </c>
      <c r="Y1837" t="n">
        <v>3454</v>
      </c>
      <c r="Z1837" t="n">
        <v>71</v>
      </c>
      <c r="AA1837" t="n">
        <v>36</v>
      </c>
      <c r="AB1837" t="n">
        <v>-28</v>
      </c>
      <c r="AQ1837" t="n">
        <v>1</v>
      </c>
      <c r="AR1837" t="n">
        <v>21</v>
      </c>
      <c r="AS1837" t="inlineStr">
        <is>
          <t>Yes</t>
        </is>
      </c>
    </row>
    <row r="1838">
      <c r="A1838" t="inlineStr">
        <is>
          <t>Arcane</t>
        </is>
      </c>
      <c r="B1838" t="inlineStr">
        <is>
          <t>Secondary Encumber</t>
        </is>
      </c>
      <c r="E1838" t="inlineStr">
        <is>
          <t>Secondary</t>
        </is>
      </c>
      <c r="F1838" t="n">
        <v>5</v>
      </c>
      <c r="G1838" t="n">
        <v>1</v>
      </c>
      <c r="H1838" t="inlineStr">
        <is>
          <t>Player trade (max rank)</t>
        </is>
      </c>
      <c r="I1838" t="inlineStr">
        <is>
          <t>Yes</t>
        </is>
      </c>
      <c r="K1838" t="inlineStr">
        <is>
          <t>Required (v4.2 weapon/exalted builds)</t>
        </is>
      </c>
      <c r="L1838" t="n">
        <v>59</v>
      </c>
      <c r="M1838" t="n">
        <v>60</v>
      </c>
      <c r="N1838" t="n">
        <v>85</v>
      </c>
      <c r="O1838" t="inlineStr">
        <is>
          <t>2026-10-05 UTC (WFM pull 02:52-04:00)</t>
        </is>
      </c>
      <c r="P1838" t="inlineStr">
        <is>
          <t>OK</t>
        </is>
      </c>
      <c r="R1838" t="inlineStr">
        <is>
          <t>Arcanes share across items like mods (one max-rank copy covers every build).</t>
        </is>
      </c>
      <c r="S1838" t="inlineStr">
        <is>
          <t>secondary_encumber</t>
        </is>
      </c>
      <c r="T1838" t="n">
        <v>14</v>
      </c>
      <c r="U1838" t="n">
        <v>14</v>
      </c>
      <c r="V1838" t="n">
        <v>55.5</v>
      </c>
      <c r="W1838" t="n">
        <v>54</v>
      </c>
      <c r="X1838" t="n">
        <v>53.5</v>
      </c>
      <c r="Y1838" t="n">
        <v>6884</v>
      </c>
      <c r="Z1838" t="n">
        <v>184</v>
      </c>
      <c r="AA1838" t="n">
        <v>50</v>
      </c>
      <c r="AB1838" t="n">
        <v>9</v>
      </c>
      <c r="AQ1838" t="n">
        <v>4</v>
      </c>
      <c r="AR1838" t="n">
        <v>84</v>
      </c>
      <c r="AS1838" t="inlineStr">
        <is>
          <t>Yes</t>
        </is>
      </c>
    </row>
    <row r="1839">
      <c r="A1839" t="inlineStr">
        <is>
          <t>Arcane</t>
        </is>
      </c>
      <c r="B1839" t="inlineStr">
        <is>
          <t>Secondary Enervate</t>
        </is>
      </c>
      <c r="E1839" t="inlineStr">
        <is>
          <t>Secondary</t>
        </is>
      </c>
      <c r="F1839" t="n">
        <v>5</v>
      </c>
      <c r="G1839" t="n">
        <v>1</v>
      </c>
      <c r="H1839" t="inlineStr">
        <is>
          <t>Player trade (max rank)</t>
        </is>
      </c>
      <c r="I1839" t="inlineStr">
        <is>
          <t>Yes</t>
        </is>
      </c>
      <c r="K1839" t="inlineStr">
        <is>
          <t>Collection (optional)</t>
        </is>
      </c>
      <c r="L1839" t="n">
        <v>23</v>
      </c>
      <c r="M1839" t="n">
        <v>24</v>
      </c>
      <c r="N1839" t="n">
        <v>28</v>
      </c>
      <c r="O1839" t="inlineStr">
        <is>
          <t>2026-10-05 UTC (WFM pull 02:52-04:00)</t>
        </is>
      </c>
      <c r="P1839" t="inlineStr">
        <is>
          <t>OK</t>
        </is>
      </c>
      <c r="R1839" t="inlineStr">
        <is>
          <t>Arcanes share across items like mods (one max-rank copy covers every build).</t>
        </is>
      </c>
      <c r="S1839" t="inlineStr">
        <is>
          <t>secondary_enervate</t>
        </is>
      </c>
      <c r="T1839" t="n">
        <v>47</v>
      </c>
      <c r="U1839" t="n">
        <v>47</v>
      </c>
      <c r="V1839" t="n">
        <v>25</v>
      </c>
      <c r="W1839" t="n">
        <v>27</v>
      </c>
      <c r="X1839" t="n">
        <v>26.7</v>
      </c>
      <c r="Y1839" t="n">
        <v>15398</v>
      </c>
      <c r="Z1839" t="n">
        <v>298</v>
      </c>
      <c r="AA1839" t="n">
        <v>12</v>
      </c>
      <c r="AB1839" t="n">
        <v>11</v>
      </c>
      <c r="AQ1839" t="n">
        <v>2</v>
      </c>
      <c r="AR1839" t="n">
        <v>42</v>
      </c>
      <c r="AS1839" t="inlineStr">
        <is>
          <t>Collection (optional)</t>
        </is>
      </c>
    </row>
    <row r="1840">
      <c r="A1840" t="inlineStr">
        <is>
          <t>Arcane</t>
        </is>
      </c>
      <c r="B1840" t="inlineStr">
        <is>
          <t>Secondary Fortifier</t>
        </is>
      </c>
      <c r="E1840" t="inlineStr">
        <is>
          <t>Secondary</t>
        </is>
      </c>
      <c r="F1840" t="n">
        <v>5</v>
      </c>
      <c r="G1840" t="n">
        <v>1</v>
      </c>
      <c r="H1840" t="inlineStr">
        <is>
          <t>Player trade (max rank)</t>
        </is>
      </c>
      <c r="I1840" t="inlineStr">
        <is>
          <t>Yes</t>
        </is>
      </c>
      <c r="K1840" t="inlineStr">
        <is>
          <t>Collection (optional)</t>
        </is>
      </c>
      <c r="L1840" t="n">
        <v>60</v>
      </c>
      <c r="M1840" t="n">
        <v>60</v>
      </c>
      <c r="N1840" t="n">
        <v>73</v>
      </c>
      <c r="O1840" t="inlineStr">
        <is>
          <t>2026-10-05 UTC (WFM pull 02:52-04:00)</t>
        </is>
      </c>
      <c r="P1840" t="inlineStr">
        <is>
          <t>OK</t>
        </is>
      </c>
      <c r="R1840" t="inlineStr">
        <is>
          <t>Arcanes share across items like mods (one max-rank copy covers every build).</t>
        </is>
      </c>
      <c r="S1840" t="inlineStr">
        <is>
          <t>secondary_fortifier</t>
        </is>
      </c>
      <c r="T1840" t="n">
        <v>12</v>
      </c>
      <c r="U1840" t="n">
        <v>12</v>
      </c>
      <c r="V1840" t="n">
        <v>54.5</v>
      </c>
      <c r="W1840" t="n">
        <v>50</v>
      </c>
      <c r="X1840" t="n">
        <v>52.4</v>
      </c>
      <c r="Y1840" t="n">
        <v>6200</v>
      </c>
      <c r="Z1840" t="n">
        <v>142</v>
      </c>
      <c r="AA1840" t="n">
        <v>41</v>
      </c>
      <c r="AB1840" t="n">
        <v>19</v>
      </c>
      <c r="AQ1840" t="n">
        <v>4</v>
      </c>
      <c r="AR1840" t="n">
        <v>84</v>
      </c>
      <c r="AS1840" t="inlineStr">
        <is>
          <t>Collection (optional)</t>
        </is>
      </c>
    </row>
    <row r="1841">
      <c r="A1841" t="inlineStr">
        <is>
          <t>Arcane</t>
        </is>
      </c>
      <c r="B1841" t="inlineStr">
        <is>
          <t>Secondary Irradiate</t>
        </is>
      </c>
      <c r="E1841" t="inlineStr">
        <is>
          <t>Secondary</t>
        </is>
      </c>
      <c r="F1841" t="n">
        <v>5</v>
      </c>
      <c r="G1841" t="n">
        <v>1</v>
      </c>
      <c r="H1841" t="inlineStr">
        <is>
          <t>Player trade (max rank)</t>
        </is>
      </c>
      <c r="I1841" t="inlineStr">
        <is>
          <t>Yes</t>
        </is>
      </c>
      <c r="K1841" t="inlineStr">
        <is>
          <t>Collection (optional)</t>
        </is>
      </c>
      <c r="L1841" t="n">
        <v>33</v>
      </c>
      <c r="M1841" t="n">
        <v>38</v>
      </c>
      <c r="N1841" t="n">
        <v>43</v>
      </c>
      <c r="O1841" t="inlineStr">
        <is>
          <t>2026-10-05 UTC (WFM pull 02:52-04:00)</t>
        </is>
      </c>
      <c r="P1841" t="inlineStr">
        <is>
          <t>OK</t>
        </is>
      </c>
      <c r="R1841" t="inlineStr">
        <is>
          <t>Arcanes share across items like mods (one max-rank copy covers every build).</t>
        </is>
      </c>
      <c r="S1841" t="inlineStr">
        <is>
          <t>secondary_irradiate</t>
        </is>
      </c>
      <c r="T1841" t="n">
        <v>14</v>
      </c>
      <c r="U1841" t="n">
        <v>14</v>
      </c>
      <c r="V1841" t="n">
        <v>30</v>
      </c>
      <c r="W1841" t="n">
        <v>30</v>
      </c>
      <c r="X1841" t="n">
        <v>30.1</v>
      </c>
      <c r="Y1841" t="n">
        <v>2337</v>
      </c>
      <c r="Z1841" t="n">
        <v>28</v>
      </c>
      <c r="AA1841" t="n">
        <v>10</v>
      </c>
      <c r="AB1841" t="n">
        <v>23</v>
      </c>
      <c r="AQ1841" t="n">
        <v>3</v>
      </c>
      <c r="AR1841" t="n">
        <v>63</v>
      </c>
      <c r="AS1841" t="inlineStr">
        <is>
          <t>Collection (optional)</t>
        </is>
      </c>
    </row>
    <row r="1842">
      <c r="A1842" t="inlineStr">
        <is>
          <t>Arcane</t>
        </is>
      </c>
      <c r="B1842" t="inlineStr">
        <is>
          <t>Secondary Kinship</t>
        </is>
      </c>
      <c r="E1842" t="inlineStr">
        <is>
          <t>Secondary</t>
        </is>
      </c>
      <c r="F1842" t="n">
        <v>5</v>
      </c>
      <c r="G1842" t="n">
        <v>1</v>
      </c>
      <c r="H1842" t="inlineStr">
        <is>
          <t>Player trade (max rank)</t>
        </is>
      </c>
      <c r="I1842" t="inlineStr">
        <is>
          <t>Yes</t>
        </is>
      </c>
      <c r="K1842" t="inlineStr">
        <is>
          <t>Collection (optional)</t>
        </is>
      </c>
      <c r="L1842" t="n">
        <v>39</v>
      </c>
      <c r="M1842" t="n">
        <v>40</v>
      </c>
      <c r="N1842" t="n">
        <v>51</v>
      </c>
      <c r="O1842" t="inlineStr">
        <is>
          <t>2026-10-05 UTC (WFM pull 02:52-04:00)</t>
        </is>
      </c>
      <c r="P1842" t="inlineStr">
        <is>
          <t>OK</t>
        </is>
      </c>
      <c r="R1842" t="inlineStr">
        <is>
          <t>Arcanes share across items like mods (one max-rank copy covers every build).</t>
        </is>
      </c>
      <c r="S1842" t="inlineStr">
        <is>
          <t>secondary_kinship</t>
        </is>
      </c>
      <c r="T1842" t="n">
        <v>11</v>
      </c>
      <c r="U1842" t="n">
        <v>11</v>
      </c>
      <c r="V1842" t="n">
        <v>40</v>
      </c>
      <c r="W1842" t="n">
        <v>40</v>
      </c>
      <c r="X1842" t="n">
        <v>39.2</v>
      </c>
      <c r="Y1842" t="n">
        <v>271</v>
      </c>
      <c r="Z1842" t="n">
        <v>4</v>
      </c>
      <c r="AA1842" t="n">
        <v>10</v>
      </c>
      <c r="AB1842" t="n">
        <v>29</v>
      </c>
      <c r="AQ1842" t="n">
        <v>3</v>
      </c>
      <c r="AR1842" t="n">
        <v>63</v>
      </c>
      <c r="AS1842" t="inlineStr">
        <is>
          <t>Collection (optional)</t>
        </is>
      </c>
    </row>
    <row r="1843">
      <c r="A1843" t="inlineStr">
        <is>
          <t>Arcane</t>
        </is>
      </c>
      <c r="B1843" t="inlineStr">
        <is>
          <t>Secondary Merciless</t>
        </is>
      </c>
      <c r="E1843" t="inlineStr">
        <is>
          <t>Secondary</t>
        </is>
      </c>
      <c r="F1843" t="n">
        <v>5</v>
      </c>
      <c r="G1843" t="n">
        <v>1</v>
      </c>
      <c r="H1843" t="inlineStr">
        <is>
          <t>Player trade (max rank)</t>
        </is>
      </c>
      <c r="I1843" t="inlineStr">
        <is>
          <t>Yes</t>
        </is>
      </c>
      <c r="K1843" t="inlineStr">
        <is>
          <t>Required (v4.2 weapon/exalted builds)</t>
        </is>
      </c>
      <c r="L1843" t="n">
        <v>7</v>
      </c>
      <c r="M1843" t="n">
        <v>8</v>
      </c>
      <c r="N1843" t="n">
        <v>11</v>
      </c>
      <c r="O1843" t="inlineStr">
        <is>
          <t>2026-10-05 UTC (WFM pull 02:52-04:00)</t>
        </is>
      </c>
      <c r="P1843" t="inlineStr">
        <is>
          <t>OK</t>
        </is>
      </c>
      <c r="R1843" t="inlineStr">
        <is>
          <t>Arcanes share across items like mods (one max-rank copy covers every build).</t>
        </is>
      </c>
      <c r="S1843" t="inlineStr">
        <is>
          <t>secondary_merciless</t>
        </is>
      </c>
      <c r="T1843" t="n">
        <v>46</v>
      </c>
      <c r="U1843" t="n">
        <v>46</v>
      </c>
      <c r="V1843" t="n">
        <v>8</v>
      </c>
      <c r="W1843" t="n">
        <v>8</v>
      </c>
      <c r="X1843" t="n">
        <v>8.4</v>
      </c>
      <c r="Y1843" t="n">
        <v>4166</v>
      </c>
      <c r="Z1843" t="n">
        <v>104</v>
      </c>
      <c r="AA1843" t="n">
        <v>40</v>
      </c>
      <c r="AB1843" t="n">
        <v>-33</v>
      </c>
      <c r="AQ1843" t="n">
        <v>1</v>
      </c>
      <c r="AR1843" t="n">
        <v>21</v>
      </c>
      <c r="AS1843" t="inlineStr">
        <is>
          <t>Yes</t>
        </is>
      </c>
    </row>
    <row r="1844">
      <c r="A1844" t="inlineStr">
        <is>
          <t>Arcane</t>
        </is>
      </c>
      <c r="B1844" t="inlineStr">
        <is>
          <t>Secondary Outburst</t>
        </is>
      </c>
      <c r="E1844" t="inlineStr">
        <is>
          <t>Secondary</t>
        </is>
      </c>
      <c r="F1844" t="n">
        <v>5</v>
      </c>
      <c r="G1844" t="n">
        <v>1</v>
      </c>
      <c r="H1844" t="inlineStr">
        <is>
          <t>Player trade (max rank)</t>
        </is>
      </c>
      <c r="I1844" t="inlineStr">
        <is>
          <t>Yes</t>
        </is>
      </c>
      <c r="K1844" t="inlineStr">
        <is>
          <t>Collection (optional)</t>
        </is>
      </c>
      <c r="L1844" t="n">
        <v>90</v>
      </c>
      <c r="M1844" t="n">
        <v>90</v>
      </c>
      <c r="N1844" t="n">
        <v>111</v>
      </c>
      <c r="O1844" t="inlineStr">
        <is>
          <t>2026-10-05 UTC (WFM pull 02:52-04:00)</t>
        </is>
      </c>
      <c r="P1844" t="inlineStr">
        <is>
          <t>OK</t>
        </is>
      </c>
      <c r="R1844" t="inlineStr">
        <is>
          <t>Arcanes share across items like mods (one max-rank copy covers every build).</t>
        </is>
      </c>
      <c r="S1844" t="inlineStr">
        <is>
          <t>secondary_outburst</t>
        </is>
      </c>
      <c r="T1844" t="n">
        <v>24</v>
      </c>
      <c r="U1844" t="n">
        <v>24</v>
      </c>
      <c r="V1844" t="n">
        <v>100</v>
      </c>
      <c r="W1844" t="n">
        <v>115</v>
      </c>
      <c r="X1844" t="n">
        <v>115.6</v>
      </c>
      <c r="Y1844" t="n">
        <v>2709</v>
      </c>
      <c r="Z1844" t="n">
        <v>57</v>
      </c>
      <c r="AA1844" t="n">
        <v>51</v>
      </c>
      <c r="AB1844" t="n">
        <v>39</v>
      </c>
      <c r="AQ1844" t="n">
        <v>8</v>
      </c>
      <c r="AR1844" t="n">
        <v>168</v>
      </c>
      <c r="AS1844" t="inlineStr">
        <is>
          <t>Collection (optional)</t>
        </is>
      </c>
    </row>
    <row r="1845">
      <c r="A1845" t="inlineStr">
        <is>
          <t>Arcane</t>
        </is>
      </c>
      <c r="B1845" t="inlineStr">
        <is>
          <t>Secondary Shiver</t>
        </is>
      </c>
      <c r="E1845" t="inlineStr">
        <is>
          <t>Secondary</t>
        </is>
      </c>
      <c r="F1845" t="n">
        <v>5</v>
      </c>
      <c r="G1845" t="n">
        <v>1</v>
      </c>
      <c r="H1845" t="inlineStr">
        <is>
          <t>Player trade (max rank)</t>
        </is>
      </c>
      <c r="I1845" t="inlineStr">
        <is>
          <t>Yes</t>
        </is>
      </c>
      <c r="K1845" t="inlineStr">
        <is>
          <t>Required (v4.2 weapon/exalted builds)</t>
        </is>
      </c>
      <c r="L1845" t="n">
        <v>219</v>
      </c>
      <c r="M1845" t="n">
        <v>240</v>
      </c>
      <c r="N1845" t="n">
        <v>281</v>
      </c>
      <c r="O1845" t="inlineStr">
        <is>
          <t>2026-10-05 UTC (WFM pull 02:52-04:00)</t>
        </is>
      </c>
      <c r="P1845" t="inlineStr">
        <is>
          <t>OK</t>
        </is>
      </c>
      <c r="R1845" t="inlineStr">
        <is>
          <t>Arcanes share across items like mods (one max-rank copy covers every build).</t>
        </is>
      </c>
      <c r="S1845" t="inlineStr">
        <is>
          <t>secondary_shiver</t>
        </is>
      </c>
      <c r="T1845" t="n">
        <v>12</v>
      </c>
      <c r="U1845" t="n">
        <v>12</v>
      </c>
      <c r="V1845" t="n">
        <v>255</v>
      </c>
      <c r="W1845" t="n">
        <v>149</v>
      </c>
      <c r="X1845" t="n">
        <v>206.8</v>
      </c>
      <c r="Y1845" t="n">
        <v>769</v>
      </c>
      <c r="Z1845" t="n">
        <v>36</v>
      </c>
      <c r="AA1845" t="n">
        <v>140</v>
      </c>
      <c r="AB1845" t="n">
        <v>79</v>
      </c>
      <c r="AQ1845" t="n">
        <v>13.5</v>
      </c>
      <c r="AR1845" t="n">
        <v>283.5</v>
      </c>
      <c r="AS1845" t="inlineStr">
        <is>
          <t>Yes</t>
        </is>
      </c>
    </row>
    <row r="1846">
      <c r="A1846" t="inlineStr">
        <is>
          <t>Arcane</t>
        </is>
      </c>
      <c r="B1846" t="inlineStr">
        <is>
          <t>Secondary Surge</t>
        </is>
      </c>
      <c r="E1846" t="inlineStr">
        <is>
          <t>Secondary</t>
        </is>
      </c>
      <c r="F1846" t="n">
        <v>5</v>
      </c>
      <c r="G1846" t="n">
        <v>1</v>
      </c>
      <c r="H1846" t="inlineStr">
        <is>
          <t>Player trade (max rank)</t>
        </is>
      </c>
      <c r="I1846" t="inlineStr">
        <is>
          <t>Yes</t>
        </is>
      </c>
      <c r="K1846" t="inlineStr">
        <is>
          <t>Collection (optional)</t>
        </is>
      </c>
      <c r="L1846" t="n">
        <v>25</v>
      </c>
      <c r="M1846" t="n">
        <v>30</v>
      </c>
      <c r="N1846" t="n">
        <v>50</v>
      </c>
      <c r="O1846" t="inlineStr">
        <is>
          <t>2026-10-05 UTC (WFM pull 02:52-04:00)</t>
        </is>
      </c>
      <c r="P1846" t="inlineStr">
        <is>
          <t>OK</t>
        </is>
      </c>
      <c r="R1846" t="inlineStr">
        <is>
          <t>Arcanes share across items like mods (one max-rank copy covers every build).</t>
        </is>
      </c>
      <c r="S1846" t="inlineStr">
        <is>
          <t>secondary_surge</t>
        </is>
      </c>
      <c r="T1846" t="n">
        <v>8</v>
      </c>
      <c r="U1846" t="n">
        <v>8</v>
      </c>
      <c r="V1846" t="n">
        <v>25</v>
      </c>
      <c r="W1846" t="n">
        <v>24</v>
      </c>
      <c r="X1846" t="n">
        <v>24.2</v>
      </c>
      <c r="Y1846" t="n">
        <v>429</v>
      </c>
      <c r="Z1846" t="n">
        <v>14</v>
      </c>
      <c r="AA1846" t="n">
        <v>6</v>
      </c>
      <c r="AB1846" t="n">
        <v>19</v>
      </c>
      <c r="AQ1846" t="n">
        <v>3</v>
      </c>
      <c r="AR1846" t="n">
        <v>63</v>
      </c>
      <c r="AS1846" t="inlineStr">
        <is>
          <t>Collection (optional)</t>
        </is>
      </c>
    </row>
    <row r="1847">
      <c r="A1847" t="inlineStr">
        <is>
          <t>Arcane</t>
        </is>
      </c>
      <c r="B1847" t="inlineStr">
        <is>
          <t>Shotgun Vendetta</t>
        </is>
      </c>
      <c r="E1847" t="inlineStr">
        <is>
          <t>Shotgun</t>
        </is>
      </c>
      <c r="F1847" t="n">
        <v>5</v>
      </c>
      <c r="G1847" t="n">
        <v>1</v>
      </c>
      <c r="H1847" t="inlineStr">
        <is>
          <t>Player trade (max rank)</t>
        </is>
      </c>
      <c r="I1847" t="inlineStr">
        <is>
          <t>Yes</t>
        </is>
      </c>
      <c r="K1847" t="inlineStr">
        <is>
          <t>Required (v4.2 weapon/exalted builds)</t>
        </is>
      </c>
      <c r="L1847" t="n">
        <v>99</v>
      </c>
      <c r="M1847" t="n">
        <v>100</v>
      </c>
      <c r="N1847" t="n">
        <v>176</v>
      </c>
      <c r="O1847" t="inlineStr">
        <is>
          <t>2026-10-05 UTC (WFM pull 02:52-04:00)</t>
        </is>
      </c>
      <c r="P1847" t="inlineStr">
        <is>
          <t>OK</t>
        </is>
      </c>
      <c r="R1847" t="inlineStr">
        <is>
          <t>Arcanes share across items like mods (one max-rank copy covers every build).</t>
        </is>
      </c>
      <c r="S1847" t="inlineStr">
        <is>
          <t>shotgun_vendetta</t>
        </is>
      </c>
      <c r="T1847" t="n">
        <v>19</v>
      </c>
      <c r="U1847" t="n">
        <v>19</v>
      </c>
      <c r="V1847" t="n">
        <v>160</v>
      </c>
      <c r="W1847" t="n">
        <v>110</v>
      </c>
      <c r="X1847" t="n">
        <v>127.4</v>
      </c>
      <c r="Y1847" t="n">
        <v>3374</v>
      </c>
      <c r="Z1847" t="n">
        <v>80</v>
      </c>
      <c r="AA1847" t="n">
        <v>80</v>
      </c>
      <c r="AB1847" t="n">
        <v>19</v>
      </c>
      <c r="AQ1847" t="n">
        <v>7</v>
      </c>
      <c r="AR1847" t="n">
        <v>147</v>
      </c>
      <c r="AS1847" t="inlineStr">
        <is>
          <t>Yes</t>
        </is>
      </c>
    </row>
    <row r="1848">
      <c r="A1848" t="inlineStr">
        <is>
          <t>Arcane</t>
        </is>
      </c>
      <c r="B1848" t="inlineStr">
        <is>
          <t>Theorem Contagion</t>
        </is>
      </c>
      <c r="E1848" t="inlineStr">
        <is>
          <t>Warframe</t>
        </is>
      </c>
      <c r="F1848" t="n">
        <v>5</v>
      </c>
      <c r="G1848" t="n">
        <v>1</v>
      </c>
      <c r="H1848" t="inlineStr">
        <is>
          <t>Player trade (max rank)</t>
        </is>
      </c>
      <c r="I1848" t="inlineStr">
        <is>
          <t>Yes</t>
        </is>
      </c>
      <c r="K1848" t="inlineStr">
        <is>
          <t>Collection (optional)</t>
        </is>
      </c>
      <c r="L1848" t="n">
        <v>30</v>
      </c>
      <c r="M1848" t="n">
        <v>35</v>
      </c>
      <c r="N1848" t="n">
        <v>44</v>
      </c>
      <c r="O1848" t="inlineStr">
        <is>
          <t>2026-10-05 UTC (WFM pull 02:52-04:00)</t>
        </is>
      </c>
      <c r="P1848" t="inlineStr">
        <is>
          <t>OK</t>
        </is>
      </c>
      <c r="R1848" t="inlineStr">
        <is>
          <t>Arcanes share across items like mods (one max-rank copy covers every build).</t>
        </is>
      </c>
      <c r="S1848" t="inlineStr">
        <is>
          <t>theorem_contagion</t>
        </is>
      </c>
      <c r="T1848" t="n">
        <v>16</v>
      </c>
      <c r="U1848" t="n">
        <v>16</v>
      </c>
      <c r="V1848" t="n">
        <v>30</v>
      </c>
      <c r="W1848" t="n">
        <v>36.5</v>
      </c>
      <c r="X1848" t="n">
        <v>34.9</v>
      </c>
      <c r="Y1848" t="n">
        <v>114</v>
      </c>
      <c r="Z1848" t="n">
        <v>1</v>
      </c>
      <c r="AA1848" t="n">
        <v>15</v>
      </c>
      <c r="AB1848" t="n">
        <v>15</v>
      </c>
      <c r="AQ1848" t="n">
        <v>4.5</v>
      </c>
      <c r="AR1848" t="n">
        <v>94.5</v>
      </c>
      <c r="AS1848" t="inlineStr">
        <is>
          <t>Collection (optional)</t>
        </is>
      </c>
    </row>
    <row r="1849">
      <c r="A1849" t="inlineStr">
        <is>
          <t>Arcane</t>
        </is>
      </c>
      <c r="B1849" t="inlineStr">
        <is>
          <t>Theorem Demulcent</t>
        </is>
      </c>
      <c r="E1849" t="inlineStr">
        <is>
          <t>Warframe</t>
        </is>
      </c>
      <c r="F1849" t="n">
        <v>5</v>
      </c>
      <c r="G1849" t="n">
        <v>1</v>
      </c>
      <c r="H1849" t="inlineStr">
        <is>
          <t>Player trade (max rank)</t>
        </is>
      </c>
      <c r="I1849" t="inlineStr">
        <is>
          <t>Yes</t>
        </is>
      </c>
      <c r="K1849" t="inlineStr">
        <is>
          <t>Collection (optional)</t>
        </is>
      </c>
      <c r="L1849" t="n">
        <v>30</v>
      </c>
      <c r="M1849" t="n">
        <v>35</v>
      </c>
      <c r="N1849" t="n">
        <v>43</v>
      </c>
      <c r="O1849" t="inlineStr">
        <is>
          <t>2026-10-05 UTC (WFM pull 02:52-04:00)</t>
        </is>
      </c>
      <c r="P1849" t="inlineStr">
        <is>
          <t>OK</t>
        </is>
      </c>
      <c r="R1849" t="inlineStr">
        <is>
          <t>Arcanes share across items like mods (one max-rank copy covers every build).</t>
        </is>
      </c>
      <c r="S1849" t="inlineStr">
        <is>
          <t>theorem_demulcent</t>
        </is>
      </c>
      <c r="T1849" t="n">
        <v>16</v>
      </c>
      <c r="U1849" t="n">
        <v>16</v>
      </c>
      <c r="V1849" t="n">
        <v>35</v>
      </c>
      <c r="W1849" t="n">
        <v>37</v>
      </c>
      <c r="X1849" t="n">
        <v>36.7</v>
      </c>
      <c r="Y1849" t="n">
        <v>98</v>
      </c>
      <c r="Z1849" t="n">
        <v>1</v>
      </c>
      <c r="AA1849" t="n">
        <v>5</v>
      </c>
      <c r="AB1849" t="n">
        <v>25</v>
      </c>
      <c r="AQ1849" t="n">
        <v>4</v>
      </c>
      <c r="AR1849" t="n">
        <v>84</v>
      </c>
      <c r="AS1849" t="inlineStr">
        <is>
          <t>Collection (optional)</t>
        </is>
      </c>
    </row>
    <row r="1850">
      <c r="A1850" t="inlineStr">
        <is>
          <t>Arcane</t>
        </is>
      </c>
      <c r="B1850" t="inlineStr">
        <is>
          <t>Theorem Infection</t>
        </is>
      </c>
      <c r="E1850" t="inlineStr">
        <is>
          <t>Warframe</t>
        </is>
      </c>
      <c r="F1850" t="n">
        <v>5</v>
      </c>
      <c r="G1850" t="n">
        <v>1</v>
      </c>
      <c r="H1850" t="inlineStr">
        <is>
          <t>Player trade (max rank)</t>
        </is>
      </c>
      <c r="I1850" t="inlineStr">
        <is>
          <t>Yes</t>
        </is>
      </c>
      <c r="K1850" t="inlineStr">
        <is>
          <t>Collection (optional)</t>
        </is>
      </c>
      <c r="L1850" t="n">
        <v>84</v>
      </c>
      <c r="M1850" t="n">
        <v>96</v>
      </c>
      <c r="N1850" t="n">
        <v>109</v>
      </c>
      <c r="O1850" t="inlineStr">
        <is>
          <t>2026-10-05 UTC (WFM pull 02:52-04:00)</t>
        </is>
      </c>
      <c r="P1850" t="inlineStr">
        <is>
          <t>OK</t>
        </is>
      </c>
      <c r="R1850" t="inlineStr">
        <is>
          <t>Arcanes share across items like mods (one max-rank copy covers every build).</t>
        </is>
      </c>
      <c r="S1850" t="inlineStr">
        <is>
          <t>theorem_infection</t>
        </is>
      </c>
      <c r="T1850" t="n">
        <v>14</v>
      </c>
      <c r="U1850" t="n">
        <v>14</v>
      </c>
      <c r="V1850" t="n">
        <v>89</v>
      </c>
      <c r="W1850" t="n">
        <v>87</v>
      </c>
      <c r="X1850" t="n">
        <v>88.7</v>
      </c>
      <c r="Y1850" t="n">
        <v>412</v>
      </c>
      <c r="Z1850" t="n">
        <v>7</v>
      </c>
      <c r="AA1850" t="n">
        <v>30</v>
      </c>
      <c r="AB1850" t="n">
        <v>54</v>
      </c>
      <c r="AQ1850" t="n">
        <v>6.5</v>
      </c>
      <c r="AR1850" t="n">
        <v>136.5</v>
      </c>
      <c r="AS1850" t="inlineStr">
        <is>
          <t>Collection (optional)</t>
        </is>
      </c>
    </row>
    <row r="1851">
      <c r="A1851" t="inlineStr">
        <is>
          <t>Arcane</t>
        </is>
      </c>
      <c r="B1851" t="inlineStr">
        <is>
          <t>Virtuos Forge</t>
        </is>
      </c>
      <c r="E1851" t="inlineStr">
        <is>
          <t>Amp</t>
        </is>
      </c>
      <c r="F1851" t="n">
        <v>3</v>
      </c>
      <c r="G1851" t="n">
        <v>1</v>
      </c>
      <c r="H1851" t="inlineStr">
        <is>
          <t>Player trade (max rank)</t>
        </is>
      </c>
      <c r="I1851" t="inlineStr">
        <is>
          <t>Yes</t>
        </is>
      </c>
      <c r="K1851" t="inlineStr">
        <is>
          <t>Collection (optional)</t>
        </is>
      </c>
      <c r="L1851" t="n">
        <v>54</v>
      </c>
      <c r="M1851" t="n">
        <v>56.2</v>
      </c>
      <c r="N1851" t="n">
        <v>124</v>
      </c>
      <c r="O1851" t="inlineStr">
        <is>
          <t>2026-10-05 UTC (WFM pull 02:52-04:00)</t>
        </is>
      </c>
      <c r="P1851" t="inlineStr">
        <is>
          <t>OK</t>
        </is>
      </c>
      <c r="Q1851" t="inlineStr">
        <is>
          <t>Cheaper via 10x R0 (40p realistic) than buying max rank</t>
        </is>
      </c>
      <c r="R1851" t="inlineStr">
        <is>
          <t>Arcanes share across items like mods (one max-rank copy covers every build).</t>
        </is>
      </c>
      <c r="S1851" t="inlineStr">
        <is>
          <t>virtuos_forge</t>
        </is>
      </c>
      <c r="T1851" t="n">
        <v>5</v>
      </c>
      <c r="U1851" t="n">
        <v>5</v>
      </c>
      <c r="V1851" t="n">
        <v>37.5</v>
      </c>
      <c r="W1851" t="n">
        <v>38.5</v>
      </c>
      <c r="X1851" t="n">
        <v>38.1</v>
      </c>
      <c r="Y1851" t="n">
        <v>161</v>
      </c>
      <c r="Z1851" t="n">
        <v>7</v>
      </c>
      <c r="AA1851" t="n">
        <v>20</v>
      </c>
      <c r="AB1851" t="n">
        <v>34</v>
      </c>
      <c r="AQ1851" t="n">
        <v>4</v>
      </c>
      <c r="AR1851" t="n">
        <v>40</v>
      </c>
      <c r="AS1851" t="inlineStr">
        <is>
          <t>Collection (optional)</t>
        </is>
      </c>
    </row>
    <row r="1852">
      <c r="A1852" t="inlineStr">
        <is>
          <t>Arcane</t>
        </is>
      </c>
      <c r="B1852" t="inlineStr">
        <is>
          <t>Virtuos Fury</t>
        </is>
      </c>
      <c r="E1852" t="inlineStr">
        <is>
          <t>Amp</t>
        </is>
      </c>
      <c r="F1852" t="n">
        <v>3</v>
      </c>
      <c r="G1852" t="n">
        <v>1</v>
      </c>
      <c r="H1852" t="inlineStr">
        <is>
          <t>Player trade (max rank)</t>
        </is>
      </c>
      <c r="I1852" t="inlineStr">
        <is>
          <t>Yes</t>
        </is>
      </c>
      <c r="K1852" t="inlineStr">
        <is>
          <t>Collection (optional)</t>
        </is>
      </c>
      <c r="L1852" t="n">
        <v>30</v>
      </c>
      <c r="M1852" t="n">
        <v>40</v>
      </c>
      <c r="N1852" t="n">
        <v>88</v>
      </c>
      <c r="O1852" t="inlineStr">
        <is>
          <t>2026-10-05 UTC (WFM pull 02:52-04:00)</t>
        </is>
      </c>
      <c r="P1852" t="inlineStr">
        <is>
          <t>OK</t>
        </is>
      </c>
      <c r="R1852" t="inlineStr">
        <is>
          <t>Arcanes share across items like mods (one max-rank copy covers every build).</t>
        </is>
      </c>
      <c r="S1852" t="inlineStr">
        <is>
          <t>virtuos_fury</t>
        </is>
      </c>
      <c r="T1852" t="n">
        <v>5</v>
      </c>
      <c r="U1852" t="n">
        <v>5</v>
      </c>
      <c r="V1852" t="n">
        <v>30</v>
      </c>
      <c r="W1852" t="n">
        <v>30</v>
      </c>
      <c r="X1852" t="n">
        <v>30.1</v>
      </c>
      <c r="Y1852" t="n">
        <v>96</v>
      </c>
      <c r="Z1852" t="n">
        <v>2</v>
      </c>
      <c r="AQ1852" t="n">
        <v>5</v>
      </c>
      <c r="AR1852" t="n">
        <v>50</v>
      </c>
      <c r="AS1852" t="inlineStr">
        <is>
          <t>Collection (optional)</t>
        </is>
      </c>
    </row>
    <row r="1853">
      <c r="A1853" t="inlineStr">
        <is>
          <t>Arcane</t>
        </is>
      </c>
      <c r="B1853" t="inlineStr">
        <is>
          <t>Virtuos Ghost</t>
        </is>
      </c>
      <c r="E1853" t="inlineStr">
        <is>
          <t>Amp</t>
        </is>
      </c>
      <c r="F1853" t="n">
        <v>3</v>
      </c>
      <c r="G1853" t="n">
        <v>1</v>
      </c>
      <c r="H1853" t="inlineStr">
        <is>
          <t>Player trade (max rank)</t>
        </is>
      </c>
      <c r="I1853" t="inlineStr">
        <is>
          <t>Yes</t>
        </is>
      </c>
      <c r="K1853" t="inlineStr">
        <is>
          <t>Collection (optional)</t>
        </is>
      </c>
      <c r="L1853" t="n">
        <v>30</v>
      </c>
      <c r="M1853" t="n">
        <v>32.5</v>
      </c>
      <c r="N1853" t="n">
        <v>72</v>
      </c>
      <c r="O1853" t="inlineStr">
        <is>
          <t>2026-10-05 UTC (WFM pull 02:52-04:00)</t>
        </is>
      </c>
      <c r="P1853" t="inlineStr">
        <is>
          <t>OK</t>
        </is>
      </c>
      <c r="R1853" t="inlineStr">
        <is>
          <t>Arcanes share across items like mods (one max-rank copy covers every build).</t>
        </is>
      </c>
      <c r="S1853" t="inlineStr">
        <is>
          <t>virtuos_ghost</t>
        </is>
      </c>
      <c r="T1853" t="n">
        <v>4</v>
      </c>
      <c r="U1853" t="n">
        <v>4</v>
      </c>
      <c r="V1853" t="n">
        <v>30</v>
      </c>
      <c r="W1853" t="n">
        <v>30</v>
      </c>
      <c r="X1853" t="n">
        <v>33.4</v>
      </c>
      <c r="Y1853" t="n">
        <v>74</v>
      </c>
      <c r="Z1853" t="n">
        <v>1</v>
      </c>
      <c r="AQ1853" t="n">
        <v>4</v>
      </c>
      <c r="AR1853" t="n">
        <v>40</v>
      </c>
      <c r="AS1853" t="inlineStr">
        <is>
          <t>Collection (optional)</t>
        </is>
      </c>
    </row>
    <row r="1854">
      <c r="A1854" t="inlineStr">
        <is>
          <t>Arcane</t>
        </is>
      </c>
      <c r="B1854" t="inlineStr">
        <is>
          <t>Virtuos Null</t>
        </is>
      </c>
      <c r="E1854" t="inlineStr">
        <is>
          <t>Amp</t>
        </is>
      </c>
      <c r="F1854" t="n">
        <v>3</v>
      </c>
      <c r="G1854" t="n">
        <v>1</v>
      </c>
      <c r="H1854" t="inlineStr">
        <is>
          <t>Player trade (max rank)</t>
        </is>
      </c>
      <c r="I1854" t="inlineStr">
        <is>
          <t>Yes</t>
        </is>
      </c>
      <c r="K1854" t="inlineStr">
        <is>
          <t>Collection (optional)</t>
        </is>
      </c>
      <c r="L1854" t="n">
        <v>14</v>
      </c>
      <c r="M1854" t="n">
        <v>15</v>
      </c>
      <c r="N1854" t="n">
        <v>17</v>
      </c>
      <c r="O1854" t="inlineStr">
        <is>
          <t>2026-10-05 UTC (WFM pull 02:52-04:00)</t>
        </is>
      </c>
      <c r="P1854" t="inlineStr">
        <is>
          <t>OK</t>
        </is>
      </c>
      <c r="R1854" t="inlineStr">
        <is>
          <t>Arcanes share across items like mods (one max-rank copy covers every build).</t>
        </is>
      </c>
      <c r="S1854" t="inlineStr">
        <is>
          <t>virtuos_null</t>
        </is>
      </c>
      <c r="T1854" t="n">
        <v>10</v>
      </c>
      <c r="U1854" t="n">
        <v>10</v>
      </c>
      <c r="V1854" t="n">
        <v>14.5</v>
      </c>
      <c r="W1854" t="n">
        <v>14.5</v>
      </c>
      <c r="X1854" t="n">
        <v>14.5</v>
      </c>
      <c r="Y1854" t="n">
        <v>59</v>
      </c>
      <c r="Z1854" t="n">
        <v>0</v>
      </c>
      <c r="AQ1854" t="n">
        <v>4.5</v>
      </c>
      <c r="AR1854" t="n">
        <v>45</v>
      </c>
      <c r="AS1854" t="inlineStr">
        <is>
          <t>Collection (optional)</t>
        </is>
      </c>
    </row>
    <row r="1855">
      <c r="A1855" t="inlineStr">
        <is>
          <t>Arcane</t>
        </is>
      </c>
      <c r="B1855" t="inlineStr">
        <is>
          <t>Virtuos Shadow</t>
        </is>
      </c>
      <c r="E1855" t="inlineStr">
        <is>
          <t>Amp</t>
        </is>
      </c>
      <c r="F1855" t="n">
        <v>3</v>
      </c>
      <c r="G1855" t="n">
        <v>1</v>
      </c>
      <c r="H1855" t="inlineStr">
        <is>
          <t>Player trade (max rank)</t>
        </is>
      </c>
      <c r="I1855" t="inlineStr">
        <is>
          <t>Yes</t>
        </is>
      </c>
      <c r="K1855" t="inlineStr">
        <is>
          <t>Collection (optional)</t>
        </is>
      </c>
      <c r="L1855" t="n">
        <v>25</v>
      </c>
      <c r="M1855" t="n">
        <v>35</v>
      </c>
      <c r="N1855" t="n">
        <v>77</v>
      </c>
      <c r="O1855" t="inlineStr">
        <is>
          <t>2026-10-05 UTC (WFM pull 02:52-04:00)</t>
        </is>
      </c>
      <c r="P1855" t="inlineStr">
        <is>
          <t>OK</t>
        </is>
      </c>
      <c r="R1855" t="inlineStr">
        <is>
          <t>Arcanes share across items like mods (one max-rank copy covers every build).</t>
        </is>
      </c>
      <c r="S1855" t="inlineStr">
        <is>
          <t>virtuos_shadow</t>
        </is>
      </c>
      <c r="T1855" t="n">
        <v>5</v>
      </c>
      <c r="U1855" t="n">
        <v>5</v>
      </c>
      <c r="V1855" t="n">
        <v>25</v>
      </c>
      <c r="W1855" t="n">
        <v>27.5</v>
      </c>
      <c r="X1855" t="n">
        <v>26.4</v>
      </c>
      <c r="Y1855" t="n">
        <v>333</v>
      </c>
      <c r="Z1855" t="n">
        <v>11</v>
      </c>
      <c r="AQ1855" t="n">
        <v>5</v>
      </c>
      <c r="AR1855" t="n">
        <v>50</v>
      </c>
      <c r="AS1855" t="inlineStr">
        <is>
          <t>Collection (optional)</t>
        </is>
      </c>
    </row>
    <row r="1856">
      <c r="A1856" t="inlineStr">
        <is>
          <t>Arcane</t>
        </is>
      </c>
      <c r="B1856" t="inlineStr">
        <is>
          <t>Virtuos Spike</t>
        </is>
      </c>
      <c r="E1856" t="inlineStr">
        <is>
          <t>Amp</t>
        </is>
      </c>
      <c r="F1856" t="n">
        <v>3</v>
      </c>
      <c r="G1856" t="n">
        <v>1</v>
      </c>
      <c r="H1856" t="inlineStr">
        <is>
          <t>Player trade (max rank)</t>
        </is>
      </c>
      <c r="I1856" t="inlineStr">
        <is>
          <t>Yes</t>
        </is>
      </c>
      <c r="K1856" t="inlineStr">
        <is>
          <t>Collection (optional)</t>
        </is>
      </c>
      <c r="L1856" t="n">
        <v>18</v>
      </c>
      <c r="M1856" t="n">
        <v>19</v>
      </c>
      <c r="N1856" t="n">
        <v>33</v>
      </c>
      <c r="O1856" t="inlineStr">
        <is>
          <t>2026-10-05 UTC (WFM pull 02:52-04:00)</t>
        </is>
      </c>
      <c r="P1856" t="inlineStr">
        <is>
          <t>OK</t>
        </is>
      </c>
      <c r="R1856" t="inlineStr">
        <is>
          <t>Arcanes share across items like mods (one max-rank copy covers every build).</t>
        </is>
      </c>
      <c r="S1856" t="inlineStr">
        <is>
          <t>virtuos_spike</t>
        </is>
      </c>
      <c r="T1856" t="n">
        <v>94</v>
      </c>
      <c r="U1856" t="n">
        <v>2</v>
      </c>
      <c r="V1856" t="n">
        <v>30</v>
      </c>
      <c r="W1856" t="n">
        <v>25</v>
      </c>
      <c r="X1856" t="n">
        <v>27.7</v>
      </c>
      <c r="Y1856" t="n">
        <v>48</v>
      </c>
      <c r="Z1856" t="n">
        <v>1</v>
      </c>
      <c r="AQ1856" t="n">
        <v>5</v>
      </c>
      <c r="AR1856" t="n">
        <v>50</v>
      </c>
      <c r="AS1856" t="inlineStr">
        <is>
          <t>Collection (optional)</t>
        </is>
      </c>
    </row>
    <row r="1857">
      <c r="A1857" t="inlineStr">
        <is>
          <t>Arcane</t>
        </is>
      </c>
      <c r="B1857" t="inlineStr">
        <is>
          <t>Virtuos Strike</t>
        </is>
      </c>
      <c r="E1857" t="inlineStr">
        <is>
          <t>Amp</t>
        </is>
      </c>
      <c r="F1857" t="n">
        <v>3</v>
      </c>
      <c r="G1857" t="n">
        <v>1</v>
      </c>
      <c r="H1857" t="inlineStr">
        <is>
          <t>Player trade (max rank)</t>
        </is>
      </c>
      <c r="I1857" t="inlineStr">
        <is>
          <t>Yes</t>
        </is>
      </c>
      <c r="K1857" t="inlineStr">
        <is>
          <t>Collection (optional)</t>
        </is>
      </c>
      <c r="L1857" t="n">
        <v>28</v>
      </c>
      <c r="M1857" t="n">
        <v>30</v>
      </c>
      <c r="N1857" t="n">
        <v>39</v>
      </c>
      <c r="O1857" t="inlineStr">
        <is>
          <t>2026-10-05 UTC (WFM pull 02:52-04:00)</t>
        </is>
      </c>
      <c r="P1857" t="inlineStr">
        <is>
          <t>OK</t>
        </is>
      </c>
      <c r="R1857" t="inlineStr">
        <is>
          <t>Arcanes share across items like mods (one max-rank copy covers every build).</t>
        </is>
      </c>
      <c r="S1857" t="inlineStr">
        <is>
          <t>virtuos_strike</t>
        </is>
      </c>
      <c r="T1857" t="n">
        <v>7</v>
      </c>
      <c r="U1857" t="n">
        <v>7</v>
      </c>
      <c r="V1857" t="n">
        <v>25</v>
      </c>
      <c r="W1857" t="n">
        <v>28</v>
      </c>
      <c r="X1857" t="n">
        <v>27.8</v>
      </c>
      <c r="Y1857" t="n">
        <v>1080</v>
      </c>
      <c r="Z1857" t="n">
        <v>22</v>
      </c>
      <c r="AQ1857" t="n">
        <v>4</v>
      </c>
      <c r="AR1857" t="n">
        <v>40</v>
      </c>
      <c r="AS1857" t="inlineStr">
        <is>
          <t>Collection (optional)</t>
        </is>
      </c>
    </row>
    <row r="1858">
      <c r="A1858" t="inlineStr">
        <is>
          <t>Arcane</t>
        </is>
      </c>
      <c r="B1858" t="inlineStr">
        <is>
          <t>Virtuos Surge</t>
        </is>
      </c>
      <c r="E1858" t="inlineStr">
        <is>
          <t>Amp</t>
        </is>
      </c>
      <c r="F1858" t="n">
        <v>3</v>
      </c>
      <c r="G1858" t="n">
        <v>1</v>
      </c>
      <c r="H1858" t="inlineStr">
        <is>
          <t>Player trade (max rank)</t>
        </is>
      </c>
      <c r="I1858" t="inlineStr">
        <is>
          <t>Yes</t>
        </is>
      </c>
      <c r="K1858" t="inlineStr">
        <is>
          <t>Collection (optional)</t>
        </is>
      </c>
      <c r="L1858" t="n">
        <v>18</v>
      </c>
      <c r="M1858" t="n">
        <v>20</v>
      </c>
      <c r="N1858" t="n">
        <v>33</v>
      </c>
      <c r="O1858" t="inlineStr">
        <is>
          <t>2026-10-05 UTC (WFM pull 02:52-04:00)</t>
        </is>
      </c>
      <c r="P1858" t="inlineStr">
        <is>
          <t>OK</t>
        </is>
      </c>
      <c r="R1858" t="inlineStr">
        <is>
          <t>Arcanes share across items like mods (one max-rank copy covers every build).</t>
        </is>
      </c>
      <c r="S1858" t="inlineStr">
        <is>
          <t>virtuos_surge</t>
        </is>
      </c>
      <c r="T1858" t="n">
        <v>104</v>
      </c>
      <c r="U1858" t="n">
        <v>2</v>
      </c>
      <c r="V1858" t="n">
        <v>30</v>
      </c>
      <c r="W1858" t="n">
        <v>29</v>
      </c>
      <c r="X1858" t="n">
        <v>28.3</v>
      </c>
      <c r="Y1858" t="n">
        <v>64</v>
      </c>
      <c r="Z1858" t="n">
        <v>0</v>
      </c>
      <c r="AQ1858" t="n">
        <v>3</v>
      </c>
      <c r="AR1858" t="n">
        <v>30</v>
      </c>
      <c r="AS1858" t="inlineStr">
        <is>
          <t>Collection (optional)</t>
        </is>
      </c>
    </row>
    <row r="1859">
      <c r="A1859" t="inlineStr">
        <is>
          <t>Arcane</t>
        </is>
      </c>
      <c r="B1859" t="inlineStr">
        <is>
          <t>Virtuos Tempo</t>
        </is>
      </c>
      <c r="E1859" t="inlineStr">
        <is>
          <t>Amp</t>
        </is>
      </c>
      <c r="F1859" t="n">
        <v>3</v>
      </c>
      <c r="G1859" t="n">
        <v>1</v>
      </c>
      <c r="H1859" t="inlineStr">
        <is>
          <t>Player trade (max rank)</t>
        </is>
      </c>
      <c r="I1859" t="inlineStr">
        <is>
          <t>Yes</t>
        </is>
      </c>
      <c r="K1859" t="inlineStr">
        <is>
          <t>Collection (optional)</t>
        </is>
      </c>
      <c r="L1859" t="n">
        <v>21</v>
      </c>
      <c r="M1859" t="n">
        <v>30</v>
      </c>
      <c r="N1859" t="n">
        <v>66</v>
      </c>
      <c r="O1859" t="inlineStr">
        <is>
          <t>2026-10-05 UTC (WFM pull 02:52-04:00)</t>
        </is>
      </c>
      <c r="P1859" t="inlineStr">
        <is>
          <t>OK</t>
        </is>
      </c>
      <c r="R1859" t="inlineStr">
        <is>
          <t>Arcanes share across items like mods (one max-rank copy covers every build).</t>
        </is>
      </c>
      <c r="S1859" t="inlineStr">
        <is>
          <t>virtuos_tempo</t>
        </is>
      </c>
      <c r="T1859" t="n">
        <v>6</v>
      </c>
      <c r="U1859" t="n">
        <v>6</v>
      </c>
      <c r="V1859" t="n">
        <v>23</v>
      </c>
      <c r="W1859" t="n">
        <v>24</v>
      </c>
      <c r="X1859" t="n">
        <v>23.9</v>
      </c>
      <c r="Y1859" t="n">
        <v>475</v>
      </c>
      <c r="Z1859" t="n">
        <v>13</v>
      </c>
      <c r="AQ1859" t="n">
        <v>3</v>
      </c>
      <c r="AR1859" t="n">
        <v>30</v>
      </c>
      <c r="AS1859" t="inlineStr">
        <is>
          <t>Collection (optional)</t>
        </is>
      </c>
    </row>
    <row r="1860">
      <c r="A1860" t="inlineStr">
        <is>
          <t>Arcane</t>
        </is>
      </c>
      <c r="B1860" t="inlineStr">
        <is>
          <t>Virtuos Trojan</t>
        </is>
      </c>
      <c r="E1860" t="inlineStr">
        <is>
          <t>Amp</t>
        </is>
      </c>
      <c r="F1860" t="n">
        <v>3</v>
      </c>
      <c r="G1860" t="n">
        <v>1</v>
      </c>
      <c r="H1860" t="inlineStr">
        <is>
          <t>Player trade (max rank)</t>
        </is>
      </c>
      <c r="I1860" t="inlineStr">
        <is>
          <t>Yes</t>
        </is>
      </c>
      <c r="K1860" t="inlineStr">
        <is>
          <t>Collection (optional)</t>
        </is>
      </c>
      <c r="L1860" t="n">
        <v>54</v>
      </c>
      <c r="M1860" t="n">
        <v>71.2</v>
      </c>
      <c r="N1860" t="n">
        <v>157</v>
      </c>
      <c r="O1860" t="inlineStr">
        <is>
          <t>2026-10-05 UTC (WFM pull 02:52-04:00)</t>
        </is>
      </c>
      <c r="P1860" t="inlineStr">
        <is>
          <t>OK</t>
        </is>
      </c>
      <c r="R1860" t="inlineStr">
        <is>
          <t>Arcanes share across items like mods (one max-rank copy covers every build).</t>
        </is>
      </c>
      <c r="S1860" t="inlineStr">
        <is>
          <t>virtuos_trojan</t>
        </is>
      </c>
      <c r="T1860" t="n">
        <v>3</v>
      </c>
      <c r="U1860" t="n">
        <v>3</v>
      </c>
      <c r="V1860" t="n">
        <v>47.5</v>
      </c>
      <c r="W1860" t="n">
        <v>50</v>
      </c>
      <c r="X1860" t="n">
        <v>51</v>
      </c>
      <c r="Y1860" t="n">
        <v>269</v>
      </c>
      <c r="Z1860" t="n">
        <v>7</v>
      </c>
      <c r="AA1860" t="n">
        <v>25</v>
      </c>
      <c r="AB1860" t="n">
        <v>29</v>
      </c>
      <c r="AQ1860" t="n">
        <v>8.199999999999999</v>
      </c>
      <c r="AR1860" t="n">
        <v>82</v>
      </c>
      <c r="AS1860" t="inlineStr">
        <is>
          <t>Collection (optional)</t>
        </is>
      </c>
    </row>
    <row r="1861">
      <c r="A1861" t="inlineStr">
        <is>
          <t>Arcane</t>
        </is>
      </c>
      <c r="B1861" t="inlineStr">
        <is>
          <t>Zid-an Asheir</t>
        </is>
      </c>
      <c r="E1861" t="inlineStr">
        <is>
          <t>Tektolyst Artifacts</t>
        </is>
      </c>
      <c r="F1861" t="n">
        <v>5</v>
      </c>
      <c r="G1861" t="n">
        <v>1</v>
      </c>
      <c r="H1861" t="inlineStr">
        <is>
          <t>Player trade (max rank)</t>
        </is>
      </c>
      <c r="I1861" t="inlineStr">
        <is>
          <t>Yes</t>
        </is>
      </c>
      <c r="K1861" t="inlineStr">
        <is>
          <t>Collection (optional)</t>
        </is>
      </c>
      <c r="L1861" t="n">
        <v>28</v>
      </c>
      <c r="M1861" t="n">
        <v>40</v>
      </c>
      <c r="N1861" t="n">
        <v>44</v>
      </c>
      <c r="O1861" t="inlineStr">
        <is>
          <t>2026-10-05 UTC (WFM pull 02:52-04:00)</t>
        </is>
      </c>
      <c r="P1861" t="inlineStr">
        <is>
          <t>OK</t>
        </is>
      </c>
      <c r="R1861" t="inlineStr">
        <is>
          <t>Arcanes share across items like mods (one max-rank copy covers every build).</t>
        </is>
      </c>
      <c r="S1861" t="inlineStr">
        <is>
          <t>zid_an_asheir</t>
        </is>
      </c>
      <c r="T1861" t="n">
        <v>9</v>
      </c>
      <c r="U1861" t="n">
        <v>9</v>
      </c>
      <c r="V1861" t="n">
        <v>30</v>
      </c>
      <c r="W1861" t="n">
        <v>32</v>
      </c>
      <c r="X1861" t="n">
        <v>32.4</v>
      </c>
      <c r="Y1861" t="n">
        <v>419</v>
      </c>
      <c r="Z1861" t="n">
        <v>9</v>
      </c>
      <c r="AQ1861" t="n">
        <v>3</v>
      </c>
      <c r="AR1861" t="n">
        <v>63</v>
      </c>
      <c r="AS1861" t="inlineStr">
        <is>
          <t>Collection (optional)</t>
        </is>
      </c>
    </row>
    <row r="1862">
      <c r="A1862" t="inlineStr">
        <is>
          <t>Arcane</t>
        </is>
      </c>
      <c r="B1862" t="inlineStr">
        <is>
          <t>Zid-an Haras</t>
        </is>
      </c>
      <c r="E1862" t="inlineStr">
        <is>
          <t>Tektolyst Artifacts</t>
        </is>
      </c>
      <c r="F1862" t="n">
        <v>5</v>
      </c>
      <c r="G1862" t="n">
        <v>1</v>
      </c>
      <c r="H1862" t="inlineStr">
        <is>
          <t>Player trade (max rank)</t>
        </is>
      </c>
      <c r="I1862" t="inlineStr">
        <is>
          <t>Yes</t>
        </is>
      </c>
      <c r="K1862" t="inlineStr">
        <is>
          <t>Collection (optional)</t>
        </is>
      </c>
      <c r="L1862" t="n">
        <v>50</v>
      </c>
      <c r="M1862" t="n">
        <v>50</v>
      </c>
      <c r="N1862" t="n">
        <v>111</v>
      </c>
      <c r="O1862" t="inlineStr">
        <is>
          <t>2026-10-05 UTC (WFM pull 02:52-04:00)</t>
        </is>
      </c>
      <c r="P1862" t="inlineStr">
        <is>
          <t>OK</t>
        </is>
      </c>
      <c r="R1862" t="inlineStr">
        <is>
          <t>Arcanes share across items like mods (one max-rank copy covers every build).</t>
        </is>
      </c>
      <c r="S1862" t="inlineStr">
        <is>
          <t>zid_an_haras</t>
        </is>
      </c>
      <c r="T1862" t="n">
        <v>9</v>
      </c>
      <c r="U1862" t="n">
        <v>9</v>
      </c>
      <c r="V1862" t="n">
        <v>25</v>
      </c>
      <c r="W1862" t="n">
        <v>25</v>
      </c>
      <c r="X1862" t="n">
        <v>24.7</v>
      </c>
      <c r="Y1862" t="n">
        <v>339</v>
      </c>
      <c r="Z1862" t="n">
        <v>7</v>
      </c>
      <c r="AQ1862" t="n">
        <v>3</v>
      </c>
      <c r="AR1862" t="n">
        <v>63</v>
      </c>
      <c r="AS1862" t="inlineStr">
        <is>
          <t>Collection (optional)</t>
        </is>
      </c>
    </row>
    <row r="1863">
      <c r="A1863" t="inlineStr">
        <is>
          <t>Arcane</t>
        </is>
      </c>
      <c r="B1863" t="inlineStr">
        <is>
          <t>Zid-an Osbok</t>
        </is>
      </c>
      <c r="E1863" t="inlineStr">
        <is>
          <t>Tektolyst Artifacts</t>
        </is>
      </c>
      <c r="F1863" t="n">
        <v>5</v>
      </c>
      <c r="G1863" t="n">
        <v>1</v>
      </c>
      <c r="H1863" t="inlineStr">
        <is>
          <t>Player trade (max rank)</t>
        </is>
      </c>
      <c r="I1863" t="inlineStr">
        <is>
          <t>Yes</t>
        </is>
      </c>
      <c r="K1863" t="inlineStr">
        <is>
          <t>Collection (optional)</t>
        </is>
      </c>
      <c r="L1863" t="n">
        <v>60</v>
      </c>
      <c r="M1863" t="n">
        <v>70</v>
      </c>
      <c r="N1863" t="n">
        <v>88</v>
      </c>
      <c r="O1863" t="inlineStr">
        <is>
          <t>2026-10-05 UTC (WFM pull 02:52-04:00)</t>
        </is>
      </c>
      <c r="P1863" t="inlineStr">
        <is>
          <t>OK</t>
        </is>
      </c>
      <c r="R1863" t="inlineStr">
        <is>
          <t>Arcanes share across items like mods (one max-rank copy covers every build).</t>
        </is>
      </c>
      <c r="S1863" t="inlineStr">
        <is>
          <t>zid_an_osbok</t>
        </is>
      </c>
      <c r="T1863" t="n">
        <v>8</v>
      </c>
      <c r="U1863" t="n">
        <v>8</v>
      </c>
      <c r="V1863" t="n">
        <v>59.5</v>
      </c>
      <c r="W1863" t="n">
        <v>59.5</v>
      </c>
      <c r="X1863" t="n">
        <v>57.6</v>
      </c>
      <c r="Y1863" t="n">
        <v>771</v>
      </c>
      <c r="Z1863" t="n">
        <v>21</v>
      </c>
      <c r="AA1863" t="n">
        <v>35</v>
      </c>
      <c r="AB1863" t="n">
        <v>25</v>
      </c>
      <c r="AQ1863" t="n">
        <v>4</v>
      </c>
      <c r="AR1863" t="n">
        <v>84</v>
      </c>
      <c r="AS1863" t="inlineStr">
        <is>
          <t>Collection (optional)</t>
        </is>
      </c>
    </row>
    <row r="1864">
      <c r="A1864" t="inlineStr">
        <is>
          <t>Arcane</t>
        </is>
      </c>
      <c r="B1864" t="inlineStr">
        <is>
          <t>Zid-an Sek-eel</t>
        </is>
      </c>
      <c r="E1864" t="inlineStr">
        <is>
          <t>Tektolyst Artifacts</t>
        </is>
      </c>
      <c r="F1864" t="n">
        <v>5</v>
      </c>
      <c r="G1864" t="n">
        <v>1</v>
      </c>
      <c r="H1864" t="inlineStr">
        <is>
          <t>Player trade (max rank)</t>
        </is>
      </c>
      <c r="I1864" t="inlineStr">
        <is>
          <t>Yes</t>
        </is>
      </c>
      <c r="K1864" t="inlineStr">
        <is>
          <t>Collection (optional)</t>
        </is>
      </c>
      <c r="L1864" t="n">
        <v>29</v>
      </c>
      <c r="M1864" t="n">
        <v>37.5</v>
      </c>
      <c r="N1864" t="n">
        <v>83</v>
      </c>
      <c r="O1864" t="inlineStr">
        <is>
          <t>2026-10-05 UTC (WFM pull 02:52-04:00)</t>
        </is>
      </c>
      <c r="P1864" t="inlineStr">
        <is>
          <t>OK</t>
        </is>
      </c>
      <c r="R1864" t="inlineStr">
        <is>
          <t>Arcanes share across items like mods (one max-rank copy covers every build).</t>
        </is>
      </c>
      <c r="S1864" t="inlineStr">
        <is>
          <t>zid_an_sek_eel</t>
        </is>
      </c>
      <c r="T1864" t="n">
        <v>10</v>
      </c>
      <c r="U1864" t="n">
        <v>10</v>
      </c>
      <c r="V1864" t="n">
        <v>25</v>
      </c>
      <c r="W1864" t="n">
        <v>29</v>
      </c>
      <c r="X1864" t="n">
        <v>27.9</v>
      </c>
      <c r="Y1864" t="n">
        <v>331</v>
      </c>
      <c r="Z1864" t="n">
        <v>13</v>
      </c>
      <c r="AQ1864" t="n">
        <v>3</v>
      </c>
      <c r="AR1864" t="n">
        <v>63</v>
      </c>
      <c r="AS1864" t="inlineStr">
        <is>
          <t>Collection (optional)</t>
        </is>
      </c>
    </row>
    <row r="1865">
      <c r="A1865" t="inlineStr">
        <is>
          <t>Arcane</t>
        </is>
      </c>
      <c r="B1865" t="inlineStr">
        <is>
          <t>Zid-an Uskos</t>
        </is>
      </c>
      <c r="E1865" t="inlineStr">
        <is>
          <t>Tektolyst Artifacts</t>
        </is>
      </c>
      <c r="F1865" t="n">
        <v>5</v>
      </c>
      <c r="G1865" t="n">
        <v>1</v>
      </c>
      <c r="H1865" t="inlineStr">
        <is>
          <t>Player trade (max rank)</t>
        </is>
      </c>
      <c r="I1865" t="inlineStr">
        <is>
          <t>Yes</t>
        </is>
      </c>
      <c r="K1865" t="inlineStr">
        <is>
          <t>Collection (optional)</t>
        </is>
      </c>
      <c r="L1865" t="n">
        <v>95</v>
      </c>
      <c r="M1865" t="n">
        <v>105</v>
      </c>
      <c r="N1865" t="n">
        <v>232</v>
      </c>
      <c r="O1865" t="inlineStr">
        <is>
          <t>2026-10-05 UTC (WFM pull 02:52-04:00)</t>
        </is>
      </c>
      <c r="P1865" t="inlineStr">
        <is>
          <t>OK</t>
        </is>
      </c>
      <c r="R1865" t="inlineStr">
        <is>
          <t>Arcanes share across items like mods (one max-rank copy covers every build).</t>
        </is>
      </c>
      <c r="S1865" t="inlineStr">
        <is>
          <t>zid_an_uskos</t>
        </is>
      </c>
      <c r="T1865" t="n">
        <v>5</v>
      </c>
      <c r="U1865" t="n">
        <v>5</v>
      </c>
      <c r="V1865" t="n">
        <v>70</v>
      </c>
      <c r="W1865" t="n">
        <v>70</v>
      </c>
      <c r="X1865" t="n">
        <v>73.40000000000001</v>
      </c>
      <c r="Y1865" t="n">
        <v>1370</v>
      </c>
      <c r="Z1865" t="n">
        <v>25</v>
      </c>
      <c r="AA1865" t="n">
        <v>55</v>
      </c>
      <c r="AB1865" t="n">
        <v>40</v>
      </c>
      <c r="AQ1865" t="n">
        <v>7</v>
      </c>
      <c r="AR1865" t="n">
        <v>147</v>
      </c>
      <c r="AS1865" t="inlineStr">
        <is>
          <t>Collection (optional)</t>
        </is>
      </c>
    </row>
  </sheetData>
  <autoFilter ref="A1:AS18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2026-10-05T10:56:09Z</dcterms:created>
  <dcterms:modified xsi:type="dcterms:W3CDTF">2026-10-05T10:56:22Z</dcterms:modified>
</cp:coreProperties>
</file>