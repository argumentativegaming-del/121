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OPTIMIZATION AUDIT" sheetId="2" state="visible" r:id="rId2"/>
    <sheet name="FRAME MOD CONFIGS" sheetId="3" state="visible" r:id="rId3"/>
    <sheet name="ARCHON SHARDS1" sheetId="4" state="visible" r:id="rId4"/>
    <sheet name="COMPANION ASSIGNMENTS" sheetId="5" state="visible" r:id="rId5"/>
    <sheet name="EXALTED BUILDS" sheetId="6" state="visible" r:id="rId6"/>
    <sheet name="WEAPON CONFIGS" sheetId="7" state="visible" r:id="rId7"/>
    <sheet name="BUILD PROCUREMENT DELTA" sheetId="8" state="visible" r:id="rId8"/>
    <sheet name="BUILD OPEN ITEMS" sheetId="9" state="visible" r:id="rId9"/>
    <sheet name="BUILD COMPLETENESS" sheetId="10" state="visible" r:id="rId10"/>
    <sheet name="FRAME BUILDS" sheetId="11" state="visible" r:id="rId11"/>
    <sheet name="Corrections Log" sheetId="12" state="visible" r:id="rId12"/>
    <sheet name="Live Content Reconciliation" sheetId="13" state="visible" r:id="rId13"/>
    <sheet name="Upcoming (Not Live)" sheetId="14" state="visible" r:id="rId14"/>
    <sheet name="Weapon Allocation v4" sheetId="15" state="visible" r:id="rId15"/>
    <sheet name="Roster v4 (live)" sheetId="16" state="visible" r:id="rId16"/>
    <sheet name="Open Items" sheetId="17" state="visible" r:id="rId17"/>
    <sheet name="Frames" sheetId="18" state="visible" r:id="rId18"/>
    <sheet name="Weapons" sheetId="19" state="visible" r:id="rId19"/>
    <sheet name="Adversary" sheetId="20" state="visible" r:id="rId20"/>
    <sheet name="Incarnon Genesis" sheetId="21" state="visible" r:id="rId21"/>
    <sheet name="Arcanes" sheetId="22" state="visible" r:id="rId22"/>
    <sheet name="Mods" sheetId="23" state="visible" r:id="rId23"/>
    <sheet name="Archon Shards" sheetId="24" state="visible" r:id="rId24"/>
    <sheet name="Companions" sheetId="25" state="visible" r:id="rId25"/>
    <sheet name="Account Infrastructure" sheetId="26" state="visible" r:id="rId26"/>
    <sheet name="Sources" sheetId="27" state="visible" r:id="rId27"/>
    <sheet name="Normalization Log" sheetId="28" state="visible" r:id="rId28"/>
    <sheet name="Economic Model" sheetId="29" state="visible" r:id="rId29"/>
    <sheet name="Procurement Master" sheetId="30" state="visible" r:id="rId30"/>
  </sheets>
  <definedNames>
    <definedName name="_xlnm._FilterDatabase" localSheetId="1" hidden="1">'OPTIMIZATION AUDIT'!$A$1:$I$20</definedName>
    <definedName name="_xlnm._FilterDatabase" localSheetId="2" hidden="1">'FRAME MOD CONFIGS'!$A$1:$I$681</definedName>
    <definedName name="_xlnm._FilterDatabase" localSheetId="3" hidden="1">'ARCHON SHARDS1'!$A$1:$G$331</definedName>
    <definedName name="_xlnm._FilterDatabase" localSheetId="4" hidden="1">'COMPANION ASSIGNMENTS'!$A$1:$D$67</definedName>
    <definedName name="_xlnm._FilterDatabase" localSheetId="5" hidden="1">'EXALTED BUILDS'!$A$1:$H$23</definedName>
    <definedName name="_xlnm._FilterDatabase" localSheetId="6" hidden="1">'WEAPON CONFIGS'!$A$1:$O$185</definedName>
    <definedName name="_xlnm._FilterDatabase" localSheetId="7" hidden="1">'BUILD PROCUREMENT DELTA'!$A$1:$G$60</definedName>
    <definedName name="_xlnm._FilterDatabase" localSheetId="8" hidden="1">'BUILD OPEN ITEMS'!$A$1:$B$8</definedName>
    <definedName name="_xlnm._FilterDatabase" localSheetId="9" hidden="1">'BUILD COMPLETENESS'!$A$1:$B$14</definedName>
    <definedName name="_xlnm._FilterDatabase" localSheetId="10" hidden="1">'FRAME BUILDS'!$A$1:$AN$67</definedName>
    <definedName name="_xlnm._FilterDatabase" localSheetId="11" hidden="1">'Corrections Log'!$A$1:$E$25</definedName>
    <definedName name="_xlnm._FilterDatabase" localSheetId="12" hidden="1">'Live Content Reconciliation'!$A$1:$I$135</definedName>
    <definedName name="_xlnm._FilterDatabase" localSheetId="13" hidden="1">'Upcoming (Not Live)'!$A$1:$E$7</definedName>
    <definedName name="_xlnm._FilterDatabase" localSheetId="14" hidden="1">'Weapon Allocation v4'!$A$1:$H$67</definedName>
    <definedName name="_xlnm._FilterDatabase" localSheetId="15" hidden="1">'Roster v4 (live)'!$A$1:$G$67</definedName>
    <definedName name="_xlnm._FilterDatabase" localSheetId="16" hidden="1">'Open Items'!$A$1:$C$13</definedName>
    <definedName name="_xlnm._FilterDatabase" localSheetId="21" hidden="1">'Arcanes'!$A$1:$J$26</definedName>
    <definedName name="_xlnm._FilterDatabase" localSheetId="23" hidden="1">'Archon Shards'!$A$1:$C$19</definedName>
    <definedName name="_xlnm._FilterDatabase" localSheetId="29" hidden="1">'Procurement Master'!$A$1:$AS$1865</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9">
      <c r="D19" t="inlineStr">
        <is>
          <t>Realistic total reconstruction Pt (v4)</t>
        </is>
      </c>
      <c r="E19">
        <f>'Economic Model'!C35</f>
        <v/>
      </c>
      <c r="F19" t="inlineStr">
        <is>
          <t>Trade + net fixed infrastructure</t>
        </is>
      </c>
    </row>
    <row r="21">
      <c r="A21" t="inlineStr"/>
      <c r="B21" t="inlineStr"/>
      <c r="C21" t="inlineStr"/>
      <c r="D21" t="inlineStr">
        <is>
          <t>Frame builds (v4.3 DRAFT)</t>
        </is>
      </c>
      <c r="E21" t="inlineStr">
        <is>
          <t>66/66 mechanically valid</t>
        </is>
      </c>
      <c r="F21" t="inlineStr">
        <is>
          <t>19/66 optimization-audited - NOT FINAL</t>
        </is>
      </c>
    </row>
    <row r="22">
      <c r="A22" t="inlineStr"/>
      <c r="B22" t="inlineStr"/>
      <c r="C22" t="inlineStr"/>
      <c r="D22" t="inlineStr">
        <is>
          <t>Archon Shard positions</t>
        </is>
      </c>
      <c r="E22" t="n">
        <v>330</v>
      </c>
      <c r="F22" t="inlineStr">
        <is>
          <t>79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I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sheetData>
  <autoFilter ref="A1:I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Warding Thurible</t>
        </is>
      </c>
      <c r="D211" s="39" t="n">
        <v>3</v>
      </c>
      <c r="E211" s="39" t="inlineStr">
        <is>
          <t>Zenurik</t>
        </is>
      </c>
      <c r="F211" s="39" t="n">
        <v>9</v>
      </c>
      <c r="G211" s="39" t="inlineStr">
        <is>
          <t>Harrow</t>
        </is>
      </c>
      <c r="H211" s="39" t="inlineStr">
        <is>
          <t>Yes</t>
        </is>
      </c>
      <c r="I211" s="39" t="inlineStr">
        <is>
          <t>Thurible Augment: Allies in range take 50% less Damage while channeling Thurible and grant 1.0 additional Energy charge whenever damaged.</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Augur Reach</t>
        </is>
      </c>
      <c r="D219" s="39" t="n">
        <v>5</v>
      </c>
      <c r="E219" s="39" t="inlineStr">
        <is>
          <t>Naramon</t>
        </is>
      </c>
      <c r="F219" s="39" t="n">
        <v>7</v>
      </c>
      <c r="G219" s="39" t="inlineStr">
        <is>
          <t>Warframe</t>
        </is>
      </c>
      <c r="H219" s="39" t="inlineStr">
        <is>
          <t>Yes</t>
        </is>
      </c>
      <c r="I219" s="39" t="inlineStr">
        <is>
          <t>+30% Ability Range</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Pilfering Swarm</t>
        </is>
      </c>
      <c r="D231" s="39" t="n">
        <v>3</v>
      </c>
      <c r="E231" s="39" t="inlineStr">
        <is>
          <t>Zenurik</t>
        </is>
      </c>
      <c r="F231" s="39" t="n">
        <v>9</v>
      </c>
      <c r="G231" s="39" t="inlineStr">
        <is>
          <t>Hydroid</t>
        </is>
      </c>
      <c r="H231" s="39" t="inlineStr">
        <is>
          <t>Yes</t>
        </is>
      </c>
      <c r="I231" s="39" t="inlineStr">
        <is>
          <t>Tentacle Swarm Augment: Enemies held by tentacles have a 100% chance at additional drops.</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Infiltrate</t>
        </is>
      </c>
      <c r="D251" s="39" t="n">
        <v>3</v>
      </c>
      <c r="E251" s="39" t="inlineStr">
        <is>
          <t>Zenurik</t>
        </is>
      </c>
      <c r="F251" s="39" t="n">
        <v>9</v>
      </c>
      <c r="G251" s="39" t="inlineStr">
        <is>
          <t>Ivara</t>
        </is>
      </c>
      <c r="H251" s="39" t="inlineStr">
        <is>
          <t>Yes</t>
        </is>
      </c>
      <c r="I251" s="39" t="inlineStr">
        <is>
          <t>Prowl Augment: Ivara is able to bypass laser barriers and gains 25% Movement Speed.</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Wrath of Ukko</t>
        </is>
      </c>
      <c r="D292" s="39" t="n">
        <v>3</v>
      </c>
      <c r="E292" s="39" t="inlineStr">
        <is>
          <t>Zenurik</t>
        </is>
      </c>
      <c r="F292" s="39" t="n">
        <v>9</v>
      </c>
      <c r="G292" s="39" t="inlineStr">
        <is>
          <t>Kullervo</t>
        </is>
      </c>
      <c r="H292" s="39" t="inlineStr">
        <is>
          <t>Yes</t>
        </is>
      </c>
      <c r="I292" s="39" t="inlineStr">
        <is>
          <t>Storm of Ukko Augment: Wrathful Advance moves the storm of daggers to the teleportation location and increases its duration by 6s.</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Augur Reach</t>
        </is>
      </c>
      <c r="D300" s="39" t="n">
        <v>5</v>
      </c>
      <c r="E300" s="39" t="inlineStr">
        <is>
          <t>Naramon</t>
        </is>
      </c>
      <c r="F300" s="39" t="n">
        <v>7</v>
      </c>
      <c r="G300" s="39" t="inlineStr">
        <is>
          <t>Warframe</t>
        </is>
      </c>
      <c r="H300" s="39" t="inlineStr">
        <is>
          <t>Yes</t>
        </is>
      </c>
      <c r="I300" s="39" t="inlineStr">
        <is>
          <t>+30%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Primed Flow</t>
        </is>
      </c>
      <c r="D309" s="39" t="n">
        <v>10</v>
      </c>
      <c r="E309" s="39" t="inlineStr">
        <is>
          <t>Naramon</t>
        </is>
      </c>
      <c r="F309" s="39" t="n">
        <v>14</v>
      </c>
      <c r="G309" s="39" t="inlineStr">
        <is>
          <t>Warframe</t>
        </is>
      </c>
      <c r="H309" s="39" t="inlineStr">
        <is>
          <t>Yes</t>
        </is>
      </c>
      <c r="I309" s="39" t="inlineStr">
        <is>
          <t>+185% Energy Max</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Primed Flow</t>
        </is>
      </c>
      <c r="D370" s="39" t="n">
        <v>10</v>
      </c>
      <c r="E370" s="39" t="inlineStr">
        <is>
          <t>Naramon</t>
        </is>
      </c>
      <c r="F370" s="39" t="n">
        <v>14</v>
      </c>
      <c r="G370" s="39" t="inlineStr">
        <is>
          <t>Warframe</t>
        </is>
      </c>
      <c r="H370" s="39" t="inlineStr">
        <is>
          <t>Yes</t>
        </is>
      </c>
      <c r="I370" s="39" t="inlineStr">
        <is>
          <t>+185% Energy Max</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Umbral Vitality</t>
        </is>
      </c>
      <c r="D386" s="39" t="n">
        <v>10</v>
      </c>
      <c r="E386" s="39" t="inlineStr">
        <is>
          <t>Umbra</t>
        </is>
      </c>
      <c r="F386" s="39" t="n">
        <v>16</v>
      </c>
      <c r="G386" s="39" t="inlineStr">
        <is>
          <t>Warframe</t>
        </is>
      </c>
      <c r="H386" s="39" t="inlineStr">
        <is>
          <t>NO - account-bound</t>
        </is>
      </c>
      <c r="I386" s="39" t="inlineStr">
        <is>
          <t>+100% Health | +11% &lt;DT_SENTIENT&gt;Tau Resistance</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Primed Flow</t>
        </is>
      </c>
      <c r="D390" s="39" t="n">
        <v>10</v>
      </c>
      <c r="E390" s="39" t="inlineStr">
        <is>
          <t>Naramon</t>
        </is>
      </c>
      <c r="F390" s="39" t="n">
        <v>14</v>
      </c>
      <c r="G390" s="39" t="inlineStr">
        <is>
          <t>Warframe</t>
        </is>
      </c>
      <c r="H390" s="39" t="inlineStr">
        <is>
          <t>Yes</t>
        </is>
      </c>
      <c r="I390" s="39" t="inlineStr">
        <is>
          <t>+185% Energy Max</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Reach</t>
        </is>
      </c>
      <c r="D408" s="39" t="n">
        <v>5</v>
      </c>
      <c r="E408" s="39" t="inlineStr">
        <is>
          <t>Naramon</t>
        </is>
      </c>
      <c r="F408" s="39" t="n">
        <v>7</v>
      </c>
      <c r="G408" s="39" t="inlineStr">
        <is>
          <t>Warframe</t>
        </is>
      </c>
      <c r="H408" s="39" t="inlineStr">
        <is>
          <t>Yes</t>
        </is>
      </c>
      <c r="I408" s="39" t="inlineStr">
        <is>
          <t>+30% Ability Range</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Primed Flow</t>
        </is>
      </c>
      <c r="D460" s="39" t="n">
        <v>10</v>
      </c>
      <c r="E460" s="39" t="inlineStr">
        <is>
          <t>Naramon</t>
        </is>
      </c>
      <c r="F460" s="39" t="n">
        <v>14</v>
      </c>
      <c r="G460" s="39" t="inlineStr">
        <is>
          <t>Warframe</t>
        </is>
      </c>
      <c r="H460" s="39" t="inlineStr">
        <is>
          <t>Yes</t>
        </is>
      </c>
      <c r="I460" s="39" t="inlineStr">
        <is>
          <t>+185% Energy Max</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Stretch</t>
        </is>
      </c>
      <c r="D489" s="39" t="n">
        <v>5</v>
      </c>
      <c r="E489" s="39" t="inlineStr">
        <is>
          <t>Naramon</t>
        </is>
      </c>
      <c r="F489" s="39" t="n">
        <v>9</v>
      </c>
      <c r="G489" s="39" t="inlineStr">
        <is>
          <t>Warframe</t>
        </is>
      </c>
      <c r="H489" s="39" t="inlineStr">
        <is>
          <t>Yes</t>
        </is>
      </c>
      <c r="I489" s="39" t="inlineStr">
        <is>
          <t>+45% Ability Range</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Primed Flow</t>
        </is>
      </c>
      <c r="D530" s="39" t="n">
        <v>10</v>
      </c>
      <c r="E530" s="39" t="inlineStr">
        <is>
          <t>Naramon</t>
        </is>
      </c>
      <c r="F530" s="39" t="n">
        <v>14</v>
      </c>
      <c r="G530" s="39" t="inlineStr">
        <is>
          <t>Warframe</t>
        </is>
      </c>
      <c r="H530" s="39" t="inlineStr">
        <is>
          <t>Yes</t>
        </is>
      </c>
      <c r="I530" s="39" t="inlineStr">
        <is>
          <t>+185% Energy Max</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Stretch</t>
        </is>
      </c>
      <c r="D551" s="39" t="n">
        <v>5</v>
      </c>
      <c r="E551" s="39" t="inlineStr">
        <is>
          <t>Naramon</t>
        </is>
      </c>
      <c r="F551" s="39" t="n">
        <v>9</v>
      </c>
      <c r="G551" s="39" t="inlineStr">
        <is>
          <t>Warframe</t>
        </is>
      </c>
      <c r="H551" s="39" t="inlineStr">
        <is>
          <t>Yes</t>
        </is>
      </c>
      <c r="I551" s="39" t="inlineStr">
        <is>
          <t>+45%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Growing Power</t>
        </is>
      </c>
      <c r="D672" s="39" t="n">
        <v>5</v>
      </c>
      <c r="E672" s="39" t="inlineStr">
        <is>
          <t>Madurai</t>
        </is>
      </c>
      <c r="F672" s="39" t="n">
        <v>3</v>
      </c>
      <c r="G672" s="39" t="inlineStr">
        <is>
          <t>Aura</t>
        </is>
      </c>
      <c r="H672" s="39" t="inlineStr">
        <is>
          <t>Yes</t>
        </is>
      </c>
      <c r="I672" s="39" t="inlineStr">
        <is>
          <t>On Status Effect with Weapon: Squad increases personal Ability Strength by 25% for 6s.</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Tauforged</t>
        </is>
      </c>
      <c r="F32" s="39" t="n">
        <v>15</v>
      </c>
      <c r="G32" s="39" t="inlineStr"/>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Tauforged</t>
        </is>
      </c>
      <c r="F102" s="39" t="n">
        <v>15</v>
      </c>
      <c r="G102" s="39" t="inlineStr"/>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Tauforged</t>
        </is>
      </c>
      <c r="F107" s="39" t="n">
        <v>15</v>
      </c>
      <c r="G107" s="39" t="inlineStr"/>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Tauforged</t>
        </is>
      </c>
      <c r="F137" s="39" t="n">
        <v>15</v>
      </c>
      <c r="G137" s="39" t="inlineStr"/>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is>
          <t>cooldown build</t>
        </is>
      </c>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Tauforged</t>
        </is>
      </c>
      <c r="F152" s="39" t="n">
        <v>15</v>
      </c>
      <c r="G152" s="39" t="inlineStr"/>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Tauforged</t>
        </is>
      </c>
      <c r="F157" s="39" t="n">
        <v>15</v>
      </c>
      <c r="G157" s="39" t="inlineStr"/>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Tauforged</t>
        </is>
      </c>
      <c r="F182" s="39" t="n">
        <v>15</v>
      </c>
      <c r="G182" s="39" t="inlineStr"/>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Tauforged</t>
        </is>
      </c>
      <c r="F207" s="39" t="n">
        <v>15</v>
      </c>
      <c r="G207" s="39" t="inlineStr"/>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is>
          <t>200% Renewal cap met without Tau</t>
        </is>
      </c>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Tauforged</t>
        </is>
      </c>
      <c r="F217" s="39" t="n">
        <v>15</v>
      </c>
      <c r="G217" s="39" t="inlineStr"/>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Tauforged</t>
        </is>
      </c>
      <c r="F272" s="39" t="n">
        <v>15</v>
      </c>
      <c r="G272" s="39" t="inlineStr"/>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Tauforged</t>
        </is>
      </c>
      <c r="F277" s="39" t="n">
        <v>15</v>
      </c>
      <c r="G277" s="39" t="inlineStr"/>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Tauforged</t>
        </is>
      </c>
      <c r="F292" s="39" t="n">
        <v>15</v>
      </c>
      <c r="G292" s="39" t="inlineStr"/>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Ability Damage vs Electricity</t>
        </is>
      </c>
      <c r="E298" s="39" t="inlineStr">
        <is>
          <t>Normal</t>
        </is>
      </c>
      <c r="F298" s="39" t="n">
        <v>10</v>
      </c>
      <c r="G298" s="39" t="inlineStr"/>
    </row>
    <row r="299">
      <c r="A299" s="39" t="inlineStr">
        <is>
          <t>Volt Prime</t>
        </is>
      </c>
      <c r="B299" s="39" t="n">
        <v>3</v>
      </c>
      <c r="C299" s="39" t="inlineStr">
        <is>
          <t>Violet</t>
        </is>
      </c>
      <c r="D299" s="39" t="inlineStr">
        <is>
          <t>Ability Damage vs Electricity</t>
        </is>
      </c>
      <c r="E299" s="39" t="inlineStr">
        <is>
          <t>Normal</t>
        </is>
      </c>
      <c r="F299" s="39" t="n">
        <v>10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Tauforged</t>
        </is>
      </c>
      <c r="F307" s="39" t="n">
        <v>15</v>
      </c>
      <c r="G307" s="39" t="inlineStr"/>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Tauforged</t>
        </is>
      </c>
      <c r="F327" s="39" t="n">
        <v>15</v>
      </c>
      <c r="G327" s="39" t="inlineStr"/>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3">
      <c r="A333" t="inlineStr">
        <is>
          <t>TOTAL POSITIONS</t>
        </is>
      </c>
      <c r="B333" t="n">
        <v>330</v>
      </c>
    </row>
    <row r="334">
      <c r="A334" t="inlineStr">
        <is>
          <t>Tauforged</t>
        </is>
      </c>
      <c r="B334" t="n">
        <v>79</v>
      </c>
    </row>
    <row r="335">
      <c r="A335" t="inlineStr">
        <is>
          <t>Normal</t>
        </is>
      </c>
      <c r="B335" t="n">
        <v>251</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55</v>
      </c>
    </row>
    <row r="345">
      <c r="A345" t="inlineStr">
        <is>
          <t>Total</t>
        </is>
      </c>
      <c r="C345" t="inlineStr">
        <is>
          <t>Crimson</t>
        </is>
      </c>
      <c r="D345" t="inlineStr">
        <is>
          <t>Ability Strength</t>
        </is>
      </c>
      <c r="E345" t="inlineStr">
        <is>
          <t>Tauforged</t>
        </is>
      </c>
      <c r="F345" t="n">
        <v>70</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4</v>
      </c>
    </row>
  </sheetData>
  <autoFilter ref="A1:G3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Enhanced Vitality</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Enhanced Vitality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Enhanced Vitality</t>
        </is>
      </c>
      <c r="C73" t="n">
        <v>1</v>
      </c>
      <c r="D73" t="inlineStr">
        <is>
          <t>Huras Claws</t>
        </is>
      </c>
    </row>
    <row r="74">
      <c r="A74" t="inlineStr">
        <is>
          <t>Dethcube Prime</t>
        </is>
      </c>
      <c r="B74" t="inlineStr">
        <is>
          <t>Energy Generator | Vaporize | Swift Deth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Metal Fiber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9">
      <c r="A79" t="inlineStr">
        <is>
          <t>COMPANION WEAPON BUILDS</t>
        </is>
      </c>
      <c r="B79" t="inlineStr">
        <is>
          <t>Mods</t>
        </is>
      </c>
    </row>
    <row r="80">
      <c r="A80" t="inlineStr">
        <is>
          <t>Beast claws (Adarza/Panzer/Smeeta/Huras)</t>
        </is>
      </c>
      <c r="B80" t="inlineStr">
        <is>
          <t>Bite | Maul | Bell Ringer | Hunter Synergy | Sepsis Claws | Shocking Claws | Venom Teeth | Precision Conditioning</t>
        </is>
      </c>
    </row>
    <row r="81">
      <c r="A81" t="inlineStr">
        <is>
          <t>Sentinel rifles (Deth Machine Rifle Prime, Deconstructor Prime*, Prime Laser Rifle, Vulklok)</t>
        </is>
      </c>
      <c r="B81" t="inlineStr">
        <is>
          <t>Serration | Split Chamber | Point Strike | Vital Sense | Hellfire | Malignant Force | High Voltage | Galvanized Aptitude</t>
        </is>
      </c>
    </row>
    <row r="82">
      <c r="A82" t="inlineStr">
        <is>
          <t>Note</t>
        </is>
      </c>
      <c r="B82" t="inlineStr">
        <is>
          <t>* Deconstructor Prime is a glaive-type sentinel weapon: use melee-style template (Primed Pressure Point, Blood Rush...) if rifle mods do not equip -&gt; verify in Arsenal</t>
        </is>
      </c>
    </row>
  </sheetData>
  <autoFilter ref="A1:D6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90" customWidth="1" style="26" min="4" max="4"/>
    <col width="10" customWidth="1" style="26" min="5" max="5"/>
    <col width="10" customWidth="1" style="26" min="6" max="6"/>
    <col width="45" customWidth="1" style="26" min="7" max="7"/>
    <col width="12" customWidth="1" style="26" min="8" max="8"/>
  </cols>
  <sheetData>
    <row r="1">
      <c r="A1" s="51" t="inlineStr">
        <is>
          <t>Exalted</t>
        </is>
      </c>
      <c r="B1" s="51" t="inlineStr">
        <is>
          <t>Frame</t>
        </is>
      </c>
      <c r="C1" s="51" t="inlineStr">
        <is>
          <t>Slot</t>
        </is>
      </c>
      <c r="D1" s="51" t="inlineStr">
        <is>
          <t>Mods</t>
        </is>
      </c>
      <c r="E1" s="51" t="inlineStr">
        <is>
          <t>Arcane</t>
        </is>
      </c>
      <c r="F1" s="51" t="inlineStr">
        <is>
          <t>Element</t>
        </is>
      </c>
      <c r="G1" s="51" t="inlineStr">
        <is>
          <t>Notes</t>
        </is>
      </c>
      <c r="H1" s="51" t="inlineStr">
        <is>
          <t>Investment</t>
        </is>
      </c>
    </row>
    <row r="2">
      <c r="A2" s="39" t="inlineStr">
        <is>
          <t>Neutralizer</t>
        </is>
      </c>
      <c r="B2" s="39" t="inlineStr">
        <is>
          <t>Cyte-09</t>
        </is>
      </c>
      <c r="C2" s="39" t="inlineStr">
        <is>
          <t>Primary</t>
        </is>
      </c>
      <c r="D2" s="39" t="inlineStr">
        <is>
          <t>Primary Acuity | Serration | Galvanized Scope | Bladed Rounds | Vital Sense | Hammer Shot | Primed Cryo Rounds | Malignant Force</t>
        </is>
      </c>
      <c r="E2" s="39" t="inlineStr">
        <is>
          <t>Primary Deadhead</t>
        </is>
      </c>
      <c r="F2" s="39" t="inlineStr">
        <is>
          <t>Viral</t>
        </is>
      </c>
      <c r="G2" s="39" t="inlineStr">
        <is>
          <t>Weak-point sniper: Primary Acuity (+350% weak point dmg/crit; ricochets trigger on weak point hits), Galvanized Scope/Bladed Rounds (enabled on Exalteds in U38.5). Exilus: Hush. Primary Deadhead on weak point kills</t>
        </is>
      </c>
      <c r="H2" s="39" t="inlineStr">
        <is>
          <t>Catalyst pre-installed; Arcane slot (U38.5); Forma ~3</t>
        </is>
      </c>
    </row>
    <row r="3">
      <c r="A3" s="39" t="inlineStr">
        <is>
          <t>Artemis Bow Prime</t>
        </is>
      </c>
      <c r="B3" s="39" t="inlineStr">
        <is>
          <t>Ivara Prime</t>
        </is>
      </c>
      <c r="C3" s="39" t="inlineStr">
        <is>
          <t>Primary</t>
        </is>
      </c>
      <c r="D3" s="39" t="inlineStr">
        <is>
          <t>Serration | Galvanized Chamber | Point Strike | Vital Sense | Hammer Shot | Galvanized Aptitude | Primed Cryo Rounds | Malignant Force</t>
        </is>
      </c>
      <c r="E3" s="39" t="inlineStr">
        <is>
          <t>Primary Deadhead</t>
        </is>
      </c>
      <c r="F3" s="39" t="inlineStr">
        <is>
          <t>Viral+Heat</t>
        </is>
      </c>
      <c r="G3" s="39" t="inlineStr">
        <is>
          <t>Charged multi-arrow; bow uses rifle mods</t>
        </is>
      </c>
      <c r="H3" s="39" t="inlineStr">
        <is>
          <t>Catalyst pre-installed; Arcane slot (U38.5); Forma ~3</t>
        </is>
      </c>
    </row>
    <row r="4">
      <c r="A4" s="39" t="inlineStr">
        <is>
          <t>Lizzie</t>
        </is>
      </c>
      <c r="B4" s="39" t="inlineStr">
        <is>
          <t>Temple</t>
        </is>
      </c>
      <c r="C4" s="39" t="inlineStr">
        <is>
          <t>Primary</t>
        </is>
      </c>
      <c r="D4" s="39" t="inlineStr">
        <is>
          <t>Serration | Galvanized Chamber | Point Strike | Vital Sense | Hammer Shot | Galvanized Aptitude | Primed Cryo Rounds | Malignant Force</t>
        </is>
      </c>
      <c r="E4" s="39" t="inlineStr">
        <is>
          <t>Primary Merciless</t>
        </is>
      </c>
      <c r="F4" s="39" t="inlineStr">
        <is>
          <t>Viral+Heat</t>
        </is>
      </c>
      <c r="G4" s="39" t="inlineStr">
        <is>
          <t>Exalted guitar (Primary replacement)</t>
        </is>
      </c>
      <c r="H4" s="39" t="inlineStr">
        <is>
          <t>Catalyst pre-installed; Arcane slot (U38.5); Forma ~3</t>
        </is>
      </c>
    </row>
    <row r="5">
      <c r="A5" s="39" t="inlineStr">
        <is>
          <t>Balefire Charger Prime</t>
        </is>
      </c>
      <c r="B5" s="39" t="inlineStr">
        <is>
          <t>Hildryn Prime</t>
        </is>
      </c>
      <c r="C5" s="39" t="inlineStr">
        <is>
          <t>Secondary</t>
        </is>
      </c>
      <c r="D5" s="39" t="inlineStr">
        <is>
          <t>Hornet Strike | Galvanized Diffusion | Primed Pistol Gambit | Primed Target Cracker | Galvanized Crosshairs | Galvanized Shot | Deep Freeze | Pathogen Rounds</t>
        </is>
      </c>
      <c r="E5" s="39" t="inlineStr">
        <is>
          <t>Secondary Merciless</t>
        </is>
      </c>
      <c r="F5" s="39" t="inlineStr">
        <is>
          <t>Viral+Heat</t>
        </is>
      </c>
      <c r="G5" s="39" t="inlineStr">
        <is>
          <t>Shield-fed exalted [Arcane provisional - re-review in frame batch]</t>
        </is>
      </c>
      <c r="H5" s="39" t="inlineStr">
        <is>
          <t>Catalyst pre-installed; Arcane slot (U38.5); Forma ~3</t>
        </is>
      </c>
    </row>
    <row r="6">
      <c r="A6" s="39" t="inlineStr">
        <is>
          <t>Regulators Prime</t>
        </is>
      </c>
      <c r="B6" s="39" t="inlineStr">
        <is>
          <t>Mesa Prime</t>
        </is>
      </c>
      <c r="C6" s="39" t="inlineStr">
        <is>
          <t>Secondary</t>
        </is>
      </c>
      <c r="D6" s="39" t="inlineStr">
        <is>
          <t>Hornet Strike | Galvanized Diffusion | Primed Pistol Gambit | Primed Target Cracker | Galvanized Crosshairs | Galvanized Shot | Deep Freeze | Pathogen Rounds</t>
        </is>
      </c>
      <c r="E6" s="39" t="inlineStr">
        <is>
          <t>Secondary Merciless</t>
        </is>
      </c>
      <c r="F6" s="39" t="inlineStr">
        <is>
          <t>Viral+Heat</t>
        </is>
      </c>
      <c r="G6" s="39" t="inlineStr">
        <is>
          <t>Peacemaker exalted (project Melee credit) [Arcane provisional - re-review in frame batch]</t>
        </is>
      </c>
      <c r="H6" s="39" t="inlineStr">
        <is>
          <t>Catalyst pre-installed; Arcane slot (U38.5); Forma ~3</t>
        </is>
      </c>
    </row>
    <row r="7">
      <c r="A7" s="39" t="inlineStr">
        <is>
          <t>Dex Pixia Prime</t>
        </is>
      </c>
      <c r="B7" s="39" t="inlineStr">
        <is>
          <t>Titania Prime</t>
        </is>
      </c>
      <c r="C7" s="39" t="inlineStr">
        <is>
          <t>Secondary</t>
        </is>
      </c>
      <c r="D7" s="39" t="inlineStr">
        <is>
          <t>Hornet Strike | Galvanized Diffusion | Primed Pistol Gambit | Primed Target Cracker | Galvanized Crosshairs | Galvanized Shot | Deep Freeze | Pathogen Rounds</t>
        </is>
      </c>
      <c r="E7" s="39" t="inlineStr">
        <is>
          <t>Secondary Merciless</t>
        </is>
      </c>
      <c r="F7" s="39" t="inlineStr">
        <is>
          <t>Viral+Heat</t>
        </is>
      </c>
      <c r="G7" s="39" t="inlineStr">
        <is>
          <t>Razorwing pistols [Arcane provisional - re-review in frame batch]</t>
        </is>
      </c>
      <c r="H7" s="39" t="inlineStr">
        <is>
          <t>Catalyst pre-installed; Arcane slot (U38.5); Forma ~3</t>
        </is>
      </c>
    </row>
    <row r="8">
      <c r="A8" s="39" t="inlineStr">
        <is>
          <t>Glory</t>
        </is>
      </c>
      <c r="B8" s="39" t="inlineStr">
        <is>
          <t>Jade</t>
        </is>
      </c>
      <c r="C8" s="39" t="inlineStr">
        <is>
          <t>Secondary</t>
        </is>
      </c>
      <c r="D8" s="39" t="inlineStr">
        <is>
          <t>Hornet Strike | Galvanized Diffusion | Primed Pistol Gambit | Primed Target Cracker | Galvanized Crosshairs | Galvanized Shot | Deep Freeze | Pathogen Rounds</t>
        </is>
      </c>
      <c r="E8" s="39" t="inlineStr">
        <is>
          <t>Secondary Merciless</t>
        </is>
      </c>
      <c r="F8" s="39" t="inlineStr">
        <is>
          <t>Viral+Heat</t>
        </is>
      </c>
      <c r="G8" s="39" t="inlineStr">
        <is>
          <t>Additional Exalted [Arcane provisional - re-review in frame batch]</t>
        </is>
      </c>
      <c r="H8" s="39" t="inlineStr">
        <is>
          <t>Catalyst pre-installed; Arcane slot (U38.5); Forma ~3</t>
        </is>
      </c>
    </row>
    <row r="9">
      <c r="A9" s="39" t="inlineStr">
        <is>
          <t>Noctua</t>
        </is>
      </c>
      <c r="B9" s="39" t="inlineStr">
        <is>
          <t>Dante</t>
        </is>
      </c>
      <c r="C9" s="39" t="inlineStr">
        <is>
          <t>Secondary</t>
        </is>
      </c>
      <c r="D9" s="39" t="inlineStr">
        <is>
          <t>Hornet Strike | Galvanized Diffusion | Primed Pistol Gambit | Primed Target Cracker | Galvanized Crosshairs | Galvanized Shot | Deep Freeze | Pathogen Rounds</t>
        </is>
      </c>
      <c r="E9" s="39" t="inlineStr">
        <is>
          <t>Secondary Encumber</t>
        </is>
      </c>
      <c r="F9" s="39" t="inlineStr">
        <is>
          <t>Viral</t>
        </is>
      </c>
      <c r="G9" s="39" t="inlineStr">
        <is>
          <t>Subsumed over by Roar; build persists because Wordwarden inherits Noctua mods and can trigger Secondary Encumber (wiki). Galvanized Shot scales incorrectly on Wordwarden (bug noted on wiki).</t>
        </is>
      </c>
      <c r="H9" s="39" t="inlineStr">
        <is>
          <t>Catalyst pre-installed; Arcane slot (U38.5); Forma ~3</t>
        </is>
      </c>
    </row>
    <row r="10">
      <c r="A10" s="39" t="inlineStr">
        <is>
          <t>Desert Wind Prime</t>
        </is>
      </c>
      <c r="B10" s="39" t="inlineStr">
        <is>
          <t>Baruuk Prime</t>
        </is>
      </c>
      <c r="C10" s="39" t="inlineStr">
        <is>
          <t>Melee</t>
        </is>
      </c>
      <c r="D10" s="39" t="inlineStr">
        <is>
          <t>Primed Pressure Point | Blood Rush | Weeping Wounds | Organ Shatter | Berserker Fury | Condition Overload | North Wind | Virulent Scourge</t>
        </is>
      </c>
      <c r="E10" s="39" t="inlineStr">
        <is>
          <t>Melee Duplicate</t>
        </is>
      </c>
      <c r="F10" s="39" t="inlineStr">
        <is>
          <t>Viral+Heat (Reactive Storm overrides)</t>
        </is>
      </c>
      <c r="G10" s="39" t="inlineStr">
        <is>
          <t>Exalted fists</t>
        </is>
      </c>
      <c r="H10" s="39" t="inlineStr">
        <is>
          <t>Catalyst pre-installed; Arcane slot (U38.5); Forma ~3</t>
        </is>
      </c>
    </row>
    <row r="11">
      <c r="A11" s="39" t="inlineStr">
        <is>
          <t>Exalted Umbra Blade</t>
        </is>
      </c>
      <c r="B11" s="39" t="inlineStr">
        <is>
          <t>Excalibur Umbra</t>
        </is>
      </c>
      <c r="C11" s="39" t="inlineStr">
        <is>
          <t>Melee</t>
        </is>
      </c>
      <c r="D11" s="39" t="inlineStr">
        <is>
          <t>Primed Pressure Point | Blood Rush | Weeping Wounds | Organ Shatter | Condition Overload | North Wind | Virulent Scourge | Voltaic Strike</t>
        </is>
      </c>
      <c r="E11" s="39" t="inlineStr">
        <is>
          <t>Melee Influence</t>
        </is>
      </c>
      <c r="F11" s="39" t="inlineStr">
        <is>
          <t>Chromatic Blade Electricity (emissive) + Viral</t>
        </is>
      </c>
      <c r="G11" s="39" t="inlineStr">
        <is>
          <t>Exalted Blade; Slash Dash inherits these mods and the Arcane</t>
        </is>
      </c>
      <c r="H11" s="39" t="inlineStr">
        <is>
          <t>Catalyst pre-installed; Arcane slot (U38.5); Forma ~3</t>
        </is>
      </c>
    </row>
    <row r="12">
      <c r="A12" s="39" t="inlineStr">
        <is>
          <t>Garuda Prime Talons</t>
        </is>
      </c>
      <c r="B12" s="39" t="inlineStr">
        <is>
          <t>Garuda Prime</t>
        </is>
      </c>
      <c r="C12" s="39" t="inlineStr">
        <is>
          <t>Melee</t>
        </is>
      </c>
      <c r="D12" s="39" t="inlineStr">
        <is>
          <t>Primed Pressure Point | Blood Rush | Weeping Wounds | Organ Shatter | Gladiator Might | Condition Overload | North Wind | Virulent Scourge</t>
        </is>
      </c>
      <c r="E12" s="39" t="inlineStr">
        <is>
          <t>Melee Duplicate</t>
        </is>
      </c>
      <c r="F12" s="39" t="inlineStr">
        <is>
          <t>Viral+Heat</t>
        </is>
      </c>
      <c r="G12" s="39" t="inlineStr">
        <is>
          <t>Normal-ish weapon, no heavy attacks/Exilus</t>
        </is>
      </c>
      <c r="H12" s="39" t="inlineStr">
        <is>
          <t>Catalyst pre-installed; Arcane slot (U38.5); Forma ~3</t>
        </is>
      </c>
    </row>
    <row r="13">
      <c r="A13" s="39" t="inlineStr">
        <is>
          <t>Shadow Claws Prime</t>
        </is>
      </c>
      <c r="B13" s="39" t="inlineStr">
        <is>
          <t>Sevagoth Prime</t>
        </is>
      </c>
      <c r="C13" s="39" t="inlineStr">
        <is>
          <t>Melee</t>
        </is>
      </c>
      <c r="D13" s="39" t="inlineStr">
        <is>
          <t>Primed Pressure Point | Blood Rush | Weeping Wounds | Organ Shatter | Berserker Fury | Condition Overload | North Wind | Virulent Scourge</t>
        </is>
      </c>
      <c r="E13" s="39" t="inlineStr">
        <is>
          <t>Melee Duplicate</t>
        </is>
      </c>
      <c r="F13" s="39" t="inlineStr">
        <is>
          <t>Viral+Heat</t>
        </is>
      </c>
      <c r="G13" s="39" t="inlineStr">
        <is>
          <t>Exalted Shadow claws [Arcane provisional - re-review in frame batch]</t>
        </is>
      </c>
      <c r="H13" s="39" t="inlineStr">
        <is>
          <t>Catalyst pre-installed; Arcane slot (U38.5); Forma ~3</t>
        </is>
      </c>
    </row>
    <row r="14">
      <c r="A14" s="39" t="inlineStr">
        <is>
          <t>Valkyr Prime Talons</t>
        </is>
      </c>
      <c r="B14" s="39" t="inlineStr">
        <is>
          <t>Valkyr Prime</t>
        </is>
      </c>
      <c r="C14" s="39" t="inlineStr">
        <is>
          <t>Melee</t>
        </is>
      </c>
      <c r="D14" s="39" t="inlineStr">
        <is>
          <t>Primed Pressure Point | Blood Rush | Weeping Wounds | Organ Shatter | Berserker Fury | Condition Overload | North Wind | Virulent Scourge</t>
        </is>
      </c>
      <c r="E14" s="39" t="inlineStr">
        <is>
          <t>Melee Duplicate</t>
        </is>
      </c>
      <c r="F14" s="39" t="inlineStr">
        <is>
          <t>Viral+Heat</t>
        </is>
      </c>
      <c r="G14" s="39" t="inlineStr">
        <is>
          <t>Hysteria talons [Arcane provisional - re-review in frame batch]</t>
        </is>
      </c>
      <c r="H14" s="39" t="inlineStr">
        <is>
          <t>Catalyst pre-installed; Arcane slot (U38.5); Forma ~3</t>
        </is>
      </c>
    </row>
    <row r="15">
      <c r="A15" s="39" t="inlineStr">
        <is>
          <t>Iron Staff Prime</t>
        </is>
      </c>
      <c r="B15" s="39" t="inlineStr">
        <is>
          <t>Wukong Prime</t>
        </is>
      </c>
      <c r="C15" s="39" t="inlineStr">
        <is>
          <t>Melee</t>
        </is>
      </c>
      <c r="D15" s="39" t="inlineStr">
        <is>
          <t>Primed Pressure Point | Blood Rush | Weeping Wounds | Organ Shatter | Berserker Fury | Condition Overload | North Wind | Virulent Scourge</t>
        </is>
      </c>
      <c r="E15" s="39" t="inlineStr">
        <is>
          <t>Melee Duplicate</t>
        </is>
      </c>
      <c r="F15" s="39" t="inlineStr">
        <is>
          <t>Viral+Heat</t>
        </is>
      </c>
      <c r="G15" s="39" t="inlineStr">
        <is>
          <t>Primal Fury staff [Arcane provisional - re-review in frame batch]</t>
        </is>
      </c>
      <c r="H15" s="39" t="inlineStr">
        <is>
          <t>Catalyst pre-installed; Arcane slot (U38.5); Forma ~3</t>
        </is>
      </c>
    </row>
    <row r="16">
      <c r="A16" s="39" t="inlineStr">
        <is>
          <t>Diwata Prime</t>
        </is>
      </c>
      <c r="B16" s="39" t="inlineStr">
        <is>
          <t>Titania Prime</t>
        </is>
      </c>
      <c r="C16" s="39" t="inlineStr">
        <is>
          <t>Melee</t>
        </is>
      </c>
      <c r="D16" s="39" t="inlineStr">
        <is>
          <t>Primed Pressure Point | Blood Rush | Weeping Wounds | Organ Shatter | Berserker Fury | Condition Overload | North Wind | Virulent Scourge</t>
        </is>
      </c>
      <c r="E16" s="39" t="inlineStr">
        <is>
          <t>Melee Duplicate</t>
        </is>
      </c>
      <c r="F16" s="39" t="inlineStr">
        <is>
          <t>Viral+Heat</t>
        </is>
      </c>
      <c r="G16" s="39" t="inlineStr">
        <is>
          <t>Razorwing sword [Arcane provisional - re-review in frame batch]</t>
        </is>
      </c>
      <c r="H16" s="39" t="inlineStr">
        <is>
          <t>Catalyst pre-installed; Arcane slot (U38.5); Forma ~3</t>
        </is>
      </c>
    </row>
    <row r="17">
      <c r="A17" s="39" t="inlineStr">
        <is>
          <t>Shadow Clones Prime</t>
        </is>
      </c>
      <c r="B17" s="39" t="inlineStr">
        <is>
          <t>Ash Prime</t>
        </is>
      </c>
      <c r="C17" s="39" t="inlineStr">
        <is>
          <t>Melee</t>
        </is>
      </c>
      <c r="D17" s="39" t="inlineStr">
        <is>
          <t>Covert Lethality | Finishing Touch | Primed Pressure Point | Organ Shatter | Gladiator Might | Condition Overload | North Wind | Virulent Scourge</t>
        </is>
      </c>
      <c r="E17" s="39" t="inlineStr">
        <is>
          <t>Melee Crescendo</t>
        </is>
      </c>
      <c r="F17" s="39" t="inlineStr">
        <is>
          <t>Viral+Heat</t>
        </is>
      </c>
      <c r="G17" s="39" t="inlineStr">
        <is>
          <t>Blade Storm finishers; flat crit from Smoke Shadow/Crepuscular; Crescendo on finisher kills</t>
        </is>
      </c>
      <c r="H17" s="39" t="inlineStr">
        <is>
          <t>Catalyst pre-installed; Arcane slot (U38.5); Forma ~3</t>
        </is>
      </c>
    </row>
    <row r="18">
      <c r="A18" s="39" t="inlineStr">
        <is>
          <t>Landslide Fists Prime</t>
        </is>
      </c>
      <c r="B18" s="39" t="inlineStr">
        <is>
          <t>Atlas Prime</t>
        </is>
      </c>
      <c r="C18" s="39" t="inlineStr">
        <is>
          <t>Melee</t>
        </is>
      </c>
      <c r="D18" s="39" t="inlineStr">
        <is>
          <t>Primed Pressure Point | Blood Rush | Weeping Wounds | Organ Shatter | Gladiator Might | Condition Overload | North Wind | Virulent Scourge</t>
        </is>
      </c>
      <c r="E18" s="39" t="inlineStr">
        <is>
          <t>Melee Duplicate</t>
        </is>
      </c>
      <c r="F18" s="39" t="inlineStr">
        <is>
          <t>Viral+Heat</t>
        </is>
      </c>
      <c r="G18" s="39" t="inlineStr">
        <is>
          <t>U38.5 Exalted (Ability Combo)</t>
        </is>
      </c>
      <c r="H18" s="39" t="inlineStr">
        <is>
          <t>Catalyst pre-installed; Arcane slot (U38.5); Forma ~3</t>
        </is>
      </c>
    </row>
    <row r="19">
      <c r="A19" s="39" t="inlineStr">
        <is>
          <t>Shattered Lash Prime</t>
        </is>
      </c>
      <c r="B19" s="39" t="inlineStr">
        <is>
          <t>Gara Prime</t>
        </is>
      </c>
      <c r="C19" s="39" t="inlineStr">
        <is>
          <t>Melee</t>
        </is>
      </c>
      <c r="D19" s="39" t="inlineStr">
        <is>
          <t>Primed Pressure Point | Blood Rush | Weeping Wounds | Organ Shatter | Gladiator Might | Condition Overload | North Wind | Virulent Scourge</t>
        </is>
      </c>
      <c r="E19" s="39" t="inlineStr">
        <is>
          <t>Melee Duplicate</t>
        </is>
      </c>
      <c r="F19" s="39" t="inlineStr">
        <is>
          <t>Viral+Heat</t>
        </is>
      </c>
      <c r="G19" s="39" t="inlineStr">
        <is>
          <t>U38.5 Exalted (Ability Combo)</t>
        </is>
      </c>
      <c r="H19" s="39" t="inlineStr">
        <is>
          <t>Catalyst pre-installed; Arcane slot (U38.5); Forma ~3</t>
        </is>
      </c>
    </row>
    <row r="20">
      <c r="A20" s="39" t="inlineStr">
        <is>
          <t>Whipclaw Prime</t>
        </is>
      </c>
      <c r="B20" s="39" t="inlineStr">
        <is>
          <t>Khora Prime</t>
        </is>
      </c>
      <c r="C20" s="39" t="inlineStr">
        <is>
          <t>Melee</t>
        </is>
      </c>
      <c r="D20" s="39" t="inlineStr">
        <is>
          <t>Primed Pressure Point | Blood Rush | Weeping Wounds | Organ Shatter | Gladiator Might | Condition Overload | North Wind | Virulent Scourge</t>
        </is>
      </c>
      <c r="E20" s="39" t="inlineStr">
        <is>
          <t>Melee Duplicate</t>
        </is>
      </c>
      <c r="F20" s="39" t="inlineStr">
        <is>
          <t>Viral+Heat</t>
        </is>
      </c>
      <c r="G20" s="39" t="inlineStr">
        <is>
          <t>U38.5 Exalted (Ability Combo) [Arcane provisional - re-review in frame batch]</t>
        </is>
      </c>
      <c r="H20" s="39" t="inlineStr">
        <is>
          <t>Catalyst pre-installed; Arcane slot (U38.5); Forma ~3</t>
        </is>
      </c>
    </row>
    <row r="21">
      <c r="A21" s="39" t="inlineStr">
        <is>
          <t>Venari Prime</t>
        </is>
      </c>
      <c r="B21" s="39" t="inlineStr">
        <is>
          <t>Khora Prime</t>
        </is>
      </c>
      <c r="C21" s="39" t="inlineStr">
        <is>
          <t>Exalted companion</t>
        </is>
      </c>
      <c r="D21" s="39" t="inlineStr">
        <is>
          <t>Primed Pack Leader | Primed Animal Instinct | Link Fiber | Link Vitality | Enhanced Vitality | Vicious Bond | Contagious Bond | Hastened Deflection</t>
        </is>
      </c>
      <c r="E21" s="39" t="inlineStr">
        <is>
          <t>-</t>
        </is>
      </c>
      <c r="F21" s="39" t="inlineStr">
        <is>
          <t>Viral via Vicious/Contagious Bond</t>
        </is>
      </c>
      <c r="G21" s="39" t="inlineStr">
        <is>
          <t>Separately moddable exalted companion</t>
        </is>
      </c>
      <c r="H21" s="39" t="inlineStr">
        <is>
          <t>-</t>
        </is>
      </c>
    </row>
    <row r="22">
      <c r="A22" s="39" t="inlineStr">
        <is>
          <t>Sevagoth Prime's Shadow</t>
        </is>
      </c>
      <c r="B22" s="39" t="inlineStr">
        <is>
          <t>Sevagoth Prime</t>
        </is>
      </c>
      <c r="C22" s="39" t="inlineStr">
        <is>
          <t>Exalted Warframe</t>
        </is>
      </c>
      <c r="D22" s="39" t="inlineStr">
        <is>
          <t>Umbral Intensify | Umbral Vitality | Umbral Fiber | Primed Continuity | Stretch | Primed Flow | Streamline | Rolling Guard | Aura: Steel Charge | Exilus: None</t>
        </is>
      </c>
      <c r="E22" s="39" t="inlineStr">
        <is>
          <t>-</t>
        </is>
      </c>
      <c r="F22" s="39" t="inlineStr">
        <is>
          <t>-</t>
        </is>
      </c>
      <c r="G22" s="39" t="inlineStr">
        <is>
          <t>Exalted Warframe (own mods/polarities); uses Shadow Claws Prime. No shards/arcanes slots.</t>
        </is>
      </c>
      <c r="H22" s="39" t="inlineStr">
        <is>
          <t>Forma ~3</t>
        </is>
      </c>
    </row>
    <row r="23">
      <c r="A23" s="39" t="inlineStr">
        <is>
          <t>Orion</t>
        </is>
      </c>
      <c r="B23" s="39" t="inlineStr">
        <is>
          <t>Sirius &amp; Orion</t>
        </is>
      </c>
      <c r="C23" s="39" t="inlineStr">
        <is>
          <t>Exalted Warframe</t>
        </is>
      </c>
      <c r="D23" s="39" t="inlineStr">
        <is>
          <t>Umbral Intensify | Umbral Vitality | Umbral Fiber | Primed Continuity | Stretch | Primed Flow | Streamline | Augur Secrets | Aura: Growing Power | Exilus: Power Drift</t>
        </is>
      </c>
      <c r="E23" s="39" t="inlineStr">
        <is>
          <t>-</t>
        </is>
      </c>
      <c r="F23" s="39" t="inlineStr">
        <is>
          <t>-</t>
        </is>
      </c>
      <c r="G23" s="39" t="inlineStr">
        <is>
          <t>Second body of Sirius &amp; Orion; separately moddable per wiki. Arcane/shard sharing with Sirius: LIVE TEST REQUIRED.</t>
        </is>
      </c>
      <c r="H23" s="39" t="inlineStr">
        <is>
          <t>Forma ~3</t>
        </is>
      </c>
    </row>
  </sheetData>
  <autoFilter ref="A1:H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2" customWidth="1" style="26" min="2" max="2"/>
    <col width="10" customWidth="1" style="26" min="3" max="3"/>
    <col width="10" customWidth="1" style="26" min="4" max="4"/>
    <col width="10" customWidth="1" style="26" min="5" max="5"/>
    <col width="10" customWidth="1" style="26" min="6" max="6"/>
    <col width="10" customWidth="1" style="26" min="7" max="7"/>
    <col width="10" customWidth="1" style="26" min="8" max="8"/>
    <col width="12" customWidth="1" style="26" min="9" max="9"/>
    <col width="14" customWidth="1" style="26" min="10" max="10"/>
    <col width="80" customWidth="1" style="26" min="11" max="11"/>
    <col width="15" customWidth="1" style="26" min="12" max="12"/>
    <col width="45" customWidth="1" style="26" min="13" max="13"/>
    <col width="55" customWidth="1" style="26" min="14" max="14"/>
    <col width="20" customWidth="1" style="26" min="15" max="15"/>
  </cols>
  <sheetData>
    <row r="1">
      <c r="A1" s="51" t="inlineStr">
        <is>
          <t>Optimization audit</t>
        </is>
      </c>
      <c r="B1" s="51" t="inlineStr">
        <is>
          <t>Audit note</t>
        </is>
      </c>
      <c r="C1" s="51" t="inlineStr">
        <is>
          <t>Frame</t>
        </is>
      </c>
      <c r="D1" s="51" t="inlineStr">
        <is>
          <t>Slot</t>
        </is>
      </c>
      <c r="E1" s="51" t="inlineStr">
        <is>
          <t>Weapon</t>
        </is>
      </c>
      <c r="F1" s="51" t="inlineStr">
        <is>
          <t>Class</t>
        </is>
      </c>
      <c r="G1" s="51" t="inlineStr">
        <is>
          <t>Base CC</t>
        </is>
      </c>
      <c r="H1" s="51" t="inlineStr">
        <is>
          <t>Base SC</t>
        </is>
      </c>
      <c r="I1" s="51" t="inlineStr">
        <is>
          <t>Build type</t>
        </is>
      </c>
      <c r="J1" s="51" t="inlineStr">
        <is>
          <t>Mod template</t>
        </is>
      </c>
      <c r="K1" s="51" t="inlineStr">
        <is>
          <t>Template mods</t>
        </is>
      </c>
      <c r="L1" s="51" t="inlineStr">
        <is>
          <t>Weapon Arcane</t>
        </is>
      </c>
      <c r="M1" s="51" t="inlineStr">
        <is>
          <t>Element / status</t>
        </is>
      </c>
      <c r="N1" s="51" t="inlineStr">
        <is>
          <t>Incarnon evolutions</t>
        </is>
      </c>
      <c r="O1" s="51" t="inlineStr">
        <is>
          <t>Forma / investment</t>
        </is>
      </c>
    </row>
    <row r="2">
      <c r="A2" s="39" t="inlineStr">
        <is>
          <t>AUDITED</t>
        </is>
      </c>
      <c r="B2" s="39" t="inlineStr"/>
      <c r="C2" s="39" t="inlineStr">
        <is>
          <t>Ash Prime</t>
        </is>
      </c>
      <c r="D2" s="39" t="inlineStr">
        <is>
          <t>Primary</t>
        </is>
      </c>
      <c r="E2" s="39" t="inlineStr">
        <is>
          <t>Vectis Prime</t>
        </is>
      </c>
      <c r="F2" s="39" t="inlineStr">
        <is>
          <t>Sniper Rifle</t>
        </is>
      </c>
      <c r="G2" s="39" t="n">
        <v>0.3</v>
      </c>
      <c r="H2" s="39" t="n">
        <v>0.3</v>
      </c>
      <c r="I2" s="39" t="inlineStr">
        <is>
          <t>crit</t>
        </is>
      </c>
      <c r="J2" s="39" t="inlineStr">
        <is>
          <t>RIFLE_CRIT</t>
        </is>
      </c>
      <c r="K2" s="39" t="inlineStr">
        <is>
          <t>Serration | Galvanized Chamber | Point Strike | Vital Sense | Hammer Shot | Galvanized Aptitude | Primed Cryo Rounds | Malignant Force</t>
        </is>
      </c>
      <c r="L2" s="39" t="inlineStr">
        <is>
          <t>Primary Deadhead</t>
        </is>
      </c>
      <c r="M2" s="39" t="inlineStr">
        <is>
          <t>Viral (Primed Cryo Rounds -&gt; Malignant Force)</t>
        </is>
      </c>
      <c r="N2" s="39" t="inlineStr">
        <is>
          <t>EVO2: Lone Enforcer; EVO3: Rapid Reinforcement; EVO4: Critical Parallel</t>
        </is>
      </c>
      <c r="O2" s="39" t="inlineStr">
        <is>
          <t>~4 (Incarnon)</t>
        </is>
      </c>
    </row>
    <row r="3">
      <c r="A3" s="39" t="inlineStr">
        <is>
          <t>AUDITED</t>
        </is>
      </c>
      <c r="B3" s="39" t="inlineStr">
        <is>
          <t>Outburst consumes Melee Combo, which Ash does not build on normal melee</t>
        </is>
      </c>
      <c r="C3" s="39" t="inlineStr">
        <is>
          <t>Ash Prime</t>
        </is>
      </c>
      <c r="D3" s="39" t="inlineStr">
        <is>
          <t>Secondary</t>
        </is>
      </c>
      <c r="E3" s="39" t="inlineStr">
        <is>
          <t>Tenet Plinx</t>
        </is>
      </c>
      <c r="F3" s="39" t="inlineStr">
        <is>
          <t>Pistol</t>
        </is>
      </c>
      <c r="G3" s="39" t="n">
        <v>0.44</v>
      </c>
      <c r="H3" s="39" t="n">
        <v>0.12</v>
      </c>
      <c r="I3" s="39" t="inlineStr">
        <is>
          <t>crit</t>
        </is>
      </c>
      <c r="J3" s="39" t="inlineStr">
        <is>
          <t>PISTOL_CRIT</t>
        </is>
      </c>
      <c r="K3" s="39" t="inlineStr">
        <is>
          <t>Hornet Strike | Galvanized Diffusion | Primed Pistol Gambit | Primed Target Cracker | Galvanized Crosshairs | Galvanized Shot | Deep Freeze | Pathogen Rounds</t>
        </is>
      </c>
      <c r="L3" s="39" t="inlineStr">
        <is>
          <t>Secondary Merciless</t>
        </is>
      </c>
      <c r="M3" s="39" t="inlineStr">
        <is>
          <t>Adversary innate element (see Adversary sheet) + Viral (Deep Freeze -&gt; Pathogen Rounds)</t>
        </is>
      </c>
      <c r="N3" s="39" t="inlineStr">
        <is>
          <t>-</t>
        </is>
      </c>
      <c r="O3" s="39" t="inlineStr">
        <is>
          <t>5 Forma to Rank 40 + ~3 polarization</t>
        </is>
      </c>
    </row>
    <row r="4">
      <c r="A4" s="39" t="inlineStr">
        <is>
          <t>AUDITED</t>
        </is>
      </c>
      <c r="B4" s="39" t="inlineStr">
        <is>
          <t>Teleport-finisher loop: finisher damage, combo on finisher, finisher stun</t>
        </is>
      </c>
      <c r="C4" s="39" t="inlineStr">
        <is>
          <t>Ash Prime</t>
        </is>
      </c>
      <c r="D4" s="39" t="inlineStr">
        <is>
          <t>Melee</t>
        </is>
      </c>
      <c r="E4" s="39" t="inlineStr">
        <is>
          <t>Innodem</t>
        </is>
      </c>
      <c r="F4" s="39" t="inlineStr">
        <is>
          <t>Dagger</t>
        </is>
      </c>
      <c r="G4" s="39" t="n">
        <v>0.22</v>
      </c>
      <c r="H4" s="39" t="n">
        <v>0.22</v>
      </c>
      <c r="I4" s="39" t="inlineStr">
        <is>
          <t>crit</t>
        </is>
      </c>
      <c r="J4" s="39" t="inlineStr">
        <is>
          <t>MELEE_CRIT</t>
        </is>
      </c>
      <c r="K4" s="39" t="inlineStr">
        <is>
          <t>Primed Pressure Point | Blood Rush | Weeping Wounds | Organ Shatter | Berserker Fury | Condition Overload | North Wind | Virulent Scourge</t>
        </is>
      </c>
      <c r="L4" s="39" t="inlineStr">
        <is>
          <t>Melee Crescendo</t>
        </is>
      </c>
      <c r="M4" s="39" t="inlineStr">
        <is>
          <t>Viral (North Wind -&gt; Virulent Scourge)</t>
        </is>
      </c>
      <c r="N4" s="39" t="inlineStr">
        <is>
          <t>EVO2: Bladed Harmony; EVO3: Blade Twister; EVO4: Protracted Execution; EVO5: Stunning Brutality</t>
        </is>
      </c>
      <c r="O4" s="39" t="inlineStr">
        <is>
          <t>~4 (Incarnon)</t>
        </is>
      </c>
    </row>
    <row r="5">
      <c r="A5" s="39" t="inlineStr">
        <is>
          <t>AUDITED</t>
        </is>
      </c>
      <c r="B5" s="39" t="inlineStr"/>
      <c r="C5" s="39" t="inlineStr">
        <is>
          <t>Atlas Prime</t>
        </is>
      </c>
      <c r="D5" s="39" t="inlineStr">
        <is>
          <t>Primary</t>
        </is>
      </c>
      <c r="E5" s="39" t="inlineStr">
        <is>
          <t>Kuva Hek</t>
        </is>
      </c>
      <c r="F5" s="39" t="inlineStr">
        <is>
          <t>Shotgun</t>
        </is>
      </c>
      <c r="G5" s="39" t="n">
        <v>0.23</v>
      </c>
      <c r="H5" s="39" t="n">
        <v>0.133</v>
      </c>
      <c r="I5" s="39" t="inlineStr">
        <is>
          <t>crit</t>
        </is>
      </c>
      <c r="J5" s="39" t="inlineStr">
        <is>
          <t>SHOTGUN</t>
        </is>
      </c>
      <c r="K5" s="39" t="inlineStr">
        <is>
          <t>Primed Point Blank | Galvanized Hell | Primed Ravage | Critical Deceleration | Galvanized Savvy | Chilling Grasp | Toxic Barrage | Primed Charged Shell</t>
        </is>
      </c>
      <c r="L5" s="39" t="inlineStr">
        <is>
          <t>Shotgun Vendetta</t>
        </is>
      </c>
      <c r="M5" s="39" t="inlineStr">
        <is>
          <t>Adversary innate element (see Adversary sheet) + Viral + Electricity (Chilling Grasp -&gt; Toxic Barrage, then Primed Charged Shell unpaired)</t>
        </is>
      </c>
      <c r="N5" s="39" t="inlineStr">
        <is>
          <t>-</t>
        </is>
      </c>
      <c r="O5" s="39" t="inlineStr">
        <is>
          <t>5 Forma to Rank 40 + ~3 polarization</t>
        </is>
      </c>
    </row>
    <row r="6">
      <c r="A6" s="39" t="inlineStr">
        <is>
          <t>AUDITED</t>
        </is>
      </c>
      <c r="B6" s="39" t="inlineStr">
        <is>
          <t>Paladin Virtue needs &gt;700 max energy; Atlas reaches ~613</t>
        </is>
      </c>
      <c r="C6" s="39" t="inlineStr">
        <is>
          <t>Atlas Prime</t>
        </is>
      </c>
      <c r="D6" s="39" t="inlineStr">
        <is>
          <t>Secondary</t>
        </is>
      </c>
      <c r="E6" s="39" t="inlineStr">
        <is>
          <t>Atomos</t>
        </is>
      </c>
      <c r="F6" s="39" t="inlineStr">
        <is>
          <t>Pistol</t>
        </is>
      </c>
      <c r="G6" s="39" t="n">
        <v>0.15</v>
      </c>
      <c r="H6" s="39" t="n">
        <v>0.21</v>
      </c>
      <c r="I6" s="39" t="inlineStr">
        <is>
          <t>status</t>
        </is>
      </c>
      <c r="J6" s="39" t="inlineStr">
        <is>
          <t>PISTOL_CRIT</t>
        </is>
      </c>
      <c r="K6" s="39" t="inlineStr">
        <is>
          <t>Hornet Strike | Galvanized Diffusion | Primed Pistol Gambit | Primed Target Cracker | Galvanized Crosshairs | Galvanized Shot | Deep Freeze | Pathogen Rounds</t>
        </is>
      </c>
      <c r="L6" s="39" t="inlineStr">
        <is>
          <t>Secondary Encumber</t>
        </is>
      </c>
      <c r="M6" s="39" t="inlineStr">
        <is>
          <t>Viral (Deep Freeze -&gt; Pathogen Rounds)</t>
        </is>
      </c>
      <c r="N6" s="39" t="inlineStr">
        <is>
          <t>EVO2: Hoplite Virtue; EVO3: Moonrise Velocity; EVO4: Elemental Balance</t>
        </is>
      </c>
      <c r="O6" s="39" t="inlineStr">
        <is>
          <t>~4 (Incarnon)</t>
        </is>
      </c>
    </row>
    <row r="7">
      <c r="A7" s="39" t="inlineStr">
        <is>
          <t>AUDITED</t>
        </is>
      </c>
      <c r="B7" s="39" t="inlineStr"/>
      <c r="C7" s="39" t="inlineStr">
        <is>
          <t>Atlas Prime</t>
        </is>
      </c>
      <c r="D7" s="39" t="inlineStr">
        <is>
          <t>Melee</t>
        </is>
      </c>
      <c r="E7" s="39" t="inlineStr">
        <is>
          <t>Tekko Prime</t>
        </is>
      </c>
      <c r="F7" s="39" t="inlineStr">
        <is>
          <t>Fist</t>
        </is>
      </c>
      <c r="G7" s="39" t="n">
        <v>0.3</v>
      </c>
      <c r="H7" s="39" t="n">
        <v>0.26</v>
      </c>
      <c r="I7" s="39" t="inlineStr">
        <is>
          <t>crit</t>
        </is>
      </c>
      <c r="J7" s="39" t="inlineStr">
        <is>
          <t>MELEE_CRIT</t>
        </is>
      </c>
      <c r="K7" s="39" t="inlineStr">
        <is>
          <t>Primed Pressure Point | Blood Rush | Weeping Wounds | Organ Shatter | Berserker Fury | Condition Overload | North Wind | Virulent Scourge</t>
        </is>
      </c>
      <c r="L7" s="39" t="inlineStr">
        <is>
          <t>Melee Duplicate</t>
        </is>
      </c>
      <c r="M7" s="39" t="inlineStr">
        <is>
          <t>Viral (North Wind -&gt; Virulent Scourge)</t>
        </is>
      </c>
      <c r="N7" s="39" t="inlineStr">
        <is>
          <t>-</t>
        </is>
      </c>
      <c r="O7" s="39" t="inlineStr">
        <is>
          <t>~3</t>
        </is>
      </c>
    </row>
    <row r="8">
      <c r="A8" s="39" t="inlineStr">
        <is>
          <t>AUDITED</t>
        </is>
      </c>
      <c r="B8" s="39" t="inlineStr">
        <is>
          <t>Sonar spots are weak points (Deadhead); Flensing Spikes redundant with Sonic Boom full strip</t>
        </is>
      </c>
      <c r="C8" s="39" t="inlineStr">
        <is>
          <t>Banshee Prime</t>
        </is>
      </c>
      <c r="D8" s="39" t="inlineStr">
        <is>
          <t>Primary</t>
        </is>
      </c>
      <c r="E8" s="39" t="inlineStr">
        <is>
          <t>Latron Prime</t>
        </is>
      </c>
      <c r="F8" s="39" t="inlineStr">
        <is>
          <t>Rifle</t>
        </is>
      </c>
      <c r="G8" s="39" t="n">
        <v>0.22</v>
      </c>
      <c r="H8" s="39" t="n">
        <v>0.26</v>
      </c>
      <c r="I8" s="39" t="inlineStr">
        <is>
          <t>crit</t>
        </is>
      </c>
      <c r="J8" s="39" t="inlineStr">
        <is>
          <t>RIFLE_CRIT</t>
        </is>
      </c>
      <c r="K8" s="39" t="inlineStr">
        <is>
          <t>Serration | Galvanized Chamber | Point Strike | Vital Sense | Hammer Shot | Galvanized Aptitude | Primed Cryo Rounds | Malignant Force</t>
        </is>
      </c>
      <c r="L8" s="39" t="inlineStr">
        <is>
          <t>Primary Deadhead</t>
        </is>
      </c>
      <c r="M8" s="39" t="inlineStr">
        <is>
          <t>Viral (Primed Cryo Rounds -&gt; Malignant Force)</t>
        </is>
      </c>
      <c r="N8" s="39" t="inlineStr">
        <is>
          <t>EVO2: Riddled Target; EVO3: Marksman's Hand; EVO4: Critical Parallel</t>
        </is>
      </c>
      <c r="O8" s="39" t="inlineStr">
        <is>
          <t>~4 (Incarnon)</t>
        </is>
      </c>
    </row>
    <row r="9">
      <c r="A9" s="39" t="inlineStr">
        <is>
          <t>AUDITED</t>
        </is>
      </c>
      <c r="B9" s="39" t="inlineStr">
        <is>
          <t>Sonar weak points</t>
        </is>
      </c>
      <c r="C9" s="39" t="inlineStr">
        <is>
          <t>Banshee Prime</t>
        </is>
      </c>
      <c r="D9" s="39" t="inlineStr">
        <is>
          <t>Secondary</t>
        </is>
      </c>
      <c r="E9" s="39" t="inlineStr">
        <is>
          <t>Euphona Prime</t>
        </is>
      </c>
      <c r="F9" s="39" t="inlineStr">
        <is>
          <t>Shotgun Sidearm</t>
        </is>
      </c>
      <c r="G9" s="39" t="n">
        <v>0.3</v>
      </c>
      <c r="H9" s="39" t="n">
        <v>0.02</v>
      </c>
      <c r="I9" s="39" t="inlineStr">
        <is>
          <t>crit</t>
        </is>
      </c>
      <c r="J9" s="39" t="inlineStr">
        <is>
          <t>PISTOL_CRIT</t>
        </is>
      </c>
      <c r="K9" s="39" t="inlineStr">
        <is>
          <t>Hornet Strike | Galvanized Diffusion | Primed Pistol Gambit | Primed Target Cracker | Galvanized Crosshairs | Galvanized Shot | Deep Freeze | Pathogen Rounds</t>
        </is>
      </c>
      <c r="L9" s="39" t="inlineStr">
        <is>
          <t>Secondary Deadhead</t>
        </is>
      </c>
      <c r="M9" s="39" t="inlineStr">
        <is>
          <t>Viral (Deep Freeze -&gt; Pathogen Rounds)</t>
        </is>
      </c>
      <c r="N9" s="39" t="inlineStr">
        <is>
          <t>-</t>
        </is>
      </c>
      <c r="O9" s="39" t="inlineStr">
        <is>
          <t>~3</t>
        </is>
      </c>
    </row>
    <row r="10">
      <c r="A10" s="39" t="inlineStr">
        <is>
          <t>AUDITED</t>
        </is>
      </c>
      <c r="B10" s="39" t="inlineStr"/>
      <c r="C10" s="39" t="inlineStr">
        <is>
          <t>Banshee Prime</t>
        </is>
      </c>
      <c r="D10" s="39" t="inlineStr">
        <is>
          <t>Melee</t>
        </is>
      </c>
      <c r="E10" s="39" t="inlineStr">
        <is>
          <t>Kogake Prime</t>
        </is>
      </c>
      <c r="F10" s="39" t="inlineStr">
        <is>
          <t>Sparring</t>
        </is>
      </c>
      <c r="G10" s="39" t="n">
        <v>0.16</v>
      </c>
      <c r="H10" s="39" t="n">
        <v>0.38</v>
      </c>
      <c r="I10" s="39" t="inlineStr">
        <is>
          <t>status</t>
        </is>
      </c>
      <c r="J10" s="39" t="inlineStr">
        <is>
          <t>MELEE_INFLUENCE</t>
        </is>
      </c>
      <c r="K10" s="39" t="inlineStr">
        <is>
          <t>Primed Pressure Point | Blood Rush | Weeping Wounds | Organ Shatter | Condition Overload | North Wind | Virulent Scourge | Voltaic Strike</t>
        </is>
      </c>
      <c r="L10" s="39" t="inlineStr">
        <is>
          <t>Melee Influence</t>
        </is>
      </c>
      <c r="M10" s="39" t="inlineStr">
        <is>
          <t>Viral + Electricity (North Wind -&gt; Virulent Scourge, Voltaic Strike unpaired: required to trigger Melee Influence)</t>
        </is>
      </c>
      <c r="N10" s="39" t="inlineStr">
        <is>
          <t>-</t>
        </is>
      </c>
      <c r="O10" s="39" t="inlineStr">
        <is>
          <t>~3</t>
        </is>
      </c>
    </row>
    <row r="11">
      <c r="A11" s="39" t="inlineStr">
        <is>
          <t>AUDITED</t>
        </is>
      </c>
      <c r="B11" s="39" t="inlineStr">
        <is>
          <t>Baruuk Prime sprint 1.2 activates Deadly Pace (+80% fire rate); bow projectile speed; first-shot crit</t>
        </is>
      </c>
      <c r="C11" s="39" t="inlineStr">
        <is>
          <t>Baruuk Prime</t>
        </is>
      </c>
      <c r="D11" s="39" t="inlineStr">
        <is>
          <t>Primary</t>
        </is>
      </c>
      <c r="E11" s="39" t="inlineStr">
        <is>
          <t>Paris Prime</t>
        </is>
      </c>
      <c r="F11" s="39" t="inlineStr">
        <is>
          <t>Bow</t>
        </is>
      </c>
      <c r="G11" s="39" t="n">
        <v>0.45</v>
      </c>
      <c r="H11" s="39" t="n">
        <v>0.2</v>
      </c>
      <c r="I11" s="39" t="inlineStr">
        <is>
          <t>crit</t>
        </is>
      </c>
      <c r="J11" s="39" t="inlineStr">
        <is>
          <t>RIFLE_CRIT</t>
        </is>
      </c>
      <c r="K11" s="39" t="inlineStr">
        <is>
          <t>Serration | Galvanized Chamber | Point Strike | Vital Sense | Hammer Shot | Galvanized Aptitude | Primed Cryo Rounds | Malignant Force</t>
        </is>
      </c>
      <c r="L11" s="39" t="inlineStr">
        <is>
          <t>Primary Deadhead</t>
        </is>
      </c>
      <c r="M11" s="39" t="inlineStr">
        <is>
          <t>Viral (Primed Cryo Rounds -&gt; Malignant Force)</t>
        </is>
      </c>
      <c r="N11" s="39" t="inlineStr">
        <is>
          <t>EVO2: Deadly Pace; EVO3: Swift Deliverance; EVO4: Vicious Promise</t>
        </is>
      </c>
      <c r="O11" s="39" t="inlineStr">
        <is>
          <t>~4 (Incarnon)</t>
        </is>
      </c>
    </row>
    <row r="12">
      <c r="A12" s="39" t="inlineStr">
        <is>
          <t>AUDITED</t>
        </is>
      </c>
      <c r="B12" s="39" t="inlineStr"/>
      <c r="C12" s="39" t="inlineStr">
        <is>
          <t>Baruuk Prime</t>
        </is>
      </c>
      <c r="D12" s="39" t="inlineStr">
        <is>
          <t>Secondary</t>
        </is>
      </c>
      <c r="E12" s="39" t="inlineStr">
        <is>
          <t>Tenet Diplos</t>
        </is>
      </c>
      <c r="F12" s="39" t="inlineStr">
        <is>
          <t>Dual Pistols</t>
        </is>
      </c>
      <c r="G12" s="39" t="n">
        <v>0.36</v>
      </c>
      <c r="H12" s="39" t="n">
        <v>0.14</v>
      </c>
      <c r="I12" s="39" t="inlineStr">
        <is>
          <t>crit</t>
        </is>
      </c>
      <c r="J12" s="39" t="inlineStr">
        <is>
          <t>PISTOL_CRIT</t>
        </is>
      </c>
      <c r="K12" s="39" t="inlineStr">
        <is>
          <t>Hornet Strike | Galvanized Diffusion | Primed Pistol Gambit | Primed Target Cracker | Galvanized Crosshairs | Galvanized Shot | Deep Freeze | Pathogen Rounds</t>
        </is>
      </c>
      <c r="L12" s="39" t="inlineStr">
        <is>
          <t>Secondary Outburst</t>
        </is>
      </c>
      <c r="M12" s="39" t="inlineStr">
        <is>
          <t>Adversary innate element (see Adversary sheet) + Viral (Deep Freeze -&gt; Pathogen Rounds)</t>
        </is>
      </c>
      <c r="N12" s="39" t="inlineStr">
        <is>
          <t>-</t>
        </is>
      </c>
      <c r="O12" s="39" t="inlineStr">
        <is>
          <t>5 Forma to Rank 40 + ~3 polarization</t>
        </is>
      </c>
    </row>
    <row r="13">
      <c r="A13" s="39" t="inlineStr">
        <is>
          <t>AUDITED</t>
        </is>
      </c>
      <c r="B13" s="39" t="inlineStr"/>
      <c r="C13" s="39" t="inlineStr">
        <is>
          <t>Caliban Prime</t>
        </is>
      </c>
      <c r="D13" s="39" t="inlineStr">
        <is>
          <t>Primary</t>
        </is>
      </c>
      <c r="E13" s="39" t="inlineStr">
        <is>
          <t>Vadarya Prime</t>
        </is>
      </c>
      <c r="F13" s="39" t="inlineStr">
        <is>
          <t>Sniper Rifle</t>
        </is>
      </c>
      <c r="G13" s="39" t="n">
        <v>0.4</v>
      </c>
      <c r="H13" s="39" t="n">
        <v>0.18</v>
      </c>
      <c r="I13" s="39" t="inlineStr">
        <is>
          <t>crit</t>
        </is>
      </c>
      <c r="J13" s="39" t="inlineStr">
        <is>
          <t>RIFLE_CRIT</t>
        </is>
      </c>
      <c r="K13" s="39" t="inlineStr">
        <is>
          <t>Serration | Galvanized Chamber | Point Strike | Vital Sense | Hammer Shot | Galvanized Aptitude | Primed Cryo Rounds | Malignant Force</t>
        </is>
      </c>
      <c r="L13" s="39" t="inlineStr">
        <is>
          <t>Primary Deadhead</t>
        </is>
      </c>
      <c r="M13" s="39" t="inlineStr">
        <is>
          <t>Viral (Primed Cryo Rounds -&gt; Malignant Force)</t>
        </is>
      </c>
      <c r="N13" s="39" t="inlineStr">
        <is>
          <t>-</t>
        </is>
      </c>
      <c r="O13" s="39" t="inlineStr">
        <is>
          <t>~3</t>
        </is>
      </c>
    </row>
    <row r="14">
      <c r="A14" s="39" t="inlineStr">
        <is>
          <t>AUDITED</t>
        </is>
      </c>
      <c r="B14" s="39" t="inlineStr"/>
      <c r="C14" s="39" t="inlineStr">
        <is>
          <t>Caliban Prime</t>
        </is>
      </c>
      <c r="D14" s="39" t="inlineStr">
        <is>
          <t>Secondary</t>
        </is>
      </c>
      <c r="E14" s="39" t="inlineStr">
        <is>
          <t>Tenet Detron</t>
        </is>
      </c>
      <c r="F14" s="39" t="inlineStr">
        <is>
          <t>Shotgun Sidearm</t>
        </is>
      </c>
      <c r="G14" s="39" t="n">
        <v>0.18</v>
      </c>
      <c r="H14" s="39" t="n">
        <v>0.1</v>
      </c>
      <c r="I14" s="39" t="inlineStr">
        <is>
          <t>crit</t>
        </is>
      </c>
      <c r="J14" s="39" t="inlineStr">
        <is>
          <t>PISTOL_CRIT</t>
        </is>
      </c>
      <c r="K14" s="39" t="inlineStr">
        <is>
          <t>Hornet Strike | Galvanized Diffusion | Primed Pistol Gambit | Primed Target Cracker | Galvanized Crosshairs | Galvanized Shot | Deep Freeze | Pathogen Rounds</t>
        </is>
      </c>
      <c r="L14" s="39" t="inlineStr">
        <is>
          <t>Secondary Merciless</t>
        </is>
      </c>
      <c r="M14" s="39" t="inlineStr">
        <is>
          <t>Adversary innate element (see Adversary sheet) + Viral (Deep Freeze -&gt; Pathogen Rounds)</t>
        </is>
      </c>
      <c r="N14" s="39" t="inlineStr">
        <is>
          <t>-</t>
        </is>
      </c>
      <c r="O14" s="39" t="inlineStr">
        <is>
          <t>5 Forma to Rank 40 + ~3 polarization</t>
        </is>
      </c>
    </row>
    <row r="15">
      <c r="A15" s="39" t="inlineStr">
        <is>
          <t>AUDITED</t>
        </is>
      </c>
      <c r="B15" s="39" t="inlineStr">
        <is>
          <t>Venato signature boosts combo-count chance on normal attacks, not heavy attacks</t>
        </is>
      </c>
      <c r="C15" s="39" t="inlineStr">
        <is>
          <t>Caliban Prime</t>
        </is>
      </c>
      <c r="D15" s="39" t="inlineStr">
        <is>
          <t>Melee</t>
        </is>
      </c>
      <c r="E15" s="39" t="inlineStr">
        <is>
          <t>Venato Prime</t>
        </is>
      </c>
      <c r="F15" s="39" t="inlineStr">
        <is>
          <t>Scythe</t>
        </is>
      </c>
      <c r="G15" s="39" t="n">
        <v>0.34</v>
      </c>
      <c r="H15" s="39" t="n">
        <v>0.32</v>
      </c>
      <c r="I15" s="39" t="inlineStr">
        <is>
          <t>crit</t>
        </is>
      </c>
      <c r="J15" s="39" t="inlineStr">
        <is>
          <t>MELEE_CRIT</t>
        </is>
      </c>
      <c r="K15" s="39" t="inlineStr">
        <is>
          <t>Primed Pressure Point | Blood Rush | Weeping Wounds | Organ Shatter | Berserker Fury | Condition Overload | North Wind | Virulent Scourge</t>
        </is>
      </c>
      <c r="L15" s="39" t="inlineStr">
        <is>
          <t>Melee Duplicate</t>
        </is>
      </c>
      <c r="M15" s="39" t="inlineStr">
        <is>
          <t>Viral (North Wind -&gt; Virulent Scourge)</t>
        </is>
      </c>
      <c r="N15" s="39" t="inlineStr">
        <is>
          <t>-</t>
        </is>
      </c>
      <c r="O15" s="39" t="inlineStr">
        <is>
          <t>~3</t>
        </is>
      </c>
    </row>
    <row r="16">
      <c r="A16" s="39" t="inlineStr">
        <is>
          <t>AUDITED</t>
        </is>
      </c>
      <c r="B16" s="39" t="inlineStr"/>
      <c r="C16" s="39" t="inlineStr">
        <is>
          <t>Chroma Prime</t>
        </is>
      </c>
      <c r="D16" s="39" t="inlineStr">
        <is>
          <t>Primary</t>
        </is>
      </c>
      <c r="E16" s="39" t="inlineStr">
        <is>
          <t>Opticor Vandal</t>
        </is>
      </c>
      <c r="F16" s="39" t="inlineStr">
        <is>
          <t>Rifle</t>
        </is>
      </c>
      <c r="G16" s="39" t="n">
        <v>0.24</v>
      </c>
      <c r="H16" s="39" t="n">
        <v>0.3</v>
      </c>
      <c r="I16" s="39" t="inlineStr">
        <is>
          <t>crit</t>
        </is>
      </c>
      <c r="J16" s="39" t="inlineStr">
        <is>
          <t>RIFLE_CRIT</t>
        </is>
      </c>
      <c r="K16" s="39" t="inlineStr">
        <is>
          <t>Serration | Galvanized Chamber | Point Strike | Vital Sense | Hammer Shot | Galvanized Aptitude | Primed Cryo Rounds | Malignant Force</t>
        </is>
      </c>
      <c r="L16" s="39" t="inlineStr">
        <is>
          <t>Primary Merciless</t>
        </is>
      </c>
      <c r="M16" s="39" t="inlineStr">
        <is>
          <t>Viral (Primed Cryo Rounds -&gt; Malignant Force)</t>
        </is>
      </c>
      <c r="N16" s="39" t="inlineStr">
        <is>
          <t>-</t>
        </is>
      </c>
      <c r="O16" s="39" t="inlineStr">
        <is>
          <t>~3</t>
        </is>
      </c>
    </row>
    <row r="17">
      <c r="A17" s="39" t="inlineStr">
        <is>
          <t>AUDITED</t>
        </is>
      </c>
      <c r="B17" s="39" t="inlineStr">
        <is>
          <t>Haven Foray needs Overshields (Chroma has none); always-on perks</t>
        </is>
      </c>
      <c r="C17" s="39" t="inlineStr">
        <is>
          <t>Chroma Prime</t>
        </is>
      </c>
      <c r="D17" s="39" t="inlineStr">
        <is>
          <t>Secondary</t>
        </is>
      </c>
      <c r="E17" s="39" t="inlineStr">
        <is>
          <t>Lato Vandal</t>
        </is>
      </c>
      <c r="F17" s="39" t="inlineStr">
        <is>
          <t>Pistol</t>
        </is>
      </c>
      <c r="G17" s="39" t="n">
        <v>0.26</v>
      </c>
      <c r="H17" s="39" t="n">
        <v>0.1</v>
      </c>
      <c r="I17" s="39" t="inlineStr">
        <is>
          <t>crit</t>
        </is>
      </c>
      <c r="J17" s="39" t="inlineStr">
        <is>
          <t>PISTOL_CRIT</t>
        </is>
      </c>
      <c r="K17" s="39" t="inlineStr">
        <is>
          <t>Hornet Strike | Galvanized Diffusion | Primed Pistol Gambit | Primed Target Cracker | Galvanized Crosshairs | Galvanized Shot | Deep Freeze | Pathogen Rounds</t>
        </is>
      </c>
      <c r="L17" s="39" t="inlineStr">
        <is>
          <t>Secondary Merciless</t>
        </is>
      </c>
      <c r="M17" s="39" t="inlineStr">
        <is>
          <t>Viral (Deep Freeze -&gt; Pathogen Rounds)</t>
        </is>
      </c>
      <c r="N17" s="39" t="inlineStr">
        <is>
          <t>EVO2: Reified Bane; EVO3: Exact Penance; EVO4: Survivor's Edge</t>
        </is>
      </c>
      <c r="O17" s="39" t="inlineStr">
        <is>
          <t>~4 (Incarnon)</t>
        </is>
      </c>
    </row>
    <row r="18">
      <c r="A18" s="39" t="inlineStr">
        <is>
          <t>AUDITED</t>
        </is>
      </c>
      <c r="B18" s="39" t="inlineStr"/>
      <c r="C18" s="39" t="inlineStr">
        <is>
          <t>Chroma Prime</t>
        </is>
      </c>
      <c r="D18" s="39" t="inlineStr">
        <is>
          <t>Melee</t>
        </is>
      </c>
      <c r="E18" s="39" t="inlineStr">
        <is>
          <t>Gram Prime</t>
        </is>
      </c>
      <c r="F18" s="39" t="inlineStr">
        <is>
          <t>Heavy Blade</t>
        </is>
      </c>
      <c r="G18" s="39" t="n">
        <v>0.32</v>
      </c>
      <c r="H18" s="39" t="n">
        <v>0.32</v>
      </c>
      <c r="I18" s="39" t="inlineStr">
        <is>
          <t>crit</t>
        </is>
      </c>
      <c r="J18" s="39" t="inlineStr">
        <is>
          <t>MELEE_CRIT</t>
        </is>
      </c>
      <c r="K18" s="39" t="inlineStr">
        <is>
          <t>Primed Pressure Point | Blood Rush | Weeping Wounds | Organ Shatter | Berserker Fury | Condition Overload | North Wind | Virulent Scourge</t>
        </is>
      </c>
      <c r="L18" s="39" t="inlineStr">
        <is>
          <t>Melee Animosity</t>
        </is>
      </c>
      <c r="M18" s="39" t="inlineStr">
        <is>
          <t>Viral (North Wind -&gt; Virulent Scourge)</t>
        </is>
      </c>
      <c r="N18" s="39" t="inlineStr">
        <is>
          <t>-</t>
        </is>
      </c>
      <c r="O18" s="39" t="inlineStr">
        <is>
          <t>~3</t>
        </is>
      </c>
    </row>
    <row r="19">
      <c r="A19" s="39" t="inlineStr">
        <is>
          <t>AUDITED</t>
        </is>
      </c>
      <c r="B19" s="39" t="inlineStr"/>
      <c r="C19" s="39" t="inlineStr">
        <is>
          <t>Citrine Prime</t>
        </is>
      </c>
      <c r="D19" s="39" t="inlineStr">
        <is>
          <t>Primary</t>
        </is>
      </c>
      <c r="E19" s="39" t="inlineStr">
        <is>
          <t>Steflos Prime</t>
        </is>
      </c>
      <c r="F19" s="39" t="inlineStr">
        <is>
          <t>Shotgun</t>
        </is>
      </c>
      <c r="G19" s="39" t="n">
        <v>0.18</v>
      </c>
      <c r="H19" s="39" t="n">
        <v>0.28</v>
      </c>
      <c r="I19" s="39" t="inlineStr">
        <is>
          <t>status</t>
        </is>
      </c>
      <c r="J19" s="39" t="inlineStr">
        <is>
          <t>SHOTGUN</t>
        </is>
      </c>
      <c r="K19" s="39" t="inlineStr">
        <is>
          <t>Primed Point Blank | Galvanized Hell | Primed Ravage | Critical Deceleration | Galvanized Savvy | Chilling Grasp | Toxic Barrage | Primed Charged Shell</t>
        </is>
      </c>
      <c r="L19" s="39" t="inlineStr">
        <is>
          <t>Shotgun Vendetta</t>
        </is>
      </c>
      <c r="M19" s="39" t="inlineStr">
        <is>
          <t>Viral + Electricity (Chilling Grasp -&gt; Toxic Barrage, then Primed Charged Shell unpaired)</t>
        </is>
      </c>
      <c r="N19" s="39" t="inlineStr">
        <is>
          <t>-</t>
        </is>
      </c>
      <c r="O19" s="39" t="inlineStr">
        <is>
          <t>~3</t>
        </is>
      </c>
    </row>
    <row r="20">
      <c r="A20" s="39" t="inlineStr">
        <is>
          <t>AUDITED</t>
        </is>
      </c>
      <c r="B20" s="39" t="inlineStr"/>
      <c r="C20" s="39" t="inlineStr">
        <is>
          <t>Citrine Prime</t>
        </is>
      </c>
      <c r="D20" s="39" t="inlineStr">
        <is>
          <t>Secondary</t>
        </is>
      </c>
      <c r="E20" s="39" t="inlineStr">
        <is>
          <t>Catabolyst</t>
        </is>
      </c>
      <c r="F20" s="39" t="inlineStr">
        <is>
          <t>Pistol</t>
        </is>
      </c>
      <c r="G20" s="39" t="n">
        <v>0.11</v>
      </c>
      <c r="H20" s="39" t="n">
        <v>0.43</v>
      </c>
      <c r="I20" s="39" t="inlineStr">
        <is>
          <t>status</t>
        </is>
      </c>
      <c r="J20" s="39" t="inlineStr">
        <is>
          <t>PISTOL_CRIT</t>
        </is>
      </c>
      <c r="K20" s="39" t="inlineStr">
        <is>
          <t>Hornet Strike | Galvanized Diffusion | Primed Pistol Gambit | Primed Target Cracker | Galvanized Crosshairs | Galvanized Shot | Deep Freeze | Pathogen Rounds</t>
        </is>
      </c>
      <c r="L20" s="39" t="inlineStr">
        <is>
          <t>Secondary Encumber</t>
        </is>
      </c>
      <c r="M20" s="39" t="inlineStr">
        <is>
          <t>Viral (Deep Freeze -&gt; Pathogen Rounds)</t>
        </is>
      </c>
      <c r="N20" s="39" t="inlineStr">
        <is>
          <t>-</t>
        </is>
      </c>
      <c r="O20" s="39" t="inlineStr">
        <is>
          <t>~3</t>
        </is>
      </c>
    </row>
    <row r="21">
      <c r="A21" s="39" t="inlineStr">
        <is>
          <t>AUDITED</t>
        </is>
      </c>
      <c r="B21" s="39" t="inlineStr"/>
      <c r="C21" s="39" t="inlineStr">
        <is>
          <t>Citrine Prime</t>
        </is>
      </c>
      <c r="D21" s="39" t="inlineStr">
        <is>
          <t>Melee</t>
        </is>
      </c>
      <c r="E21" s="39" t="inlineStr">
        <is>
          <t>Corufell Prime</t>
        </is>
      </c>
      <c r="F21" s="39" t="inlineStr">
        <is>
          <t>Heavy Scythe</t>
        </is>
      </c>
      <c r="G21" s="39" t="n">
        <v>0.3</v>
      </c>
      <c r="H21" s="39" t="n">
        <v>0.2</v>
      </c>
      <c r="I21" s="39" t="inlineStr">
        <is>
          <t>crit</t>
        </is>
      </c>
      <c r="J21" s="39" t="inlineStr">
        <is>
          <t>MELEE_CRIT</t>
        </is>
      </c>
      <c r="K21" s="39" t="inlineStr">
        <is>
          <t>Primed Pressure Point | Blood Rush | Weeping Wounds | Organ Shatter | Berserker Fury | Condition Overload | North Wind | Virulent Scourge</t>
        </is>
      </c>
      <c r="L21" s="39" t="inlineStr">
        <is>
          <t>Melee Animosity</t>
        </is>
      </c>
      <c r="M21" s="39" t="inlineStr">
        <is>
          <t>Viral (North Wind -&gt; Virulent Scourge)</t>
        </is>
      </c>
      <c r="N21" s="39" t="inlineStr">
        <is>
          <t>-</t>
        </is>
      </c>
      <c r="O21" s="39" t="inlineStr">
        <is>
          <t>~3</t>
        </is>
      </c>
    </row>
    <row r="22">
      <c r="A22" s="39" t="inlineStr">
        <is>
          <t>AUDITED</t>
        </is>
      </c>
      <c r="B22" s="39" t="inlineStr">
        <is>
          <t>Weak-point frame; Trusty Sidearm needs a channeled ability (none)</t>
        </is>
      </c>
      <c r="C22" s="39" t="inlineStr">
        <is>
          <t>Cyte-09</t>
        </is>
      </c>
      <c r="D22" s="39" t="inlineStr">
        <is>
          <t>Secondary</t>
        </is>
      </c>
      <c r="E22" s="39" t="inlineStr">
        <is>
          <t>Lex Prime</t>
        </is>
      </c>
      <c r="F22" s="39" t="inlineStr">
        <is>
          <t>Pistol</t>
        </is>
      </c>
      <c r="G22" s="39" t="n">
        <v>0.25</v>
      </c>
      <c r="H22" s="39" t="n">
        <v>0.25</v>
      </c>
      <c r="I22" s="39" t="inlineStr">
        <is>
          <t>crit</t>
        </is>
      </c>
      <c r="J22" s="39" t="inlineStr">
        <is>
          <t>PISTOL_CRIT</t>
        </is>
      </c>
      <c r="K22" s="39" t="inlineStr">
        <is>
          <t>Hornet Strike | Galvanized Diffusion | Primed Pistol Gambit | Primed Target Cracker | Galvanized Crosshairs | Galvanized Shot | Deep Freeze | Pathogen Rounds</t>
        </is>
      </c>
      <c r="L22" s="39" t="inlineStr">
        <is>
          <t>Secondary Deadhead</t>
        </is>
      </c>
      <c r="M22" s="39" t="inlineStr">
        <is>
          <t>Viral (Deep Freeze -&gt; Pathogen Rounds)</t>
        </is>
      </c>
      <c r="N22" s="39" t="inlineStr">
        <is>
          <t>EVO2: Hoplite Virtue; EVO3: Lex Talionis; EVO4: Critical Parallel</t>
        </is>
      </c>
      <c r="O22" s="39" t="inlineStr">
        <is>
          <t>~4 (Incarnon)</t>
        </is>
      </c>
    </row>
    <row r="23">
      <c r="A23" s="39" t="inlineStr">
        <is>
          <t>AUDITED</t>
        </is>
      </c>
      <c r="B23" s="39" t="inlineStr"/>
      <c r="C23" s="39" t="inlineStr">
        <is>
          <t>Cyte-09</t>
        </is>
      </c>
      <c r="D23" s="39" t="inlineStr">
        <is>
          <t>Melee</t>
        </is>
      </c>
      <c r="E23" s="39" t="inlineStr">
        <is>
          <t>Rakta Dark Dagger</t>
        </is>
      </c>
      <c r="F23" s="39" t="inlineStr">
        <is>
          <t>Dagger</t>
        </is>
      </c>
      <c r="G23" s="39" t="n">
        <v>0.12</v>
      </c>
      <c r="H23" s="39" t="n">
        <v>0.3</v>
      </c>
      <c r="I23" s="39" t="inlineStr">
        <is>
          <t>status</t>
        </is>
      </c>
      <c r="J23" s="39" t="inlineStr">
        <is>
          <t>MELEE_INFLUENCE</t>
        </is>
      </c>
      <c r="K23" s="39" t="inlineStr">
        <is>
          <t>Primed Pressure Point | Blood Rush | Weeping Wounds | Organ Shatter | Condition Overload | North Wind | Virulent Scourge | Voltaic Strike</t>
        </is>
      </c>
      <c r="L23" s="39" t="inlineStr">
        <is>
          <t>Melee Influence</t>
        </is>
      </c>
      <c r="M23" s="39" t="inlineStr">
        <is>
          <t>Viral + Electricity (North Wind -&gt; Virulent Scourge, Voltaic Strike unpaired: required to trigger Melee Influence)</t>
        </is>
      </c>
      <c r="N23" s="39" t="inlineStr">
        <is>
          <t>-</t>
        </is>
      </c>
      <c r="O23" s="39" t="inlineStr">
        <is>
          <t>~3</t>
        </is>
      </c>
    </row>
    <row r="24">
      <c r="A24" s="39" t="inlineStr">
        <is>
          <t>AUDITED</t>
        </is>
      </c>
      <c r="B24" s="39" t="inlineStr">
        <is>
          <t>Grave Spirit adds +50% x Str crit damage to all weapons</t>
        </is>
      </c>
      <c r="C24" s="39" t="inlineStr">
        <is>
          <t>Dagath</t>
        </is>
      </c>
      <c r="D24" s="39" t="inlineStr">
        <is>
          <t>Primary</t>
        </is>
      </c>
      <c r="E24" s="39" t="inlineStr">
        <is>
          <t>Cinta</t>
        </is>
      </c>
      <c r="F24" s="39" t="inlineStr">
        <is>
          <t>Bow</t>
        </is>
      </c>
      <c r="G24" s="39" t="n">
        <v>0.2</v>
      </c>
      <c r="H24" s="39" t="n">
        <v>0.3</v>
      </c>
      <c r="I24" s="39" t="inlineStr">
        <is>
          <t>crit</t>
        </is>
      </c>
      <c r="J24" s="39" t="inlineStr">
        <is>
          <t>RIFLE_CRIT</t>
        </is>
      </c>
      <c r="K24" s="39" t="inlineStr">
        <is>
          <t>Serration | Galvanized Chamber | Point Strike | Vital Sense | Hammer Shot | Galvanized Aptitude | Primed Cryo Rounds | Malignant Force</t>
        </is>
      </c>
      <c r="L24" s="39" t="inlineStr">
        <is>
          <t>Primary Deadhead</t>
        </is>
      </c>
      <c r="M24" s="39" t="inlineStr">
        <is>
          <t>Viral (Primed Cryo Rounds -&gt; Malignant Force)</t>
        </is>
      </c>
      <c r="N24" s="39" t="inlineStr">
        <is>
          <t>-</t>
        </is>
      </c>
      <c r="O24" s="39" t="inlineStr">
        <is>
          <t>~3</t>
        </is>
      </c>
    </row>
    <row r="25">
      <c r="A25" s="39" t="inlineStr">
        <is>
          <t>AUDITED</t>
        </is>
      </c>
      <c r="B25" s="39" t="inlineStr">
        <is>
          <t>Reload-from-empty crit damage (satisfiable); Doom Viral + weapon statuses feed Fatal Affliction</t>
        </is>
      </c>
      <c r="C25" s="39" t="inlineStr">
        <is>
          <t>Dagath</t>
        </is>
      </c>
      <c r="D25" s="39" t="inlineStr">
        <is>
          <t>Secondary</t>
        </is>
      </c>
      <c r="E25" s="39" t="inlineStr">
        <is>
          <t>Zylok Prime</t>
        </is>
      </c>
      <c r="F25" s="39" t="inlineStr">
        <is>
          <t>Pistol</t>
        </is>
      </c>
      <c r="G25" s="39" t="n">
        <v>0.12</v>
      </c>
      <c r="H25" s="39" t="n">
        <v>0.36</v>
      </c>
      <c r="I25" s="39" t="inlineStr">
        <is>
          <t>status</t>
        </is>
      </c>
      <c r="J25" s="39" t="inlineStr">
        <is>
          <t>PISTOL_CRIT</t>
        </is>
      </c>
      <c r="K25" s="39" t="inlineStr">
        <is>
          <t>Hornet Strike | Galvanized Diffusion | Primed Pistol Gambit | Primed Target Cracker | Galvanized Crosshairs | Galvanized Shot | Deep Freeze | Pathogen Rounds</t>
        </is>
      </c>
      <c r="L25" s="39" t="inlineStr">
        <is>
          <t>Secondary Encumber</t>
        </is>
      </c>
      <c r="M25" s="39" t="inlineStr">
        <is>
          <t>Viral (Deep Freeze -&gt; Pathogen Rounds)</t>
        </is>
      </c>
      <c r="N25" s="39" t="inlineStr">
        <is>
          <t>EVO2: Mauler's Magazine; EVO3: Rapid Reinforcement; EVO4: Fatal Affliction</t>
        </is>
      </c>
      <c r="O25" s="39" t="inlineStr">
        <is>
          <t>~4 (Incarnon)</t>
        </is>
      </c>
    </row>
    <row r="26">
      <c r="A26" s="39" t="inlineStr">
        <is>
          <t>AUDITED</t>
        </is>
      </c>
      <c r="B26" s="39" t="inlineStr"/>
      <c r="C26" s="39" t="inlineStr">
        <is>
          <t>Dagath</t>
        </is>
      </c>
      <c r="D26" s="39" t="inlineStr">
        <is>
          <t>Melee</t>
        </is>
      </c>
      <c r="E26" s="39" t="inlineStr">
        <is>
          <t>Dorrclave</t>
        </is>
      </c>
      <c r="F26" s="39" t="inlineStr">
        <is>
          <t>Blade and Whip</t>
        </is>
      </c>
      <c r="G26" s="39" t="n">
        <v>0.26</v>
      </c>
      <c r="H26" s="39" t="n">
        <v>0.24</v>
      </c>
      <c r="I26" s="39" t="inlineStr">
        <is>
          <t>crit</t>
        </is>
      </c>
      <c r="J26" s="39" t="inlineStr">
        <is>
          <t>MELEE_CRIT</t>
        </is>
      </c>
      <c r="K26" s="39" t="inlineStr">
        <is>
          <t>Primed Pressure Point | Blood Rush | Weeping Wounds | Organ Shatter | Berserker Fury | Condition Overload | North Wind | Virulent Scourge</t>
        </is>
      </c>
      <c r="L26" s="39" t="inlineStr">
        <is>
          <t>Melee Duplicate</t>
        </is>
      </c>
      <c r="M26" s="39" t="inlineStr">
        <is>
          <t>Viral (North Wind -&gt; Virulent Scourge)</t>
        </is>
      </c>
      <c r="N26" s="39" t="inlineStr">
        <is>
          <t>-</t>
        </is>
      </c>
      <c r="O26" s="39" t="inlineStr">
        <is>
          <t>~3</t>
        </is>
      </c>
    </row>
    <row r="27">
      <c r="A27" s="39" t="inlineStr">
        <is>
          <t>AUDITED</t>
        </is>
      </c>
      <c r="B27" s="39" t="inlineStr">
        <is>
          <t>Dante +50% status on scanned targets and Pageflight vulnerability favour status; Devouring Attrition rewards non-crit hits</t>
        </is>
      </c>
      <c r="C27" s="39" t="inlineStr">
        <is>
          <t>Dante</t>
        </is>
      </c>
      <c r="D27" s="39" t="inlineStr">
        <is>
          <t>Primary</t>
        </is>
      </c>
      <c r="E27" s="39" t="inlineStr">
        <is>
          <t>Phenmor</t>
        </is>
      </c>
      <c r="F27" s="39" t="inlineStr">
        <is>
          <t>Rifle</t>
        </is>
      </c>
      <c r="G27" s="39" t="n">
        <v>0.2</v>
      </c>
      <c r="H27" s="39" t="n">
        <v>0.2</v>
      </c>
      <c r="I27" s="39" t="inlineStr">
        <is>
          <t>status</t>
        </is>
      </c>
      <c r="J27" s="39" t="inlineStr">
        <is>
          <t>RIFLE_CRIT</t>
        </is>
      </c>
      <c r="K27" s="39" t="inlineStr">
        <is>
          <t>Serration | Galvanized Chamber | Point Strike | Vital Sense | Hammer Shot | Galvanized Aptitude | Primed Cryo Rounds | Malignant Force</t>
        </is>
      </c>
      <c r="L27" s="39" t="inlineStr">
        <is>
          <t>Primary Merciless</t>
        </is>
      </c>
      <c r="M27" s="39" t="inlineStr">
        <is>
          <t>Viral (Primed Cryo Rounds -&gt; Malignant Force)</t>
        </is>
      </c>
      <c r="N27" s="39" t="inlineStr">
        <is>
          <t>EVO2: Rapid Wrath; EVO3: Retribution's Vessel; EVO4: Elemental Excess; EVO5: Devouring Attrition</t>
        </is>
      </c>
      <c r="O27" s="39" t="inlineStr">
        <is>
          <t>~4 (Incarnon)</t>
        </is>
      </c>
    </row>
    <row r="28">
      <c r="A28" s="39" t="inlineStr">
        <is>
          <t>AUDITED</t>
        </is>
      </c>
      <c r="B28" s="39" t="inlineStr">
        <is>
          <t>Lethal Lance (punch through on kill) satisfies Impaler's Ferocity (punch-through hits +200%)</t>
        </is>
      </c>
      <c r="C28" s="39" t="inlineStr">
        <is>
          <t>Dante</t>
        </is>
      </c>
      <c r="D28" s="39" t="inlineStr">
        <is>
          <t>Secondary</t>
        </is>
      </c>
      <c r="E28" s="39" t="inlineStr">
        <is>
          <t>Onos</t>
        </is>
      </c>
      <c r="F28" s="39" t="inlineStr">
        <is>
          <t>Pistol</t>
        </is>
      </c>
      <c r="G28" s="39" t="n">
        <v>0.26</v>
      </c>
      <c r="H28" s="39" t="n">
        <v>0.22</v>
      </c>
      <c r="I28" s="39" t="inlineStr">
        <is>
          <t>crit</t>
        </is>
      </c>
      <c r="J28" s="39" t="inlineStr">
        <is>
          <t>PISTOL_CRIT</t>
        </is>
      </c>
      <c r="K28" s="39" t="inlineStr">
        <is>
          <t>Hornet Strike | Galvanized Diffusion | Primed Pistol Gambit | Primed Target Cracker | Galvanized Crosshairs | Galvanized Shot | Deep Freeze | Pathogen Rounds</t>
        </is>
      </c>
      <c r="L28" s="39" t="inlineStr">
        <is>
          <t>Secondary Merciless</t>
        </is>
      </c>
      <c r="M28" s="39" t="inlineStr">
        <is>
          <t>Viral (Deep Freeze -&gt; Pathogen Rounds)</t>
        </is>
      </c>
      <c r="N28" s="39" t="inlineStr">
        <is>
          <t>EVO2: Rapid Wrath; EVO3: Rapid Reinforcement; EVO4: Lethal Lance; EVO5: Impaler's Ferocity</t>
        </is>
      </c>
      <c r="O28" s="39" t="inlineStr">
        <is>
          <t>~4 (Incarnon)</t>
        </is>
      </c>
    </row>
    <row r="29">
      <c r="A29" s="39" t="inlineStr">
        <is>
          <t>AUDITED</t>
        </is>
      </c>
      <c r="B29" s="39" t="inlineStr">
        <is>
          <t>Status-oriented Dante; impaled +35% flat status</t>
        </is>
      </c>
      <c r="C29" s="39" t="inlineStr">
        <is>
          <t>Dante</t>
        </is>
      </c>
      <c r="D29" s="39" t="inlineStr">
        <is>
          <t>Melee</t>
        </is>
      </c>
      <c r="E29" s="39" t="inlineStr">
        <is>
          <t>Ruvox</t>
        </is>
      </c>
      <c r="F29" s="39" t="inlineStr">
        <is>
          <t>Fist</t>
        </is>
      </c>
      <c r="G29" s="39" t="n">
        <v>0.26</v>
      </c>
      <c r="H29" s="39" t="n">
        <v>0.2</v>
      </c>
      <c r="I29" s="39" t="inlineStr">
        <is>
          <t>crit</t>
        </is>
      </c>
      <c r="J29" s="39" t="inlineStr">
        <is>
          <t>MELEE_CRIT</t>
        </is>
      </c>
      <c r="K29" s="39" t="inlineStr">
        <is>
          <t>Primed Pressure Point | Blood Rush | Weeping Wounds | Organ Shatter | Berserker Fury | Condition Overload | North Wind | Virulent Scourge</t>
        </is>
      </c>
      <c r="L29" s="39" t="inlineStr">
        <is>
          <t>Melee Duplicate</t>
        </is>
      </c>
      <c r="M29" s="39" t="inlineStr">
        <is>
          <t>Viral (North Wind -&gt; Virulent Scourge)</t>
        </is>
      </c>
      <c r="N29" s="39" t="inlineStr">
        <is>
          <t>EVO2: Lethal Impetus; EVO3: Adept Reflexes; EVO4: Swift Transmute; EVO5: Vulnerability Serum</t>
        </is>
      </c>
      <c r="O29" s="39" t="inlineStr">
        <is>
          <t>~4 (Incarnon)</t>
        </is>
      </c>
    </row>
    <row r="30">
      <c r="A30" s="39" t="inlineStr">
        <is>
          <t>AUDITED</t>
        </is>
      </c>
      <c r="B30" s="39" t="inlineStr"/>
      <c r="C30" s="39" t="inlineStr">
        <is>
          <t>Ember Prime</t>
        </is>
      </c>
      <c r="D30" s="39" t="inlineStr">
        <is>
          <t>Primary</t>
        </is>
      </c>
      <c r="E30" s="39" t="inlineStr">
        <is>
          <t>Ignis Wraith</t>
        </is>
      </c>
      <c r="F30" s="39" t="inlineStr">
        <is>
          <t>Rifle</t>
        </is>
      </c>
      <c r="G30" s="39" t="n">
        <v>0.17</v>
      </c>
      <c r="H30" s="39" t="n">
        <v>0.29</v>
      </c>
      <c r="I30" s="39" t="inlineStr">
        <is>
          <t>status</t>
        </is>
      </c>
      <c r="J30" s="39" t="inlineStr">
        <is>
          <t>RIFLE_CRIT</t>
        </is>
      </c>
      <c r="K30" s="39" t="inlineStr">
        <is>
          <t>Serration | Galvanized Chamber | Point Strike | Vital Sense | Hammer Shot | Galvanized Aptitude | Primed Cryo Rounds | Malignant Force</t>
        </is>
      </c>
      <c r="L30" s="39" t="inlineStr">
        <is>
          <t>Primary Merciless</t>
        </is>
      </c>
      <c r="M30" s="39" t="inlineStr">
        <is>
          <t>Viral (Primed Cryo Rounds -&gt; Malignant Force)</t>
        </is>
      </c>
      <c r="N30" s="39" t="inlineStr">
        <is>
          <t>-</t>
        </is>
      </c>
      <c r="O30" s="39" t="inlineStr">
        <is>
          <t>~3</t>
        </is>
      </c>
    </row>
    <row r="31">
      <c r="A31" s="39" t="inlineStr">
        <is>
          <t>AUDITED</t>
        </is>
      </c>
      <c r="B31" s="39" t="inlineStr">
        <is>
          <t>7% crit x5 multiplier + flat crit from Arcane Hot Shot and Topaz heat-kill shards; Heat element target</t>
        </is>
      </c>
      <c r="C31" s="39" t="inlineStr">
        <is>
          <t>Ember Prime</t>
        </is>
      </c>
      <c r="D31" s="39" t="inlineStr">
        <is>
          <t>Secondary</t>
        </is>
      </c>
      <c r="E31" s="39" t="inlineStr">
        <is>
          <t>Kuva Nukor</t>
        </is>
      </c>
      <c r="F31" s="39" t="inlineStr">
        <is>
          <t>Pistol</t>
        </is>
      </c>
      <c r="G31" s="39" t="n">
        <v>0.07000000000000001</v>
      </c>
      <c r="H31" s="39" t="n">
        <v>0.5</v>
      </c>
      <c r="I31" s="39" t="inlineStr">
        <is>
          <t>crit</t>
        </is>
      </c>
      <c r="J31" s="39" t="inlineStr">
        <is>
          <t>PISTOL_CRIT</t>
        </is>
      </c>
      <c r="K31" s="39" t="inlineStr">
        <is>
          <t>Hornet Strike | Galvanized Diffusion | Primed Pistol Gambit | Primed Target Cracker | Galvanized Crosshairs | Galvanized Shot | Deep Freeze | Pathogen Rounds</t>
        </is>
      </c>
      <c r="L31" s="39" t="inlineStr">
        <is>
          <t>Secondary Merciless</t>
        </is>
      </c>
      <c r="M31" s="39" t="inlineStr">
        <is>
          <t>Adversary innate element (see Adversary sheet) + Viral (Deep Freeze -&gt; Pathogen Rounds)</t>
        </is>
      </c>
      <c r="N31" s="39" t="inlineStr">
        <is>
          <t>-</t>
        </is>
      </c>
      <c r="O31" s="39" t="inlineStr">
        <is>
          <t>5 Forma to Rank 40 + ~3 polarization</t>
        </is>
      </c>
    </row>
    <row r="32">
      <c r="A32" s="39" t="inlineStr">
        <is>
          <t>AUDITED</t>
        </is>
      </c>
      <c r="B32" s="39" t="inlineStr"/>
      <c r="C32" s="39" t="inlineStr">
        <is>
          <t>Ember Prime</t>
        </is>
      </c>
      <c r="D32" s="39" t="inlineStr">
        <is>
          <t>Melee</t>
        </is>
      </c>
      <c r="E32" s="39" t="inlineStr">
        <is>
          <t>Jat Kittag</t>
        </is>
      </c>
      <c r="F32" s="39" t="inlineStr">
        <is>
          <t>Hammer</t>
        </is>
      </c>
      <c r="G32" s="39" t="n">
        <v>0.15</v>
      </c>
      <c r="H32" s="39" t="n">
        <v>0.25</v>
      </c>
      <c r="I32" s="39" t="inlineStr">
        <is>
          <t>status</t>
        </is>
      </c>
      <c r="J32" s="39" t="inlineStr">
        <is>
          <t>MELEE_INFLUENCE</t>
        </is>
      </c>
      <c r="K32" s="39" t="inlineStr">
        <is>
          <t>Primed Pressure Point | Blood Rush | Weeping Wounds | Organ Shatter | Condition Overload | North Wind | Virulent Scourge | Voltaic Strike</t>
        </is>
      </c>
      <c r="L32" s="39" t="inlineStr">
        <is>
          <t>Melee Influence</t>
        </is>
      </c>
      <c r="M32" s="39" t="inlineStr">
        <is>
          <t>Viral + Electricity (North Wind -&gt; Virulent Scourge, Voltaic Strike unpaired: required to trigger Melee Influence)</t>
        </is>
      </c>
      <c r="N32" s="39" t="inlineStr">
        <is>
          <t>-</t>
        </is>
      </c>
      <c r="O32" s="39" t="inlineStr">
        <is>
          <t>~3</t>
        </is>
      </c>
    </row>
    <row r="33">
      <c r="A33" s="39" t="inlineStr">
        <is>
          <t>AUDITED</t>
        </is>
      </c>
      <c r="B33" s="39" t="inlineStr">
        <is>
          <t>Fortress Salvo needs &gt;450 armor (not reached); Maim slash procs + weapon statuses</t>
        </is>
      </c>
      <c r="C33" s="39" t="inlineStr">
        <is>
          <t>Equinox Prime</t>
        </is>
      </c>
      <c r="D33" s="39" t="inlineStr">
        <is>
          <t>Primary</t>
        </is>
      </c>
      <c r="E33" s="39" t="inlineStr">
        <is>
          <t>Burston Prime</t>
        </is>
      </c>
      <c r="F33" s="39" t="inlineStr">
        <is>
          <t>Rifle</t>
        </is>
      </c>
      <c r="G33" s="39" t="n">
        <v>0.18</v>
      </c>
      <c r="H33" s="39" t="n">
        <v>0.3</v>
      </c>
      <c r="I33" s="39" t="inlineStr">
        <is>
          <t>status</t>
        </is>
      </c>
      <c r="J33" s="39" t="inlineStr">
        <is>
          <t>RIFLE_CRIT</t>
        </is>
      </c>
      <c r="K33" s="39" t="inlineStr">
        <is>
          <t>Serration | Galvanized Chamber | Point Strike | Vital Sense | Hammer Shot | Galvanized Aptitude | Primed Cryo Rounds | Malignant Force</t>
        </is>
      </c>
      <c r="L33" s="39" t="inlineStr">
        <is>
          <t>Primary Merciless</t>
        </is>
      </c>
      <c r="M33" s="39" t="inlineStr">
        <is>
          <t>Viral (Primed Cryo Rounds -&gt; Malignant Force)</t>
        </is>
      </c>
      <c r="N33" s="39" t="inlineStr">
        <is>
          <t>EVO2: Forceful Finality; EVO3: Extended Volley; EVO4: Fatal Affliction</t>
        </is>
      </c>
      <c r="O33" s="39" t="inlineStr">
        <is>
          <t>~4 (Incarnon)</t>
        </is>
      </c>
    </row>
    <row r="34">
      <c r="A34" s="39" t="inlineStr">
        <is>
          <t>AUDITED</t>
        </is>
      </c>
      <c r="B34" s="39" t="inlineStr">
        <is>
          <t>Ready Retaliation documented as not working; Commodore +20% on 5% base is weak</t>
        </is>
      </c>
      <c r="C34" s="39" t="inlineStr">
        <is>
          <t>Equinox Prime</t>
        </is>
      </c>
      <c r="D34" s="39" t="inlineStr">
        <is>
          <t>Secondary</t>
        </is>
      </c>
      <c r="E34" s="39" t="inlineStr">
        <is>
          <t>Dual Toxocyst</t>
        </is>
      </c>
      <c r="F34" s="39" t="inlineStr">
        <is>
          <t>Dual Pistols</t>
        </is>
      </c>
      <c r="G34" s="39" t="n">
        <v>0.05</v>
      </c>
      <c r="H34" s="39" t="n">
        <v>0.37</v>
      </c>
      <c r="I34" s="39" t="inlineStr">
        <is>
          <t>status</t>
        </is>
      </c>
      <c r="J34" s="39" t="inlineStr">
        <is>
          <t>PISTOL_CRIT</t>
        </is>
      </c>
      <c r="K34" s="39" t="inlineStr">
        <is>
          <t>Hornet Strike | Galvanized Diffusion | Primed Pistol Gambit | Primed Target Cracker | Galvanized Crosshairs | Galvanized Shot | Deep Freeze | Pathogen Rounds</t>
        </is>
      </c>
      <c r="L34" s="39" t="inlineStr">
        <is>
          <t>Secondary Encumber</t>
        </is>
      </c>
      <c r="M34" s="39" t="inlineStr">
        <is>
          <t>Viral (Deep Freeze -&gt; Pathogen Rounds)</t>
        </is>
      </c>
      <c r="N34" s="39" t="inlineStr">
        <is>
          <t>EVO2: Carnage Reign; EVO3: Evolved Autoloader; EVO4: Neurotoxin</t>
        </is>
      </c>
      <c r="O34" s="39" t="inlineStr">
        <is>
          <t>~4 (Incarnon)</t>
        </is>
      </c>
    </row>
    <row r="35">
      <c r="A35" s="39" t="inlineStr">
        <is>
          <t>AUDITED</t>
        </is>
      </c>
      <c r="B35" s="39" t="inlineStr"/>
      <c r="C35" s="39" t="inlineStr">
        <is>
          <t>Equinox Prime</t>
        </is>
      </c>
      <c r="D35" s="39" t="inlineStr">
        <is>
          <t>Melee</t>
        </is>
      </c>
      <c r="E35" s="39" t="inlineStr">
        <is>
          <t>Lesion</t>
        </is>
      </c>
      <c r="F35" s="39" t="inlineStr">
        <is>
          <t>Polearm</t>
        </is>
      </c>
      <c r="G35" s="39" t="n">
        <v>0.15</v>
      </c>
      <c r="H35" s="39" t="n">
        <v>0.37</v>
      </c>
      <c r="I35" s="39" t="inlineStr">
        <is>
          <t>status</t>
        </is>
      </c>
      <c r="J35" s="39" t="inlineStr">
        <is>
          <t>MELEE_INFLUENCE</t>
        </is>
      </c>
      <c r="K35" s="39" t="inlineStr">
        <is>
          <t>Primed Pressure Point | Blood Rush | Weeping Wounds | Organ Shatter | Condition Overload | North Wind | Virulent Scourge | Voltaic Strike</t>
        </is>
      </c>
      <c r="L35" s="39" t="inlineStr">
        <is>
          <t>Melee Influence</t>
        </is>
      </c>
      <c r="M35" s="39" t="inlineStr">
        <is>
          <t>Viral + Electricity (North Wind -&gt; Virulent Scourge, Voltaic Strike unpaired: required to trigger Melee Influence)</t>
        </is>
      </c>
      <c r="N35" s="39" t="inlineStr">
        <is>
          <t>-</t>
        </is>
      </c>
      <c r="O35" s="39" t="inlineStr">
        <is>
          <t>~3</t>
        </is>
      </c>
    </row>
    <row r="36">
      <c r="A36" s="39" t="inlineStr">
        <is>
          <t>AUDITED</t>
        </is>
      </c>
      <c r="B36" s="39" t="inlineStr">
        <is>
          <t>Daring Reverie needs a channeled ability</t>
        </is>
      </c>
      <c r="C36" s="39" t="inlineStr">
        <is>
          <t>Excalibur Umbra</t>
        </is>
      </c>
      <c r="D36" s="39" t="inlineStr">
        <is>
          <t>Primary</t>
        </is>
      </c>
      <c r="E36" s="39" t="inlineStr">
        <is>
          <t>Braton Prime</t>
        </is>
      </c>
      <c r="F36" s="39" t="inlineStr">
        <is>
          <t>Rifle</t>
        </is>
      </c>
      <c r="G36" s="39" t="n">
        <v>0.12</v>
      </c>
      <c r="H36" s="39" t="n">
        <v>0.26</v>
      </c>
      <c r="I36" s="39" t="inlineStr">
        <is>
          <t>status</t>
        </is>
      </c>
      <c r="J36" s="39" t="inlineStr">
        <is>
          <t>RIFLE_CRIT</t>
        </is>
      </c>
      <c r="K36" s="39" t="inlineStr">
        <is>
          <t>Serration | Galvanized Chamber | Point Strike | Vital Sense | Hammer Shot | Galvanized Aptitude | Primed Cryo Rounds | Malignant Force</t>
        </is>
      </c>
      <c r="L36" s="39" t="inlineStr">
        <is>
          <t>Primary Merciless</t>
        </is>
      </c>
      <c r="M36" s="39" t="inlineStr">
        <is>
          <t>Viral (Primed Cryo Rounds -&gt; Malignant Force)</t>
        </is>
      </c>
      <c r="N36" s="39" t="inlineStr">
        <is>
          <t>EVO2: Munitions Grit; EVO3: Void's Guidance; EVO4: Critical Parallel</t>
        </is>
      </c>
      <c r="O36" s="39" t="inlineStr">
        <is>
          <t>~4 (Incarnon)</t>
        </is>
      </c>
    </row>
    <row r="37">
      <c r="A37" s="39" t="inlineStr">
        <is>
          <t>AUDITED</t>
        </is>
      </c>
      <c r="B37" s="39" t="inlineStr">
        <is>
          <t>Lone Gun needs no Primary equipped (Umbra carries Braton Prime)</t>
        </is>
      </c>
      <c r="C37" s="39" t="inlineStr">
        <is>
          <t>Excalibur Umbra</t>
        </is>
      </c>
      <c r="D37" s="39" t="inlineStr">
        <is>
          <t>Secondary</t>
        </is>
      </c>
      <c r="E37" s="39" t="inlineStr">
        <is>
          <t>Vasto Prime</t>
        </is>
      </c>
      <c r="F37" s="39" t="inlineStr">
        <is>
          <t>Pistol</t>
        </is>
      </c>
      <c r="G37" s="39" t="n">
        <v>0.22</v>
      </c>
      <c r="H37" s="39" t="n">
        <v>0.22</v>
      </c>
      <c r="I37" s="39" t="inlineStr">
        <is>
          <t>crit</t>
        </is>
      </c>
      <c r="J37" s="39" t="inlineStr">
        <is>
          <t>PISTOL_CRIT</t>
        </is>
      </c>
      <c r="K37" s="39" t="inlineStr">
        <is>
          <t>Hornet Strike | Galvanized Diffusion | Primed Pistol Gambit | Primed Target Cracker | Galvanized Crosshairs | Galvanized Shot | Deep Freeze | Pathogen Rounds</t>
        </is>
      </c>
      <c r="L37" s="39" t="inlineStr">
        <is>
          <t>Secondary Outburst</t>
        </is>
      </c>
      <c r="M37" s="39" t="inlineStr">
        <is>
          <t>Viral (Deep Freeze -&gt; Pathogen Rounds)</t>
        </is>
      </c>
      <c r="N37" s="39" t="inlineStr">
        <is>
          <t>EVO2: Deathtrap Trigger; EVO3: Awakened Readiness; EVO4: Commodore's Fortune</t>
        </is>
      </c>
      <c r="O37" s="39" t="inlineStr">
        <is>
          <t>~4 (Incarnon)</t>
        </is>
      </c>
    </row>
    <row r="38">
      <c r="A38" s="39" t="inlineStr">
        <is>
          <t>AUDITED</t>
        </is>
      </c>
      <c r="B38" s="39" t="inlineStr">
        <is>
          <t>Signature: alt-fire applies Inkblot; siphons ammo from ability Inkblot - keep Enkaus alt-fire in the loop</t>
        </is>
      </c>
      <c r="C38" s="39" t="inlineStr">
        <is>
          <t>Follie</t>
        </is>
      </c>
      <c r="D38" s="39" t="inlineStr">
        <is>
          <t>Primary</t>
        </is>
      </c>
      <c r="E38" s="39" t="inlineStr">
        <is>
          <t>Enkaus</t>
        </is>
      </c>
      <c r="F38" s="39" t="inlineStr">
        <is>
          <t>Rifle</t>
        </is>
      </c>
      <c r="G38" s="39" t="n">
        <v>0.16</v>
      </c>
      <c r="H38" s="39" t="n">
        <v>0.32</v>
      </c>
      <c r="I38" s="39" t="inlineStr">
        <is>
          <t>status</t>
        </is>
      </c>
      <c r="J38" s="39" t="inlineStr">
        <is>
          <t>RIFLE_CRIT</t>
        </is>
      </c>
      <c r="K38" s="39" t="inlineStr">
        <is>
          <t>Serration | Galvanized Chamber | Point Strike | Vital Sense | Hammer Shot | Galvanized Aptitude | Primed Cryo Rounds | Malignant Force</t>
        </is>
      </c>
      <c r="L38" s="39" t="inlineStr">
        <is>
          <t>Primary Merciless</t>
        </is>
      </c>
      <c r="M38" s="39" t="inlineStr">
        <is>
          <t>Viral (Primed Cryo Rounds -&gt; Malignant Force)</t>
        </is>
      </c>
      <c r="N38" s="39" t="inlineStr">
        <is>
          <t>-</t>
        </is>
      </c>
      <c r="O38" s="39" t="inlineStr">
        <is>
          <t>~3</t>
        </is>
      </c>
    </row>
    <row r="39">
      <c r="A39" s="39" t="inlineStr">
        <is>
          <t>AUDITED</t>
        </is>
      </c>
      <c r="B39" s="39" t="inlineStr"/>
      <c r="C39" s="39" t="inlineStr">
        <is>
          <t>Follie</t>
        </is>
      </c>
      <c r="D39" s="39" t="inlineStr">
        <is>
          <t>Secondary</t>
        </is>
      </c>
      <c r="E39" s="39" t="inlineStr">
        <is>
          <t>Staticor</t>
        </is>
      </c>
      <c r="F39" s="39" t="inlineStr">
        <is>
          <t>Thrown</t>
        </is>
      </c>
      <c r="G39" s="39" t="n">
        <v>0.14</v>
      </c>
      <c r="H39" s="39" t="n">
        <v>0.28</v>
      </c>
      <c r="I39" s="39" t="inlineStr">
        <is>
          <t>status</t>
        </is>
      </c>
      <c r="J39" s="39" t="inlineStr">
        <is>
          <t>PISTOL_CRIT</t>
        </is>
      </c>
      <c r="K39" s="39" t="inlineStr">
        <is>
          <t>Hornet Strike | Galvanized Diffusion | Primed Pistol Gambit | Primed Target Cracker | Galvanized Crosshairs | Galvanized Shot | Deep Freeze | Pathogen Rounds</t>
        </is>
      </c>
      <c r="L39" s="39" t="inlineStr">
        <is>
          <t>Secondary Encumber</t>
        </is>
      </c>
      <c r="M39" s="39" t="inlineStr">
        <is>
          <t>Viral (Deep Freeze -&gt; Pathogen Rounds)</t>
        </is>
      </c>
      <c r="N39" s="39" t="inlineStr">
        <is>
          <t>-</t>
        </is>
      </c>
      <c r="O39" s="39" t="inlineStr">
        <is>
          <t>~3</t>
        </is>
      </c>
    </row>
    <row r="40">
      <c r="A40" s="39" t="inlineStr">
        <is>
          <t>AUDITED</t>
        </is>
      </c>
      <c r="B40" s="39" t="inlineStr"/>
      <c r="C40" s="39" t="inlineStr">
        <is>
          <t>Follie</t>
        </is>
      </c>
      <c r="D40" s="39" t="inlineStr">
        <is>
          <t>Melee</t>
        </is>
      </c>
      <c r="E40" s="39" t="inlineStr">
        <is>
          <t>Keratinos</t>
        </is>
      </c>
      <c r="F40" s="39" t="inlineStr">
        <is>
          <t>Claws</t>
        </is>
      </c>
      <c r="G40" s="39" t="n">
        <v>0.13</v>
      </c>
      <c r="H40" s="39" t="n">
        <v>0.29</v>
      </c>
      <c r="I40" s="39" t="inlineStr">
        <is>
          <t>status</t>
        </is>
      </c>
      <c r="J40" s="39" t="inlineStr">
        <is>
          <t>MELEE_INFLUENCE</t>
        </is>
      </c>
      <c r="K40" s="39" t="inlineStr">
        <is>
          <t>Primed Pressure Point | Blood Rush | Weeping Wounds | Organ Shatter | Condition Overload | North Wind | Virulent Scourge | Voltaic Strike</t>
        </is>
      </c>
      <c r="L40" s="39" t="inlineStr">
        <is>
          <t>Melee Influence</t>
        </is>
      </c>
      <c r="M40" s="39" t="inlineStr">
        <is>
          <t>Viral + Electricity (North Wind -&gt; Virulent Scourge, Voltaic Strike unpaired: required to trigger Melee Influence)</t>
        </is>
      </c>
      <c r="N40" s="39" t="inlineStr">
        <is>
          <t>-</t>
        </is>
      </c>
      <c r="O40" s="39" t="inlineStr">
        <is>
          <t>~3</t>
        </is>
      </c>
    </row>
    <row r="41">
      <c r="A41" s="39" t="inlineStr">
        <is>
          <t>AUDITED</t>
        </is>
      </c>
      <c r="B41" s="39" t="inlineStr">
        <is>
          <t>Cold beam on a Cold-stacking frame: crit damage/multishot per Cold status</t>
        </is>
      </c>
      <c r="C41" s="39" t="inlineStr">
        <is>
          <t>Frost Prime</t>
        </is>
      </c>
      <c r="D41" s="39" t="inlineStr">
        <is>
          <t>Primary</t>
        </is>
      </c>
      <c r="E41" s="39" t="inlineStr">
        <is>
          <t>Glaxion Vandal</t>
        </is>
      </c>
      <c r="F41" s="39" t="inlineStr">
        <is>
          <t>Rifle</t>
        </is>
      </c>
      <c r="G41" s="39" t="n">
        <v>0.14</v>
      </c>
      <c r="H41" s="39" t="n">
        <v>0.38</v>
      </c>
      <c r="I41" s="39" t="inlineStr">
        <is>
          <t>status</t>
        </is>
      </c>
      <c r="J41" s="39" t="inlineStr">
        <is>
          <t>RIFLE_CRIT</t>
        </is>
      </c>
      <c r="K41" s="39" t="inlineStr">
        <is>
          <t>Serration | Galvanized Chamber | Point Strike | Vital Sense | Hammer Shot | Galvanized Aptitude | Primed Cryo Rounds | Malignant Force</t>
        </is>
      </c>
      <c r="L41" s="39" t="inlineStr">
        <is>
          <t>Primary Frostbite</t>
        </is>
      </c>
      <c r="M41" s="39" t="inlineStr">
        <is>
          <t>Viral (Primed Cryo Rounds -&gt; Malignant Force)</t>
        </is>
      </c>
      <c r="N41" s="39" t="inlineStr">
        <is>
          <t>-</t>
        </is>
      </c>
      <c r="O41" s="39" t="inlineStr">
        <is>
          <t>~3</t>
        </is>
      </c>
    </row>
    <row r="42">
      <c r="A42" s="39" t="inlineStr">
        <is>
          <t>AUDITED</t>
        </is>
      </c>
      <c r="B42" s="39" t="inlineStr">
        <is>
          <t>Frost stacks Cold statuses (Ice Wave/Globe/Avalanche); +45% damage per Cold status</t>
        </is>
      </c>
      <c r="C42" s="39" t="inlineStr">
        <is>
          <t>Frost Prime</t>
        </is>
      </c>
      <c r="D42" s="39" t="inlineStr">
        <is>
          <t>Secondary</t>
        </is>
      </c>
      <c r="E42" s="39" t="inlineStr">
        <is>
          <t>Twin Kohmak</t>
        </is>
      </c>
      <c r="F42" s="39" t="inlineStr">
        <is>
          <t>Dual Shotguns</t>
        </is>
      </c>
      <c r="G42" s="39" t="n">
        <v>0.11</v>
      </c>
      <c r="H42" s="39" t="n">
        <v>0.6899999999999999</v>
      </c>
      <c r="I42" s="39" t="inlineStr">
        <is>
          <t>status</t>
        </is>
      </c>
      <c r="J42" s="39" t="inlineStr">
        <is>
          <t>PISTOL_CRIT</t>
        </is>
      </c>
      <c r="K42" s="39" t="inlineStr">
        <is>
          <t>Hornet Strike | Galvanized Diffusion | Primed Pistol Gambit | Primed Target Cracker | Galvanized Crosshairs | Galvanized Shot | Deep Freeze | Pathogen Rounds</t>
        </is>
      </c>
      <c r="L42" s="39" t="inlineStr">
        <is>
          <t>Secondary Shiver</t>
        </is>
      </c>
      <c r="M42" s="39" t="inlineStr">
        <is>
          <t>Viral (Deep Freeze -&gt; Pathogen Rounds)</t>
        </is>
      </c>
      <c r="N42" s="39" t="inlineStr">
        <is>
          <t>-</t>
        </is>
      </c>
      <c r="O42" s="39" t="inlineStr">
        <is>
          <t>~3</t>
        </is>
      </c>
    </row>
    <row r="43">
      <c r="A43" s="39" t="inlineStr">
        <is>
          <t>AUDITED</t>
        </is>
      </c>
      <c r="B43" s="39" t="inlineStr">
        <is>
          <t>Cold-target combo perks satisfied by Frost; heavy-attack hammer</t>
        </is>
      </c>
      <c r="C43" s="39" t="inlineStr">
        <is>
          <t>Frost Prime</t>
        </is>
      </c>
      <c r="D43" s="39" t="inlineStr">
        <is>
          <t>Melee</t>
        </is>
      </c>
      <c r="E43" s="39" t="inlineStr">
        <is>
          <t>Sibear</t>
        </is>
      </c>
      <c r="F43" s="39" t="inlineStr">
        <is>
          <t>Hammer</t>
        </is>
      </c>
      <c r="G43" s="39" t="n">
        <v>0.15</v>
      </c>
      <c r="H43" s="39" t="n">
        <v>0.3</v>
      </c>
      <c r="I43" s="39" t="inlineStr">
        <is>
          <t>status</t>
        </is>
      </c>
      <c r="J43" s="39" t="inlineStr">
        <is>
          <t>MELEE_CRIT</t>
        </is>
      </c>
      <c r="K43" s="39" t="inlineStr">
        <is>
          <t>Primed Pressure Point | Blood Rush | Weeping Wounds | Organ Shatter | Berserker Fury | Condition Overload | North Wind | Virulent Scourge</t>
        </is>
      </c>
      <c r="L43" s="39" t="inlineStr">
        <is>
          <t>Melee Animosity</t>
        </is>
      </c>
      <c r="M43" s="39" t="inlineStr">
        <is>
          <t>Viral (North Wind -&gt; Virulent Scourge)</t>
        </is>
      </c>
      <c r="N43" s="39" t="inlineStr">
        <is>
          <t>EVO2: Master's Shatter; EVO3: Kinetic Harmony; EVO4: Mounting Avalanche</t>
        </is>
      </c>
      <c r="O43" s="39" t="inlineStr">
        <is>
          <t>~4 (Incarnon)</t>
        </is>
      </c>
    </row>
    <row r="44">
      <c r="A44" s="39" t="inlineStr">
        <is>
          <t>AUDITED</t>
        </is>
      </c>
      <c r="B44" s="39" t="inlineStr"/>
      <c r="C44" s="39" t="inlineStr">
        <is>
          <t>Gara Prime</t>
        </is>
      </c>
      <c r="D44" s="39" t="inlineStr">
        <is>
          <t>Primary</t>
        </is>
      </c>
      <c r="E44" s="39" t="inlineStr">
        <is>
          <t>Astilla Prime</t>
        </is>
      </c>
      <c r="F44" s="39" t="inlineStr">
        <is>
          <t>Shotgun</t>
        </is>
      </c>
      <c r="G44" s="39" t="n">
        <v>0.21</v>
      </c>
      <c r="H44" s="39" t="n">
        <v>0.37</v>
      </c>
      <c r="I44" s="39" t="inlineStr">
        <is>
          <t>status</t>
        </is>
      </c>
      <c r="J44" s="39" t="inlineStr">
        <is>
          <t>SHOTGUN</t>
        </is>
      </c>
      <c r="K44" s="39" t="inlineStr">
        <is>
          <t>Primed Point Blank | Galvanized Hell | Primed Ravage | Critical Deceleration | Galvanized Savvy | Chilling Grasp | Toxic Barrage | Primed Charged Shell</t>
        </is>
      </c>
      <c r="L44" s="39" t="inlineStr">
        <is>
          <t>Shotgun Vendetta</t>
        </is>
      </c>
      <c r="M44" s="39" t="inlineStr">
        <is>
          <t>Viral + Electricity (Chilling Grasp -&gt; Toxic Barrage, then Primed Charged Shell unpaired)</t>
        </is>
      </c>
      <c r="N44" s="39" t="inlineStr">
        <is>
          <t>-</t>
        </is>
      </c>
      <c r="O44" s="39" t="inlineStr">
        <is>
          <t>~3</t>
        </is>
      </c>
    </row>
    <row r="45">
      <c r="A45" s="39" t="inlineStr">
        <is>
          <t>AUDITED</t>
        </is>
      </c>
      <c r="B45" s="39" t="inlineStr"/>
      <c r="C45" s="39" t="inlineStr">
        <is>
          <t>Gara Prime</t>
        </is>
      </c>
      <c r="D45" s="39" t="inlineStr">
        <is>
          <t>Secondary</t>
        </is>
      </c>
      <c r="E45" s="39" t="inlineStr">
        <is>
          <t>Fusilai</t>
        </is>
      </c>
      <c r="F45" s="39" t="inlineStr">
        <is>
          <t>Thrown</t>
        </is>
      </c>
      <c r="G45" s="39" t="n">
        <v>0.23</v>
      </c>
      <c r="H45" s="39" t="n">
        <v>0.29</v>
      </c>
      <c r="I45" s="39" t="inlineStr">
        <is>
          <t>status</t>
        </is>
      </c>
      <c r="J45" s="39" t="inlineStr">
        <is>
          <t>PISTOL_CRIT</t>
        </is>
      </c>
      <c r="K45" s="39" t="inlineStr">
        <is>
          <t>Hornet Strike | Galvanized Diffusion | Primed Pistol Gambit | Primed Target Cracker | Galvanized Crosshairs | Galvanized Shot | Deep Freeze | Pathogen Rounds</t>
        </is>
      </c>
      <c r="L45" s="39" t="inlineStr">
        <is>
          <t>Secondary Encumber</t>
        </is>
      </c>
      <c r="M45" s="39" t="inlineStr">
        <is>
          <t>Viral (Deep Freeze -&gt; Pathogen Rounds)</t>
        </is>
      </c>
      <c r="N45" s="39" t="inlineStr">
        <is>
          <t>-</t>
        </is>
      </c>
      <c r="O45" s="39" t="inlineStr">
        <is>
          <t>~3</t>
        </is>
      </c>
    </row>
    <row r="46">
      <c r="A46" s="39" t="inlineStr">
        <is>
          <t>AUDITED</t>
        </is>
      </c>
      <c r="B46" s="39" t="inlineStr">
        <is>
          <t>Volnus Prime signature +100% radial slam -&gt; heavy slam build</t>
        </is>
      </c>
      <c r="C46" s="39" t="inlineStr">
        <is>
          <t>Gara Prime</t>
        </is>
      </c>
      <c r="D46" s="39" t="inlineStr">
        <is>
          <t>Melee</t>
        </is>
      </c>
      <c r="E46" s="39" t="inlineStr">
        <is>
          <t>Volnus Prime</t>
        </is>
      </c>
      <c r="F46" s="39" t="inlineStr">
        <is>
          <t>Hammer</t>
        </is>
      </c>
      <c r="G46" s="39" t="n">
        <v>0.2</v>
      </c>
      <c r="H46" s="39" t="n">
        <v>0.34</v>
      </c>
      <c r="I46" s="39" t="inlineStr">
        <is>
          <t>status</t>
        </is>
      </c>
      <c r="J46" s="39" t="inlineStr">
        <is>
          <t>MELEE_CRIT</t>
        </is>
      </c>
      <c r="K46" s="39" t="inlineStr">
        <is>
          <t>Primed Pressure Point | Blood Rush | Weeping Wounds | Organ Shatter | Berserker Fury | Condition Overload | North Wind | Virulent Scourge</t>
        </is>
      </c>
      <c r="L46" s="39" t="inlineStr">
        <is>
          <t>Melee Animosity</t>
        </is>
      </c>
      <c r="M46" s="39" t="inlineStr">
        <is>
          <t>Viral (North Wind -&gt; Virulent Scourge)</t>
        </is>
      </c>
      <c r="N46" s="39" t="inlineStr">
        <is>
          <t>-</t>
        </is>
      </c>
      <c r="O46" s="39" t="inlineStr">
        <is>
          <t>~3</t>
        </is>
      </c>
    </row>
    <row r="47">
      <c r="A47" s="39" t="inlineStr">
        <is>
          <t>AUDITED</t>
        </is>
      </c>
      <c r="B47" s="39" t="inlineStr"/>
      <c r="C47" s="39" t="inlineStr">
        <is>
          <t>Garuda Prime</t>
        </is>
      </c>
      <c r="D47" s="39" t="inlineStr">
        <is>
          <t>Primary</t>
        </is>
      </c>
      <c r="E47" s="39" t="inlineStr">
        <is>
          <t>Nagantaka Prime</t>
        </is>
      </c>
      <c r="F47" s="39" t="inlineStr">
        <is>
          <t>Crossbow</t>
        </is>
      </c>
      <c r="G47" s="39" t="n">
        <v>0.25</v>
      </c>
      <c r="H47" s="39" t="n">
        <v>0.39</v>
      </c>
      <c r="I47" s="39" t="inlineStr">
        <is>
          <t>crit</t>
        </is>
      </c>
      <c r="J47" s="39" t="inlineStr">
        <is>
          <t>RIFLE_CRIT</t>
        </is>
      </c>
      <c r="K47" s="39" t="inlineStr">
        <is>
          <t>Serration | Galvanized Chamber | Point Strike | Vital Sense | Hammer Shot | Galvanized Aptitude | Primed Cryo Rounds | Malignant Force</t>
        </is>
      </c>
      <c r="L47" s="39" t="inlineStr">
        <is>
          <t>Primary Deadhead</t>
        </is>
      </c>
      <c r="M47" s="39" t="inlineStr">
        <is>
          <t>Viral (Primed Cryo Rounds -&gt; Malignant Force)</t>
        </is>
      </c>
      <c r="N47" s="39" t="inlineStr">
        <is>
          <t>-</t>
        </is>
      </c>
      <c r="O47" s="39" t="inlineStr">
        <is>
          <t>~3</t>
        </is>
      </c>
    </row>
    <row r="48">
      <c r="A48" s="39" t="inlineStr">
        <is>
          <t>AUDITED</t>
        </is>
      </c>
      <c r="B48" s="39" t="inlineStr">
        <is>
          <t>Stalker's Vendetta needs Dread and Hate equipped</t>
        </is>
      </c>
      <c r="C48" s="39" t="inlineStr">
        <is>
          <t>Garuda Prime</t>
        </is>
      </c>
      <c r="D48" s="39" t="inlineStr">
        <is>
          <t>Secondary</t>
        </is>
      </c>
      <c r="E48" s="39" t="inlineStr">
        <is>
          <t>Despair</t>
        </is>
      </c>
      <c r="F48" s="39" t="inlineStr">
        <is>
          <t>Thrown</t>
        </is>
      </c>
      <c r="G48" s="39" t="n">
        <v>0.16</v>
      </c>
      <c r="H48" s="39" t="n">
        <v>0.16</v>
      </c>
      <c r="I48" s="39" t="inlineStr">
        <is>
          <t>crit</t>
        </is>
      </c>
      <c r="J48" s="39" t="inlineStr">
        <is>
          <t>PISTOL_CRIT</t>
        </is>
      </c>
      <c r="K48" s="39" t="inlineStr">
        <is>
          <t>Hornet Strike | Galvanized Diffusion | Primed Pistol Gambit | Primed Target Cracker | Galvanized Crosshairs | Galvanized Shot | Deep Freeze | Pathogen Rounds</t>
        </is>
      </c>
      <c r="L48" s="39" t="inlineStr">
        <is>
          <t>Secondary Outburst</t>
        </is>
      </c>
      <c r="M48" s="39" t="inlineStr">
        <is>
          <t>Viral (Deep Freeze -&gt; Pathogen Rounds)</t>
        </is>
      </c>
      <c r="N48" s="39" t="inlineStr">
        <is>
          <t>EVO2: Fatal Affliction; EVO3: Rapid Reinforcement; EVO4: Critical Parallel</t>
        </is>
      </c>
      <c r="O48" s="39" t="inlineStr">
        <is>
          <t>~4 (Incarnon)</t>
        </is>
      </c>
    </row>
    <row r="49">
      <c r="A49" s="39" t="inlineStr">
        <is>
          <t>AUDITED</t>
        </is>
      </c>
      <c r="B49" s="39" t="inlineStr"/>
      <c r="C49" s="39" t="inlineStr">
        <is>
          <t>Gauss Prime</t>
        </is>
      </c>
      <c r="D49" s="39" t="inlineStr">
        <is>
          <t>Primary</t>
        </is>
      </c>
      <c r="E49" s="39" t="inlineStr">
        <is>
          <t>Acceltra Prime</t>
        </is>
      </c>
      <c r="F49" s="39" t="inlineStr">
        <is>
          <t>Rifle</t>
        </is>
      </c>
      <c r="G49" s="39" t="n">
        <v>0.34</v>
      </c>
      <c r="H49" s="39" t="n">
        <v>0.18</v>
      </c>
      <c r="I49" s="39" t="inlineStr">
        <is>
          <t>crit</t>
        </is>
      </c>
      <c r="J49" s="39" t="inlineStr">
        <is>
          <t>RIFLE_CRIT</t>
        </is>
      </c>
      <c r="K49" s="39" t="inlineStr">
        <is>
          <t>Serration | Galvanized Chamber | Point Strike | Vital Sense | Hammer Shot | Galvanized Aptitude | Primed Cryo Rounds | Malignant Force</t>
        </is>
      </c>
      <c r="L49" s="39" t="inlineStr">
        <is>
          <t>Primary Merciless</t>
        </is>
      </c>
      <c r="M49" s="39" t="inlineStr">
        <is>
          <t>Viral (Primed Cryo Rounds -&gt; Malignant Force)</t>
        </is>
      </c>
      <c r="N49" s="39" t="inlineStr">
        <is>
          <t>-</t>
        </is>
      </c>
      <c r="O49" s="39" t="inlineStr">
        <is>
          <t>~3</t>
        </is>
      </c>
    </row>
    <row r="50">
      <c r="A50" s="39" t="inlineStr">
        <is>
          <t>AUDITED</t>
        </is>
      </c>
      <c r="B50" s="39" t="inlineStr">
        <is>
          <t>Explosive kill-chaining under Redline</t>
        </is>
      </c>
      <c r="C50" s="39" t="inlineStr">
        <is>
          <t>Gauss Prime</t>
        </is>
      </c>
      <c r="D50" s="39" t="inlineStr">
        <is>
          <t>Secondary</t>
        </is>
      </c>
      <c r="E50" s="39" t="inlineStr">
        <is>
          <t>Akarius Prime</t>
        </is>
      </c>
      <c r="F50" s="39" t="inlineStr">
        <is>
          <t>Dual Pistols</t>
        </is>
      </c>
      <c r="G50" s="39" t="n">
        <v>0.18</v>
      </c>
      <c r="H50" s="39" t="n">
        <v>0.34</v>
      </c>
      <c r="I50" s="39" t="inlineStr">
        <is>
          <t>status</t>
        </is>
      </c>
      <c r="J50" s="39" t="inlineStr">
        <is>
          <t>PISTOL_CRIT</t>
        </is>
      </c>
      <c r="K50" s="39" t="inlineStr">
        <is>
          <t>Hornet Strike | Galvanized Diffusion | Primed Pistol Gambit | Primed Target Cracker | Galvanized Crosshairs | Galvanized Shot | Deep Freeze | Pathogen Rounds</t>
        </is>
      </c>
      <c r="L50" s="39" t="inlineStr">
        <is>
          <t>Secondary Merciless</t>
        </is>
      </c>
      <c r="M50" s="39" t="inlineStr">
        <is>
          <t>Viral (Deep Freeze -&gt; Pathogen Rounds)</t>
        </is>
      </c>
      <c r="N50" s="39" t="inlineStr">
        <is>
          <t>-</t>
        </is>
      </c>
      <c r="O50" s="39" t="inlineStr">
        <is>
          <t>~3</t>
        </is>
      </c>
    </row>
    <row r="51">
      <c r="A51" s="39" t="inlineStr">
        <is>
          <t>AUDITED</t>
        </is>
      </c>
      <c r="B51" s="39" t="inlineStr">
        <is>
          <t>Attack speed + heavy wind-up</t>
        </is>
      </c>
      <c r="C51" s="39" t="inlineStr">
        <is>
          <t>Gauss Prime</t>
        </is>
      </c>
      <c r="D51" s="39" t="inlineStr">
        <is>
          <t>Melee</t>
        </is>
      </c>
      <c r="E51" s="39" t="inlineStr">
        <is>
          <t>Praedos</t>
        </is>
      </c>
      <c r="F51" s="39" t="inlineStr">
        <is>
          <t>Tonfa</t>
        </is>
      </c>
      <c r="G51" s="39" t="n">
        <v>0.2</v>
      </c>
      <c r="H51" s="39" t="n">
        <v>0.2</v>
      </c>
      <c r="I51" s="39" t="inlineStr">
        <is>
          <t>crit</t>
        </is>
      </c>
      <c r="J51" s="39" t="inlineStr">
        <is>
          <t>MELEE_CRIT</t>
        </is>
      </c>
      <c r="K51" s="39" t="inlineStr">
        <is>
          <t>Primed Pressure Point | Blood Rush | Weeping Wounds | Organ Shatter | Berserker Fury | Condition Overload | North Wind | Virulent Scourge</t>
        </is>
      </c>
      <c r="L51" s="39" t="inlineStr">
        <is>
          <t>Melee Duplicate</t>
        </is>
      </c>
      <c r="M51" s="39" t="inlineStr">
        <is>
          <t>Viral (North Wind -&gt; Virulent Scourge)</t>
        </is>
      </c>
      <c r="N51" s="39" t="inlineStr">
        <is>
          <t>EVO2: Whirling Flurry; EVO3: Adept Reflexes; EVO4: Swift Transmute; EVO5: Kinetic Harmony</t>
        </is>
      </c>
      <c r="O51" s="39" t="inlineStr">
        <is>
          <t>~4 (Incarnon)</t>
        </is>
      </c>
    </row>
    <row r="52">
      <c r="A52" s="39" t="inlineStr">
        <is>
          <t>AUDITED</t>
        </is>
      </c>
      <c r="B52" s="39" t="inlineStr"/>
      <c r="C52" s="39" t="inlineStr">
        <is>
          <t>Grendel Prime</t>
        </is>
      </c>
      <c r="D52" s="39" t="inlineStr">
        <is>
          <t>Primary</t>
        </is>
      </c>
      <c r="E52" s="39" t="inlineStr">
        <is>
          <t>Trumna</t>
        </is>
      </c>
      <c r="F52" s="39" t="inlineStr">
        <is>
          <t>Rifle</t>
        </is>
      </c>
      <c r="G52" s="39" t="n">
        <v>0.24</v>
      </c>
      <c r="H52" s="39" t="n">
        <v>0.3</v>
      </c>
      <c r="I52" s="39" t="inlineStr">
        <is>
          <t>crit</t>
        </is>
      </c>
      <c r="J52" s="39" t="inlineStr">
        <is>
          <t>RIFLE_CRIT</t>
        </is>
      </c>
      <c r="K52" s="39" t="inlineStr">
        <is>
          <t>Serration | Galvanized Chamber | Point Strike | Vital Sense | Hammer Shot | Galvanized Aptitude | Primed Cryo Rounds | Malignant Force</t>
        </is>
      </c>
      <c r="L52" s="39" t="inlineStr">
        <is>
          <t>Primary Merciless</t>
        </is>
      </c>
      <c r="M52" s="39" t="inlineStr">
        <is>
          <t>Viral (Primed Cryo Rounds -&gt; Malignant Force)</t>
        </is>
      </c>
      <c r="N52" s="39" t="inlineStr">
        <is>
          <t>-</t>
        </is>
      </c>
      <c r="O52" s="39" t="inlineStr">
        <is>
          <t>~3</t>
        </is>
      </c>
    </row>
    <row r="53">
      <c r="A53" s="39" t="inlineStr">
        <is>
          <t>AUDITED</t>
        </is>
      </c>
      <c r="B53" s="39" t="inlineStr"/>
      <c r="C53" s="39" t="inlineStr">
        <is>
          <t>Grendel Prime</t>
        </is>
      </c>
      <c r="D53" s="39" t="inlineStr">
        <is>
          <t>Secondary</t>
        </is>
      </c>
      <c r="E53" s="39" t="inlineStr">
        <is>
          <t>Sepulcrum</t>
        </is>
      </c>
      <c r="F53" s="39" t="inlineStr">
        <is>
          <t>Pistol</t>
        </is>
      </c>
      <c r="G53" s="39" t="n">
        <v>0.3</v>
      </c>
      <c r="H53" s="39" t="n">
        <v>0.14</v>
      </c>
      <c r="I53" s="39" t="inlineStr">
        <is>
          <t>crit</t>
        </is>
      </c>
      <c r="J53" s="39" t="inlineStr">
        <is>
          <t>PISTOL_CRIT</t>
        </is>
      </c>
      <c r="K53" s="39" t="inlineStr">
        <is>
          <t>Hornet Strike | Galvanized Diffusion | Primed Pistol Gambit | Primed Target Cracker | Galvanized Crosshairs | Galvanized Shot | Deep Freeze | Pathogen Rounds</t>
        </is>
      </c>
      <c r="L53" s="39" t="inlineStr">
        <is>
          <t>Secondary Merciless</t>
        </is>
      </c>
      <c r="M53" s="39" t="inlineStr">
        <is>
          <t>Viral (Deep Freeze -&gt; Pathogen Rounds)</t>
        </is>
      </c>
      <c r="N53" s="39" t="inlineStr">
        <is>
          <t>-</t>
        </is>
      </c>
      <c r="O53" s="39" t="inlineStr">
        <is>
          <t>~3</t>
        </is>
      </c>
    </row>
    <row r="54">
      <c r="A54" s="39" t="inlineStr">
        <is>
          <t>AUDITED</t>
        </is>
      </c>
      <c r="B54" s="39" t="inlineStr"/>
      <c r="C54" s="39" t="inlineStr">
        <is>
          <t>Grendel Prime</t>
        </is>
      </c>
      <c r="D54" s="39" t="inlineStr">
        <is>
          <t>Melee</t>
        </is>
      </c>
      <c r="E54" s="39" t="inlineStr">
        <is>
          <t>Masseter Prime</t>
        </is>
      </c>
      <c r="F54" s="39" t="inlineStr">
        <is>
          <t>Heavy Blade</t>
        </is>
      </c>
      <c r="G54" s="39" t="n">
        <v>0.26</v>
      </c>
      <c r="H54" s="39" t="n">
        <v>0.36</v>
      </c>
      <c r="I54" s="39" t="inlineStr">
        <is>
          <t>crit</t>
        </is>
      </c>
      <c r="J54" s="39" t="inlineStr">
        <is>
          <t>MELEE_CRIT</t>
        </is>
      </c>
      <c r="K54" s="39" t="inlineStr">
        <is>
          <t>Primed Pressure Point | Blood Rush | Weeping Wounds | Organ Shatter | Berserker Fury | Condition Overload | North Wind | Virulent Scourge</t>
        </is>
      </c>
      <c r="L54" s="39" t="inlineStr">
        <is>
          <t>Melee Animosity</t>
        </is>
      </c>
      <c r="M54" s="39" t="inlineStr">
        <is>
          <t>Viral (North Wind -&gt; Virulent Scourge)</t>
        </is>
      </c>
      <c r="N54" s="39" t="inlineStr">
        <is>
          <t>-</t>
        </is>
      </c>
      <c r="O54" s="39" t="inlineStr">
        <is>
          <t>~3</t>
        </is>
      </c>
    </row>
    <row r="55">
      <c r="A55" s="39" t="inlineStr">
        <is>
          <t>PENDING</t>
        </is>
      </c>
      <c r="B55" s="39" t="inlineStr"/>
      <c r="C55" s="39" t="inlineStr">
        <is>
          <t>Gyre Prime</t>
        </is>
      </c>
      <c r="D55" s="39" t="inlineStr">
        <is>
          <t>Primary</t>
        </is>
      </c>
      <c r="E55" s="39" t="inlineStr">
        <is>
          <t>Alternox Prime</t>
        </is>
      </c>
      <c r="F55" s="39" t="inlineStr">
        <is>
          <t>Rifle</t>
        </is>
      </c>
      <c r="G55" s="39" t="n">
        <v>0.2</v>
      </c>
      <c r="H55" s="39" t="n">
        <v>0.4</v>
      </c>
      <c r="I55" s="39" t="inlineStr">
        <is>
          <t>status</t>
        </is>
      </c>
      <c r="J55" s="39" t="inlineStr">
        <is>
          <t>RIFLE_CRIT</t>
        </is>
      </c>
      <c r="K55" s="39" t="inlineStr">
        <is>
          <t>Serration | Galvanized Chamber | Point Strike | Vital Sense | Hammer Shot | Galvanized Aptitude | Primed Cryo Rounds | Malignant Force</t>
        </is>
      </c>
      <c r="L55" s="39" t="inlineStr">
        <is>
          <t>Primary Merciless</t>
        </is>
      </c>
      <c r="M55" s="39" t="inlineStr">
        <is>
          <t>Viral (Primed Cryo Rounds -&gt; Malignant Force)</t>
        </is>
      </c>
      <c r="N55" s="39" t="inlineStr">
        <is>
          <t>-</t>
        </is>
      </c>
      <c r="O55" s="39" t="inlineStr">
        <is>
          <t>~3</t>
        </is>
      </c>
    </row>
    <row r="56">
      <c r="A56" s="39" t="inlineStr">
        <is>
          <t>PENDING</t>
        </is>
      </c>
      <c r="B56" s="39" t="inlineStr"/>
      <c r="C56" s="39" t="inlineStr">
        <is>
          <t>Gyre Prime</t>
        </is>
      </c>
      <c r="D56" s="39" t="inlineStr">
        <is>
          <t>Secondary</t>
        </is>
      </c>
      <c r="E56" s="39" t="inlineStr">
        <is>
          <t>Prisma Angstrum</t>
        </is>
      </c>
      <c r="F56" s="39" t="inlineStr">
        <is>
          <t>Pistol</t>
        </is>
      </c>
      <c r="G56" s="39" t="n">
        <v>0.18</v>
      </c>
      <c r="H56" s="39" t="n">
        <v>0.26</v>
      </c>
      <c r="I56" s="39" t="inlineStr">
        <is>
          <t>status</t>
        </is>
      </c>
      <c r="J56" s="39" t="inlineStr">
        <is>
          <t>PISTOL_CRIT</t>
        </is>
      </c>
      <c r="K56" s="39" t="inlineStr">
        <is>
          <t>Hornet Strike | Galvanized Diffusion | Primed Pistol Gambit | Primed Target Cracker | Galvanized Crosshairs | Galvanized Shot | Deep Freeze | Pathogen Rounds</t>
        </is>
      </c>
      <c r="L56" s="39" t="inlineStr">
        <is>
          <t>Secondary Encumber</t>
        </is>
      </c>
      <c r="M56" s="39" t="inlineStr">
        <is>
          <t>Viral (Deep Freeze -&gt; Pathogen Rounds)</t>
        </is>
      </c>
      <c r="N56" s="39" t="inlineStr">
        <is>
          <t>EVO2: Haven Foray; EVO3: Swift Deliverance; EVO4: Fatal Affliction</t>
        </is>
      </c>
      <c r="O56" s="39" t="inlineStr">
        <is>
          <t>~4 (Incarnon)</t>
        </is>
      </c>
    </row>
    <row r="57">
      <c r="A57" s="39" t="inlineStr">
        <is>
          <t>PENDING</t>
        </is>
      </c>
      <c r="B57" s="39" t="inlineStr"/>
      <c r="C57" s="39" t="inlineStr">
        <is>
          <t>Gyre Prime</t>
        </is>
      </c>
      <c r="D57" s="39" t="inlineStr">
        <is>
          <t>Melee</t>
        </is>
      </c>
      <c r="E57" s="39" t="inlineStr">
        <is>
          <t>Kestrel Prime</t>
        </is>
      </c>
      <c r="F57" s="39" t="inlineStr">
        <is>
          <t>Glaive</t>
        </is>
      </c>
      <c r="G57" s="39" t="n">
        <v>0.2</v>
      </c>
      <c r="H57" s="39" t="n">
        <v>0.4</v>
      </c>
      <c r="I57" s="39" t="inlineStr">
        <is>
          <t>status</t>
        </is>
      </c>
      <c r="J57" s="39" t="inlineStr">
        <is>
          <t>MELEE_INFLUENCE</t>
        </is>
      </c>
      <c r="K57" s="39" t="inlineStr">
        <is>
          <t>Primed Pressure Point | Blood Rush | Weeping Wounds | Organ Shatter | Condition Overload | North Wind | Virulent Scourge | Voltaic Strike</t>
        </is>
      </c>
      <c r="L57" s="39" t="inlineStr">
        <is>
          <t>Melee Influence</t>
        </is>
      </c>
      <c r="M57" s="39" t="inlineStr">
        <is>
          <t>Viral + Electricity (North Wind -&gt; Virulent Scourge, Voltaic Strike unpaired: required to trigger Melee Influence)</t>
        </is>
      </c>
      <c r="N57" s="39" t="inlineStr">
        <is>
          <t>-</t>
        </is>
      </c>
      <c r="O57" s="39" t="inlineStr">
        <is>
          <t>~3</t>
        </is>
      </c>
    </row>
    <row r="58">
      <c r="A58" s="39" t="inlineStr">
        <is>
          <t>PENDING</t>
        </is>
      </c>
      <c r="B58" s="39" t="inlineStr"/>
      <c r="C58" s="39" t="inlineStr">
        <is>
          <t>Harrow Prime</t>
        </is>
      </c>
      <c r="D58" s="39" t="inlineStr">
        <is>
          <t>Primary</t>
        </is>
      </c>
      <c r="E58" s="39" t="inlineStr">
        <is>
          <t>Scourge Prime</t>
        </is>
      </c>
      <c r="F58" s="39" t="inlineStr">
        <is>
          <t>Speargun</t>
        </is>
      </c>
      <c r="G58" s="39" t="n">
        <v>0.1</v>
      </c>
      <c r="H58" s="39" t="n">
        <v>0.3</v>
      </c>
      <c r="I58" s="39" t="inlineStr">
        <is>
          <t>status</t>
        </is>
      </c>
      <c r="J58" s="39" t="inlineStr">
        <is>
          <t>RIFLE_CRIT</t>
        </is>
      </c>
      <c r="K58" s="39" t="inlineStr">
        <is>
          <t>Serration | Galvanized Chamber | Point Strike | Vital Sense | Hammer Shot | Galvanized Aptitude | Primed Cryo Rounds | Malignant Force</t>
        </is>
      </c>
      <c r="L58" s="39" t="inlineStr">
        <is>
          <t>Primary Merciless</t>
        </is>
      </c>
      <c r="M58" s="39" t="inlineStr">
        <is>
          <t>Viral (Primed Cryo Rounds -&gt; Malignant Force)</t>
        </is>
      </c>
      <c r="N58" s="39" t="inlineStr">
        <is>
          <t>-</t>
        </is>
      </c>
      <c r="O58" s="39" t="inlineStr">
        <is>
          <t>~3</t>
        </is>
      </c>
    </row>
    <row r="59">
      <c r="A59" s="39" t="inlineStr">
        <is>
          <t>PENDING</t>
        </is>
      </c>
      <c r="B59" s="39" t="inlineStr"/>
      <c r="C59" s="39" t="inlineStr">
        <is>
          <t>Harrow Prime</t>
        </is>
      </c>
      <c r="D59" s="39" t="inlineStr">
        <is>
          <t>Secondary</t>
        </is>
      </c>
      <c r="E59" s="39" t="inlineStr">
        <is>
          <t>Knell Prime</t>
        </is>
      </c>
      <c r="F59" s="39" t="inlineStr">
        <is>
          <t>Pistol</t>
        </is>
      </c>
      <c r="G59" s="39" t="n">
        <v>0.4</v>
      </c>
      <c r="H59" s="39" t="n">
        <v>0.1</v>
      </c>
      <c r="I59" s="39" t="inlineStr">
        <is>
          <t>crit</t>
        </is>
      </c>
      <c r="J59" s="39" t="inlineStr">
        <is>
          <t>PISTOL_CRIT</t>
        </is>
      </c>
      <c r="K59" s="39" t="inlineStr">
        <is>
          <t>Hornet Strike | Galvanized Diffusion | Primed Pistol Gambit | Primed Target Cracker | Galvanized Crosshairs | Galvanized Shot | Deep Freeze | Pathogen Rounds</t>
        </is>
      </c>
      <c r="L59" s="39" t="inlineStr">
        <is>
          <t>Secondary Merciless</t>
        </is>
      </c>
      <c r="M59" s="39" t="inlineStr">
        <is>
          <t>Viral (Deep Freeze -&gt; Pathogen Rounds)</t>
        </is>
      </c>
      <c r="N59" s="39" t="inlineStr">
        <is>
          <t>-</t>
        </is>
      </c>
      <c r="O59" s="39" t="inlineStr">
        <is>
          <t>~3</t>
        </is>
      </c>
    </row>
    <row r="60">
      <c r="A60" s="39" t="inlineStr">
        <is>
          <t>PENDING</t>
        </is>
      </c>
      <c r="B60" s="39" t="inlineStr"/>
      <c r="C60" s="39" t="inlineStr">
        <is>
          <t>Harrow Prime</t>
        </is>
      </c>
      <c r="D60" s="39" t="inlineStr">
        <is>
          <t>Melee</t>
        </is>
      </c>
      <c r="E60" s="39" t="inlineStr">
        <is>
          <t>Dual Keres</t>
        </is>
      </c>
      <c r="F60" s="39" t="inlineStr">
        <is>
          <t>Dual Swords</t>
        </is>
      </c>
      <c r="G60" s="39" t="n">
        <v>0.28</v>
      </c>
      <c r="H60" s="39" t="n">
        <v>0.14</v>
      </c>
      <c r="I60" s="39" t="inlineStr">
        <is>
          <t>crit</t>
        </is>
      </c>
      <c r="J60" s="39" t="inlineStr">
        <is>
          <t>MELEE_CRIT</t>
        </is>
      </c>
      <c r="K60" s="39" t="inlineStr">
        <is>
          <t>Primed Pressure Point | Blood Rush | Weeping Wounds | Organ Shatter | Berserker Fury | Condition Overload | North Wind | Virulent Scourge</t>
        </is>
      </c>
      <c r="L60" s="39" t="inlineStr">
        <is>
          <t>Melee Duplicate</t>
        </is>
      </c>
      <c r="M60" s="39" t="inlineStr">
        <is>
          <t>Viral (North Wind -&gt; Virulent Scourge)</t>
        </is>
      </c>
      <c r="N60" s="39" t="inlineStr">
        <is>
          <t>-</t>
        </is>
      </c>
      <c r="O60" s="39" t="inlineStr">
        <is>
          <t>~3</t>
        </is>
      </c>
    </row>
    <row r="61">
      <c r="A61" s="39" t="inlineStr">
        <is>
          <t>PENDING</t>
        </is>
      </c>
      <c r="B61" s="39" t="inlineStr"/>
      <c r="C61" s="39" t="inlineStr">
        <is>
          <t>Hildryn Prime</t>
        </is>
      </c>
      <c r="D61" s="39" t="inlineStr">
        <is>
          <t>Primary</t>
        </is>
      </c>
      <c r="E61" s="39" t="inlineStr">
        <is>
          <t>Gorgon Wraith</t>
        </is>
      </c>
      <c r="F61" s="39" t="inlineStr">
        <is>
          <t>Rifle</t>
        </is>
      </c>
      <c r="G61" s="39" t="n">
        <v>0.15</v>
      </c>
      <c r="H61" s="39" t="n">
        <v>0.21</v>
      </c>
      <c r="I61" s="39" t="inlineStr">
        <is>
          <t>status</t>
        </is>
      </c>
      <c r="J61" s="39" t="inlineStr">
        <is>
          <t>RIFLE_CRIT</t>
        </is>
      </c>
      <c r="K61" s="39" t="inlineStr">
        <is>
          <t>Serration | Galvanized Chamber | Point Strike | Vital Sense | Hammer Shot | Galvanized Aptitude | Primed Cryo Rounds | Malignant Force</t>
        </is>
      </c>
      <c r="L61" s="39" t="inlineStr">
        <is>
          <t>Primary Merciless</t>
        </is>
      </c>
      <c r="M61" s="39" t="inlineStr">
        <is>
          <t>Viral (Primed Cryo Rounds -&gt; Malignant Force)</t>
        </is>
      </c>
      <c r="N61" s="39" t="inlineStr">
        <is>
          <t>EVO2: Hunter's Mantra; EVO3: Resonant Restore; EVO4: Survivor's Edge</t>
        </is>
      </c>
      <c r="O61" s="39" t="inlineStr">
        <is>
          <t>~4 (Incarnon)</t>
        </is>
      </c>
    </row>
    <row r="62">
      <c r="A62" s="39" t="inlineStr">
        <is>
          <t>PENDING</t>
        </is>
      </c>
      <c r="B62" s="39" t="inlineStr"/>
      <c r="C62" s="39" t="inlineStr">
        <is>
          <t>Hildryn Prime</t>
        </is>
      </c>
      <c r="D62" s="39" t="inlineStr">
        <is>
          <t>Melee</t>
        </is>
      </c>
      <c r="E62" s="39" t="inlineStr">
        <is>
          <t>Hirudo</t>
        </is>
      </c>
      <c r="F62" s="39" t="inlineStr">
        <is>
          <t>Sparring</t>
        </is>
      </c>
      <c r="G62" s="39" t="n">
        <v>0.3</v>
      </c>
      <c r="H62" s="39" t="n">
        <v>0.11</v>
      </c>
      <c r="I62" s="39" t="inlineStr">
        <is>
          <t>crit</t>
        </is>
      </c>
      <c r="J62" s="39" t="inlineStr">
        <is>
          <t>MELEE_CRIT</t>
        </is>
      </c>
      <c r="K62" s="39" t="inlineStr">
        <is>
          <t>Primed Pressure Point | Blood Rush | Weeping Wounds | Organ Shatter | Berserker Fury | Condition Overload | North Wind | Virulent Scourge</t>
        </is>
      </c>
      <c r="L62" s="39" t="inlineStr">
        <is>
          <t>Melee Duplicate</t>
        </is>
      </c>
      <c r="M62" s="39" t="inlineStr">
        <is>
          <t>Viral (North Wind -&gt; Virulent Scourge)</t>
        </is>
      </c>
      <c r="N62" s="39" t="inlineStr">
        <is>
          <t>-</t>
        </is>
      </c>
      <c r="O62" s="39" t="inlineStr">
        <is>
          <t>~3</t>
        </is>
      </c>
    </row>
    <row r="63">
      <c r="A63" s="39" t="inlineStr">
        <is>
          <t>PENDING</t>
        </is>
      </c>
      <c r="B63" s="39" t="inlineStr"/>
      <c r="C63" s="39" t="inlineStr">
        <is>
          <t>Hydroid Prime</t>
        </is>
      </c>
      <c r="D63" s="39" t="inlineStr">
        <is>
          <t>Primary</t>
        </is>
      </c>
      <c r="E63" s="39" t="inlineStr">
        <is>
          <t>Kuva Sobek</t>
        </is>
      </c>
      <c r="F63" s="39" t="inlineStr">
        <is>
          <t>Shotgun</t>
        </is>
      </c>
      <c r="G63" s="39" t="n">
        <v>0.21</v>
      </c>
      <c r="H63" s="39" t="n">
        <v>0.21</v>
      </c>
      <c r="I63" s="39" t="inlineStr">
        <is>
          <t>crit</t>
        </is>
      </c>
      <c r="J63" s="39" t="inlineStr">
        <is>
          <t>SHOTGUN</t>
        </is>
      </c>
      <c r="K63" s="39" t="inlineStr">
        <is>
          <t>Primed Point Blank | Galvanized Hell | Primed Ravage | Critical Deceleration | Galvanized Savvy | Chilling Grasp | Toxic Barrage | Primed Charged Shell</t>
        </is>
      </c>
      <c r="L63" s="39" t="inlineStr">
        <is>
          <t>Shotgun Vendetta</t>
        </is>
      </c>
      <c r="M63" s="39" t="inlineStr">
        <is>
          <t>Adversary innate element (see Adversary sheet) + Viral + Electricity (Chilling Grasp -&gt; Toxic Barrage, then Primed Charged Shell unpaired)</t>
        </is>
      </c>
      <c r="N63" s="39" t="inlineStr">
        <is>
          <t>-</t>
        </is>
      </c>
      <c r="O63" s="39" t="inlineStr">
        <is>
          <t>5 Forma to Rank 40 + ~3 polarization</t>
        </is>
      </c>
    </row>
    <row r="64">
      <c r="A64" s="39" t="inlineStr">
        <is>
          <t>PENDING</t>
        </is>
      </c>
      <c r="B64" s="39" t="inlineStr"/>
      <c r="C64" s="39" t="inlineStr">
        <is>
          <t>Hydroid Prime</t>
        </is>
      </c>
      <c r="D64" s="39" t="inlineStr">
        <is>
          <t>Secondary</t>
        </is>
      </c>
      <c r="E64" s="39" t="inlineStr">
        <is>
          <t>Pox</t>
        </is>
      </c>
      <c r="F64" s="39" t="inlineStr">
        <is>
          <t>Thrown</t>
        </is>
      </c>
      <c r="G64" s="39" t="n">
        <v>0.01</v>
      </c>
      <c r="H64" s="39" t="n">
        <v>0.35</v>
      </c>
      <c r="I64" s="39" t="inlineStr">
        <is>
          <t>status</t>
        </is>
      </c>
      <c r="J64" s="39" t="inlineStr">
        <is>
          <t>PISTOL_CRIT</t>
        </is>
      </c>
      <c r="K64" s="39" t="inlineStr">
        <is>
          <t>Hornet Strike | Galvanized Diffusion | Primed Pistol Gambit | Primed Target Cracker | Galvanized Crosshairs | Galvanized Shot | Deep Freeze | Pathogen Rounds</t>
        </is>
      </c>
      <c r="L64" s="39" t="inlineStr">
        <is>
          <t>Secondary Encumber</t>
        </is>
      </c>
      <c r="M64" s="39" t="inlineStr">
        <is>
          <t>Viral (Deep Freeze -&gt; Pathogen Rounds)</t>
        </is>
      </c>
      <c r="N64" s="39" t="inlineStr">
        <is>
          <t>-</t>
        </is>
      </c>
      <c r="O64" s="39" t="inlineStr">
        <is>
          <t>~3</t>
        </is>
      </c>
    </row>
    <row r="65">
      <c r="A65" s="39" t="inlineStr">
        <is>
          <t>PENDING</t>
        </is>
      </c>
      <c r="B65" s="39" t="inlineStr"/>
      <c r="C65" s="39" t="inlineStr">
        <is>
          <t>Hydroid Prime</t>
        </is>
      </c>
      <c r="D65" s="39" t="inlineStr">
        <is>
          <t>Melee</t>
        </is>
      </c>
      <c r="E65" s="39" t="inlineStr">
        <is>
          <t>Nami Skyla Prime</t>
        </is>
      </c>
      <c r="F65" s="39" t="inlineStr">
        <is>
          <t>Dual Swords</t>
        </is>
      </c>
      <c r="G65" s="39" t="n">
        <v>0.22</v>
      </c>
      <c r="H65" s="39" t="n">
        <v>0.34</v>
      </c>
      <c r="I65" s="39" t="inlineStr">
        <is>
          <t>status</t>
        </is>
      </c>
      <c r="J65" s="39" t="inlineStr">
        <is>
          <t>MELEE_INFLUENCE</t>
        </is>
      </c>
      <c r="K65" s="39" t="inlineStr">
        <is>
          <t>Primed Pressure Point | Blood Rush | Weeping Wounds | Organ Shatter | Condition Overload | North Wind | Virulent Scourge | Voltaic Strike</t>
        </is>
      </c>
      <c r="L65" s="39" t="inlineStr">
        <is>
          <t>Melee Influence</t>
        </is>
      </c>
      <c r="M65" s="39" t="inlineStr">
        <is>
          <t>Viral + Electricity (North Wind -&gt; Virulent Scourge, Voltaic Strike unpaired: required to trigger Melee Influence)</t>
        </is>
      </c>
      <c r="N65" s="39" t="inlineStr">
        <is>
          <t>-</t>
        </is>
      </c>
      <c r="O65" s="39" t="inlineStr">
        <is>
          <t>~3</t>
        </is>
      </c>
    </row>
    <row r="66">
      <c r="A66" s="39" t="inlineStr">
        <is>
          <t>PENDING</t>
        </is>
      </c>
      <c r="B66" s="39" t="inlineStr"/>
      <c r="C66" s="39" t="inlineStr">
        <is>
          <t>Inaros Prime</t>
        </is>
      </c>
      <c r="D66" s="39" t="inlineStr">
        <is>
          <t>Primary</t>
        </is>
      </c>
      <c r="E66" s="39" t="inlineStr">
        <is>
          <t>Panthera Prime</t>
        </is>
      </c>
      <c r="F66" s="39" t="inlineStr">
        <is>
          <t>Rifle</t>
        </is>
      </c>
      <c r="G66" s="39" t="n">
        <v>0.18</v>
      </c>
      <c r="H66" s="39" t="n">
        <v>0.3</v>
      </c>
      <c r="I66" s="39" t="inlineStr">
        <is>
          <t>status</t>
        </is>
      </c>
      <c r="J66" s="39" t="inlineStr">
        <is>
          <t>RIFLE_CRIT</t>
        </is>
      </c>
      <c r="K66" s="39" t="inlineStr">
        <is>
          <t>Serration | Galvanized Chamber | Point Strike | Vital Sense | Hammer Shot | Galvanized Aptitude | Primed Cryo Rounds | Malignant Force</t>
        </is>
      </c>
      <c r="L66" s="39" t="inlineStr">
        <is>
          <t>Primary Merciless</t>
        </is>
      </c>
      <c r="M66" s="39" t="inlineStr">
        <is>
          <t>Viral (Primed Cryo Rounds -&gt; Malignant Force)</t>
        </is>
      </c>
      <c r="N66" s="39" t="inlineStr">
        <is>
          <t>-</t>
        </is>
      </c>
      <c r="O66" s="39" t="inlineStr">
        <is>
          <t>~3</t>
        </is>
      </c>
    </row>
    <row r="67">
      <c r="A67" s="39" t="inlineStr">
        <is>
          <t>PENDING</t>
        </is>
      </c>
      <c r="B67" s="39" t="inlineStr"/>
      <c r="C67" s="39" t="inlineStr">
        <is>
          <t>Inaros Prime</t>
        </is>
      </c>
      <c r="D67" s="39" t="inlineStr">
        <is>
          <t>Secondary</t>
        </is>
      </c>
      <c r="E67" s="39" t="inlineStr">
        <is>
          <t>Zymos</t>
        </is>
      </c>
      <c r="F67" s="39" t="inlineStr">
        <is>
          <t>Pistol</t>
        </is>
      </c>
      <c r="G67" s="39" t="n">
        <v>0.05</v>
      </c>
      <c r="H67" s="39" t="n">
        <v>0.3</v>
      </c>
      <c r="I67" s="39" t="inlineStr">
        <is>
          <t>status</t>
        </is>
      </c>
      <c r="J67" s="39" t="inlineStr">
        <is>
          <t>PISTOL_CRIT</t>
        </is>
      </c>
      <c r="K67" s="39" t="inlineStr">
        <is>
          <t>Hornet Strike | Galvanized Diffusion | Primed Pistol Gambit | Primed Target Cracker | Galvanized Crosshairs | Galvanized Shot | Deep Freeze | Pathogen Rounds</t>
        </is>
      </c>
      <c r="L67" s="39" t="inlineStr">
        <is>
          <t>Secondary Encumber</t>
        </is>
      </c>
      <c r="M67" s="39" t="inlineStr">
        <is>
          <t>Viral (Deep Freeze -&gt; Pathogen Rounds)</t>
        </is>
      </c>
      <c r="N67" s="39" t="inlineStr">
        <is>
          <t>-</t>
        </is>
      </c>
      <c r="O67" s="39" t="inlineStr">
        <is>
          <t>~3</t>
        </is>
      </c>
    </row>
    <row r="68">
      <c r="A68" s="39" t="inlineStr">
        <is>
          <t>PENDING</t>
        </is>
      </c>
      <c r="B68" s="39" t="inlineStr"/>
      <c r="C68" s="39" t="inlineStr">
        <is>
          <t>Inaros Prime</t>
        </is>
      </c>
      <c r="D68" s="39" t="inlineStr">
        <is>
          <t>Melee</t>
        </is>
      </c>
      <c r="E68" s="39" t="inlineStr">
        <is>
          <t>Karyst Prime</t>
        </is>
      </c>
      <c r="F68" s="39" t="inlineStr">
        <is>
          <t>Dagger</t>
        </is>
      </c>
      <c r="G68" s="39" t="n">
        <v>0.24</v>
      </c>
      <c r="H68" s="39" t="n">
        <v>0.3</v>
      </c>
      <c r="I68" s="39" t="inlineStr">
        <is>
          <t>crit</t>
        </is>
      </c>
      <c r="J68" s="39" t="inlineStr">
        <is>
          <t>MELEE_CRIT</t>
        </is>
      </c>
      <c r="K68" s="39" t="inlineStr">
        <is>
          <t>Primed Pressure Point | Blood Rush | Weeping Wounds | Organ Shatter | Berserker Fury | Condition Overload | North Wind | Virulent Scourge</t>
        </is>
      </c>
      <c r="L68" s="39" t="inlineStr">
        <is>
          <t>Melee Duplicate</t>
        </is>
      </c>
      <c r="M68" s="39" t="inlineStr">
        <is>
          <t>Viral (North Wind -&gt; Virulent Scourge)</t>
        </is>
      </c>
      <c r="N68" s="39" t="inlineStr">
        <is>
          <t>-</t>
        </is>
      </c>
      <c r="O68" s="39" t="inlineStr">
        <is>
          <t>~3</t>
        </is>
      </c>
    </row>
    <row r="69">
      <c r="A69" s="39" t="inlineStr">
        <is>
          <t>PENDING</t>
        </is>
      </c>
      <c r="B69" s="39" t="inlineStr"/>
      <c r="C69" s="39" t="inlineStr">
        <is>
          <t>Ivara Prime</t>
        </is>
      </c>
      <c r="D69" s="39" t="inlineStr">
        <is>
          <t>Secondary</t>
        </is>
      </c>
      <c r="E69" s="39" t="inlineStr">
        <is>
          <t>Akstiletto Prime</t>
        </is>
      </c>
      <c r="F69" s="39" t="inlineStr">
        <is>
          <t>Dual Pistols</t>
        </is>
      </c>
      <c r="G69" s="39" t="n">
        <v>0.15</v>
      </c>
      <c r="H69" s="39" t="n">
        <v>0.3</v>
      </c>
      <c r="I69" s="39" t="inlineStr">
        <is>
          <t>status</t>
        </is>
      </c>
      <c r="J69" s="39" t="inlineStr">
        <is>
          <t>PISTOL_CRIT</t>
        </is>
      </c>
      <c r="K69" s="39" t="inlineStr">
        <is>
          <t>Hornet Strike | Galvanized Diffusion | Primed Pistol Gambit | Primed Target Cracker | Galvanized Crosshairs | Galvanized Shot | Deep Freeze | Pathogen Rounds</t>
        </is>
      </c>
      <c r="L69" s="39" t="inlineStr">
        <is>
          <t>Secondary Encumber</t>
        </is>
      </c>
      <c r="M69" s="39" t="inlineStr">
        <is>
          <t>Viral (Deep Freeze -&gt; Pathogen Rounds)</t>
        </is>
      </c>
      <c r="N69" s="39" t="inlineStr">
        <is>
          <t>-</t>
        </is>
      </c>
      <c r="O69" s="39" t="inlineStr">
        <is>
          <t>~3</t>
        </is>
      </c>
    </row>
    <row r="70">
      <c r="A70" s="39" t="inlineStr">
        <is>
          <t>PENDING</t>
        </is>
      </c>
      <c r="B70" s="39" t="inlineStr"/>
      <c r="C70" s="39" t="inlineStr">
        <is>
          <t>Ivara Prime</t>
        </is>
      </c>
      <c r="D70" s="39" t="inlineStr">
        <is>
          <t>Melee</t>
        </is>
      </c>
      <c r="E70" s="39" t="inlineStr">
        <is>
          <t>Cerata</t>
        </is>
      </c>
      <c r="F70" s="39" t="inlineStr">
        <is>
          <t>Glaive</t>
        </is>
      </c>
      <c r="G70" s="39" t="n">
        <v>0.15</v>
      </c>
      <c r="H70" s="39" t="n">
        <v>0.3</v>
      </c>
      <c r="I70" s="39" t="inlineStr">
        <is>
          <t>status</t>
        </is>
      </c>
      <c r="J70" s="39" t="inlineStr">
        <is>
          <t>MELEE_INFLUENCE</t>
        </is>
      </c>
      <c r="K70" s="39" t="inlineStr">
        <is>
          <t>Primed Pressure Point | Blood Rush | Weeping Wounds | Organ Shatter | Condition Overload | North Wind | Virulent Scourge | Voltaic Strike</t>
        </is>
      </c>
      <c r="L70" s="39" t="inlineStr">
        <is>
          <t>Melee Influence</t>
        </is>
      </c>
      <c r="M70" s="39" t="inlineStr">
        <is>
          <t>Viral + Electricity (North Wind -&gt; Virulent Scourge, Voltaic Strike unpaired: required to trigger Melee Influence)</t>
        </is>
      </c>
      <c r="N70" s="39" t="inlineStr">
        <is>
          <t>-</t>
        </is>
      </c>
      <c r="O70" s="39" t="inlineStr">
        <is>
          <t>~3</t>
        </is>
      </c>
    </row>
    <row r="71">
      <c r="A71" s="39" t="inlineStr">
        <is>
          <t>PENDING</t>
        </is>
      </c>
      <c r="B71" s="39" t="inlineStr"/>
      <c r="C71" s="39" t="inlineStr">
        <is>
          <t>Jade</t>
        </is>
      </c>
      <c r="D71" s="39" t="inlineStr">
        <is>
          <t>Primary</t>
        </is>
      </c>
      <c r="E71" s="39" t="inlineStr">
        <is>
          <t>Evensong</t>
        </is>
      </c>
      <c r="F71" s="39" t="inlineStr">
        <is>
          <t>Bow</t>
        </is>
      </c>
      <c r="G71" s="39" t="n">
        <v>0.25</v>
      </c>
      <c r="H71" s="39" t="n">
        <v>0.38</v>
      </c>
      <c r="I71" s="39" t="inlineStr">
        <is>
          <t>crit</t>
        </is>
      </c>
      <c r="J71" s="39" t="inlineStr">
        <is>
          <t>RIFLE_CRIT</t>
        </is>
      </c>
      <c r="K71" s="39" t="inlineStr">
        <is>
          <t>Serration | Galvanized Chamber | Point Strike | Vital Sense | Hammer Shot | Galvanized Aptitude | Primed Cryo Rounds | Malignant Force</t>
        </is>
      </c>
      <c r="L71" s="39" t="inlineStr">
        <is>
          <t>Primary Deadhead</t>
        </is>
      </c>
      <c r="M71" s="39" t="inlineStr">
        <is>
          <t>Viral (Primed Cryo Rounds -&gt; Malignant Force)</t>
        </is>
      </c>
      <c r="N71" s="39" t="inlineStr">
        <is>
          <t>-</t>
        </is>
      </c>
      <c r="O71" s="39" t="inlineStr">
        <is>
          <t>~3</t>
        </is>
      </c>
    </row>
    <row r="72">
      <c r="A72" s="39" t="inlineStr">
        <is>
          <t>PENDING</t>
        </is>
      </c>
      <c r="B72" s="39" t="inlineStr"/>
      <c r="C72" s="39" t="inlineStr">
        <is>
          <t>Jade</t>
        </is>
      </c>
      <c r="D72" s="39" t="inlineStr">
        <is>
          <t>Secondary</t>
        </is>
      </c>
      <c r="E72" s="39" t="inlineStr">
        <is>
          <t>Cantare</t>
        </is>
      </c>
      <c r="F72" s="39" t="inlineStr">
        <is>
          <t>Thrown</t>
        </is>
      </c>
      <c r="G72" s="39" t="n">
        <v>0.18</v>
      </c>
      <c r="H72" s="39" t="n">
        <v>0.22</v>
      </c>
      <c r="I72" s="39" t="inlineStr">
        <is>
          <t>status</t>
        </is>
      </c>
      <c r="J72" s="39" t="inlineStr">
        <is>
          <t>PISTOL_CRIT</t>
        </is>
      </c>
      <c r="K72" s="39" t="inlineStr">
        <is>
          <t>Hornet Strike | Galvanized Diffusion | Primed Pistol Gambit | Primed Target Cracker | Galvanized Crosshairs | Galvanized Shot | Deep Freeze | Pathogen Rounds</t>
        </is>
      </c>
      <c r="L72" s="39" t="inlineStr">
        <is>
          <t>Secondary Encumber</t>
        </is>
      </c>
      <c r="M72" s="39" t="inlineStr">
        <is>
          <t>Viral (Deep Freeze -&gt; Pathogen Rounds)</t>
        </is>
      </c>
      <c r="N72" s="39" t="inlineStr">
        <is>
          <t>-</t>
        </is>
      </c>
      <c r="O72" s="39" t="inlineStr">
        <is>
          <t>~3</t>
        </is>
      </c>
    </row>
    <row r="73">
      <c r="A73" s="39" t="inlineStr">
        <is>
          <t>PENDING</t>
        </is>
      </c>
      <c r="B73" s="39" t="inlineStr"/>
      <c r="C73" s="39" t="inlineStr">
        <is>
          <t>Jade</t>
        </is>
      </c>
      <c r="D73" s="39" t="inlineStr">
        <is>
          <t>Melee</t>
        </is>
      </c>
      <c r="E73" s="39" t="inlineStr">
        <is>
          <t>Harmony</t>
        </is>
      </c>
      <c r="F73" s="39" t="inlineStr">
        <is>
          <t>Scythe</t>
        </is>
      </c>
      <c r="G73" s="39" t="n">
        <v>0.2</v>
      </c>
      <c r="H73" s="39" t="n">
        <v>0.36</v>
      </c>
      <c r="I73" s="39" t="inlineStr">
        <is>
          <t>status</t>
        </is>
      </c>
      <c r="J73" s="39" t="inlineStr">
        <is>
          <t>MELEE_INFLUENCE</t>
        </is>
      </c>
      <c r="K73" s="39" t="inlineStr">
        <is>
          <t>Primed Pressure Point | Blood Rush | Weeping Wounds | Organ Shatter | Condition Overload | North Wind | Virulent Scourge | Voltaic Strike</t>
        </is>
      </c>
      <c r="L73" s="39" t="inlineStr">
        <is>
          <t>Melee Influence</t>
        </is>
      </c>
      <c r="M73" s="39" t="inlineStr">
        <is>
          <t>Viral + Electricity (North Wind -&gt; Virulent Scourge, Voltaic Strike unpaired: required to trigger Melee Influence)</t>
        </is>
      </c>
      <c r="N73" s="39" t="inlineStr">
        <is>
          <t>-</t>
        </is>
      </c>
      <c r="O73" s="39" t="inlineStr">
        <is>
          <t>~3</t>
        </is>
      </c>
    </row>
    <row r="74">
      <c r="A74" s="39" t="inlineStr">
        <is>
          <t>PENDING</t>
        </is>
      </c>
      <c r="B74" s="39" t="inlineStr"/>
      <c r="C74" s="39" t="inlineStr">
        <is>
          <t>Khora Prime</t>
        </is>
      </c>
      <c r="D74" s="39" t="inlineStr">
        <is>
          <t>Primary</t>
        </is>
      </c>
      <c r="E74" s="39" t="inlineStr">
        <is>
          <t>Corinth Prime</t>
        </is>
      </c>
      <c r="F74" s="39" t="inlineStr">
        <is>
          <t>Shotgun</t>
        </is>
      </c>
      <c r="G74" s="39" t="n">
        <v>0.3</v>
      </c>
      <c r="H74" s="39" t="n">
        <v>0.09</v>
      </c>
      <c r="I74" s="39" t="inlineStr">
        <is>
          <t>crit</t>
        </is>
      </c>
      <c r="J74" s="39" t="inlineStr">
        <is>
          <t>SHOTGUN</t>
        </is>
      </c>
      <c r="K74" s="39" t="inlineStr">
        <is>
          <t>Primed Point Blank | Galvanized Hell | Primed Ravage | Critical Deceleration | Galvanized Savvy | Chilling Grasp | Toxic Barrage | Primed Charged Shell</t>
        </is>
      </c>
      <c r="L74" s="39" t="inlineStr">
        <is>
          <t>Shotgun Vendetta</t>
        </is>
      </c>
      <c r="M74" s="39" t="inlineStr">
        <is>
          <t>Viral + Electricity (Chilling Grasp -&gt; Toxic Barrage, then Primed Charged Shell unpaired)</t>
        </is>
      </c>
      <c r="N74" s="39" t="inlineStr">
        <is>
          <t>-</t>
        </is>
      </c>
      <c r="O74" s="39" t="inlineStr">
        <is>
          <t>~3</t>
        </is>
      </c>
    </row>
    <row r="75">
      <c r="A75" s="39" t="inlineStr">
        <is>
          <t>PENDING</t>
        </is>
      </c>
      <c r="B75" s="39" t="inlineStr"/>
      <c r="C75" s="39" t="inlineStr">
        <is>
          <t>Khora Prime</t>
        </is>
      </c>
      <c r="D75" s="39" t="inlineStr">
        <is>
          <t>Secondary</t>
        </is>
      </c>
      <c r="E75" s="39" t="inlineStr">
        <is>
          <t>Hystrix Prime</t>
        </is>
      </c>
      <c r="F75" s="39" t="inlineStr">
        <is>
          <t>Pistol</t>
        </is>
      </c>
      <c r="G75" s="39" t="n">
        <v>0.28</v>
      </c>
      <c r="H75" s="39" t="n">
        <v>0.2</v>
      </c>
      <c r="I75" s="39" t="inlineStr">
        <is>
          <t>crit</t>
        </is>
      </c>
      <c r="J75" s="39" t="inlineStr">
        <is>
          <t>PISTOL_CRIT</t>
        </is>
      </c>
      <c r="K75" s="39" t="inlineStr">
        <is>
          <t>Hornet Strike | Galvanized Diffusion | Primed Pistol Gambit | Primed Target Cracker | Galvanized Crosshairs | Galvanized Shot | Deep Freeze | Pathogen Rounds</t>
        </is>
      </c>
      <c r="L75" s="39" t="inlineStr">
        <is>
          <t>Secondary Merciless</t>
        </is>
      </c>
      <c r="M75" s="39" t="inlineStr">
        <is>
          <t>Viral (Deep Freeze -&gt; Pathogen Rounds)</t>
        </is>
      </c>
      <c r="N75" s="39" t="inlineStr">
        <is>
          <t>-</t>
        </is>
      </c>
      <c r="O75" s="39" t="inlineStr">
        <is>
          <t>~3</t>
        </is>
      </c>
    </row>
    <row r="76">
      <c r="A76" s="39" t="inlineStr">
        <is>
          <t>PENDING</t>
        </is>
      </c>
      <c r="B76" s="39" t="inlineStr"/>
      <c r="C76" s="39" t="inlineStr">
        <is>
          <t>Khora Prime</t>
        </is>
      </c>
      <c r="D76" s="39" t="inlineStr">
        <is>
          <t>Melee</t>
        </is>
      </c>
      <c r="E76" s="39" t="inlineStr">
        <is>
          <t>Dual Keres Prime</t>
        </is>
      </c>
      <c r="F76" s="39" t="inlineStr">
        <is>
          <t>Dual Swords</t>
        </is>
      </c>
      <c r="G76" s="39" t="n">
        <v>0.32</v>
      </c>
      <c r="H76" s="39" t="n">
        <v>0.24</v>
      </c>
      <c r="I76" s="39" t="inlineStr">
        <is>
          <t>crit</t>
        </is>
      </c>
      <c r="J76" s="39" t="inlineStr">
        <is>
          <t>MELEE_CRIT</t>
        </is>
      </c>
      <c r="K76" s="39" t="inlineStr">
        <is>
          <t>Primed Pressure Point | Blood Rush | Weeping Wounds | Organ Shatter | Berserker Fury | Condition Overload | North Wind | Virulent Scourge</t>
        </is>
      </c>
      <c r="L76" s="39" t="inlineStr">
        <is>
          <t>Melee Duplicate</t>
        </is>
      </c>
      <c r="M76" s="39" t="inlineStr">
        <is>
          <t>Viral (North Wind -&gt; Virulent Scourge)</t>
        </is>
      </c>
      <c r="N76" s="39" t="inlineStr">
        <is>
          <t>-</t>
        </is>
      </c>
      <c r="O76" s="39" t="inlineStr">
        <is>
          <t>~3</t>
        </is>
      </c>
    </row>
    <row r="77">
      <c r="A77" s="39" t="inlineStr">
        <is>
          <t>PENDING</t>
        </is>
      </c>
      <c r="B77" s="39" t="inlineStr"/>
      <c r="C77" s="39" t="inlineStr">
        <is>
          <t>Koumei</t>
        </is>
      </c>
      <c r="D77" s="39" t="inlineStr">
        <is>
          <t>Primary</t>
        </is>
      </c>
      <c r="E77" s="39" t="inlineStr">
        <is>
          <t>Higasa</t>
        </is>
      </c>
      <c r="F77" s="39" t="inlineStr">
        <is>
          <t>Rifle</t>
        </is>
      </c>
      <c r="G77" s="39" t="n">
        <v>0.24</v>
      </c>
      <c r="H77" s="39" t="n">
        <v>0.18</v>
      </c>
      <c r="I77" s="39" t="inlineStr">
        <is>
          <t>crit</t>
        </is>
      </c>
      <c r="J77" s="39" t="inlineStr">
        <is>
          <t>RIFLE_CRIT</t>
        </is>
      </c>
      <c r="K77" s="39" t="inlineStr">
        <is>
          <t>Serration | Galvanized Chamber | Point Strike | Vital Sense | Hammer Shot | Galvanized Aptitude | Primed Cryo Rounds | Malignant Force</t>
        </is>
      </c>
      <c r="L77" s="39" t="inlineStr">
        <is>
          <t>Primary Merciless</t>
        </is>
      </c>
      <c r="M77" s="39" t="inlineStr">
        <is>
          <t>Viral (Primed Cryo Rounds -&gt; Malignant Force)</t>
        </is>
      </c>
      <c r="N77" s="39" t="inlineStr">
        <is>
          <t>-</t>
        </is>
      </c>
      <c r="O77" s="39" t="inlineStr">
        <is>
          <t>~3</t>
        </is>
      </c>
    </row>
    <row r="78">
      <c r="A78" s="39" t="inlineStr">
        <is>
          <t>PENDING</t>
        </is>
      </c>
      <c r="B78" s="39" t="inlineStr"/>
      <c r="C78" s="39" t="inlineStr">
        <is>
          <t>Koumei</t>
        </is>
      </c>
      <c r="D78" s="39" t="inlineStr">
        <is>
          <t>Secondary</t>
        </is>
      </c>
      <c r="E78" s="39" t="inlineStr">
        <is>
          <t>Kunai</t>
        </is>
      </c>
      <c r="F78" s="39" t="inlineStr">
        <is>
          <t>Thrown</t>
        </is>
      </c>
      <c r="G78" s="39" t="n">
        <v>0.08</v>
      </c>
      <c r="H78" s="39" t="n">
        <v>0.08</v>
      </c>
      <c r="I78" s="39" t="inlineStr">
        <is>
          <t>crit</t>
        </is>
      </c>
      <c r="J78" s="39" t="inlineStr">
        <is>
          <t>PISTOL_CRIT</t>
        </is>
      </c>
      <c r="K78" s="39" t="inlineStr">
        <is>
          <t>Hornet Strike | Galvanized Diffusion | Primed Pistol Gambit | Primed Target Cracker | Galvanized Crosshairs | Galvanized Shot | Deep Freeze | Pathogen Rounds</t>
        </is>
      </c>
      <c r="L78" s="39" t="inlineStr">
        <is>
          <t>Secondary Merciless</t>
        </is>
      </c>
      <c r="M78" s="39" t="inlineStr">
        <is>
          <t>Viral (Deep Freeze -&gt; Pathogen Rounds)</t>
        </is>
      </c>
      <c r="N78" s="39" t="inlineStr">
        <is>
          <t>EVO2: Sage's Resolve; EVO3: Swift Deliverance; EVO4: Deathtrap Trigger</t>
        </is>
      </c>
      <c r="O78" s="39" t="inlineStr">
        <is>
          <t>~4 (Incarnon)</t>
        </is>
      </c>
    </row>
    <row r="79">
      <c r="A79" s="39" t="inlineStr">
        <is>
          <t>PENDING</t>
        </is>
      </c>
      <c r="B79" s="39" t="inlineStr"/>
      <c r="C79" s="39" t="inlineStr">
        <is>
          <t>Koumei</t>
        </is>
      </c>
      <c r="D79" s="39" t="inlineStr">
        <is>
          <t>Melee</t>
        </is>
      </c>
      <c r="E79" s="39" t="inlineStr">
        <is>
          <t>Amanata</t>
        </is>
      </c>
      <c r="F79" s="39" t="inlineStr">
        <is>
          <t>Polearm</t>
        </is>
      </c>
      <c r="G79" s="39" t="n">
        <v>0.24</v>
      </c>
      <c r="H79" s="39" t="n">
        <v>0.24</v>
      </c>
      <c r="I79" s="39" t="inlineStr">
        <is>
          <t>crit</t>
        </is>
      </c>
      <c r="J79" s="39" t="inlineStr">
        <is>
          <t>MELEE_CRIT</t>
        </is>
      </c>
      <c r="K79" s="39" t="inlineStr">
        <is>
          <t>Primed Pressure Point | Blood Rush | Weeping Wounds | Organ Shatter | Berserker Fury | Condition Overload | North Wind | Virulent Scourge</t>
        </is>
      </c>
      <c r="L79" s="39" t="inlineStr">
        <is>
          <t>Melee Duplicate</t>
        </is>
      </c>
      <c r="M79" s="39" t="inlineStr">
        <is>
          <t>Viral (North Wind -&gt; Virulent Scourge)</t>
        </is>
      </c>
      <c r="N79" s="39" t="inlineStr">
        <is>
          <t>-</t>
        </is>
      </c>
      <c r="O79" s="39" t="inlineStr">
        <is>
          <t>~3</t>
        </is>
      </c>
    </row>
    <row r="80">
      <c r="A80" s="39" t="inlineStr">
        <is>
          <t>PENDING</t>
        </is>
      </c>
      <c r="B80" s="39" t="inlineStr"/>
      <c r="C80" s="39" t="inlineStr">
        <is>
          <t>Kullervo</t>
        </is>
      </c>
      <c r="D80" s="39" t="inlineStr">
        <is>
          <t>Primary</t>
        </is>
      </c>
      <c r="E80" s="39" t="inlineStr">
        <is>
          <t>Rauta</t>
        </is>
      </c>
      <c r="F80" s="39" t="inlineStr">
        <is>
          <t>Shotgun</t>
        </is>
      </c>
      <c r="G80" s="39" t="n">
        <v>0.06</v>
      </c>
      <c r="H80" s="39" t="n">
        <v>0.12</v>
      </c>
      <c r="I80" s="39" t="inlineStr">
        <is>
          <t>status</t>
        </is>
      </c>
      <c r="J80" s="39" t="inlineStr">
        <is>
          <t>SHOTGUN</t>
        </is>
      </c>
      <c r="K80" s="39" t="inlineStr">
        <is>
          <t>Primed Point Blank | Galvanized Hell | Primed Ravage | Critical Deceleration | Galvanized Savvy | Chilling Grasp | Toxic Barrage | Primed Charged Shell</t>
        </is>
      </c>
      <c r="L80" s="39" t="inlineStr">
        <is>
          <t>Shotgun Vendetta</t>
        </is>
      </c>
      <c r="M80" s="39" t="inlineStr">
        <is>
          <t>Viral + Electricity (Chilling Grasp -&gt; Toxic Barrage, then Primed Charged Shell unpaired)</t>
        </is>
      </c>
      <c r="N80" s="39" t="inlineStr">
        <is>
          <t>-</t>
        </is>
      </c>
      <c r="O80" s="39" t="inlineStr">
        <is>
          <t>~3</t>
        </is>
      </c>
    </row>
    <row r="81">
      <c r="A81" s="39" t="inlineStr">
        <is>
          <t>PENDING</t>
        </is>
      </c>
      <c r="B81" s="39" t="inlineStr"/>
      <c r="C81" s="39" t="inlineStr">
        <is>
          <t>Kullervo</t>
        </is>
      </c>
      <c r="D81" s="39" t="inlineStr">
        <is>
          <t>Secondary</t>
        </is>
      </c>
      <c r="E81" s="39" t="inlineStr">
        <is>
          <t>Epitaph</t>
        </is>
      </c>
      <c r="F81" s="39" t="inlineStr">
        <is>
          <t>Pistol</t>
        </is>
      </c>
      <c r="G81" s="39" t="n">
        <v>0.48</v>
      </c>
      <c r="H81" s="39" t="n">
        <v>0.04</v>
      </c>
      <c r="I81" s="39" t="inlineStr">
        <is>
          <t>crit</t>
        </is>
      </c>
      <c r="J81" s="39" t="inlineStr">
        <is>
          <t>PISTOL_CRIT</t>
        </is>
      </c>
      <c r="K81" s="39" t="inlineStr">
        <is>
          <t>Hornet Strike | Galvanized Diffusion | Primed Pistol Gambit | Primed Target Cracker | Galvanized Crosshairs | Galvanized Shot | Deep Freeze | Pathogen Rounds</t>
        </is>
      </c>
      <c r="L81" s="39" t="inlineStr">
        <is>
          <t>Secondary Outburst</t>
        </is>
      </c>
      <c r="M81" s="39" t="inlineStr">
        <is>
          <t>Viral (Deep Freeze -&gt; Pathogen Rounds)</t>
        </is>
      </c>
      <c r="N81" s="39" t="inlineStr">
        <is>
          <t>-</t>
        </is>
      </c>
      <c r="O81" s="39" t="inlineStr">
        <is>
          <t>~3</t>
        </is>
      </c>
    </row>
    <row r="82">
      <c r="A82" s="39" t="inlineStr">
        <is>
          <t>PENDING</t>
        </is>
      </c>
      <c r="B82" s="39" t="inlineStr"/>
      <c r="C82" s="39" t="inlineStr">
        <is>
          <t>Kullervo</t>
        </is>
      </c>
      <c r="D82" s="39" t="inlineStr">
        <is>
          <t>Melee</t>
        </is>
      </c>
      <c r="E82" s="39" t="inlineStr">
        <is>
          <t>Azothane</t>
        </is>
      </c>
      <c r="F82" s="39" t="inlineStr">
        <is>
          <t>Two-Handed Nikana</t>
        </is>
      </c>
      <c r="G82" s="39" t="n">
        <v>0.34</v>
      </c>
      <c r="H82" s="39" t="n">
        <v>0.22</v>
      </c>
      <c r="I82" s="39" t="inlineStr">
        <is>
          <t>crit</t>
        </is>
      </c>
      <c r="J82" s="39" t="inlineStr">
        <is>
          <t>MELEE_CRIT</t>
        </is>
      </c>
      <c r="K82" s="39" t="inlineStr">
        <is>
          <t>Primed Pressure Point | Blood Rush | Weeping Wounds | Organ Shatter | Berserker Fury | Condition Overload | North Wind | Virulent Scourge</t>
        </is>
      </c>
      <c r="L82" s="39" t="inlineStr">
        <is>
          <t>Melee Duplicate</t>
        </is>
      </c>
      <c r="M82" s="39" t="inlineStr">
        <is>
          <t>Viral (North Wind -&gt; Virulent Scourge)</t>
        </is>
      </c>
      <c r="N82" s="39" t="inlineStr">
        <is>
          <t>-</t>
        </is>
      </c>
      <c r="O82" s="39" t="inlineStr">
        <is>
          <t>~3</t>
        </is>
      </c>
    </row>
    <row r="83">
      <c r="A83" s="39" t="inlineStr">
        <is>
          <t>PENDING</t>
        </is>
      </c>
      <c r="B83" s="39" t="inlineStr"/>
      <c r="C83" s="39" t="inlineStr">
        <is>
          <t>Lavos Prime</t>
        </is>
      </c>
      <c r="D83" s="39" t="inlineStr">
        <is>
          <t>Primary</t>
        </is>
      </c>
      <c r="E83" s="39" t="inlineStr">
        <is>
          <t>Cedo Prime</t>
        </is>
      </c>
      <c r="F83" s="39" t="inlineStr">
        <is>
          <t>Shotgun</t>
        </is>
      </c>
      <c r="G83" s="39" t="n">
        <v>0.24</v>
      </c>
      <c r="H83" s="39" t="n">
        <v>0.02</v>
      </c>
      <c r="I83" s="39" t="inlineStr">
        <is>
          <t>crit</t>
        </is>
      </c>
      <c r="J83" s="39" t="inlineStr">
        <is>
          <t>SHOTGUN</t>
        </is>
      </c>
      <c r="K83" s="39" t="inlineStr">
        <is>
          <t>Primed Point Blank | Galvanized Hell | Primed Ravage | Critical Deceleration | Galvanized Savvy | Chilling Grasp | Toxic Barrage | Primed Charged Shell</t>
        </is>
      </c>
      <c r="L83" s="39" t="inlineStr">
        <is>
          <t>Shotgun Vendetta</t>
        </is>
      </c>
      <c r="M83" s="39" t="inlineStr">
        <is>
          <t>Viral + Electricity (Chilling Grasp -&gt; Toxic Barrage, then Primed Charged Shell unpaired)</t>
        </is>
      </c>
      <c r="N83" s="39" t="inlineStr">
        <is>
          <t>-</t>
        </is>
      </c>
      <c r="O83" s="39" t="inlineStr">
        <is>
          <t>~3</t>
        </is>
      </c>
    </row>
    <row r="84">
      <c r="A84" s="39" t="inlineStr">
        <is>
          <t>PENDING</t>
        </is>
      </c>
      <c r="B84" s="39" t="inlineStr"/>
      <c r="C84" s="39" t="inlineStr">
        <is>
          <t>Lavos Prime</t>
        </is>
      </c>
      <c r="D84" s="39" t="inlineStr">
        <is>
          <t>Secondary</t>
        </is>
      </c>
      <c r="E84" s="39" t="inlineStr">
        <is>
          <t>Cyanex</t>
        </is>
      </c>
      <c r="F84" s="39" t="inlineStr">
        <is>
          <t>Pistol</t>
        </is>
      </c>
      <c r="G84" s="39" t="n">
        <v>0.08</v>
      </c>
      <c r="H84" s="39" t="n">
        <v>0.32</v>
      </c>
      <c r="I84" s="39" t="inlineStr">
        <is>
          <t>status</t>
        </is>
      </c>
      <c r="J84" s="39" t="inlineStr">
        <is>
          <t>PISTOL_CRIT</t>
        </is>
      </c>
      <c r="K84" s="39" t="inlineStr">
        <is>
          <t>Hornet Strike | Galvanized Diffusion | Primed Pistol Gambit | Primed Target Cracker | Galvanized Crosshairs | Galvanized Shot | Deep Freeze | Pathogen Rounds</t>
        </is>
      </c>
      <c r="L84" s="39" t="inlineStr">
        <is>
          <t>Secondary Encumber</t>
        </is>
      </c>
      <c r="M84" s="39" t="inlineStr">
        <is>
          <t>Viral (Deep Freeze -&gt; Pathogen Rounds)</t>
        </is>
      </c>
      <c r="N84" s="39" t="inlineStr">
        <is>
          <t>-</t>
        </is>
      </c>
      <c r="O84" s="39" t="inlineStr">
        <is>
          <t>~3</t>
        </is>
      </c>
    </row>
    <row r="85">
      <c r="A85" s="39" t="inlineStr">
        <is>
          <t>PENDING</t>
        </is>
      </c>
      <c r="B85" s="39" t="inlineStr"/>
      <c r="C85" s="39" t="inlineStr">
        <is>
          <t>Lavos Prime</t>
        </is>
      </c>
      <c r="D85" s="39" t="inlineStr">
        <is>
          <t>Melee</t>
        </is>
      </c>
      <c r="E85" s="39" t="inlineStr">
        <is>
          <t>Dual Zoren Prime</t>
        </is>
      </c>
      <c r="F85" s="39" t="inlineStr">
        <is>
          <t>Dual Swords</t>
        </is>
      </c>
      <c r="G85" s="39" t="n">
        <v>0.3</v>
      </c>
      <c r="H85" s="39" t="n">
        <v>0.22</v>
      </c>
      <c r="I85" s="39" t="inlineStr">
        <is>
          <t>crit</t>
        </is>
      </c>
      <c r="J85" s="39" t="inlineStr">
        <is>
          <t>MELEE_CRIT</t>
        </is>
      </c>
      <c r="K85" s="39" t="inlineStr">
        <is>
          <t>Primed Pressure Point | Blood Rush | Weeping Wounds | Organ Shatter | Berserker Fury | Condition Overload | North Wind | Virulent Scourge</t>
        </is>
      </c>
      <c r="L85" s="39" t="inlineStr">
        <is>
          <t>Melee Duplicate</t>
        </is>
      </c>
      <c r="M85" s="39" t="inlineStr">
        <is>
          <t>Viral (North Wind -&gt; Virulent Scourge)</t>
        </is>
      </c>
      <c r="N85" s="39" t="inlineStr">
        <is>
          <t>-</t>
        </is>
      </c>
      <c r="O85" s="39" t="inlineStr">
        <is>
          <t>~3</t>
        </is>
      </c>
    </row>
    <row r="86">
      <c r="A86" s="39" t="inlineStr">
        <is>
          <t>PENDING</t>
        </is>
      </c>
      <c r="B86" s="39" t="inlineStr"/>
      <c r="C86" s="39" t="inlineStr">
        <is>
          <t>Limbo Prime</t>
        </is>
      </c>
      <c r="D86" s="39" t="inlineStr">
        <is>
          <t>Primary</t>
        </is>
      </c>
      <c r="E86" s="39" t="inlineStr">
        <is>
          <t>Vectis</t>
        </is>
      </c>
      <c r="F86" s="39" t="inlineStr">
        <is>
          <t>Sniper Rifle</t>
        </is>
      </c>
      <c r="G86" s="39" t="n">
        <v>0.25</v>
      </c>
      <c r="H86" s="39" t="n">
        <v>0.3</v>
      </c>
      <c r="I86" s="39" t="inlineStr">
        <is>
          <t>crit</t>
        </is>
      </c>
      <c r="J86" s="39" t="inlineStr">
        <is>
          <t>RIFLE_CRIT</t>
        </is>
      </c>
      <c r="K86" s="39" t="inlineStr">
        <is>
          <t>Serration | Galvanized Chamber | Point Strike | Vital Sense | Hammer Shot | Galvanized Aptitude | Primed Cryo Rounds | Malignant Force</t>
        </is>
      </c>
      <c r="L86" s="39" t="inlineStr">
        <is>
          <t>Primary Deadhead</t>
        </is>
      </c>
      <c r="M86" s="39" t="inlineStr">
        <is>
          <t>Viral (Primed Cryo Rounds -&gt; Malignant Force)</t>
        </is>
      </c>
      <c r="N86" s="39" t="inlineStr">
        <is>
          <t>EVO2: Lone Enforcer; EVO3: Rapid Reinforcement; EVO4: Critical Parallel</t>
        </is>
      </c>
      <c r="O86" s="39" t="inlineStr">
        <is>
          <t>~4 (Incarnon)</t>
        </is>
      </c>
    </row>
    <row r="87">
      <c r="A87" s="39" t="inlineStr">
        <is>
          <t>PENDING</t>
        </is>
      </c>
      <c r="B87" s="39" t="inlineStr"/>
      <c r="C87" s="39" t="inlineStr">
        <is>
          <t>Limbo Prime</t>
        </is>
      </c>
      <c r="D87" s="39" t="inlineStr">
        <is>
          <t>Secondary</t>
        </is>
      </c>
      <c r="E87" s="39" t="inlineStr">
        <is>
          <t>Pyrana Prime</t>
        </is>
      </c>
      <c r="F87" s="39" t="inlineStr">
        <is>
          <t>Shotgun Sidearm</t>
        </is>
      </c>
      <c r="G87" s="39" t="n">
        <v>0.24</v>
      </c>
      <c r="H87" s="39" t="n">
        <v>0.036</v>
      </c>
      <c r="I87" s="39" t="inlineStr">
        <is>
          <t>crit</t>
        </is>
      </c>
      <c r="J87" s="39" t="inlineStr">
        <is>
          <t>PISTOL_CRIT</t>
        </is>
      </c>
      <c r="K87" s="39" t="inlineStr">
        <is>
          <t>Hornet Strike | Galvanized Diffusion | Primed Pistol Gambit | Primed Target Cracker | Galvanized Crosshairs | Galvanized Shot | Deep Freeze | Pathogen Rounds</t>
        </is>
      </c>
      <c r="L87" s="39" t="inlineStr">
        <is>
          <t>Secondary Merciless</t>
        </is>
      </c>
      <c r="M87" s="39" t="inlineStr">
        <is>
          <t>Viral (Deep Freeze -&gt; Pathogen Rounds)</t>
        </is>
      </c>
      <c r="N87" s="39" t="inlineStr">
        <is>
          <t>-</t>
        </is>
      </c>
      <c r="O87" s="39" t="inlineStr">
        <is>
          <t>~3</t>
        </is>
      </c>
    </row>
    <row r="88">
      <c r="A88" s="39" t="inlineStr">
        <is>
          <t>PENDING</t>
        </is>
      </c>
      <c r="B88" s="39" t="inlineStr"/>
      <c r="C88" s="39" t="inlineStr">
        <is>
          <t>Limbo Prime</t>
        </is>
      </c>
      <c r="D88" s="39" t="inlineStr">
        <is>
          <t>Melee</t>
        </is>
      </c>
      <c r="E88" s="39" t="inlineStr">
        <is>
          <t>Destreza Prime</t>
        </is>
      </c>
      <c r="F88" s="39" t="inlineStr">
        <is>
          <t>Rapier</t>
        </is>
      </c>
      <c r="G88" s="39" t="n">
        <v>0.32</v>
      </c>
      <c r="H88" s="39" t="n">
        <v>0.2</v>
      </c>
      <c r="I88" s="39" t="inlineStr">
        <is>
          <t>crit</t>
        </is>
      </c>
      <c r="J88" s="39" t="inlineStr">
        <is>
          <t>MELEE_CRIT</t>
        </is>
      </c>
      <c r="K88" s="39" t="inlineStr">
        <is>
          <t>Primed Pressure Point | Blood Rush | Weeping Wounds | Organ Shatter | Berserker Fury | Condition Overload | North Wind | Virulent Scourge</t>
        </is>
      </c>
      <c r="L88" s="39" t="inlineStr">
        <is>
          <t>Melee Duplicate</t>
        </is>
      </c>
      <c r="M88" s="39" t="inlineStr">
        <is>
          <t>Viral (North Wind -&gt; Virulent Scourge)</t>
        </is>
      </c>
      <c r="N88" s="39" t="inlineStr">
        <is>
          <t>EVO2: Weighted Impetus; EVO3: Orokin Reach; EVO4: Critical Forte</t>
        </is>
      </c>
      <c r="O88" s="39" t="inlineStr">
        <is>
          <t>~4 (Incarnon)</t>
        </is>
      </c>
    </row>
    <row r="89">
      <c r="A89" s="39" t="inlineStr">
        <is>
          <t>PENDING</t>
        </is>
      </c>
      <c r="B89" s="39" t="inlineStr"/>
      <c r="C89" s="39" t="inlineStr">
        <is>
          <t>Loki Prime</t>
        </is>
      </c>
      <c r="D89" s="39" t="inlineStr">
        <is>
          <t>Primary</t>
        </is>
      </c>
      <c r="E89" s="39" t="inlineStr">
        <is>
          <t>Baza Prime</t>
        </is>
      </c>
      <c r="F89" s="39" t="inlineStr">
        <is>
          <t>Rifle</t>
        </is>
      </c>
      <c r="G89" s="39" t="n">
        <v>0.28</v>
      </c>
      <c r="H89" s="39" t="n">
        <v>0.14</v>
      </c>
      <c r="I89" s="39" t="inlineStr">
        <is>
          <t>crit</t>
        </is>
      </c>
      <c r="J89" s="39" t="inlineStr">
        <is>
          <t>RIFLE_CRIT</t>
        </is>
      </c>
      <c r="K89" s="39" t="inlineStr">
        <is>
          <t>Serration | Galvanized Chamber | Point Strike | Vital Sense | Hammer Shot | Galvanized Aptitude | Primed Cryo Rounds | Malignant Force</t>
        </is>
      </c>
      <c r="L89" s="39" t="inlineStr">
        <is>
          <t>Primary Merciless</t>
        </is>
      </c>
      <c r="M89" s="39" t="inlineStr">
        <is>
          <t>Viral (Primed Cryo Rounds -&gt; Malignant Force)</t>
        </is>
      </c>
      <c r="N89" s="39" t="inlineStr">
        <is>
          <t>-</t>
        </is>
      </c>
      <c r="O89" s="39" t="inlineStr">
        <is>
          <t>~3</t>
        </is>
      </c>
    </row>
    <row r="90">
      <c r="A90" s="39" t="inlineStr">
        <is>
          <t>PENDING</t>
        </is>
      </c>
      <c r="B90" s="39" t="inlineStr"/>
      <c r="C90" s="39" t="inlineStr">
        <is>
          <t>Loki Prime</t>
        </is>
      </c>
      <c r="D90" s="39" t="inlineStr">
        <is>
          <t>Secondary</t>
        </is>
      </c>
      <c r="E90" s="39" t="inlineStr">
        <is>
          <t>Spira Prime</t>
        </is>
      </c>
      <c r="F90" s="39" t="inlineStr">
        <is>
          <t>Thrown</t>
        </is>
      </c>
      <c r="G90" s="39" t="n">
        <v>0.3</v>
      </c>
      <c r="H90" s="39" t="n">
        <v>0.14</v>
      </c>
      <c r="I90" s="39" t="inlineStr">
        <is>
          <t>crit</t>
        </is>
      </c>
      <c r="J90" s="39" t="inlineStr">
        <is>
          <t>PISTOL_CRIT</t>
        </is>
      </c>
      <c r="K90" s="39" t="inlineStr">
        <is>
          <t>Hornet Strike | Galvanized Diffusion | Primed Pistol Gambit | Primed Target Cracker | Galvanized Crosshairs | Galvanized Shot | Deep Freeze | Pathogen Rounds</t>
        </is>
      </c>
      <c r="L90" s="39" t="inlineStr">
        <is>
          <t>Secondary Merciless</t>
        </is>
      </c>
      <c r="M90" s="39" t="inlineStr">
        <is>
          <t>Viral (Deep Freeze -&gt; Pathogen Rounds)</t>
        </is>
      </c>
      <c r="N90" s="39" t="inlineStr">
        <is>
          <t>-</t>
        </is>
      </c>
      <c r="O90" s="39" t="inlineStr">
        <is>
          <t>~3</t>
        </is>
      </c>
    </row>
    <row r="91">
      <c r="A91" s="39" t="inlineStr">
        <is>
          <t>PENDING</t>
        </is>
      </c>
      <c r="B91" s="39" t="inlineStr"/>
      <c r="C91" s="39" t="inlineStr">
        <is>
          <t>Loki Prime</t>
        </is>
      </c>
      <c r="D91" s="39" t="inlineStr">
        <is>
          <t>Melee</t>
        </is>
      </c>
      <c r="E91" s="39" t="inlineStr">
        <is>
          <t>Nikana Prime</t>
        </is>
      </c>
      <c r="F91" s="39" t="inlineStr">
        <is>
          <t>Nikana</t>
        </is>
      </c>
      <c r="G91" s="39" t="n">
        <v>0.28</v>
      </c>
      <c r="H91" s="39" t="n">
        <v>0.28</v>
      </c>
      <c r="I91" s="39" t="inlineStr">
        <is>
          <t>crit</t>
        </is>
      </c>
      <c r="J91" s="39" t="inlineStr">
        <is>
          <t>MELEE_CRIT</t>
        </is>
      </c>
      <c r="K91" s="39" t="inlineStr">
        <is>
          <t>Primed Pressure Point | Blood Rush | Weeping Wounds | Organ Shatter | Berserker Fury | Condition Overload | North Wind | Virulent Scourge</t>
        </is>
      </c>
      <c r="L91" s="39" t="inlineStr">
        <is>
          <t>Melee Duplicate</t>
        </is>
      </c>
      <c r="M91" s="39" t="inlineStr">
        <is>
          <t>Viral (North Wind -&gt; Virulent Scourge)</t>
        </is>
      </c>
      <c r="N91" s="39" t="inlineStr">
        <is>
          <t>-</t>
        </is>
      </c>
      <c r="O91" s="39" t="inlineStr">
        <is>
          <t>~3</t>
        </is>
      </c>
    </row>
    <row r="92">
      <c r="A92" s="39" t="inlineStr">
        <is>
          <t>PENDING</t>
        </is>
      </c>
      <c r="B92" s="39" t="inlineStr"/>
      <c r="C92" s="39" t="inlineStr">
        <is>
          <t>Mag Prime</t>
        </is>
      </c>
      <c r="D92" s="39" t="inlineStr">
        <is>
          <t>Primary</t>
        </is>
      </c>
      <c r="E92" s="39" t="inlineStr">
        <is>
          <t>Tenet Arca Plasmor</t>
        </is>
      </c>
      <c r="F92" s="39" t="inlineStr">
        <is>
          <t>Shotgun</t>
        </is>
      </c>
      <c r="G92" s="39" t="n">
        <v>0.22</v>
      </c>
      <c r="H92" s="39" t="n">
        <v>0.34</v>
      </c>
      <c r="I92" s="39" t="inlineStr">
        <is>
          <t>status</t>
        </is>
      </c>
      <c r="J92" s="39" t="inlineStr">
        <is>
          <t>SHOTGUN</t>
        </is>
      </c>
      <c r="K92" s="39" t="inlineStr">
        <is>
          <t>Primed Point Blank | Galvanized Hell | Primed Ravage | Critical Deceleration | Galvanized Savvy | Chilling Grasp | Toxic Barrage | Primed Charged Shell</t>
        </is>
      </c>
      <c r="L92" s="39" t="inlineStr">
        <is>
          <t>Shotgun Vendetta</t>
        </is>
      </c>
      <c r="M92" s="39" t="inlineStr">
        <is>
          <t>Adversary innate element (see Adversary sheet) + Viral + Electricity (Chilling Grasp -&gt; Toxic Barrage, then Primed Charged Shell unpaired)</t>
        </is>
      </c>
      <c r="N92" s="39" t="inlineStr">
        <is>
          <t>-</t>
        </is>
      </c>
      <c r="O92" s="39" t="inlineStr">
        <is>
          <t>5 Forma to Rank 40 + ~3 polarization</t>
        </is>
      </c>
    </row>
    <row r="93">
      <c r="A93" s="39" t="inlineStr">
        <is>
          <t>PENDING</t>
        </is>
      </c>
      <c r="B93" s="39" t="inlineStr"/>
      <c r="C93" s="39" t="inlineStr">
        <is>
          <t>Mag Prime</t>
        </is>
      </c>
      <c r="D93" s="39" t="inlineStr">
        <is>
          <t>Secondary</t>
        </is>
      </c>
      <c r="E93" s="39" t="inlineStr">
        <is>
          <t>Mara Detron</t>
        </is>
      </c>
      <c r="F93" s="39" t="inlineStr">
        <is>
          <t>Shotgun Sidearm</t>
        </is>
      </c>
      <c r="G93" s="39" t="n">
        <v>0.08</v>
      </c>
      <c r="H93" s="39" t="n">
        <v>0.1371</v>
      </c>
      <c r="I93" s="39" t="inlineStr">
        <is>
          <t>status</t>
        </is>
      </c>
      <c r="J93" s="39" t="inlineStr">
        <is>
          <t>PISTOL_CRIT</t>
        </is>
      </c>
      <c r="K93" s="39" t="inlineStr">
        <is>
          <t>Hornet Strike | Galvanized Diffusion | Primed Pistol Gambit | Primed Target Cracker | Galvanized Crosshairs | Galvanized Shot | Deep Freeze | Pathogen Rounds</t>
        </is>
      </c>
      <c r="L93" s="39" t="inlineStr">
        <is>
          <t>Secondary Encumber</t>
        </is>
      </c>
      <c r="M93" s="39" t="inlineStr">
        <is>
          <t>Viral (Deep Freeze -&gt; Pathogen Rounds)</t>
        </is>
      </c>
      <c r="N93" s="39" t="inlineStr">
        <is>
          <t>-</t>
        </is>
      </c>
      <c r="O93" s="39" t="inlineStr">
        <is>
          <t>~3</t>
        </is>
      </c>
    </row>
    <row r="94">
      <c r="A94" s="39" t="inlineStr">
        <is>
          <t>PENDING</t>
        </is>
      </c>
      <c r="B94" s="39" t="inlineStr"/>
      <c r="C94" s="39" t="inlineStr">
        <is>
          <t>Mag Prime</t>
        </is>
      </c>
      <c r="D94" s="39" t="inlineStr">
        <is>
          <t>Melee</t>
        </is>
      </c>
      <c r="E94" s="39" t="inlineStr">
        <is>
          <t>Dakra Prime</t>
        </is>
      </c>
      <c r="F94" s="39" t="inlineStr">
        <is>
          <t>Sword</t>
        </is>
      </c>
      <c r="G94" s="39" t="n">
        <v>0.36</v>
      </c>
      <c r="H94" s="39" t="n">
        <v>0.18</v>
      </c>
      <c r="I94" s="39" t="inlineStr">
        <is>
          <t>crit</t>
        </is>
      </c>
      <c r="J94" s="39" t="inlineStr">
        <is>
          <t>MELEE_CRIT</t>
        </is>
      </c>
      <c r="K94" s="39" t="inlineStr">
        <is>
          <t>Primed Pressure Point | Blood Rush | Weeping Wounds | Organ Shatter | Berserker Fury | Condition Overload | North Wind | Virulent Scourge</t>
        </is>
      </c>
      <c r="L94" s="39" t="inlineStr">
        <is>
          <t>Melee Duplicate</t>
        </is>
      </c>
      <c r="M94" s="39" t="inlineStr">
        <is>
          <t>Viral (North Wind -&gt; Virulent Scourge)</t>
        </is>
      </c>
      <c r="N94" s="39" t="inlineStr">
        <is>
          <t>-</t>
        </is>
      </c>
      <c r="O94" s="39" t="inlineStr">
        <is>
          <t>~3</t>
        </is>
      </c>
    </row>
    <row r="95">
      <c r="A95" s="39" t="inlineStr">
        <is>
          <t>PENDING</t>
        </is>
      </c>
      <c r="B95" s="39" t="inlineStr"/>
      <c r="C95" s="39" t="inlineStr">
        <is>
          <t>Mesa Prime</t>
        </is>
      </c>
      <c r="D95" s="39" t="inlineStr">
        <is>
          <t>Primary</t>
        </is>
      </c>
      <c r="E95" s="39" t="inlineStr">
        <is>
          <t>Cedo</t>
        </is>
      </c>
      <c r="F95" s="39" t="inlineStr">
        <is>
          <t>Shotgun</t>
        </is>
      </c>
      <c r="G95" s="39" t="n">
        <v>0.2</v>
      </c>
      <c r="H95" s="39" t="n">
        <v>0.003</v>
      </c>
      <c r="I95" s="39" t="inlineStr">
        <is>
          <t>crit</t>
        </is>
      </c>
      <c r="J95" s="39" t="inlineStr">
        <is>
          <t>SHOTGUN</t>
        </is>
      </c>
      <c r="K95" s="39" t="inlineStr">
        <is>
          <t>Primed Point Blank | Galvanized Hell | Primed Ravage | Critical Deceleration | Galvanized Savvy | Chilling Grasp | Toxic Barrage | Primed Charged Shell</t>
        </is>
      </c>
      <c r="L95" s="39" t="inlineStr">
        <is>
          <t>Shotgun Vendetta</t>
        </is>
      </c>
      <c r="M95" s="39" t="inlineStr">
        <is>
          <t>Viral + Electricity (Chilling Grasp -&gt; Toxic Barrage, then Primed Charged Shell unpaired)</t>
        </is>
      </c>
      <c r="N95" s="39" t="inlineStr">
        <is>
          <t>-</t>
        </is>
      </c>
      <c r="O95" s="39" t="inlineStr">
        <is>
          <t>~3</t>
        </is>
      </c>
    </row>
    <row r="96">
      <c r="A96" s="39" t="inlineStr">
        <is>
          <t>PENDING</t>
        </is>
      </c>
      <c r="B96" s="39" t="inlineStr"/>
      <c r="C96" s="39" t="inlineStr">
        <is>
          <t>Mesa Prime</t>
        </is>
      </c>
      <c r="D96" s="39" t="inlineStr">
        <is>
          <t>Secondary</t>
        </is>
      </c>
      <c r="E96" s="39" t="inlineStr">
        <is>
          <t>Akjagara Prime</t>
        </is>
      </c>
      <c r="F96" s="39" t="inlineStr">
        <is>
          <t>Dual Pistols</t>
        </is>
      </c>
      <c r="G96" s="39" t="n">
        <v>0.18</v>
      </c>
      <c r="H96" s="39" t="n">
        <v>0.32</v>
      </c>
      <c r="I96" s="39" t="inlineStr">
        <is>
          <t>status</t>
        </is>
      </c>
      <c r="J96" s="39" t="inlineStr">
        <is>
          <t>PISTOL_CRIT</t>
        </is>
      </c>
      <c r="K96" s="39" t="inlineStr">
        <is>
          <t>Hornet Strike | Galvanized Diffusion | Primed Pistol Gambit | Primed Target Cracker | Galvanized Crosshairs | Galvanized Shot | Deep Freeze | Pathogen Rounds</t>
        </is>
      </c>
      <c r="L96" s="39" t="inlineStr">
        <is>
          <t>Secondary Encumber</t>
        </is>
      </c>
      <c r="M96" s="39" t="inlineStr">
        <is>
          <t>Viral (Deep Freeze -&gt; Pathogen Rounds)</t>
        </is>
      </c>
      <c r="N96" s="39" t="inlineStr">
        <is>
          <t>-</t>
        </is>
      </c>
      <c r="O96" s="39" t="inlineStr">
        <is>
          <t>~3</t>
        </is>
      </c>
    </row>
    <row r="97">
      <c r="A97" s="39" t="inlineStr">
        <is>
          <t>PENDING</t>
        </is>
      </c>
      <c r="B97" s="39" t="inlineStr"/>
      <c r="C97" s="39" t="inlineStr">
        <is>
          <t>Mirage Prime</t>
        </is>
      </c>
      <c r="D97" s="39" t="inlineStr">
        <is>
          <t>Primary</t>
        </is>
      </c>
      <c r="E97" s="39" t="inlineStr">
        <is>
          <t>Kuva Bramma</t>
        </is>
      </c>
      <c r="F97" s="39" t="inlineStr">
        <is>
          <t>Bow</t>
        </is>
      </c>
      <c r="G97" s="39" t="n">
        <v>0.35</v>
      </c>
      <c r="H97" s="39" t="n">
        <v>0.21</v>
      </c>
      <c r="I97" s="39" t="inlineStr">
        <is>
          <t>crit</t>
        </is>
      </c>
      <c r="J97" s="39" t="inlineStr">
        <is>
          <t>RIFLE_CRIT</t>
        </is>
      </c>
      <c r="K97" s="39" t="inlineStr">
        <is>
          <t>Serration | Galvanized Chamber | Point Strike | Vital Sense | Hammer Shot | Galvanized Aptitude | Primed Cryo Rounds | Malignant Force</t>
        </is>
      </c>
      <c r="L97" s="39" t="inlineStr">
        <is>
          <t>Primary Deadhead</t>
        </is>
      </c>
      <c r="M97" s="39" t="inlineStr">
        <is>
          <t>Adversary innate element (see Adversary sheet) + Viral (Primed Cryo Rounds -&gt; Malignant Force)</t>
        </is>
      </c>
      <c r="N97" s="39" t="inlineStr">
        <is>
          <t>-</t>
        </is>
      </c>
      <c r="O97" s="39" t="inlineStr">
        <is>
          <t>5 Forma to Rank 40 + ~3 polarization</t>
        </is>
      </c>
    </row>
    <row r="98">
      <c r="A98" s="39" t="inlineStr">
        <is>
          <t>PENDING</t>
        </is>
      </c>
      <c r="B98" s="39" t="inlineStr"/>
      <c r="C98" s="39" t="inlineStr">
        <is>
          <t>Mirage Prime</t>
        </is>
      </c>
      <c r="D98" s="39" t="inlineStr">
        <is>
          <t>Secondary</t>
        </is>
      </c>
      <c r="E98" s="39" t="inlineStr">
        <is>
          <t>Akzani</t>
        </is>
      </c>
      <c r="F98" s="39" t="inlineStr">
        <is>
          <t>Dual Pistols</t>
        </is>
      </c>
      <c r="G98" s="39" t="n">
        <v>0.14</v>
      </c>
      <c r="H98" s="39" t="n">
        <v>0.14</v>
      </c>
      <c r="I98" s="39" t="inlineStr">
        <is>
          <t>crit</t>
        </is>
      </c>
      <c r="J98" s="39" t="inlineStr">
        <is>
          <t>PISTOL_CRIT</t>
        </is>
      </c>
      <c r="K98" s="39" t="inlineStr">
        <is>
          <t>Hornet Strike | Galvanized Diffusion | Primed Pistol Gambit | Primed Target Cracker | Galvanized Crosshairs | Galvanized Shot | Deep Freeze | Pathogen Rounds</t>
        </is>
      </c>
      <c r="L98" s="39" t="inlineStr">
        <is>
          <t>Secondary Merciless</t>
        </is>
      </c>
      <c r="M98" s="39" t="inlineStr">
        <is>
          <t>Viral (Deep Freeze -&gt; Pathogen Rounds)</t>
        </is>
      </c>
      <c r="N98" s="39" t="inlineStr">
        <is>
          <t>-</t>
        </is>
      </c>
      <c r="O98" s="39" t="inlineStr">
        <is>
          <t>~3</t>
        </is>
      </c>
    </row>
    <row r="99">
      <c r="A99" s="39" t="inlineStr">
        <is>
          <t>PENDING</t>
        </is>
      </c>
      <c r="B99" s="39" t="inlineStr"/>
      <c r="C99" s="39" t="inlineStr">
        <is>
          <t>Mirage Prime</t>
        </is>
      </c>
      <c r="D99" s="39" t="inlineStr">
        <is>
          <t>Melee</t>
        </is>
      </c>
      <c r="E99" s="39" t="inlineStr">
        <is>
          <t>Glaive Prime</t>
        </is>
      </c>
      <c r="F99" s="39" t="inlineStr">
        <is>
          <t>Glaive</t>
        </is>
      </c>
      <c r="G99" s="39" t="n">
        <v>0.22</v>
      </c>
      <c r="H99" s="39" t="n">
        <v>0.3</v>
      </c>
      <c r="I99" s="39" t="inlineStr">
        <is>
          <t>status</t>
        </is>
      </c>
      <c r="J99" s="39" t="inlineStr">
        <is>
          <t>MELEE_INFLUENCE</t>
        </is>
      </c>
      <c r="K99" s="39" t="inlineStr">
        <is>
          <t>Primed Pressure Point | Blood Rush | Weeping Wounds | Organ Shatter | Condition Overload | North Wind | Virulent Scourge | Voltaic Strike</t>
        </is>
      </c>
      <c r="L99" s="39" t="inlineStr">
        <is>
          <t>Melee Influence</t>
        </is>
      </c>
      <c r="M99" s="39" t="inlineStr">
        <is>
          <t>Viral + Electricity (North Wind -&gt; Virulent Scourge, Voltaic Strike unpaired: required to trigger Melee Influence)</t>
        </is>
      </c>
      <c r="N99" s="39" t="inlineStr">
        <is>
          <t>-</t>
        </is>
      </c>
      <c r="O99" s="39" t="inlineStr">
        <is>
          <t>~3</t>
        </is>
      </c>
    </row>
    <row r="100">
      <c r="A100" s="39" t="inlineStr">
        <is>
          <t>PENDING</t>
        </is>
      </c>
      <c r="B100" s="39" t="inlineStr"/>
      <c r="C100" s="39" t="inlineStr">
        <is>
          <t>Narin</t>
        </is>
      </c>
      <c r="D100" s="39" t="inlineStr">
        <is>
          <t>Primary</t>
        </is>
      </c>
      <c r="E100" s="39" t="inlineStr">
        <is>
          <t>Nunchasa</t>
        </is>
      </c>
      <c r="F100" s="39" t="inlineStr">
        <is>
          <t>Bow</t>
        </is>
      </c>
      <c r="G100" s="39" t="n">
        <v>0.32</v>
      </c>
      <c r="H100" s="39" t="n">
        <v>0.32</v>
      </c>
      <c r="I100" s="39" t="inlineStr">
        <is>
          <t>crit</t>
        </is>
      </c>
      <c r="J100" s="39" t="inlineStr">
        <is>
          <t>RIFLE_CRIT</t>
        </is>
      </c>
      <c r="K100" s="39" t="inlineStr">
        <is>
          <t>Serration | Galvanized Chamber | Point Strike | Vital Sense | Hammer Shot | Galvanized Aptitude | Primed Cryo Rounds | Malignant Force</t>
        </is>
      </c>
      <c r="L100" s="39" t="inlineStr">
        <is>
          <t>Primary Deadhead</t>
        </is>
      </c>
      <c r="M100" s="39" t="inlineStr">
        <is>
          <t>Viral (Primed Cryo Rounds -&gt; Malignant Force)</t>
        </is>
      </c>
      <c r="N100" s="39" t="inlineStr">
        <is>
          <t>-</t>
        </is>
      </c>
      <c r="O100" s="39" t="inlineStr">
        <is>
          <t>~3</t>
        </is>
      </c>
    </row>
    <row r="101">
      <c r="A101" s="39" t="inlineStr">
        <is>
          <t>PENDING</t>
        </is>
      </c>
      <c r="B101" s="39" t="inlineStr"/>
      <c r="C101" s="39" t="inlineStr">
        <is>
          <t>Narin</t>
        </is>
      </c>
      <c r="D101" s="39" t="inlineStr">
        <is>
          <t>Secondary</t>
        </is>
      </c>
      <c r="E101" s="39" t="inlineStr">
        <is>
          <t>Aksondol</t>
        </is>
      </c>
      <c r="F101" s="39" t="inlineStr">
        <is>
          <t>Dual Pistols</t>
        </is>
      </c>
      <c r="G101" s="39" t="n">
        <v>0.24</v>
      </c>
      <c r="H101" s="39" t="n">
        <v>0.22</v>
      </c>
      <c r="I101" s="39" t="inlineStr">
        <is>
          <t>crit</t>
        </is>
      </c>
      <c r="J101" s="39" t="inlineStr">
        <is>
          <t>PISTOL_CRIT</t>
        </is>
      </c>
      <c r="K101" s="39" t="inlineStr">
        <is>
          <t>Hornet Strike | Galvanized Diffusion | Primed Pistol Gambit | Primed Target Cracker | Galvanized Crosshairs | Galvanized Shot | Deep Freeze | Pathogen Rounds</t>
        </is>
      </c>
      <c r="L101" s="39" t="inlineStr">
        <is>
          <t>Secondary Merciless</t>
        </is>
      </c>
      <c r="M101" s="39" t="inlineStr">
        <is>
          <t>Viral (Deep Freeze -&gt; Pathogen Rounds)</t>
        </is>
      </c>
      <c r="N101" s="39" t="inlineStr">
        <is>
          <t>-</t>
        </is>
      </c>
      <c r="O101" s="39" t="inlineStr">
        <is>
          <t>~3</t>
        </is>
      </c>
    </row>
    <row r="102">
      <c r="A102" s="39" t="inlineStr">
        <is>
          <t>PENDING</t>
        </is>
      </c>
      <c r="B102" s="39" t="inlineStr"/>
      <c r="C102" s="39" t="inlineStr">
        <is>
          <t>Narin</t>
        </is>
      </c>
      <c r="D102" s="39" t="inlineStr">
        <is>
          <t>Melee</t>
        </is>
      </c>
      <c r="E102" s="39" t="inlineStr">
        <is>
          <t>Prisma Skana</t>
        </is>
      </c>
      <c r="F102" s="39" t="inlineStr">
        <is>
          <t>Sword</t>
        </is>
      </c>
      <c r="G102" s="39" t="n">
        <v>0.28</v>
      </c>
      <c r="H102" s="39" t="n">
        <v>0.16</v>
      </c>
      <c r="I102" s="39" t="inlineStr">
        <is>
          <t>crit</t>
        </is>
      </c>
      <c r="J102" s="39" t="inlineStr">
        <is>
          <t>MELEE_CRIT</t>
        </is>
      </c>
      <c r="K102" s="39" t="inlineStr">
        <is>
          <t>Primed Pressure Point | Blood Rush | Weeping Wounds | Organ Shatter | Berserker Fury | Condition Overload | North Wind | Virulent Scourge</t>
        </is>
      </c>
      <c r="L102" s="39" t="inlineStr">
        <is>
          <t>Melee Duplicate</t>
        </is>
      </c>
      <c r="M102" s="39" t="inlineStr">
        <is>
          <t>Viral (North Wind -&gt; Virulent Scourge)</t>
        </is>
      </c>
      <c r="N102" s="39" t="inlineStr">
        <is>
          <t>EVO2: Guardian's Promise; EVO3: Orokin Reach; EVO4: Survivor's Edge</t>
        </is>
      </c>
      <c r="O102" s="39" t="inlineStr">
        <is>
          <t>~4 (Incarnon)</t>
        </is>
      </c>
    </row>
    <row r="103">
      <c r="A103" s="39" t="inlineStr">
        <is>
          <t>PENDING</t>
        </is>
      </c>
      <c r="B103" s="39" t="inlineStr"/>
      <c r="C103" s="39" t="inlineStr">
        <is>
          <t>Nekros Prime</t>
        </is>
      </c>
      <c r="D103" s="39" t="inlineStr">
        <is>
          <t>Primary</t>
        </is>
      </c>
      <c r="E103" s="39" t="inlineStr">
        <is>
          <t>Tigris Prime</t>
        </is>
      </c>
      <c r="F103" s="39" t="inlineStr">
        <is>
          <t>Shotgun</t>
        </is>
      </c>
      <c r="G103" s="39" t="n">
        <v>0.1</v>
      </c>
      <c r="H103" s="39" t="n">
        <v>0.1125</v>
      </c>
      <c r="I103" s="39" t="inlineStr">
        <is>
          <t>status</t>
        </is>
      </c>
      <c r="J103" s="39" t="inlineStr">
        <is>
          <t>SHOTGUN</t>
        </is>
      </c>
      <c r="K103" s="39" t="inlineStr">
        <is>
          <t>Primed Point Blank | Galvanized Hell | Primed Ravage | Critical Deceleration | Galvanized Savvy | Chilling Grasp | Toxic Barrage | Primed Charged Shell</t>
        </is>
      </c>
      <c r="L103" s="39" t="inlineStr">
        <is>
          <t>Shotgun Vendetta</t>
        </is>
      </c>
      <c r="M103" s="39" t="inlineStr">
        <is>
          <t>Viral + Electricity (Chilling Grasp -&gt; Toxic Barrage, then Primed Charged Shell unpaired)</t>
        </is>
      </c>
      <c r="N103" s="39" t="inlineStr">
        <is>
          <t>-</t>
        </is>
      </c>
      <c r="O103" s="39" t="inlineStr">
        <is>
          <t>~3</t>
        </is>
      </c>
    </row>
    <row r="104">
      <c r="A104" s="39" t="inlineStr">
        <is>
          <t>PENDING</t>
        </is>
      </c>
      <c r="B104" s="39" t="inlineStr"/>
      <c r="C104" s="39" t="inlineStr">
        <is>
          <t>Nekros Prime</t>
        </is>
      </c>
      <c r="D104" s="39" t="inlineStr">
        <is>
          <t>Secondary</t>
        </is>
      </c>
      <c r="E104" s="39" t="inlineStr">
        <is>
          <t>Twin Grakatas</t>
        </is>
      </c>
      <c r="F104" s="39" t="inlineStr">
        <is>
          <t>Dual Pistols</t>
        </is>
      </c>
      <c r="G104" s="39" t="n">
        <v>0.25</v>
      </c>
      <c r="H104" s="39" t="n">
        <v>0.165</v>
      </c>
      <c r="I104" s="39" t="inlineStr">
        <is>
          <t>crit</t>
        </is>
      </c>
      <c r="J104" s="39" t="inlineStr">
        <is>
          <t>PISTOL_CRIT</t>
        </is>
      </c>
      <c r="K104" s="39" t="inlineStr">
        <is>
          <t>Hornet Strike | Galvanized Diffusion | Primed Pistol Gambit | Primed Target Cracker | Galvanized Crosshairs | Galvanized Shot | Deep Freeze | Pathogen Rounds</t>
        </is>
      </c>
      <c r="L104" s="39" t="inlineStr">
        <is>
          <t>Secondary Merciless</t>
        </is>
      </c>
      <c r="M104" s="39" t="inlineStr">
        <is>
          <t>Viral (Deep Freeze -&gt; Pathogen Rounds)</t>
        </is>
      </c>
      <c r="N104" s="39" t="inlineStr">
        <is>
          <t>-</t>
        </is>
      </c>
      <c r="O104" s="39" t="inlineStr">
        <is>
          <t>~3</t>
        </is>
      </c>
    </row>
    <row r="105">
      <c r="A105" s="39" t="inlineStr">
        <is>
          <t>PENDING</t>
        </is>
      </c>
      <c r="B105" s="39" t="inlineStr"/>
      <c r="C105" s="39" t="inlineStr">
        <is>
          <t>Nekros Prime</t>
        </is>
      </c>
      <c r="D105" s="39" t="inlineStr">
        <is>
          <t>Melee</t>
        </is>
      </c>
      <c r="E105" s="39" t="inlineStr">
        <is>
          <t>Galatine Prime</t>
        </is>
      </c>
      <c r="F105" s="39" t="inlineStr">
        <is>
          <t>Heavy Blade</t>
        </is>
      </c>
      <c r="G105" s="39" t="n">
        <v>0.26</v>
      </c>
      <c r="H105" s="39" t="n">
        <v>0.26</v>
      </c>
      <c r="I105" s="39" t="inlineStr">
        <is>
          <t>crit</t>
        </is>
      </c>
      <c r="J105" s="39" t="inlineStr">
        <is>
          <t>MELEE_CRIT</t>
        </is>
      </c>
      <c r="K105" s="39" t="inlineStr">
        <is>
          <t>Primed Pressure Point | Blood Rush | Weeping Wounds | Organ Shatter | Berserker Fury | Condition Overload | North Wind | Virulent Scourge</t>
        </is>
      </c>
      <c r="L105" s="39" t="inlineStr">
        <is>
          <t>Melee Animosity</t>
        </is>
      </c>
      <c r="M105" s="39" t="inlineStr">
        <is>
          <t>Viral (North Wind -&gt; Virulent Scourge)</t>
        </is>
      </c>
      <c r="N105" s="39" t="inlineStr">
        <is>
          <t>-</t>
        </is>
      </c>
      <c r="O105" s="39" t="inlineStr">
        <is>
          <t>~3</t>
        </is>
      </c>
    </row>
    <row r="106">
      <c r="A106" s="39" t="inlineStr">
        <is>
          <t>PENDING</t>
        </is>
      </c>
      <c r="B106" s="39" t="inlineStr"/>
      <c r="C106" s="39" t="inlineStr">
        <is>
          <t>Nezha Prime</t>
        </is>
      </c>
      <c r="D106" s="39" t="inlineStr">
        <is>
          <t>Primary</t>
        </is>
      </c>
      <c r="E106" s="39" t="inlineStr">
        <is>
          <t>Proboscis Cernos</t>
        </is>
      </c>
      <c r="F106" s="39" t="inlineStr">
        <is>
          <t>Bow</t>
        </is>
      </c>
      <c r="G106" s="39" t="n">
        <v>0.07000000000000001</v>
      </c>
      <c r="H106" s="39" t="n">
        <v>0.43</v>
      </c>
      <c r="I106" s="39" t="inlineStr">
        <is>
          <t>status</t>
        </is>
      </c>
      <c r="J106" s="39" t="inlineStr">
        <is>
          <t>RIFLE_CRIT</t>
        </is>
      </c>
      <c r="K106" s="39" t="inlineStr">
        <is>
          <t>Serration | Galvanized Chamber | Point Strike | Vital Sense | Hammer Shot | Galvanized Aptitude | Primed Cryo Rounds | Malignant Force</t>
        </is>
      </c>
      <c r="L106" s="39" t="inlineStr">
        <is>
          <t>Primary Deadhead</t>
        </is>
      </c>
      <c r="M106" s="39" t="inlineStr">
        <is>
          <t>Viral (Primed Cryo Rounds -&gt; Malignant Force)</t>
        </is>
      </c>
      <c r="N106" s="39" t="inlineStr">
        <is>
          <t>-</t>
        </is>
      </c>
      <c r="O106" s="39" t="inlineStr">
        <is>
          <t>~3</t>
        </is>
      </c>
    </row>
    <row r="107">
      <c r="A107" s="39" t="inlineStr">
        <is>
          <t>PENDING</t>
        </is>
      </c>
      <c r="B107" s="39" t="inlineStr"/>
      <c r="C107" s="39" t="inlineStr">
        <is>
          <t>Nezha Prime</t>
        </is>
      </c>
      <c r="D107" s="39" t="inlineStr">
        <is>
          <t>Secondary</t>
        </is>
      </c>
      <c r="E107" s="39" t="inlineStr">
        <is>
          <t>Zakti Prime</t>
        </is>
      </c>
      <c r="F107" s="39" t="inlineStr">
        <is>
          <t>Pistol</t>
        </is>
      </c>
      <c r="G107" s="39" t="n">
        <v>0.08</v>
      </c>
      <c r="H107" s="39" t="n">
        <v>0.42</v>
      </c>
      <c r="I107" s="39" t="inlineStr">
        <is>
          <t>status</t>
        </is>
      </c>
      <c r="J107" s="39" t="inlineStr">
        <is>
          <t>PISTOL_CRIT</t>
        </is>
      </c>
      <c r="K107" s="39" t="inlineStr">
        <is>
          <t>Hornet Strike | Galvanized Diffusion | Primed Pistol Gambit | Primed Target Cracker | Galvanized Crosshairs | Galvanized Shot | Deep Freeze | Pathogen Rounds</t>
        </is>
      </c>
      <c r="L107" s="39" t="inlineStr">
        <is>
          <t>Secondary Encumber</t>
        </is>
      </c>
      <c r="M107" s="39" t="inlineStr">
        <is>
          <t>Viral (Deep Freeze -&gt; Pathogen Rounds)</t>
        </is>
      </c>
      <c r="N107" s="39" t="inlineStr">
        <is>
          <t>-</t>
        </is>
      </c>
      <c r="O107" s="39" t="inlineStr">
        <is>
          <t>~3</t>
        </is>
      </c>
    </row>
    <row r="108">
      <c r="A108" s="39" t="inlineStr">
        <is>
          <t>PENDING</t>
        </is>
      </c>
      <c r="B108" s="39" t="inlineStr"/>
      <c r="C108" s="39" t="inlineStr">
        <is>
          <t>Nezha Prime</t>
        </is>
      </c>
      <c r="D108" s="39" t="inlineStr">
        <is>
          <t>Melee</t>
        </is>
      </c>
      <c r="E108" s="39" t="inlineStr">
        <is>
          <t>Guandao Prime</t>
        </is>
      </c>
      <c r="F108" s="39" t="inlineStr">
        <is>
          <t>Polearm</t>
        </is>
      </c>
      <c r="G108" s="39" t="n">
        <v>0.32</v>
      </c>
      <c r="H108" s="39" t="n">
        <v>0.2</v>
      </c>
      <c r="I108" s="39" t="inlineStr">
        <is>
          <t>crit</t>
        </is>
      </c>
      <c r="J108" s="39" t="inlineStr">
        <is>
          <t>MELEE_CRIT</t>
        </is>
      </c>
      <c r="K108" s="39" t="inlineStr">
        <is>
          <t>Primed Pressure Point | Blood Rush | Weeping Wounds | Organ Shatter | Berserker Fury | Condition Overload | North Wind | Virulent Scourge</t>
        </is>
      </c>
      <c r="L108" s="39" t="inlineStr">
        <is>
          <t>Melee Duplicate</t>
        </is>
      </c>
      <c r="M108" s="39" t="inlineStr">
        <is>
          <t>Viral (North Wind -&gt; Virulent Scourge)</t>
        </is>
      </c>
      <c r="N108" s="39" t="inlineStr">
        <is>
          <t>-</t>
        </is>
      </c>
      <c r="O108" s="39" t="inlineStr">
        <is>
          <t>~3</t>
        </is>
      </c>
    </row>
    <row r="109">
      <c r="A109" s="39" t="inlineStr">
        <is>
          <t>PENDING</t>
        </is>
      </c>
      <c r="B109" s="39" t="inlineStr"/>
      <c r="C109" s="39" t="inlineStr">
        <is>
          <t>Nidus Prime</t>
        </is>
      </c>
      <c r="D109" s="39" t="inlineStr">
        <is>
          <t>Primary</t>
        </is>
      </c>
      <c r="E109" s="39" t="inlineStr">
        <is>
          <t>Strun Prime</t>
        </is>
      </c>
      <c r="F109" s="39" t="inlineStr">
        <is>
          <t>Shotgun</t>
        </is>
      </c>
      <c r="G109" s="39" t="n">
        <v>0.24</v>
      </c>
      <c r="H109" s="39" t="n">
        <v>0.0667</v>
      </c>
      <c r="I109" s="39" t="inlineStr">
        <is>
          <t>crit</t>
        </is>
      </c>
      <c r="J109" s="39" t="inlineStr">
        <is>
          <t>SHOTGUN</t>
        </is>
      </c>
      <c r="K109" s="39" t="inlineStr">
        <is>
          <t>Primed Point Blank | Galvanized Hell | Primed Ravage | Critical Deceleration | Galvanized Savvy | Chilling Grasp | Toxic Barrage | Primed Charged Shell</t>
        </is>
      </c>
      <c r="L109" s="39" t="inlineStr">
        <is>
          <t>Shotgun Vendetta</t>
        </is>
      </c>
      <c r="M109" s="39" t="inlineStr">
        <is>
          <t>Viral + Electricity (Chilling Grasp -&gt; Toxic Barrage, then Primed Charged Shell unpaired)</t>
        </is>
      </c>
      <c r="N109" s="39" t="inlineStr">
        <is>
          <t>EVO2: Blazing Barrel; EVO3: Rapid Reinforcement; EVO4: Commodore's Fortune</t>
        </is>
      </c>
      <c r="O109" s="39" t="inlineStr">
        <is>
          <t>~4 (Incarnon)</t>
        </is>
      </c>
    </row>
    <row r="110">
      <c r="A110" s="39" t="inlineStr">
        <is>
          <t>PENDING</t>
        </is>
      </c>
      <c r="B110" s="39" t="inlineStr"/>
      <c r="C110" s="39" t="inlineStr">
        <is>
          <t>Nidus Prime</t>
        </is>
      </c>
      <c r="D110" s="39" t="inlineStr">
        <is>
          <t>Secondary</t>
        </is>
      </c>
      <c r="E110" s="39" t="inlineStr">
        <is>
          <t>Magnus Prime</t>
        </is>
      </c>
      <c r="F110" s="39" t="inlineStr">
        <is>
          <t>Pistol</t>
        </is>
      </c>
      <c r="G110" s="39" t="n">
        <v>0.28</v>
      </c>
      <c r="H110" s="39" t="n">
        <v>0.28</v>
      </c>
      <c r="I110" s="39" t="inlineStr">
        <is>
          <t>crit</t>
        </is>
      </c>
      <c r="J110" s="39" t="inlineStr">
        <is>
          <t>PISTOL_CRIT</t>
        </is>
      </c>
      <c r="K110" s="39" t="inlineStr">
        <is>
          <t>Hornet Strike | Galvanized Diffusion | Primed Pistol Gambit | Primed Target Cracker | Galvanized Crosshairs | Galvanized Shot | Deep Freeze | Pathogen Rounds</t>
        </is>
      </c>
      <c r="L110" s="39" t="inlineStr">
        <is>
          <t>Secondary Merciless</t>
        </is>
      </c>
      <c r="M110" s="39" t="inlineStr">
        <is>
          <t>Viral (Deep Freeze -&gt; Pathogen Rounds)</t>
        </is>
      </c>
      <c r="N110" s="39" t="inlineStr">
        <is>
          <t>-</t>
        </is>
      </c>
      <c r="O110" s="39" t="inlineStr">
        <is>
          <t>~3</t>
        </is>
      </c>
    </row>
    <row r="111">
      <c r="A111" s="39" t="inlineStr">
        <is>
          <t>PENDING</t>
        </is>
      </c>
      <c r="B111" s="39" t="inlineStr"/>
      <c r="C111" s="39" t="inlineStr">
        <is>
          <t>Nidus Prime</t>
        </is>
      </c>
      <c r="D111" s="39" t="inlineStr">
        <is>
          <t>Melee</t>
        </is>
      </c>
      <c r="E111" s="39" t="inlineStr">
        <is>
          <t>Pathocyst</t>
        </is>
      </c>
      <c r="F111" s="39" t="inlineStr">
        <is>
          <t>Glaive</t>
        </is>
      </c>
      <c r="G111" s="39" t="n">
        <v>0.15</v>
      </c>
      <c r="H111" s="39" t="n">
        <v>0.3</v>
      </c>
      <c r="I111" s="39" t="inlineStr">
        <is>
          <t>status</t>
        </is>
      </c>
      <c r="J111" s="39" t="inlineStr">
        <is>
          <t>MELEE_INFLUENCE</t>
        </is>
      </c>
      <c r="K111" s="39" t="inlineStr">
        <is>
          <t>Primed Pressure Point | Blood Rush | Weeping Wounds | Organ Shatter | Condition Overload | North Wind | Virulent Scourge | Voltaic Strike</t>
        </is>
      </c>
      <c r="L111" s="39" t="inlineStr">
        <is>
          <t>Melee Influence</t>
        </is>
      </c>
      <c r="M111" s="39" t="inlineStr">
        <is>
          <t>Viral + Electricity (North Wind -&gt; Virulent Scourge, Voltaic Strike unpaired: required to trigger Melee Influence)</t>
        </is>
      </c>
      <c r="N111" s="39" t="inlineStr">
        <is>
          <t>-</t>
        </is>
      </c>
      <c r="O111" s="39" t="inlineStr">
        <is>
          <t>~3</t>
        </is>
      </c>
    </row>
    <row r="112">
      <c r="A112" s="39" t="inlineStr">
        <is>
          <t>PENDING</t>
        </is>
      </c>
      <c r="B112" s="39" t="inlineStr"/>
      <c r="C112" s="39" t="inlineStr">
        <is>
          <t>Nokko</t>
        </is>
      </c>
      <c r="D112" s="39" t="inlineStr">
        <is>
          <t>Primary</t>
        </is>
      </c>
      <c r="E112" s="39" t="inlineStr">
        <is>
          <t>Sporothrix</t>
        </is>
      </c>
      <c r="F112" s="39" t="inlineStr">
        <is>
          <t>Sniper Rifle</t>
        </is>
      </c>
      <c r="G112" s="39" t="n">
        <v>0.01</v>
      </c>
      <c r="H112" s="39" t="n">
        <v>0.53</v>
      </c>
      <c r="I112" s="39" t="inlineStr">
        <is>
          <t>status</t>
        </is>
      </c>
      <c r="J112" s="39" t="inlineStr">
        <is>
          <t>RIFLE_CRIT</t>
        </is>
      </c>
      <c r="K112" s="39" t="inlineStr">
        <is>
          <t>Serration | Galvanized Chamber | Point Strike | Vital Sense | Hammer Shot | Galvanized Aptitude | Primed Cryo Rounds | Malignant Force</t>
        </is>
      </c>
      <c r="L112" s="39" t="inlineStr">
        <is>
          <t>Primary Deadhead</t>
        </is>
      </c>
      <c r="M112" s="39" t="inlineStr">
        <is>
          <t>Viral (Primed Cryo Rounds -&gt; Malignant Force)</t>
        </is>
      </c>
      <c r="N112" s="39" t="inlineStr">
        <is>
          <t>-</t>
        </is>
      </c>
      <c r="O112" s="39" t="inlineStr">
        <is>
          <t>~3</t>
        </is>
      </c>
    </row>
    <row r="113">
      <c r="A113" s="39" t="inlineStr">
        <is>
          <t>PENDING</t>
        </is>
      </c>
      <c r="B113" s="39" t="inlineStr"/>
      <c r="C113" s="39" t="inlineStr">
        <is>
          <t>Nokko</t>
        </is>
      </c>
      <c r="D113" s="39" t="inlineStr">
        <is>
          <t>Secondary</t>
        </is>
      </c>
      <c r="E113" s="39" t="inlineStr">
        <is>
          <t>Ocucor</t>
        </is>
      </c>
      <c r="F113" s="39" t="inlineStr">
        <is>
          <t>Pistol</t>
        </is>
      </c>
      <c r="G113" s="39" t="n">
        <v>0.16</v>
      </c>
      <c r="H113" s="39" t="n">
        <v>0.24</v>
      </c>
      <c r="I113" s="39" t="inlineStr">
        <is>
          <t>status</t>
        </is>
      </c>
      <c r="J113" s="39" t="inlineStr">
        <is>
          <t>PISTOL_CRIT</t>
        </is>
      </c>
      <c r="K113" s="39" t="inlineStr">
        <is>
          <t>Hornet Strike | Galvanized Diffusion | Primed Pistol Gambit | Primed Target Cracker | Galvanized Crosshairs | Galvanized Shot | Deep Freeze | Pathogen Rounds</t>
        </is>
      </c>
      <c r="L113" s="39" t="inlineStr">
        <is>
          <t>Secondary Encumber</t>
        </is>
      </c>
      <c r="M113" s="39" t="inlineStr">
        <is>
          <t>Viral (Deep Freeze -&gt; Pathogen Rounds)</t>
        </is>
      </c>
      <c r="N113" s="39" t="inlineStr">
        <is>
          <t>-</t>
        </is>
      </c>
      <c r="O113" s="39" t="inlineStr">
        <is>
          <t>~3</t>
        </is>
      </c>
    </row>
    <row r="114">
      <c r="A114" s="39" t="inlineStr">
        <is>
          <t>PENDING</t>
        </is>
      </c>
      <c r="B114" s="39" t="inlineStr"/>
      <c r="C114" s="39" t="inlineStr">
        <is>
          <t>Nokko</t>
        </is>
      </c>
      <c r="D114" s="39" t="inlineStr">
        <is>
          <t>Melee</t>
        </is>
      </c>
      <c r="E114" s="39" t="inlineStr">
        <is>
          <t>Mios</t>
        </is>
      </c>
      <c r="F114" s="39" t="inlineStr">
        <is>
          <t>Blade and Whip</t>
        </is>
      </c>
      <c r="G114" s="39" t="n">
        <v>0.19</v>
      </c>
      <c r="H114" s="39" t="n">
        <v>0.25</v>
      </c>
      <c r="I114" s="39" t="inlineStr">
        <is>
          <t>status</t>
        </is>
      </c>
      <c r="J114" s="39" t="inlineStr">
        <is>
          <t>MELEE_INFLUENCE</t>
        </is>
      </c>
      <c r="K114" s="39" t="inlineStr">
        <is>
          <t>Primed Pressure Point | Blood Rush | Weeping Wounds | Organ Shatter | Condition Overload | North Wind | Virulent Scourge | Voltaic Strike</t>
        </is>
      </c>
      <c r="L114" s="39" t="inlineStr">
        <is>
          <t>Melee Influence</t>
        </is>
      </c>
      <c r="M114" s="39" t="inlineStr">
        <is>
          <t>Viral + Electricity (North Wind -&gt; Virulent Scourge, Voltaic Strike unpaired: required to trigger Melee Influence)</t>
        </is>
      </c>
      <c r="N114" s="39" t="inlineStr">
        <is>
          <t>-</t>
        </is>
      </c>
      <c r="O114" s="39" t="inlineStr">
        <is>
          <t>~3</t>
        </is>
      </c>
    </row>
    <row r="115">
      <c r="A115" s="39" t="inlineStr">
        <is>
          <t>PENDING</t>
        </is>
      </c>
      <c r="B115" s="39" t="inlineStr"/>
      <c r="C115" s="39" t="inlineStr">
        <is>
          <t>Nova Prime</t>
        </is>
      </c>
      <c r="D115" s="39" t="inlineStr">
        <is>
          <t>Primary</t>
        </is>
      </c>
      <c r="E115" s="39" t="inlineStr">
        <is>
          <t>Soma Prime</t>
        </is>
      </c>
      <c r="F115" s="39" t="inlineStr">
        <is>
          <t>Rifle</t>
        </is>
      </c>
      <c r="G115" s="39" t="n">
        <v>0.3</v>
      </c>
      <c r="H115" s="39" t="n">
        <v>0.1</v>
      </c>
      <c r="I115" s="39" t="inlineStr">
        <is>
          <t>crit</t>
        </is>
      </c>
      <c r="J115" s="39" t="inlineStr">
        <is>
          <t>RIFLE_CRIT</t>
        </is>
      </c>
      <c r="K115" s="39" t="inlineStr">
        <is>
          <t>Serration | Galvanized Chamber | Point Strike | Vital Sense | Hammer Shot | Galvanized Aptitude | Primed Cryo Rounds | Malignant Force</t>
        </is>
      </c>
      <c r="L115" s="39" t="inlineStr">
        <is>
          <t>Primary Merciless</t>
        </is>
      </c>
      <c r="M115" s="39" t="inlineStr">
        <is>
          <t>Viral (Primed Cryo Rounds -&gt; Malignant Force)</t>
        </is>
      </c>
      <c r="N115" s="39" t="inlineStr">
        <is>
          <t>EVO2: Fortress Salvo; EVO3: Kinetic Battle; EVO4: Zeroed In</t>
        </is>
      </c>
      <c r="O115" s="39" t="inlineStr">
        <is>
          <t>~4 (Incarnon)</t>
        </is>
      </c>
    </row>
    <row r="116">
      <c r="A116" s="39" t="inlineStr">
        <is>
          <t>PENDING</t>
        </is>
      </c>
      <c r="B116" s="39" t="inlineStr"/>
      <c r="C116" s="39" t="inlineStr">
        <is>
          <t>Nova Prime</t>
        </is>
      </c>
      <c r="D116" s="39" t="inlineStr">
        <is>
          <t>Secondary</t>
        </is>
      </c>
      <c r="E116" s="39" t="inlineStr">
        <is>
          <t>Aksomati Prime</t>
        </is>
      </c>
      <c r="F116" s="39" t="inlineStr">
        <is>
          <t>Dual Pistols</t>
        </is>
      </c>
      <c r="G116" s="39" t="n">
        <v>0.24</v>
      </c>
      <c r="H116" s="39" t="n">
        <v>0.18</v>
      </c>
      <c r="I116" s="39" t="inlineStr">
        <is>
          <t>crit</t>
        </is>
      </c>
      <c r="J116" s="39" t="inlineStr">
        <is>
          <t>PISTOL_CRIT</t>
        </is>
      </c>
      <c r="K116" s="39" t="inlineStr">
        <is>
          <t>Hornet Strike | Galvanized Diffusion | Primed Pistol Gambit | Primed Target Cracker | Galvanized Crosshairs | Galvanized Shot | Deep Freeze | Pathogen Rounds</t>
        </is>
      </c>
      <c r="L116" s="39" t="inlineStr">
        <is>
          <t>Secondary Merciless</t>
        </is>
      </c>
      <c r="M116" s="39" t="inlineStr">
        <is>
          <t>Viral (Deep Freeze -&gt; Pathogen Rounds)</t>
        </is>
      </c>
      <c r="N116" s="39" t="inlineStr">
        <is>
          <t>-</t>
        </is>
      </c>
      <c r="O116" s="39" t="inlineStr">
        <is>
          <t>~3</t>
        </is>
      </c>
    </row>
    <row r="117">
      <c r="A117" s="39" t="inlineStr">
        <is>
          <t>PENDING</t>
        </is>
      </c>
      <c r="B117" s="39" t="inlineStr"/>
      <c r="C117" s="39" t="inlineStr">
        <is>
          <t>Nova Prime</t>
        </is>
      </c>
      <c r="D117" s="39" t="inlineStr">
        <is>
          <t>Melee</t>
        </is>
      </c>
      <c r="E117" s="39" t="inlineStr">
        <is>
          <t>Gunsen Prime</t>
        </is>
      </c>
      <c r="F117" s="39" t="inlineStr">
        <is>
          <t>Warfan</t>
        </is>
      </c>
      <c r="G117" s="39" t="n">
        <v>0.2</v>
      </c>
      <c r="H117" s="39" t="n">
        <v>0.34</v>
      </c>
      <c r="I117" s="39" t="inlineStr">
        <is>
          <t>status</t>
        </is>
      </c>
      <c r="J117" s="39" t="inlineStr">
        <is>
          <t>MELEE_INFLUENCE</t>
        </is>
      </c>
      <c r="K117" s="39" t="inlineStr">
        <is>
          <t>Primed Pressure Point | Blood Rush | Weeping Wounds | Organ Shatter | Condition Overload | North Wind | Virulent Scourge | Voltaic Strike</t>
        </is>
      </c>
      <c r="L117" s="39" t="inlineStr">
        <is>
          <t>Melee Influence</t>
        </is>
      </c>
      <c r="M117" s="39" t="inlineStr">
        <is>
          <t>Viral + Electricity (North Wind -&gt; Virulent Scourge, Voltaic Strike unpaired: required to trigger Melee Influence)</t>
        </is>
      </c>
      <c r="N117" s="39" t="inlineStr">
        <is>
          <t>-</t>
        </is>
      </c>
      <c r="O117" s="39" t="inlineStr">
        <is>
          <t>~3</t>
        </is>
      </c>
    </row>
    <row r="118">
      <c r="A118" s="39" t="inlineStr">
        <is>
          <t>PENDING</t>
        </is>
      </c>
      <c r="B118" s="39" t="inlineStr"/>
      <c r="C118" s="39" t="inlineStr">
        <is>
          <t>Nyx Prime</t>
        </is>
      </c>
      <c r="D118" s="39" t="inlineStr">
        <is>
          <t>Primary</t>
        </is>
      </c>
      <c r="E118" s="39" t="inlineStr">
        <is>
          <t>Synapse</t>
        </is>
      </c>
      <c r="F118" s="39" t="inlineStr">
        <is>
          <t>Rifle</t>
        </is>
      </c>
      <c r="G118" s="39" t="n">
        <v>0.39</v>
      </c>
      <c r="H118" s="39" t="n">
        <v>0.13</v>
      </c>
      <c r="I118" s="39" t="inlineStr">
        <is>
          <t>crit</t>
        </is>
      </c>
      <c r="J118" s="39" t="inlineStr">
        <is>
          <t>RIFLE_CRIT</t>
        </is>
      </c>
      <c r="K118" s="39" t="inlineStr">
        <is>
          <t>Serration | Galvanized Chamber | Point Strike | Vital Sense | Hammer Shot | Galvanized Aptitude | Primed Cryo Rounds | Malignant Force</t>
        </is>
      </c>
      <c r="L118" s="39" t="inlineStr">
        <is>
          <t>Primary Merciless</t>
        </is>
      </c>
      <c r="M118" s="39" t="inlineStr">
        <is>
          <t>Viral (Primed Cryo Rounds -&gt; Malignant Force)</t>
        </is>
      </c>
      <c r="N118" s="39" t="inlineStr">
        <is>
          <t>-</t>
        </is>
      </c>
      <c r="O118" s="39" t="inlineStr">
        <is>
          <t>~3</t>
        </is>
      </c>
    </row>
    <row r="119">
      <c r="A119" s="39" t="inlineStr">
        <is>
          <t>PENDING</t>
        </is>
      </c>
      <c r="B119" s="39" t="inlineStr"/>
      <c r="C119" s="39" t="inlineStr">
        <is>
          <t>Nyx Prime</t>
        </is>
      </c>
      <c r="D119" s="39" t="inlineStr">
        <is>
          <t>Secondary</t>
        </is>
      </c>
      <c r="E119" s="39" t="inlineStr">
        <is>
          <t>Hikou Prime</t>
        </is>
      </c>
      <c r="F119" s="39" t="inlineStr">
        <is>
          <t>Thrown</t>
        </is>
      </c>
      <c r="G119" s="39" t="n">
        <v>0.06</v>
      </c>
      <c r="H119" s="39" t="n">
        <v>0.28</v>
      </c>
      <c r="I119" s="39" t="inlineStr">
        <is>
          <t>status</t>
        </is>
      </c>
      <c r="J119" s="39" t="inlineStr">
        <is>
          <t>PISTOL_CRIT</t>
        </is>
      </c>
      <c r="K119" s="39" t="inlineStr">
        <is>
          <t>Hornet Strike | Galvanized Diffusion | Primed Pistol Gambit | Primed Target Cracker | Galvanized Crosshairs | Galvanized Shot | Deep Freeze | Pathogen Rounds</t>
        </is>
      </c>
      <c r="L119" s="39" t="inlineStr">
        <is>
          <t>Secondary Encumber</t>
        </is>
      </c>
      <c r="M119" s="39" t="inlineStr">
        <is>
          <t>Viral (Deep Freeze -&gt; Pathogen Rounds)</t>
        </is>
      </c>
      <c r="N119" s="39" t="inlineStr">
        <is>
          <t>-</t>
        </is>
      </c>
      <c r="O119" s="39" t="inlineStr">
        <is>
          <t>~3</t>
        </is>
      </c>
    </row>
    <row r="120">
      <c r="A120" s="39" t="inlineStr">
        <is>
          <t>PENDING</t>
        </is>
      </c>
      <c r="B120" s="39" t="inlineStr"/>
      <c r="C120" s="39" t="inlineStr">
        <is>
          <t>Nyx Prime</t>
        </is>
      </c>
      <c r="D120" s="39" t="inlineStr">
        <is>
          <t>Melee</t>
        </is>
      </c>
      <c r="E120" s="39" t="inlineStr">
        <is>
          <t>Scindo Prime</t>
        </is>
      </c>
      <c r="F120" s="39" t="inlineStr">
        <is>
          <t>Heavy Blade</t>
        </is>
      </c>
      <c r="G120" s="39" t="n">
        <v>0.26</v>
      </c>
      <c r="H120" s="39" t="n">
        <v>0.24</v>
      </c>
      <c r="I120" s="39" t="inlineStr">
        <is>
          <t>crit</t>
        </is>
      </c>
      <c r="J120" s="39" t="inlineStr">
        <is>
          <t>MELEE_CRIT</t>
        </is>
      </c>
      <c r="K120" s="39" t="inlineStr">
        <is>
          <t>Primed Pressure Point | Blood Rush | Weeping Wounds | Organ Shatter | Berserker Fury | Condition Overload | North Wind | Virulent Scourge</t>
        </is>
      </c>
      <c r="L120" s="39" t="inlineStr">
        <is>
          <t>Melee Animosity</t>
        </is>
      </c>
      <c r="M120" s="39" t="inlineStr">
        <is>
          <t>Viral (North Wind -&gt; Virulent Scourge)</t>
        </is>
      </c>
      <c r="N120" s="39" t="inlineStr">
        <is>
          <t>-</t>
        </is>
      </c>
      <c r="O120" s="39" t="inlineStr">
        <is>
          <t>~3</t>
        </is>
      </c>
    </row>
    <row r="121">
      <c r="A121" s="39" t="inlineStr">
        <is>
          <t>PENDING</t>
        </is>
      </c>
      <c r="B121" s="39" t="inlineStr"/>
      <c r="C121" s="39" t="inlineStr">
        <is>
          <t>Oberon Prime</t>
        </is>
      </c>
      <c r="D121" s="39" t="inlineStr">
        <is>
          <t>Primary</t>
        </is>
      </c>
      <c r="E121" s="39" t="inlineStr">
        <is>
          <t>Sybaris Prime</t>
        </is>
      </c>
      <c r="F121" s="39" t="inlineStr">
        <is>
          <t>Rifle</t>
        </is>
      </c>
      <c r="G121" s="39" t="n">
        <v>0.3</v>
      </c>
      <c r="H121" s="39" t="n">
        <v>0.25</v>
      </c>
      <c r="I121" s="39" t="inlineStr">
        <is>
          <t>crit</t>
        </is>
      </c>
      <c r="J121" s="39" t="inlineStr">
        <is>
          <t>RIFLE_CRIT</t>
        </is>
      </c>
      <c r="K121" s="39" t="inlineStr">
        <is>
          <t>Serration | Galvanized Chamber | Point Strike | Vital Sense | Hammer Shot | Galvanized Aptitude | Primed Cryo Rounds | Malignant Force</t>
        </is>
      </c>
      <c r="L121" s="39" t="inlineStr">
        <is>
          <t>Primary Merciless</t>
        </is>
      </c>
      <c r="M121" s="39" t="inlineStr">
        <is>
          <t>Viral (Primed Cryo Rounds -&gt; Malignant Force)</t>
        </is>
      </c>
      <c r="N121" s="39" t="inlineStr">
        <is>
          <t>EVO2: Blazing Barrel; EVO3: Extended Volley; EVO4: Survivor's Edge</t>
        </is>
      </c>
      <c r="O121" s="39" t="inlineStr">
        <is>
          <t>~4 (Incarnon)</t>
        </is>
      </c>
    </row>
    <row r="122">
      <c r="A122" s="39" t="inlineStr">
        <is>
          <t>PENDING</t>
        </is>
      </c>
      <c r="B122" s="39" t="inlineStr"/>
      <c r="C122" s="39" t="inlineStr">
        <is>
          <t>Oberon Prime</t>
        </is>
      </c>
      <c r="D122" s="39" t="inlineStr">
        <is>
          <t>Secondary</t>
        </is>
      </c>
      <c r="E122" s="39" t="inlineStr">
        <is>
          <t>Sicarus Prime</t>
        </is>
      </c>
      <c r="F122" s="39" t="inlineStr">
        <is>
          <t>Pistol</t>
        </is>
      </c>
      <c r="G122" s="39" t="n">
        <v>0.25</v>
      </c>
      <c r="H122" s="39" t="n">
        <v>0.2</v>
      </c>
      <c r="I122" s="39" t="inlineStr">
        <is>
          <t>crit</t>
        </is>
      </c>
      <c r="J122" s="39" t="inlineStr">
        <is>
          <t>PISTOL_CRIT</t>
        </is>
      </c>
      <c r="K122" s="39" t="inlineStr">
        <is>
          <t>Hornet Strike | Galvanized Diffusion | Primed Pistol Gambit | Primed Target Cracker | Galvanized Crosshairs | Galvanized Shot | Deep Freeze | Pathogen Rounds</t>
        </is>
      </c>
      <c r="L122" s="39" t="inlineStr">
        <is>
          <t>Secondary Merciless</t>
        </is>
      </c>
      <c r="M122" s="39" t="inlineStr">
        <is>
          <t>Viral (Deep Freeze -&gt; Pathogen Rounds)</t>
        </is>
      </c>
      <c r="N122" s="39" t="inlineStr">
        <is>
          <t>EVO2: King's Gambit; EVO3: Void's Guidance; EVO4: Commodore's Fortune</t>
        </is>
      </c>
      <c r="O122" s="39" t="inlineStr">
        <is>
          <t>~4 (Incarnon)</t>
        </is>
      </c>
    </row>
    <row r="123">
      <c r="A123" s="39" t="inlineStr">
        <is>
          <t>PENDING</t>
        </is>
      </c>
      <c r="B123" s="39" t="inlineStr"/>
      <c r="C123" s="39" t="inlineStr">
        <is>
          <t>Oberon Prime</t>
        </is>
      </c>
      <c r="D123" s="39" t="inlineStr">
        <is>
          <t>Melee</t>
        </is>
      </c>
      <c r="E123" s="39" t="inlineStr">
        <is>
          <t>Silva &amp; Aegis Prime</t>
        </is>
      </c>
      <c r="F123" s="39" t="inlineStr">
        <is>
          <t>Sword and Shield</t>
        </is>
      </c>
      <c r="G123" s="39" t="n">
        <v>0.25</v>
      </c>
      <c r="H123" s="39" t="n">
        <v>0.3</v>
      </c>
      <c r="I123" s="39" t="inlineStr">
        <is>
          <t>crit</t>
        </is>
      </c>
      <c r="J123" s="39" t="inlineStr">
        <is>
          <t>MELEE_CRIT</t>
        </is>
      </c>
      <c r="K123" s="39" t="inlineStr">
        <is>
          <t>Primed Pressure Point | Blood Rush | Weeping Wounds | Organ Shatter | Berserker Fury | Condition Overload | North Wind | Virulent Scourge</t>
        </is>
      </c>
      <c r="L123" s="39" t="inlineStr">
        <is>
          <t>Melee Duplicate</t>
        </is>
      </c>
      <c r="M123" s="39" t="inlineStr">
        <is>
          <t>Viral (North Wind -&gt; Virulent Scourge)</t>
        </is>
      </c>
      <c r="N123" s="39" t="inlineStr">
        <is>
          <t>-</t>
        </is>
      </c>
      <c r="O123" s="39" t="inlineStr">
        <is>
          <t>~3</t>
        </is>
      </c>
    </row>
    <row r="124">
      <c r="A124" s="39" t="inlineStr">
        <is>
          <t>PENDING</t>
        </is>
      </c>
      <c r="B124" s="39" t="inlineStr"/>
      <c r="C124" s="39" t="inlineStr">
        <is>
          <t>Octavia Prime</t>
        </is>
      </c>
      <c r="D124" s="39" t="inlineStr">
        <is>
          <t>Primary</t>
        </is>
      </c>
      <c r="E124" s="39" t="inlineStr">
        <is>
          <t>Tenora Prime</t>
        </is>
      </c>
      <c r="F124" s="39" t="inlineStr">
        <is>
          <t>Rifle</t>
        </is>
      </c>
      <c r="G124" s="39" t="n">
        <v>0.3</v>
      </c>
      <c r="H124" s="39" t="n">
        <v>0.24</v>
      </c>
      <c r="I124" s="39" t="inlineStr">
        <is>
          <t>crit</t>
        </is>
      </c>
      <c r="J124" s="39" t="inlineStr">
        <is>
          <t>RIFLE_CRIT</t>
        </is>
      </c>
      <c r="K124" s="39" t="inlineStr">
        <is>
          <t>Serration | Galvanized Chamber | Point Strike | Vital Sense | Hammer Shot | Galvanized Aptitude | Primed Cryo Rounds | Malignant Force</t>
        </is>
      </c>
      <c r="L124" s="39" t="inlineStr">
        <is>
          <t>Primary Merciless</t>
        </is>
      </c>
      <c r="M124" s="39" t="inlineStr">
        <is>
          <t>Viral (Primed Cryo Rounds -&gt; Malignant Force)</t>
        </is>
      </c>
      <c r="N124" s="39" t="inlineStr">
        <is>
          <t>-</t>
        </is>
      </c>
      <c r="O124" s="39" t="inlineStr">
        <is>
          <t>~3</t>
        </is>
      </c>
    </row>
    <row r="125">
      <c r="A125" s="39" t="inlineStr">
        <is>
          <t>PENDING</t>
        </is>
      </c>
      <c r="B125" s="39" t="inlineStr"/>
      <c r="C125" s="39" t="inlineStr">
        <is>
          <t>Octavia Prime</t>
        </is>
      </c>
      <c r="D125" s="39" t="inlineStr">
        <is>
          <t>Secondary</t>
        </is>
      </c>
      <c r="E125" s="39" t="inlineStr">
        <is>
          <t>Pandero Prime</t>
        </is>
      </c>
      <c r="F125" s="39" t="inlineStr">
        <is>
          <t>Pistol</t>
        </is>
      </c>
      <c r="G125" s="39" t="n">
        <v>0.3</v>
      </c>
      <c r="H125" s="39" t="n">
        <v>0.24</v>
      </c>
      <c r="I125" s="39" t="inlineStr">
        <is>
          <t>crit</t>
        </is>
      </c>
      <c r="J125" s="39" t="inlineStr">
        <is>
          <t>PISTOL_CRIT</t>
        </is>
      </c>
      <c r="K125" s="39" t="inlineStr">
        <is>
          <t>Hornet Strike | Galvanized Diffusion | Primed Pistol Gambit | Primed Target Cracker | Galvanized Crosshairs | Galvanized Shot | Deep Freeze | Pathogen Rounds</t>
        </is>
      </c>
      <c r="L125" s="39" t="inlineStr">
        <is>
          <t>Secondary Merciless</t>
        </is>
      </c>
      <c r="M125" s="39" t="inlineStr">
        <is>
          <t>Viral (Deep Freeze -&gt; Pathogen Rounds)</t>
        </is>
      </c>
      <c r="N125" s="39" t="inlineStr">
        <is>
          <t>-</t>
        </is>
      </c>
      <c r="O125" s="39" t="inlineStr">
        <is>
          <t>~3</t>
        </is>
      </c>
    </row>
    <row r="126">
      <c r="A126" s="39" t="inlineStr">
        <is>
          <t>PENDING</t>
        </is>
      </c>
      <c r="B126" s="39" t="inlineStr"/>
      <c r="C126" s="39" t="inlineStr">
        <is>
          <t>Octavia Prime</t>
        </is>
      </c>
      <c r="D126" s="39" t="inlineStr">
        <is>
          <t>Melee</t>
        </is>
      </c>
      <c r="E126" s="39" t="inlineStr">
        <is>
          <t>Stropha</t>
        </is>
      </c>
      <c r="F126" s="39" t="inlineStr">
        <is>
          <t>Gunblade</t>
        </is>
      </c>
      <c r="G126" s="39" t="n">
        <v>0.3</v>
      </c>
      <c r="H126" s="39" t="n">
        <v>0.14</v>
      </c>
      <c r="I126" s="39" t="inlineStr">
        <is>
          <t>crit</t>
        </is>
      </c>
      <c r="J126" s="39" t="inlineStr">
        <is>
          <t>MELEE_CRIT</t>
        </is>
      </c>
      <c r="K126" s="39" t="inlineStr">
        <is>
          <t>Primed Pressure Point | Blood Rush | Weeping Wounds | Organ Shatter | Berserker Fury | Condition Overload | North Wind | Virulent Scourge</t>
        </is>
      </c>
      <c r="L126" s="39" t="inlineStr">
        <is>
          <t>Melee Duplicate</t>
        </is>
      </c>
      <c r="M126" s="39" t="inlineStr">
        <is>
          <t>Viral (North Wind -&gt; Virulent Scourge)</t>
        </is>
      </c>
      <c r="N126" s="39" t="inlineStr">
        <is>
          <t>-</t>
        </is>
      </c>
      <c r="O126" s="39" t="inlineStr">
        <is>
          <t>~3</t>
        </is>
      </c>
    </row>
    <row r="127">
      <c r="A127" s="39" t="inlineStr">
        <is>
          <t>PENDING</t>
        </is>
      </c>
      <c r="B127" s="39" t="inlineStr"/>
      <c r="C127" s="39" t="inlineStr">
        <is>
          <t>Oraxia</t>
        </is>
      </c>
      <c r="D127" s="39" t="inlineStr">
        <is>
          <t>Primary</t>
        </is>
      </c>
      <c r="E127" s="39" t="inlineStr">
        <is>
          <t>Torid</t>
        </is>
      </c>
      <c r="F127" s="39" t="inlineStr">
        <is>
          <t>Launcher</t>
        </is>
      </c>
      <c r="G127" s="39" t="n">
        <v>0.15</v>
      </c>
      <c r="H127" s="39" t="n">
        <v>0.23</v>
      </c>
      <c r="I127" s="39" t="inlineStr">
        <is>
          <t>status</t>
        </is>
      </c>
      <c r="J127" s="39" t="inlineStr">
        <is>
          <t>RIFLE_CRIT</t>
        </is>
      </c>
      <c r="K127" s="39" t="inlineStr">
        <is>
          <t>Serration | Galvanized Chamber | Point Strike | Vital Sense | Hammer Shot | Galvanized Aptitude | Primed Cryo Rounds | Malignant Force</t>
        </is>
      </c>
      <c r="L127" s="39" t="inlineStr">
        <is>
          <t>Primary Merciless</t>
        </is>
      </c>
      <c r="M127" s="39" t="inlineStr">
        <is>
          <t>Viral (Primed Cryo Rounds -&gt; Malignant Force)</t>
        </is>
      </c>
      <c r="N127" s="39" t="inlineStr">
        <is>
          <t>EVO2: Final Fusillade; EVO3: Renewed Horror; EVO4: Survivor's Edge</t>
        </is>
      </c>
      <c r="O127" s="39" t="inlineStr">
        <is>
          <t>~4 (Incarnon)</t>
        </is>
      </c>
    </row>
    <row r="128">
      <c r="A128" s="39" t="inlineStr">
        <is>
          <t>PENDING</t>
        </is>
      </c>
      <c r="B128" s="39" t="inlineStr"/>
      <c r="C128" s="39" t="inlineStr">
        <is>
          <t>Oraxia</t>
        </is>
      </c>
      <c r="D128" s="39" t="inlineStr">
        <is>
          <t>Secondary</t>
        </is>
      </c>
      <c r="E128" s="39" t="inlineStr">
        <is>
          <t>Scyotid</t>
        </is>
      </c>
      <c r="F128" s="39" t="inlineStr">
        <is>
          <t>Thrown</t>
        </is>
      </c>
      <c r="G128" s="39" t="n">
        <v>0.24</v>
      </c>
      <c r="H128" s="39" t="n">
        <v>0.18</v>
      </c>
      <c r="I128" s="39" t="inlineStr">
        <is>
          <t>crit</t>
        </is>
      </c>
      <c r="J128" s="39" t="inlineStr">
        <is>
          <t>PISTOL_CRIT</t>
        </is>
      </c>
      <c r="K128" s="39" t="inlineStr">
        <is>
          <t>Hornet Strike | Galvanized Diffusion | Primed Pistol Gambit | Primed Target Cracker | Galvanized Crosshairs | Galvanized Shot | Deep Freeze | Pathogen Rounds</t>
        </is>
      </c>
      <c r="L128" s="39" t="inlineStr">
        <is>
          <t>Secondary Merciless</t>
        </is>
      </c>
      <c r="M128" s="39" t="inlineStr">
        <is>
          <t>Viral (Deep Freeze -&gt; Pathogen Rounds)</t>
        </is>
      </c>
      <c r="N128" s="39" t="inlineStr">
        <is>
          <t>-</t>
        </is>
      </c>
      <c r="O128" s="39" t="inlineStr">
        <is>
          <t>~3</t>
        </is>
      </c>
    </row>
    <row r="129">
      <c r="A129" s="39" t="inlineStr">
        <is>
          <t>PENDING</t>
        </is>
      </c>
      <c r="B129" s="39" t="inlineStr"/>
      <c r="C129" s="39" t="inlineStr">
        <is>
          <t>Oraxia</t>
        </is>
      </c>
      <c r="D129" s="39" t="inlineStr">
        <is>
          <t>Melee</t>
        </is>
      </c>
      <c r="E129" s="39" t="inlineStr">
        <is>
          <t>Spinnerex</t>
        </is>
      </c>
      <c r="F129" s="39" t="inlineStr">
        <is>
          <t>Whip</t>
        </is>
      </c>
      <c r="G129" s="39" t="n">
        <v>0.16</v>
      </c>
      <c r="H129" s="39" t="n">
        <v>0.4</v>
      </c>
      <c r="I129" s="39" t="inlineStr">
        <is>
          <t>status</t>
        </is>
      </c>
      <c r="J129" s="39" t="inlineStr">
        <is>
          <t>MELEE_INFLUENCE</t>
        </is>
      </c>
      <c r="K129" s="39" t="inlineStr">
        <is>
          <t>Primed Pressure Point | Blood Rush | Weeping Wounds | Organ Shatter | Condition Overload | North Wind | Virulent Scourge | Voltaic Strike</t>
        </is>
      </c>
      <c r="L129" s="39" t="inlineStr">
        <is>
          <t>Melee Influence</t>
        </is>
      </c>
      <c r="M129" s="39" t="inlineStr">
        <is>
          <t>Viral + Electricity (North Wind -&gt; Virulent Scourge, Voltaic Strike unpaired: required to trigger Melee Influence)</t>
        </is>
      </c>
      <c r="N129" s="39" t="inlineStr">
        <is>
          <t>-</t>
        </is>
      </c>
      <c r="O129" s="39" t="inlineStr">
        <is>
          <t>~3</t>
        </is>
      </c>
    </row>
    <row r="130">
      <c r="A130" s="39" t="inlineStr">
        <is>
          <t>PENDING</t>
        </is>
      </c>
      <c r="B130" s="39" t="inlineStr"/>
      <c r="C130" s="39" t="inlineStr">
        <is>
          <t>Protea Prime</t>
        </is>
      </c>
      <c r="D130" s="39" t="inlineStr">
        <is>
          <t>Primary</t>
        </is>
      </c>
      <c r="E130" s="39" t="inlineStr">
        <is>
          <t>Stahlta</t>
        </is>
      </c>
      <c r="F130" s="39" t="inlineStr">
        <is>
          <t>Rifle</t>
        </is>
      </c>
      <c r="G130" s="39" t="n">
        <v>0.24</v>
      </c>
      <c r="H130" s="39" t="n">
        <v>0.22</v>
      </c>
      <c r="I130" s="39" t="inlineStr">
        <is>
          <t>crit</t>
        </is>
      </c>
      <c r="J130" s="39" t="inlineStr">
        <is>
          <t>RIFLE_CRIT</t>
        </is>
      </c>
      <c r="K130" s="39" t="inlineStr">
        <is>
          <t>Serration | Galvanized Chamber | Point Strike | Vital Sense | Hammer Shot | Galvanized Aptitude | Primed Cryo Rounds | Malignant Force</t>
        </is>
      </c>
      <c r="L130" s="39" t="inlineStr">
        <is>
          <t>Primary Merciless</t>
        </is>
      </c>
      <c r="M130" s="39" t="inlineStr">
        <is>
          <t>Viral (Primed Cryo Rounds -&gt; Malignant Force)</t>
        </is>
      </c>
      <c r="N130" s="39" t="inlineStr">
        <is>
          <t>-</t>
        </is>
      </c>
      <c r="O130" s="39" t="inlineStr">
        <is>
          <t>~3</t>
        </is>
      </c>
    </row>
    <row r="131">
      <c r="A131" s="39" t="inlineStr">
        <is>
          <t>PENDING</t>
        </is>
      </c>
      <c r="B131" s="39" t="inlineStr"/>
      <c r="C131" s="39" t="inlineStr">
        <is>
          <t>Protea Prime</t>
        </is>
      </c>
      <c r="D131" s="39" t="inlineStr">
        <is>
          <t>Secondary</t>
        </is>
      </c>
      <c r="E131" s="39" t="inlineStr">
        <is>
          <t>Velox Prime</t>
        </is>
      </c>
      <c r="F131" s="39" t="inlineStr">
        <is>
          <t>Pistol</t>
        </is>
      </c>
      <c r="G131" s="39" t="n">
        <v>0.14</v>
      </c>
      <c r="H131" s="39" t="n">
        <v>0.32</v>
      </c>
      <c r="I131" s="39" t="inlineStr">
        <is>
          <t>status</t>
        </is>
      </c>
      <c r="J131" s="39" t="inlineStr">
        <is>
          <t>PISTOL_CRIT</t>
        </is>
      </c>
      <c r="K131" s="39" t="inlineStr">
        <is>
          <t>Hornet Strike | Galvanized Diffusion | Primed Pistol Gambit | Primed Target Cracker | Galvanized Crosshairs | Galvanized Shot | Deep Freeze | Pathogen Rounds</t>
        </is>
      </c>
      <c r="L131" s="39" t="inlineStr">
        <is>
          <t>Secondary Encumber</t>
        </is>
      </c>
      <c r="M131" s="39" t="inlineStr">
        <is>
          <t>Viral (Deep Freeze -&gt; Pathogen Rounds)</t>
        </is>
      </c>
      <c r="N131" s="39" t="inlineStr">
        <is>
          <t>-</t>
        </is>
      </c>
      <c r="O131" s="39" t="inlineStr">
        <is>
          <t>~3</t>
        </is>
      </c>
    </row>
    <row r="132">
      <c r="A132" s="39" t="inlineStr">
        <is>
          <t>PENDING</t>
        </is>
      </c>
      <c r="B132" s="39" t="inlineStr"/>
      <c r="C132" s="39" t="inlineStr">
        <is>
          <t>Protea Prime</t>
        </is>
      </c>
      <c r="D132" s="39" t="inlineStr">
        <is>
          <t>Melee</t>
        </is>
      </c>
      <c r="E132" s="39" t="inlineStr">
        <is>
          <t>Okina Prime</t>
        </is>
      </c>
      <c r="F132" s="39" t="inlineStr">
        <is>
          <t>Dual Daggers</t>
        </is>
      </c>
      <c r="G132" s="39" t="n">
        <v>0.3</v>
      </c>
      <c r="H132" s="39" t="n">
        <v>0.24</v>
      </c>
      <c r="I132" s="39" t="inlineStr">
        <is>
          <t>crit</t>
        </is>
      </c>
      <c r="J132" s="39" t="inlineStr">
        <is>
          <t>MELEE_CRIT</t>
        </is>
      </c>
      <c r="K132" s="39" t="inlineStr">
        <is>
          <t>Primed Pressure Point | Blood Rush | Weeping Wounds | Organ Shatter | Berserker Fury | Condition Overload | North Wind | Virulent Scourge</t>
        </is>
      </c>
      <c r="L132" s="39" t="inlineStr">
        <is>
          <t>Melee Duplicate</t>
        </is>
      </c>
      <c r="M132" s="39" t="inlineStr">
        <is>
          <t>Viral (North Wind -&gt; Virulent Scourge)</t>
        </is>
      </c>
      <c r="N132" s="39" t="inlineStr">
        <is>
          <t>EVO2: Synergist Surety; EVO3: Orokin Reach; EVO4: Commodore's Fortune</t>
        </is>
      </c>
      <c r="O132" s="39" t="inlineStr">
        <is>
          <t>~4 (Incarnon)</t>
        </is>
      </c>
    </row>
    <row r="133">
      <c r="A133" s="39" t="inlineStr">
        <is>
          <t>PENDING</t>
        </is>
      </c>
      <c r="B133" s="39" t="inlineStr"/>
      <c r="C133" s="39" t="inlineStr">
        <is>
          <t>Qorvex</t>
        </is>
      </c>
      <c r="D133" s="39" t="inlineStr">
        <is>
          <t>Primary</t>
        </is>
      </c>
      <c r="E133" s="39" t="inlineStr">
        <is>
          <t>Felarx</t>
        </is>
      </c>
      <c r="F133" s="39" t="inlineStr">
        <is>
          <t>Shotgun</t>
        </is>
      </c>
      <c r="G133" s="39" t="n">
        <v>0.2</v>
      </c>
      <c r="H133" s="39" t="n">
        <v>0.055</v>
      </c>
      <c r="I133" s="39" t="inlineStr">
        <is>
          <t>crit</t>
        </is>
      </c>
      <c r="J133" s="39" t="inlineStr">
        <is>
          <t>SHOTGUN</t>
        </is>
      </c>
      <c r="K133" s="39" t="inlineStr">
        <is>
          <t>Primed Point Blank | Galvanized Hell | Primed Ravage | Critical Deceleration | Galvanized Savvy | Chilling Grasp | Toxic Barrage | Primed Charged Shell</t>
        </is>
      </c>
      <c r="L133" s="39" t="inlineStr">
        <is>
          <t>Shotgun Vendetta</t>
        </is>
      </c>
      <c r="M133" s="39" t="inlineStr">
        <is>
          <t>Viral + Electricity (Chilling Grasp -&gt; Toxic Barrage, then Primed Charged Shell unpaired)</t>
        </is>
      </c>
      <c r="N133" s="39" t="inlineStr">
        <is>
          <t>EVO2: Attuned Accuracy; EVO3: Dual-Mode; EVO4: Brutal Edge; EVO5: Devastating Attrition</t>
        </is>
      </c>
      <c r="O133" s="39" t="inlineStr">
        <is>
          <t>~4 (Incarnon)</t>
        </is>
      </c>
    </row>
    <row r="134">
      <c r="A134" s="39" t="inlineStr">
        <is>
          <t>PENDING</t>
        </is>
      </c>
      <c r="B134" s="39" t="inlineStr"/>
      <c r="C134" s="39" t="inlineStr">
        <is>
          <t>Qorvex</t>
        </is>
      </c>
      <c r="D134" s="39" t="inlineStr">
        <is>
          <t>Secondary</t>
        </is>
      </c>
      <c r="E134" s="39" t="inlineStr">
        <is>
          <t>Bronco Prime</t>
        </is>
      </c>
      <c r="F134" s="39" t="inlineStr">
        <is>
          <t>Shotgun Sidearm</t>
        </is>
      </c>
      <c r="G134" s="39" t="n">
        <v>0.06</v>
      </c>
      <c r="H134" s="39" t="n">
        <v>0.1286</v>
      </c>
      <c r="I134" s="39" t="inlineStr">
        <is>
          <t>status</t>
        </is>
      </c>
      <c r="J134" s="39" t="inlineStr">
        <is>
          <t>PISTOL_CRIT</t>
        </is>
      </c>
      <c r="K134" s="39" t="inlineStr">
        <is>
          <t>Hornet Strike | Galvanized Diffusion | Primed Pistol Gambit | Primed Target Cracker | Galvanized Crosshairs | Galvanized Shot | Deep Freeze | Pathogen Rounds</t>
        </is>
      </c>
      <c r="L134" s="39" t="inlineStr">
        <is>
          <t>Secondary Encumber</t>
        </is>
      </c>
      <c r="M134" s="39" t="inlineStr">
        <is>
          <t>Viral (Deep Freeze -&gt; Pathogen Rounds)</t>
        </is>
      </c>
      <c r="N134" s="39" t="inlineStr">
        <is>
          <t>EVO2: Speeding Bullet; EVO3: Kinetic Battle; EVO4: Rain of Lead</t>
        </is>
      </c>
      <c r="O134" s="39" t="inlineStr">
        <is>
          <t>~4 (Incarnon)</t>
        </is>
      </c>
    </row>
    <row r="135">
      <c r="A135" s="39" t="inlineStr">
        <is>
          <t>PENDING</t>
        </is>
      </c>
      <c r="B135" s="39" t="inlineStr"/>
      <c r="C135" s="39" t="inlineStr">
        <is>
          <t>Qorvex</t>
        </is>
      </c>
      <c r="D135" s="39" t="inlineStr">
        <is>
          <t>Melee</t>
        </is>
      </c>
      <c r="E135" s="39" t="inlineStr">
        <is>
          <t>Hate</t>
        </is>
      </c>
      <c r="F135" s="39" t="inlineStr">
        <is>
          <t>Scythe</t>
        </is>
      </c>
      <c r="G135" s="39" t="n">
        <v>0.3</v>
      </c>
      <c r="H135" s="39" t="n">
        <v>0.2</v>
      </c>
      <c r="I135" s="39" t="inlineStr">
        <is>
          <t>crit</t>
        </is>
      </c>
      <c r="J135" s="39" t="inlineStr">
        <is>
          <t>MELEE_CRIT</t>
        </is>
      </c>
      <c r="K135" s="39" t="inlineStr">
        <is>
          <t>Primed Pressure Point | Blood Rush | Weeping Wounds | Organ Shatter | Berserker Fury | Condition Overload | North Wind | Virulent Scourge</t>
        </is>
      </c>
      <c r="L135" s="39" t="inlineStr">
        <is>
          <t>Melee Animosity</t>
        </is>
      </c>
      <c r="M135" s="39" t="inlineStr">
        <is>
          <t>Viral (North Wind -&gt; Virulent Scourge)</t>
        </is>
      </c>
      <c r="N135" s="39" t="inlineStr">
        <is>
          <t>EVO2: Swordsman's Flourish; EVO3: Orokin Reach; EVO4: Absolute Valor</t>
        </is>
      </c>
      <c r="O135" s="39" t="inlineStr">
        <is>
          <t>~4 (Incarnon)</t>
        </is>
      </c>
    </row>
    <row r="136">
      <c r="A136" s="39" t="inlineStr">
        <is>
          <t>PENDING</t>
        </is>
      </c>
      <c r="B136" s="39" t="inlineStr"/>
      <c r="C136" s="39" t="inlineStr">
        <is>
          <t>Revenant Prime</t>
        </is>
      </c>
      <c r="D136" s="39" t="inlineStr">
        <is>
          <t>Primary</t>
        </is>
      </c>
      <c r="E136" s="39" t="inlineStr">
        <is>
          <t>Phantasma Prime</t>
        </is>
      </c>
      <c r="F136" s="39" t="inlineStr">
        <is>
          <t>Shotgun</t>
        </is>
      </c>
      <c r="G136" s="39" t="n">
        <v>0.11</v>
      </c>
      <c r="H136" s="39" t="n">
        <v>0.222</v>
      </c>
      <c r="I136" s="39" t="inlineStr">
        <is>
          <t>status</t>
        </is>
      </c>
      <c r="J136" s="39" t="inlineStr">
        <is>
          <t>SHOTGUN</t>
        </is>
      </c>
      <c r="K136" s="39" t="inlineStr">
        <is>
          <t>Primed Point Blank | Galvanized Hell | Primed Ravage | Critical Deceleration | Galvanized Savvy | Chilling Grasp | Toxic Barrage | Primed Charged Shell</t>
        </is>
      </c>
      <c r="L136" s="39" t="inlineStr">
        <is>
          <t>Shotgun Vendetta</t>
        </is>
      </c>
      <c r="M136" s="39" t="inlineStr">
        <is>
          <t>Viral + Electricity (Chilling Grasp -&gt; Toxic Barrage, then Primed Charged Shell unpaired)</t>
        </is>
      </c>
      <c r="N136" s="39" t="inlineStr">
        <is>
          <t>-</t>
        </is>
      </c>
      <c r="O136" s="39" t="inlineStr">
        <is>
          <t>~3</t>
        </is>
      </c>
    </row>
    <row r="137">
      <c r="A137" s="39" t="inlineStr">
        <is>
          <t>PENDING</t>
        </is>
      </c>
      <c r="B137" s="39" t="inlineStr"/>
      <c r="C137" s="39" t="inlineStr">
        <is>
          <t>Revenant Prime</t>
        </is>
      </c>
      <c r="D137" s="39" t="inlineStr">
        <is>
          <t>Secondary</t>
        </is>
      </c>
      <c r="E137" s="39" t="inlineStr">
        <is>
          <t>Tenet Cycron</t>
        </is>
      </c>
      <c r="F137" s="39" t="inlineStr">
        <is>
          <t>Pistol</t>
        </is>
      </c>
      <c r="G137" s="39" t="n">
        <v>0.2</v>
      </c>
      <c r="H137" s="39" t="n">
        <v>0.4</v>
      </c>
      <c r="I137" s="39" t="inlineStr">
        <is>
          <t>status</t>
        </is>
      </c>
      <c r="J137" s="39" t="inlineStr">
        <is>
          <t>PISTOL_CRIT</t>
        </is>
      </c>
      <c r="K137" s="39" t="inlineStr">
        <is>
          <t>Hornet Strike | Galvanized Diffusion | Primed Pistol Gambit | Primed Target Cracker | Galvanized Crosshairs | Galvanized Shot | Deep Freeze | Pathogen Rounds</t>
        </is>
      </c>
      <c r="L137" s="39" t="inlineStr">
        <is>
          <t>Secondary Encumber</t>
        </is>
      </c>
      <c r="M137" s="39" t="inlineStr">
        <is>
          <t>Adversary innate element (see Adversary sheet) + Viral (Deep Freeze -&gt; Pathogen Rounds)</t>
        </is>
      </c>
      <c r="N137" s="39" t="inlineStr">
        <is>
          <t>-</t>
        </is>
      </c>
      <c r="O137" s="39" t="inlineStr">
        <is>
          <t>5 Forma to Rank 40 + ~3 polarization</t>
        </is>
      </c>
    </row>
    <row r="138">
      <c r="A138" s="39" t="inlineStr">
        <is>
          <t>PENDING</t>
        </is>
      </c>
      <c r="B138" s="39" t="inlineStr"/>
      <c r="C138" s="39" t="inlineStr">
        <is>
          <t>Revenant Prime</t>
        </is>
      </c>
      <c r="D138" s="39" t="inlineStr">
        <is>
          <t>Melee</t>
        </is>
      </c>
      <c r="E138" s="39" t="inlineStr">
        <is>
          <t>Tatsu Prime</t>
        </is>
      </c>
      <c r="F138" s="39" t="inlineStr">
        <is>
          <t>Two-Handed Nikana</t>
        </is>
      </c>
      <c r="G138" s="39" t="n">
        <v>0.22</v>
      </c>
      <c r="H138" s="39" t="n">
        <v>0.3</v>
      </c>
      <c r="I138" s="39" t="inlineStr">
        <is>
          <t>status</t>
        </is>
      </c>
      <c r="J138" s="39" t="inlineStr">
        <is>
          <t>MELEE_INFLUENCE</t>
        </is>
      </c>
      <c r="K138" s="39" t="inlineStr">
        <is>
          <t>Primed Pressure Point | Blood Rush | Weeping Wounds | Organ Shatter | Condition Overload | North Wind | Virulent Scourge | Voltaic Strike</t>
        </is>
      </c>
      <c r="L138" s="39" t="inlineStr">
        <is>
          <t>Melee Influence</t>
        </is>
      </c>
      <c r="M138" s="39" t="inlineStr">
        <is>
          <t>Viral + Electricity (North Wind -&gt; Virulent Scourge, Voltaic Strike unpaired: required to trigger Melee Influence)</t>
        </is>
      </c>
      <c r="N138" s="39" t="inlineStr">
        <is>
          <t>-</t>
        </is>
      </c>
      <c r="O138" s="39" t="inlineStr">
        <is>
          <t>~3</t>
        </is>
      </c>
    </row>
    <row r="139">
      <c r="A139" s="39" t="inlineStr">
        <is>
          <t>PENDING</t>
        </is>
      </c>
      <c r="B139" s="39" t="inlineStr"/>
      <c r="C139" s="39" t="inlineStr">
        <is>
          <t>Rhino Prime</t>
        </is>
      </c>
      <c r="D139" s="39" t="inlineStr">
        <is>
          <t>Primary</t>
        </is>
      </c>
      <c r="E139" s="39" t="inlineStr">
        <is>
          <t>Boltor Prime</t>
        </is>
      </c>
      <c r="F139" s="39" t="inlineStr">
        <is>
          <t>Rifle</t>
        </is>
      </c>
      <c r="G139" s="39" t="n">
        <v>0.12</v>
      </c>
      <c r="H139" s="39" t="n">
        <v>0.34</v>
      </c>
      <c r="I139" s="39" t="inlineStr">
        <is>
          <t>status</t>
        </is>
      </c>
      <c r="J139" s="39" t="inlineStr">
        <is>
          <t>RIFLE_CRIT</t>
        </is>
      </c>
      <c r="K139" s="39" t="inlineStr">
        <is>
          <t>Serration | Galvanized Chamber | Point Strike | Vital Sense | Hammer Shot | Galvanized Aptitude | Primed Cryo Rounds | Malignant Force</t>
        </is>
      </c>
      <c r="L139" s="39" t="inlineStr">
        <is>
          <t>Primary Merciless</t>
        </is>
      </c>
      <c r="M139" s="39" t="inlineStr">
        <is>
          <t>Viral (Primed Cryo Rounds -&gt; Malignant Force)</t>
        </is>
      </c>
      <c r="N139" s="39" t="inlineStr">
        <is>
          <t>EVO2: Hunter's Mantra; EVO3: Swift Deliverance; EVO4: Elemental Balance</t>
        </is>
      </c>
      <c r="O139" s="39" t="inlineStr">
        <is>
          <t>~4 (Incarnon)</t>
        </is>
      </c>
    </row>
    <row r="140">
      <c r="A140" s="39" t="inlineStr">
        <is>
          <t>PENDING</t>
        </is>
      </c>
      <c r="B140" s="39" t="inlineStr"/>
      <c r="C140" s="39" t="inlineStr">
        <is>
          <t>Rhino Prime</t>
        </is>
      </c>
      <c r="D140" s="39" t="inlineStr">
        <is>
          <t>Secondary</t>
        </is>
      </c>
      <c r="E140" s="39" t="inlineStr">
        <is>
          <t>Viper Wraith</t>
        </is>
      </c>
      <c r="F140" s="39" t="inlineStr">
        <is>
          <t>Pistol</t>
        </is>
      </c>
      <c r="G140" s="39" t="n">
        <v>0.19</v>
      </c>
      <c r="H140" s="39" t="n">
        <v>0.09</v>
      </c>
      <c r="I140" s="39" t="inlineStr">
        <is>
          <t>crit</t>
        </is>
      </c>
      <c r="J140" s="39" t="inlineStr">
        <is>
          <t>PISTOL_CRIT</t>
        </is>
      </c>
      <c r="K140" s="39" t="inlineStr">
        <is>
          <t>Hornet Strike | Galvanized Diffusion | Primed Pistol Gambit | Primed Target Cracker | Galvanized Crosshairs | Galvanized Shot | Deep Freeze | Pathogen Rounds</t>
        </is>
      </c>
      <c r="L140" s="39" t="inlineStr">
        <is>
          <t>Secondary Merciless</t>
        </is>
      </c>
      <c r="M140" s="39" t="inlineStr">
        <is>
          <t>Viral (Deep Freeze -&gt; Pathogen Rounds)</t>
        </is>
      </c>
      <c r="N140" s="39" t="inlineStr">
        <is>
          <t>-</t>
        </is>
      </c>
      <c r="O140" s="39" t="inlineStr">
        <is>
          <t>~3</t>
        </is>
      </c>
    </row>
    <row r="141">
      <c r="A141" s="39" t="inlineStr">
        <is>
          <t>PENDING</t>
        </is>
      </c>
      <c r="B141" s="39" t="inlineStr"/>
      <c r="C141" s="39" t="inlineStr">
        <is>
          <t>Rhino Prime</t>
        </is>
      </c>
      <c r="D141" s="39" t="inlineStr">
        <is>
          <t>Melee</t>
        </is>
      </c>
      <c r="E141" s="39" t="inlineStr">
        <is>
          <t>Ankyros Prime</t>
        </is>
      </c>
      <c r="F141" s="39" t="inlineStr">
        <is>
          <t>Fist</t>
        </is>
      </c>
      <c r="G141" s="39" t="n">
        <v>0.28</v>
      </c>
      <c r="H141" s="39" t="n">
        <v>0.16</v>
      </c>
      <c r="I141" s="39" t="inlineStr">
        <is>
          <t>crit</t>
        </is>
      </c>
      <c r="J141" s="39" t="inlineStr">
        <is>
          <t>MELEE_CRIT</t>
        </is>
      </c>
      <c r="K141" s="39" t="inlineStr">
        <is>
          <t>Primed Pressure Point | Blood Rush | Weeping Wounds | Organ Shatter | Berserker Fury | Condition Overload | North Wind | Virulent Scourge</t>
        </is>
      </c>
      <c r="L141" s="39" t="inlineStr">
        <is>
          <t>Melee Duplicate</t>
        </is>
      </c>
      <c r="M141" s="39" t="inlineStr">
        <is>
          <t>Viral (North Wind -&gt; Virulent Scourge)</t>
        </is>
      </c>
      <c r="N141" s="39" t="inlineStr">
        <is>
          <t>-</t>
        </is>
      </c>
      <c r="O141" s="39" t="inlineStr">
        <is>
          <t>~3</t>
        </is>
      </c>
    </row>
    <row r="142">
      <c r="A142" s="39" t="inlineStr">
        <is>
          <t>PENDING</t>
        </is>
      </c>
      <c r="B142" s="39" t="inlineStr"/>
      <c r="C142" s="39" t="inlineStr">
        <is>
          <t>Saryn Prime</t>
        </is>
      </c>
      <c r="D142" s="39" t="inlineStr">
        <is>
          <t>Primary</t>
        </is>
      </c>
      <c r="E142" s="39" t="inlineStr">
        <is>
          <t>Kuva Ogris</t>
        </is>
      </c>
      <c r="F142" s="39" t="inlineStr">
        <is>
          <t>Launcher</t>
        </is>
      </c>
      <c r="G142" s="39" t="n">
        <v>0.09</v>
      </c>
      <c r="H142" s="39" t="n">
        <v>0.47</v>
      </c>
      <c r="I142" s="39" t="inlineStr">
        <is>
          <t>status</t>
        </is>
      </c>
      <c r="J142" s="39" t="inlineStr">
        <is>
          <t>RIFLE_CRIT</t>
        </is>
      </c>
      <c r="K142" s="39" t="inlineStr">
        <is>
          <t>Serration | Galvanized Chamber | Point Strike | Vital Sense | Hammer Shot | Galvanized Aptitude | Primed Cryo Rounds | Malignant Force</t>
        </is>
      </c>
      <c r="L142" s="39" t="inlineStr">
        <is>
          <t>Primary Merciless</t>
        </is>
      </c>
      <c r="M142" s="39" t="inlineStr">
        <is>
          <t>Adversary innate element (see Adversary sheet) + Viral (Primed Cryo Rounds -&gt; Malignant Force)</t>
        </is>
      </c>
      <c r="N142" s="39" t="inlineStr">
        <is>
          <t>-</t>
        </is>
      </c>
      <c r="O142" s="39" t="inlineStr">
        <is>
          <t>5 Forma to Rank 40 + ~3 polarization</t>
        </is>
      </c>
    </row>
    <row r="143">
      <c r="A143" s="39" t="inlineStr">
        <is>
          <t>PENDING</t>
        </is>
      </c>
      <c r="B143" s="39" t="inlineStr"/>
      <c r="C143" s="39" t="inlineStr">
        <is>
          <t>Saryn Prime</t>
        </is>
      </c>
      <c r="D143" s="39" t="inlineStr">
        <is>
          <t>Secondary</t>
        </is>
      </c>
      <c r="E143" s="39" t="inlineStr">
        <is>
          <t>Pyrana</t>
        </is>
      </c>
      <c r="F143" s="39" t="inlineStr">
        <is>
          <t>Shotgun Sidearm</t>
        </is>
      </c>
      <c r="G143" s="39" t="n">
        <v>0.2</v>
      </c>
      <c r="H143" s="39" t="n">
        <v>0.025</v>
      </c>
      <c r="I143" s="39" t="inlineStr">
        <is>
          <t>crit</t>
        </is>
      </c>
      <c r="J143" s="39" t="inlineStr">
        <is>
          <t>PISTOL_CRIT</t>
        </is>
      </c>
      <c r="K143" s="39" t="inlineStr">
        <is>
          <t>Hornet Strike | Galvanized Diffusion | Primed Pistol Gambit | Primed Target Cracker | Galvanized Crosshairs | Galvanized Shot | Deep Freeze | Pathogen Rounds</t>
        </is>
      </c>
      <c r="L143" s="39" t="inlineStr">
        <is>
          <t>Secondary Merciless</t>
        </is>
      </c>
      <c r="M143" s="39" t="inlineStr">
        <is>
          <t>Viral (Deep Freeze -&gt; Pathogen Rounds)</t>
        </is>
      </c>
      <c r="N143" s="39" t="inlineStr">
        <is>
          <t>-</t>
        </is>
      </c>
      <c r="O143" s="39" t="inlineStr">
        <is>
          <t>~3</t>
        </is>
      </c>
    </row>
    <row r="144">
      <c r="A144" s="39" t="inlineStr">
        <is>
          <t>PENDING</t>
        </is>
      </c>
      <c r="B144" s="39" t="inlineStr"/>
      <c r="C144" s="39" t="inlineStr">
        <is>
          <t>Saryn Prime</t>
        </is>
      </c>
      <c r="D144" s="39" t="inlineStr">
        <is>
          <t>Melee</t>
        </is>
      </c>
      <c r="E144" s="39" t="inlineStr">
        <is>
          <t>Dual Ichor</t>
        </is>
      </c>
      <c r="F144" s="39" t="inlineStr">
        <is>
          <t>Dual Swords</t>
        </is>
      </c>
      <c r="G144" s="39" t="n">
        <v>0.25</v>
      </c>
      <c r="H144" s="39" t="n">
        <v>0.15</v>
      </c>
      <c r="I144" s="39" t="inlineStr">
        <is>
          <t>crit</t>
        </is>
      </c>
      <c r="J144" s="39" t="inlineStr">
        <is>
          <t>MELEE_CRIT</t>
        </is>
      </c>
      <c r="K144" s="39" t="inlineStr">
        <is>
          <t>Primed Pressure Point | Blood Rush | Weeping Wounds | Organ Shatter | Berserker Fury | Condition Overload | North Wind | Virulent Scourge</t>
        </is>
      </c>
      <c r="L144" s="39" t="inlineStr">
        <is>
          <t>Melee Duplicate</t>
        </is>
      </c>
      <c r="M144" s="39" t="inlineStr">
        <is>
          <t>Viral (North Wind -&gt; Virulent Scourge)</t>
        </is>
      </c>
      <c r="N144" s="39" t="inlineStr">
        <is>
          <t>EVO2: Alchemist's Wrath; EVO3: Orokin Reach; EVO4: Poison Parasite</t>
        </is>
      </c>
      <c r="O144" s="39" t="inlineStr">
        <is>
          <t>~4 (Incarnon)</t>
        </is>
      </c>
    </row>
    <row r="145">
      <c r="A145" s="39" t="inlineStr">
        <is>
          <t>PENDING</t>
        </is>
      </c>
      <c r="B145" s="39" t="inlineStr"/>
      <c r="C145" s="39" t="inlineStr">
        <is>
          <t>Sevagoth Prime</t>
        </is>
      </c>
      <c r="D145" s="39" t="inlineStr">
        <is>
          <t>Primary</t>
        </is>
      </c>
      <c r="E145" s="39" t="inlineStr">
        <is>
          <t>Bubonico</t>
        </is>
      </c>
      <c r="F145" s="39" t="inlineStr">
        <is>
          <t>Shotgun</t>
        </is>
      </c>
      <c r="G145" s="39" t="n">
        <v>0.25</v>
      </c>
      <c r="H145" s="39" t="n">
        <v>0.0929</v>
      </c>
      <c r="I145" s="39" t="inlineStr">
        <is>
          <t>crit</t>
        </is>
      </c>
      <c r="J145" s="39" t="inlineStr">
        <is>
          <t>SHOTGUN</t>
        </is>
      </c>
      <c r="K145" s="39" t="inlineStr">
        <is>
          <t>Primed Point Blank | Galvanized Hell | Primed Ravage | Critical Deceleration | Galvanized Savvy | Chilling Grasp | Toxic Barrage | Primed Charged Shell</t>
        </is>
      </c>
      <c r="L145" s="39" t="inlineStr">
        <is>
          <t>Shotgun Vendetta</t>
        </is>
      </c>
      <c r="M145" s="39" t="inlineStr">
        <is>
          <t>Viral + Electricity (Chilling Grasp -&gt; Toxic Barrage, then Primed Charged Shell unpaired)</t>
        </is>
      </c>
      <c r="N145" s="39" t="inlineStr">
        <is>
          <t>-</t>
        </is>
      </c>
      <c r="O145" s="39" t="inlineStr">
        <is>
          <t>~3</t>
        </is>
      </c>
    </row>
    <row r="146">
      <c r="A146" s="39" t="inlineStr">
        <is>
          <t>PENDING</t>
        </is>
      </c>
      <c r="B146" s="39" t="inlineStr"/>
      <c r="C146" s="39" t="inlineStr">
        <is>
          <t>Sevagoth Prime</t>
        </is>
      </c>
      <c r="D146" s="39" t="inlineStr">
        <is>
          <t>Secondary</t>
        </is>
      </c>
      <c r="E146" s="39" t="inlineStr">
        <is>
          <t>Epitaph Prime</t>
        </is>
      </c>
      <c r="F146" s="39" t="inlineStr">
        <is>
          <t>Pistol</t>
        </is>
      </c>
      <c r="G146" s="39" t="n">
        <v>0.5</v>
      </c>
      <c r="H146" s="39" t="n">
        <v>0.14</v>
      </c>
      <c r="I146" s="39" t="inlineStr">
        <is>
          <t>crit</t>
        </is>
      </c>
      <c r="J146" s="39" t="inlineStr">
        <is>
          <t>PISTOL_CRIT</t>
        </is>
      </c>
      <c r="K146" s="39" t="inlineStr">
        <is>
          <t>Hornet Strike | Galvanized Diffusion | Primed Pistol Gambit | Primed Target Cracker | Galvanized Crosshairs | Galvanized Shot | Deep Freeze | Pathogen Rounds</t>
        </is>
      </c>
      <c r="L146" s="39" t="inlineStr">
        <is>
          <t>Secondary Merciless</t>
        </is>
      </c>
      <c r="M146" s="39" t="inlineStr">
        <is>
          <t>Viral (Deep Freeze -&gt; Pathogen Rounds)</t>
        </is>
      </c>
      <c r="N146" s="39" t="inlineStr">
        <is>
          <t>-</t>
        </is>
      </c>
      <c r="O146" s="39" t="inlineStr">
        <is>
          <t>~3</t>
        </is>
      </c>
    </row>
    <row r="147">
      <c r="A147" s="39" t="inlineStr">
        <is>
          <t>PENDING</t>
        </is>
      </c>
      <c r="B147" s="39" t="inlineStr"/>
      <c r="C147" s="39" t="inlineStr">
        <is>
          <t>Sirius &amp; Orion</t>
        </is>
      </c>
      <c r="D147" s="39" t="inlineStr">
        <is>
          <t>Primary</t>
        </is>
      </c>
      <c r="E147" s="39" t="inlineStr">
        <is>
          <t>Battacor</t>
        </is>
      </c>
      <c r="F147" s="39" t="inlineStr">
        <is>
          <t>Rifle</t>
        </is>
      </c>
      <c r="G147" s="39" t="n">
        <v>0.32</v>
      </c>
      <c r="H147" s="39" t="n">
        <v>0.18</v>
      </c>
      <c r="I147" s="39" t="inlineStr">
        <is>
          <t>crit</t>
        </is>
      </c>
      <c r="J147" s="39" t="inlineStr">
        <is>
          <t>RIFLE_CRIT</t>
        </is>
      </c>
      <c r="K147" s="39" t="inlineStr">
        <is>
          <t>Serration | Galvanized Chamber | Point Strike | Vital Sense | Hammer Shot | Galvanized Aptitude | Primed Cryo Rounds | Malignant Force</t>
        </is>
      </c>
      <c r="L147" s="39" t="inlineStr">
        <is>
          <t>Primary Merciless</t>
        </is>
      </c>
      <c r="M147" s="39" t="inlineStr">
        <is>
          <t>Viral (Primed Cryo Rounds -&gt; Malignant Force)</t>
        </is>
      </c>
      <c r="N147" s="39" t="inlineStr">
        <is>
          <t>-</t>
        </is>
      </c>
      <c r="O147" s="39" t="inlineStr">
        <is>
          <t>~3</t>
        </is>
      </c>
    </row>
    <row r="148">
      <c r="A148" s="39" t="inlineStr">
        <is>
          <t>PENDING</t>
        </is>
      </c>
      <c r="B148" s="39" t="inlineStr"/>
      <c r="C148" s="39" t="inlineStr">
        <is>
          <t>Sirius &amp; Orion</t>
        </is>
      </c>
      <c r="D148" s="39" t="inlineStr">
        <is>
          <t>Secondary</t>
        </is>
      </c>
      <c r="E148" s="39" t="inlineStr">
        <is>
          <t>Spectra Vandal</t>
        </is>
      </c>
      <c r="F148" s="39" t="inlineStr">
        <is>
          <t>Pistol</t>
        </is>
      </c>
      <c r="G148" s="39" t="n">
        <v>0.2</v>
      </c>
      <c r="H148" s="39" t="n">
        <v>0.28</v>
      </c>
      <c r="I148" s="39" t="inlineStr">
        <is>
          <t>status</t>
        </is>
      </c>
      <c r="J148" s="39" t="inlineStr">
        <is>
          <t>PISTOL_CRIT</t>
        </is>
      </c>
      <c r="K148" s="39" t="inlineStr">
        <is>
          <t>Hornet Strike | Galvanized Diffusion | Primed Pistol Gambit | Primed Target Cracker | Galvanized Crosshairs | Galvanized Shot | Deep Freeze | Pathogen Rounds</t>
        </is>
      </c>
      <c r="L148" s="39" t="inlineStr">
        <is>
          <t>Secondary Encumber</t>
        </is>
      </c>
      <c r="M148" s="39" t="inlineStr">
        <is>
          <t>Viral (Deep Freeze -&gt; Pathogen Rounds)</t>
        </is>
      </c>
      <c r="N148" s="39" t="inlineStr">
        <is>
          <t>-</t>
        </is>
      </c>
      <c r="O148" s="39" t="inlineStr">
        <is>
          <t>~3</t>
        </is>
      </c>
    </row>
    <row r="149">
      <c r="A149" s="39" t="inlineStr">
        <is>
          <t>PENDING</t>
        </is>
      </c>
      <c r="B149" s="39" t="inlineStr"/>
      <c r="C149" s="39" t="inlineStr">
        <is>
          <t>Sirius &amp; Orion</t>
        </is>
      </c>
      <c r="D149" s="39" t="inlineStr">
        <is>
          <t>Melee</t>
        </is>
      </c>
      <c r="E149" s="39" t="inlineStr">
        <is>
          <t>Pride</t>
        </is>
      </c>
      <c r="F149" s="39" t="inlineStr">
        <is>
          <t>Heavy Scythe</t>
        </is>
      </c>
      <c r="G149" s="39" t="n">
        <v>0.15</v>
      </c>
      <c r="H149" s="39" t="n">
        <v>0.35</v>
      </c>
      <c r="I149" s="39" t="inlineStr">
        <is>
          <t>status</t>
        </is>
      </c>
      <c r="J149" s="39" t="inlineStr">
        <is>
          <t>MELEE_INFLUENCE</t>
        </is>
      </c>
      <c r="K149" s="39" t="inlineStr">
        <is>
          <t>Primed Pressure Point | Blood Rush | Weeping Wounds | Organ Shatter | Condition Overload | North Wind | Virulent Scourge | Voltaic Strike</t>
        </is>
      </c>
      <c r="L149" s="39" t="inlineStr">
        <is>
          <t>Melee Influence</t>
        </is>
      </c>
      <c r="M149" s="39" t="inlineStr">
        <is>
          <t>Viral + Electricity (North Wind -&gt; Virulent Scourge, Voltaic Strike unpaired: required to trigger Melee Influence)</t>
        </is>
      </c>
      <c r="N149" s="39" t="inlineStr">
        <is>
          <t>-</t>
        </is>
      </c>
      <c r="O149" s="39" t="inlineStr">
        <is>
          <t>~3</t>
        </is>
      </c>
    </row>
    <row r="150">
      <c r="A150" s="39" t="inlineStr">
        <is>
          <t>PENDING</t>
        </is>
      </c>
      <c r="B150" s="39" t="inlineStr"/>
      <c r="C150" s="39" t="inlineStr">
        <is>
          <t>Styanax Prime</t>
        </is>
      </c>
      <c r="D150" s="39" t="inlineStr">
        <is>
          <t>Primary</t>
        </is>
      </c>
      <c r="E150" s="39" t="inlineStr">
        <is>
          <t>Afentis Prime</t>
        </is>
      </c>
      <c r="F150" s="39" t="inlineStr">
        <is>
          <t>Speargun</t>
        </is>
      </c>
      <c r="G150" s="39" t="n">
        <v>0.26</v>
      </c>
      <c r="H150" s="39" t="n">
        <v>0.3</v>
      </c>
      <c r="I150" s="39" t="inlineStr">
        <is>
          <t>crit</t>
        </is>
      </c>
      <c r="J150" s="39" t="inlineStr">
        <is>
          <t>RIFLE_CRIT</t>
        </is>
      </c>
      <c r="K150" s="39" t="inlineStr">
        <is>
          <t>Serration | Galvanized Chamber | Point Strike | Vital Sense | Hammer Shot | Galvanized Aptitude | Primed Cryo Rounds | Malignant Force</t>
        </is>
      </c>
      <c r="L150" s="39" t="inlineStr">
        <is>
          <t>Primary Merciless</t>
        </is>
      </c>
      <c r="M150" s="39" t="inlineStr">
        <is>
          <t>Viral (Primed Cryo Rounds -&gt; Malignant Force)</t>
        </is>
      </c>
      <c r="N150" s="39" t="inlineStr">
        <is>
          <t>-</t>
        </is>
      </c>
      <c r="O150" s="39" t="inlineStr">
        <is>
          <t>~3</t>
        </is>
      </c>
    </row>
    <row r="151">
      <c r="A151" s="39" t="inlineStr">
        <is>
          <t>PENDING</t>
        </is>
      </c>
      <c r="B151" s="39" t="inlineStr"/>
      <c r="C151" s="39" t="inlineStr">
        <is>
          <t>Styanax Prime</t>
        </is>
      </c>
      <c r="D151" s="39" t="inlineStr">
        <is>
          <t>Secondary</t>
        </is>
      </c>
      <c r="E151" s="39" t="inlineStr">
        <is>
          <t>Aegrit</t>
        </is>
      </c>
      <c r="F151" s="39" t="inlineStr">
        <is>
          <t>Thrown</t>
        </is>
      </c>
      <c r="G151" s="39" t="n">
        <v>0.37</v>
      </c>
      <c r="H151" s="39" t="n">
        <v>0.19</v>
      </c>
      <c r="I151" s="39" t="inlineStr">
        <is>
          <t>crit</t>
        </is>
      </c>
      <c r="J151" s="39" t="inlineStr">
        <is>
          <t>PISTOL_CRIT</t>
        </is>
      </c>
      <c r="K151" s="39" t="inlineStr">
        <is>
          <t>Hornet Strike | Galvanized Diffusion | Primed Pistol Gambit | Primed Target Cracker | Galvanized Crosshairs | Galvanized Shot | Deep Freeze | Pathogen Rounds</t>
        </is>
      </c>
      <c r="L151" s="39" t="inlineStr">
        <is>
          <t>Secondary Merciless</t>
        </is>
      </c>
      <c r="M151" s="39" t="inlineStr">
        <is>
          <t>Viral (Deep Freeze -&gt; Pathogen Rounds)</t>
        </is>
      </c>
      <c r="N151" s="39" t="inlineStr">
        <is>
          <t>-</t>
        </is>
      </c>
      <c r="O151" s="39" t="inlineStr">
        <is>
          <t>~3</t>
        </is>
      </c>
    </row>
    <row r="152">
      <c r="A152" s="39" t="inlineStr">
        <is>
          <t>PENDING</t>
        </is>
      </c>
      <c r="B152" s="39" t="inlineStr"/>
      <c r="C152" s="39" t="inlineStr">
        <is>
          <t>Styanax Prime</t>
        </is>
      </c>
      <c r="D152" s="39" t="inlineStr">
        <is>
          <t>Melee</t>
        </is>
      </c>
      <c r="E152" s="39" t="inlineStr">
        <is>
          <t>Slaytra</t>
        </is>
      </c>
      <c r="F152" s="39" t="inlineStr">
        <is>
          <t>Machete</t>
        </is>
      </c>
      <c r="G152" s="39" t="n">
        <v>0.21</v>
      </c>
      <c r="H152" s="39" t="n">
        <v>0.35</v>
      </c>
      <c r="I152" s="39" t="inlineStr">
        <is>
          <t>status</t>
        </is>
      </c>
      <c r="J152" s="39" t="inlineStr">
        <is>
          <t>MELEE_INFLUENCE</t>
        </is>
      </c>
      <c r="K152" s="39" t="inlineStr">
        <is>
          <t>Primed Pressure Point | Blood Rush | Weeping Wounds | Organ Shatter | Condition Overload | North Wind | Virulent Scourge | Voltaic Strike</t>
        </is>
      </c>
      <c r="L152" s="39" t="inlineStr">
        <is>
          <t>Melee Influence</t>
        </is>
      </c>
      <c r="M152" s="39" t="inlineStr">
        <is>
          <t>Viral + Electricity (North Wind -&gt; Virulent Scourge, Voltaic Strike unpaired: required to trigger Melee Influence)</t>
        </is>
      </c>
      <c r="N152" s="39" t="inlineStr">
        <is>
          <t>-</t>
        </is>
      </c>
      <c r="O152" s="39" t="inlineStr">
        <is>
          <t>~3</t>
        </is>
      </c>
    </row>
    <row r="153">
      <c r="A153" s="39" t="inlineStr">
        <is>
          <t>PENDING</t>
        </is>
      </c>
      <c r="B153" s="39" t="inlineStr"/>
      <c r="C153" s="39" t="inlineStr">
        <is>
          <t>Temple</t>
        </is>
      </c>
      <c r="D153" s="39" t="inlineStr">
        <is>
          <t>Secondary</t>
        </is>
      </c>
      <c r="E153" s="39" t="inlineStr">
        <is>
          <t>Riot-848</t>
        </is>
      </c>
      <c r="F153" s="39" t="inlineStr">
        <is>
          <t>Pistol</t>
        </is>
      </c>
      <c r="G153" s="39" t="n">
        <v>0.26</v>
      </c>
      <c r="H153" s="39" t="n">
        <v>0.26</v>
      </c>
      <c r="I153" s="39" t="inlineStr">
        <is>
          <t>crit</t>
        </is>
      </c>
      <c r="J153" s="39" t="inlineStr">
        <is>
          <t>PISTOL_CRIT</t>
        </is>
      </c>
      <c r="K153" s="39" t="inlineStr">
        <is>
          <t>Hornet Strike | Galvanized Diffusion | Primed Pistol Gambit | Primed Target Cracker | Galvanized Crosshairs | Galvanized Shot | Deep Freeze | Pathogen Rounds</t>
        </is>
      </c>
      <c r="L153" s="39" t="inlineStr">
        <is>
          <t>Secondary Merciless</t>
        </is>
      </c>
      <c r="M153" s="39" t="inlineStr">
        <is>
          <t>Viral (Deep Freeze -&gt; Pathogen Rounds)</t>
        </is>
      </c>
      <c r="N153" s="39" t="inlineStr">
        <is>
          <t>-</t>
        </is>
      </c>
      <c r="O153" s="39" t="inlineStr">
        <is>
          <t>~3</t>
        </is>
      </c>
    </row>
    <row r="154">
      <c r="A154" s="39" t="inlineStr">
        <is>
          <t>PENDING</t>
        </is>
      </c>
      <c r="B154" s="39" t="inlineStr"/>
      <c r="C154" s="39" t="inlineStr">
        <is>
          <t>Temple</t>
        </is>
      </c>
      <c r="D154" s="39" t="inlineStr">
        <is>
          <t>Melee</t>
        </is>
      </c>
      <c r="E154" s="39" t="inlineStr">
        <is>
          <t>Prisma Ohma</t>
        </is>
      </c>
      <c r="F154" s="39" t="inlineStr">
        <is>
          <t>Tonfa</t>
        </is>
      </c>
      <c r="G154" s="39" t="n">
        <v>0.3</v>
      </c>
      <c r="H154" s="39" t="n">
        <v>0.2</v>
      </c>
      <c r="I154" s="39" t="inlineStr">
        <is>
          <t>crit</t>
        </is>
      </c>
      <c r="J154" s="39" t="inlineStr">
        <is>
          <t>MELEE_CRIT</t>
        </is>
      </c>
      <c r="K154" s="39" t="inlineStr">
        <is>
          <t>Primed Pressure Point | Blood Rush | Weeping Wounds | Organ Shatter | Berserker Fury | Condition Overload | North Wind | Virulent Scourge</t>
        </is>
      </c>
      <c r="L154" s="39" t="inlineStr">
        <is>
          <t>Melee Duplicate</t>
        </is>
      </c>
      <c r="M154" s="39" t="inlineStr">
        <is>
          <t>Viral (North Wind -&gt; Virulent Scourge)</t>
        </is>
      </c>
      <c r="N154" s="39" t="inlineStr">
        <is>
          <t>-</t>
        </is>
      </c>
      <c r="O154" s="39" t="inlineStr">
        <is>
          <t>~3</t>
        </is>
      </c>
    </row>
    <row r="155">
      <c r="A155" s="39" t="inlineStr">
        <is>
          <t>PENDING</t>
        </is>
      </c>
      <c r="B155" s="39" t="inlineStr"/>
      <c r="C155" s="39" t="inlineStr">
        <is>
          <t>Trinity Prime</t>
        </is>
      </c>
      <c r="D155" s="39" t="inlineStr">
        <is>
          <t>Primary</t>
        </is>
      </c>
      <c r="E155" s="39" t="inlineStr">
        <is>
          <t>Boar Prime</t>
        </is>
      </c>
      <c r="F155" s="39" t="inlineStr">
        <is>
          <t>Shotgun</t>
        </is>
      </c>
      <c r="G155" s="39" t="n">
        <v>0.15</v>
      </c>
      <c r="H155" s="39" t="n">
        <v>0.1125</v>
      </c>
      <c r="I155" s="39" t="inlineStr">
        <is>
          <t>crit</t>
        </is>
      </c>
      <c r="J155" s="39" t="inlineStr">
        <is>
          <t>SHOTGUN</t>
        </is>
      </c>
      <c r="K155" s="39" t="inlineStr">
        <is>
          <t>Primed Point Blank | Galvanized Hell | Primed Ravage | Critical Deceleration | Galvanized Savvy | Chilling Grasp | Toxic Barrage | Primed Charged Shell</t>
        </is>
      </c>
      <c r="L155" s="39" t="inlineStr">
        <is>
          <t>Shotgun Vendetta</t>
        </is>
      </c>
      <c r="M155" s="39" t="inlineStr">
        <is>
          <t>Viral + Electricity (Chilling Grasp -&gt; Toxic Barrage, then Primed Charged Shell unpaired)</t>
        </is>
      </c>
      <c r="N155" s="39" t="inlineStr">
        <is>
          <t>EVO2: Fortress Salvo; EVO3: Ready Retaliation; EVO4: Critical Parallel</t>
        </is>
      </c>
      <c r="O155" s="39" t="inlineStr">
        <is>
          <t>~4 (Incarnon)</t>
        </is>
      </c>
    </row>
    <row r="156">
      <c r="A156" s="39" t="inlineStr">
        <is>
          <t>PENDING</t>
        </is>
      </c>
      <c r="B156" s="39" t="inlineStr"/>
      <c r="C156" s="39" t="inlineStr">
        <is>
          <t>Trinity Prime</t>
        </is>
      </c>
      <c r="D156" s="39" t="inlineStr">
        <is>
          <t>Secondary</t>
        </is>
      </c>
      <c r="E156" s="39" t="inlineStr">
        <is>
          <t>Akbronco Prime</t>
        </is>
      </c>
      <c r="F156" s="39" t="inlineStr">
        <is>
          <t>Dual Shotguns</t>
        </is>
      </c>
      <c r="G156" s="39" t="n">
        <v>0.06</v>
      </c>
      <c r="H156" s="39" t="n">
        <v>0.1286</v>
      </c>
      <c r="I156" s="39" t="inlineStr">
        <is>
          <t>status</t>
        </is>
      </c>
      <c r="J156" s="39" t="inlineStr">
        <is>
          <t>PISTOL_CRIT</t>
        </is>
      </c>
      <c r="K156" s="39" t="inlineStr">
        <is>
          <t>Hornet Strike | Galvanized Diffusion | Primed Pistol Gambit | Primed Target Cracker | Galvanized Crosshairs | Galvanized Shot | Deep Freeze | Pathogen Rounds</t>
        </is>
      </c>
      <c r="L156" s="39" t="inlineStr">
        <is>
          <t>Secondary Encumber</t>
        </is>
      </c>
      <c r="M156" s="39" t="inlineStr">
        <is>
          <t>Viral (Deep Freeze -&gt; Pathogen Rounds)</t>
        </is>
      </c>
      <c r="N156" s="39" t="inlineStr">
        <is>
          <t>-</t>
        </is>
      </c>
      <c r="O156" s="39" t="inlineStr">
        <is>
          <t>~3</t>
        </is>
      </c>
    </row>
    <row r="157">
      <c r="A157" s="39" t="inlineStr">
        <is>
          <t>PENDING</t>
        </is>
      </c>
      <c r="B157" s="39" t="inlineStr"/>
      <c r="C157" s="39" t="inlineStr">
        <is>
          <t>Trinity Prime</t>
        </is>
      </c>
      <c r="D157" s="39" t="inlineStr">
        <is>
          <t>Melee</t>
        </is>
      </c>
      <c r="E157" s="39" t="inlineStr">
        <is>
          <t>Dual Kamas Prime</t>
        </is>
      </c>
      <c r="F157" s="39" t="inlineStr">
        <is>
          <t>Dual Swords</t>
        </is>
      </c>
      <c r="G157" s="39" t="n">
        <v>0.2</v>
      </c>
      <c r="H157" s="39" t="n">
        <v>0.25</v>
      </c>
      <c r="I157" s="39" t="inlineStr">
        <is>
          <t>status</t>
        </is>
      </c>
      <c r="J157" s="39" t="inlineStr">
        <is>
          <t>MELEE_INFLUENCE</t>
        </is>
      </c>
      <c r="K157" s="39" t="inlineStr">
        <is>
          <t>Primed Pressure Point | Blood Rush | Weeping Wounds | Organ Shatter | Condition Overload | North Wind | Virulent Scourge | Voltaic Strike</t>
        </is>
      </c>
      <c r="L157" s="39" t="inlineStr">
        <is>
          <t>Melee Influence</t>
        </is>
      </c>
      <c r="M157" s="39" t="inlineStr">
        <is>
          <t>Viral + Electricity (North Wind -&gt; Virulent Scourge, Voltaic Strike unpaired: required to trigger Melee Influence)</t>
        </is>
      </c>
      <c r="N157" s="39" t="inlineStr">
        <is>
          <t>-</t>
        </is>
      </c>
      <c r="O157" s="39" t="inlineStr">
        <is>
          <t>~3</t>
        </is>
      </c>
    </row>
    <row r="158">
      <c r="A158" s="39" t="inlineStr">
        <is>
          <t>PENDING</t>
        </is>
      </c>
      <c r="B158" s="39" t="inlineStr"/>
      <c r="C158" s="39" t="inlineStr">
        <is>
          <t>Uriel</t>
        </is>
      </c>
      <c r="D158" s="39" t="inlineStr">
        <is>
          <t>Primary</t>
        </is>
      </c>
      <c r="E158" s="39" t="inlineStr">
        <is>
          <t>Vinquibus (Primary)</t>
        </is>
      </c>
      <c r="F158" s="39" t="inlineStr">
        <is>
          <t>Rifle</t>
        </is>
      </c>
      <c r="G158" s="39" t="n">
        <v>0.4</v>
      </c>
      <c r="H158" s="39" t="n">
        <v>0.2</v>
      </c>
      <c r="I158" s="39" t="inlineStr">
        <is>
          <t>crit</t>
        </is>
      </c>
      <c r="J158" s="39" t="inlineStr">
        <is>
          <t>RIFLE_CRIT</t>
        </is>
      </c>
      <c r="K158" s="39" t="inlineStr">
        <is>
          <t>Serration | Galvanized Chamber | Point Strike | Vital Sense | Hammer Shot | Galvanized Aptitude | Primed Cryo Rounds | Malignant Force</t>
        </is>
      </c>
      <c r="L158" s="39" t="inlineStr">
        <is>
          <t>Primary Merciless</t>
        </is>
      </c>
      <c r="M158" s="39" t="inlineStr">
        <is>
          <t>Viral (Primed Cryo Rounds -&gt; Malignant Force)</t>
        </is>
      </c>
      <c r="N158" s="39" t="inlineStr">
        <is>
          <t>-</t>
        </is>
      </c>
      <c r="O158" s="39" t="inlineStr">
        <is>
          <t>~3</t>
        </is>
      </c>
    </row>
    <row r="159">
      <c r="A159" s="39" t="inlineStr">
        <is>
          <t>PENDING</t>
        </is>
      </c>
      <c r="B159" s="39" t="inlineStr"/>
      <c r="C159" s="39" t="inlineStr">
        <is>
          <t>Uriel</t>
        </is>
      </c>
      <c r="D159" s="39" t="inlineStr">
        <is>
          <t>Secondary</t>
        </is>
      </c>
      <c r="E159" s="39" t="inlineStr">
        <is>
          <t>Kuva Twin Stubbas</t>
        </is>
      </c>
      <c r="F159" s="39" t="inlineStr">
        <is>
          <t>Dual Pistols</t>
        </is>
      </c>
      <c r="G159" s="39" t="n">
        <v>0.23</v>
      </c>
      <c r="H159" s="39" t="n">
        <v>0.31</v>
      </c>
      <c r="I159" s="39" t="inlineStr">
        <is>
          <t>status</t>
        </is>
      </c>
      <c r="J159" s="39" t="inlineStr">
        <is>
          <t>PISTOL_CRIT</t>
        </is>
      </c>
      <c r="K159" s="39" t="inlineStr">
        <is>
          <t>Hornet Strike | Galvanized Diffusion | Primed Pistol Gambit | Primed Target Cracker | Galvanized Crosshairs | Galvanized Shot | Deep Freeze | Pathogen Rounds</t>
        </is>
      </c>
      <c r="L159" s="39" t="inlineStr">
        <is>
          <t>Secondary Encumber</t>
        </is>
      </c>
      <c r="M159" s="39" t="inlineStr">
        <is>
          <t>Adversary innate element (see Adversary sheet) + Viral (Deep Freeze -&gt; Pathogen Rounds)</t>
        </is>
      </c>
      <c r="N159" s="39" t="inlineStr">
        <is>
          <t>-</t>
        </is>
      </c>
      <c r="O159" s="39" t="inlineStr">
        <is>
          <t>5 Forma to Rank 40 + ~3 polarization</t>
        </is>
      </c>
    </row>
    <row r="160">
      <c r="A160" s="39" t="inlineStr">
        <is>
          <t>PENDING</t>
        </is>
      </c>
      <c r="B160" s="39" t="inlineStr"/>
      <c r="C160" s="39" t="inlineStr">
        <is>
          <t>Uriel</t>
        </is>
      </c>
      <c r="D160" s="39" t="inlineStr">
        <is>
          <t>Melee</t>
        </is>
      </c>
      <c r="E160" s="39" t="inlineStr">
        <is>
          <t>Vinquibus (Melee)</t>
        </is>
      </c>
      <c r="F160" s="39" t="inlineStr">
        <is>
          <t>Bayonet</t>
        </is>
      </c>
      <c r="G160" s="39" t="n">
        <v>0.4</v>
      </c>
      <c r="H160" s="39" t="n">
        <v>0.2</v>
      </c>
      <c r="I160" s="39" t="inlineStr">
        <is>
          <t>crit</t>
        </is>
      </c>
      <c r="J160" s="39" t="inlineStr">
        <is>
          <t>MELEE_CRIT</t>
        </is>
      </c>
      <c r="K160" s="39" t="inlineStr">
        <is>
          <t>Primed Pressure Point | Blood Rush | Weeping Wounds | Organ Shatter | Berserker Fury | Condition Overload | North Wind | Virulent Scourge</t>
        </is>
      </c>
      <c r="L160" s="39" t="inlineStr">
        <is>
          <t>Melee Duplicate</t>
        </is>
      </c>
      <c r="M160" s="39" t="inlineStr">
        <is>
          <t>Viral (North Wind -&gt; Virulent Scourge)</t>
        </is>
      </c>
      <c r="N160" s="39" t="inlineStr">
        <is>
          <t>-</t>
        </is>
      </c>
      <c r="O160" s="39" t="inlineStr">
        <is>
          <t>~3</t>
        </is>
      </c>
    </row>
    <row r="161">
      <c r="A161" s="39" t="inlineStr">
        <is>
          <t>PENDING</t>
        </is>
      </c>
      <c r="B161" s="39" t="inlineStr"/>
      <c r="C161" s="39" t="inlineStr">
        <is>
          <t>Valkyr Prime</t>
        </is>
      </c>
      <c r="D161" s="39" t="inlineStr">
        <is>
          <t>Primary</t>
        </is>
      </c>
      <c r="E161" s="39" t="inlineStr">
        <is>
          <t>Cernos Prime</t>
        </is>
      </c>
      <c r="F161" s="39" t="inlineStr">
        <is>
          <t>Bow</t>
        </is>
      </c>
      <c r="G161" s="39" t="n">
        <v>0.35</v>
      </c>
      <c r="H161" s="39" t="n">
        <v>0.3</v>
      </c>
      <c r="I161" s="39" t="inlineStr">
        <is>
          <t>crit</t>
        </is>
      </c>
      <c r="J161" s="39" t="inlineStr">
        <is>
          <t>RIFLE_CRIT</t>
        </is>
      </c>
      <c r="K161" s="39" t="inlineStr">
        <is>
          <t>Serration | Galvanized Chamber | Point Strike | Vital Sense | Hammer Shot | Galvanized Aptitude | Primed Cryo Rounds | Malignant Force</t>
        </is>
      </c>
      <c r="L161" s="39" t="inlineStr">
        <is>
          <t>Primary Deadhead</t>
        </is>
      </c>
      <c r="M161" s="39" t="inlineStr">
        <is>
          <t>Viral (Primed Cryo Rounds -&gt; Malignant Force)</t>
        </is>
      </c>
      <c r="N161" s="39" t="inlineStr">
        <is>
          <t>-</t>
        </is>
      </c>
      <c r="O161" s="39" t="inlineStr">
        <is>
          <t>~3</t>
        </is>
      </c>
    </row>
    <row r="162">
      <c r="A162" s="39" t="inlineStr">
        <is>
          <t>PENDING</t>
        </is>
      </c>
      <c r="B162" s="39" t="inlineStr"/>
      <c r="C162" s="39" t="inlineStr">
        <is>
          <t>Valkyr Prime</t>
        </is>
      </c>
      <c r="D162" s="39" t="inlineStr">
        <is>
          <t>Secondary</t>
        </is>
      </c>
      <c r="E162" s="39" t="inlineStr">
        <is>
          <t>Twin Vipers Wraith</t>
        </is>
      </c>
      <c r="F162" s="39" t="inlineStr">
        <is>
          <t>Dual Pistols</t>
        </is>
      </c>
      <c r="G162" s="39" t="n">
        <v>0.19</v>
      </c>
      <c r="H162" s="39" t="n">
        <v>0.09</v>
      </c>
      <c r="I162" s="39" t="inlineStr">
        <is>
          <t>crit</t>
        </is>
      </c>
      <c r="J162" s="39" t="inlineStr">
        <is>
          <t>PISTOL_CRIT</t>
        </is>
      </c>
      <c r="K162" s="39" t="inlineStr">
        <is>
          <t>Hornet Strike | Galvanized Diffusion | Primed Pistol Gambit | Primed Target Cracker | Galvanized Crosshairs | Galvanized Shot | Deep Freeze | Pathogen Rounds</t>
        </is>
      </c>
      <c r="L162" s="39" t="inlineStr">
        <is>
          <t>Secondary Outburst</t>
        </is>
      </c>
      <c r="M162" s="39" t="inlineStr">
        <is>
          <t>Viral (Deep Freeze -&gt; Pathogen Rounds)</t>
        </is>
      </c>
      <c r="N162" s="39" t="inlineStr">
        <is>
          <t>-</t>
        </is>
      </c>
      <c r="O162" s="39" t="inlineStr">
        <is>
          <t>~3</t>
        </is>
      </c>
    </row>
    <row r="163">
      <c r="A163" s="39" t="inlineStr">
        <is>
          <t>PENDING</t>
        </is>
      </c>
      <c r="B163" s="39" t="inlineStr"/>
      <c r="C163" s="39" t="inlineStr">
        <is>
          <t>Vauban Prime</t>
        </is>
      </c>
      <c r="D163" s="39" t="inlineStr">
        <is>
          <t>Primary</t>
        </is>
      </c>
      <c r="E163" s="39" t="inlineStr">
        <is>
          <t>Ferrox</t>
        </is>
      </c>
      <c r="F163" s="39" t="inlineStr">
        <is>
          <t>Speargun</t>
        </is>
      </c>
      <c r="G163" s="39" t="n">
        <v>0.32</v>
      </c>
      <c r="H163" s="39" t="n">
        <v>0.1</v>
      </c>
      <c r="I163" s="39" t="inlineStr">
        <is>
          <t>crit</t>
        </is>
      </c>
      <c r="J163" s="39" t="inlineStr">
        <is>
          <t>RIFLE_CRIT</t>
        </is>
      </c>
      <c r="K163" s="39" t="inlineStr">
        <is>
          <t>Serration | Galvanized Chamber | Point Strike | Vital Sense | Hammer Shot | Galvanized Aptitude | Primed Cryo Rounds | Malignant Force</t>
        </is>
      </c>
      <c r="L163" s="39" t="inlineStr">
        <is>
          <t>Primary Merciless</t>
        </is>
      </c>
      <c r="M163" s="39" t="inlineStr">
        <is>
          <t>Viral (Primed Cryo Rounds -&gt; Malignant Force)</t>
        </is>
      </c>
      <c r="N163" s="39" t="inlineStr">
        <is>
          <t>-</t>
        </is>
      </c>
      <c r="O163" s="39" t="inlineStr">
        <is>
          <t>~3</t>
        </is>
      </c>
    </row>
    <row r="164">
      <c r="A164" s="39" t="inlineStr">
        <is>
          <t>PENDING</t>
        </is>
      </c>
      <c r="B164" s="39" t="inlineStr"/>
      <c r="C164" s="39" t="inlineStr">
        <is>
          <t>Vauban Prime</t>
        </is>
      </c>
      <c r="D164" s="39" t="inlineStr">
        <is>
          <t>Secondary</t>
        </is>
      </c>
      <c r="E164" s="39" t="inlineStr">
        <is>
          <t>Kulstar</t>
        </is>
      </c>
      <c r="F164" s="39" t="inlineStr">
        <is>
          <t>Pistol</t>
        </is>
      </c>
      <c r="G164" s="39" t="n">
        <v>0.17</v>
      </c>
      <c r="H164" s="39" t="n">
        <v>0.19</v>
      </c>
      <c r="I164" s="39" t="inlineStr">
        <is>
          <t>status</t>
        </is>
      </c>
      <c r="J164" s="39" t="inlineStr">
        <is>
          <t>PISTOL_CRIT</t>
        </is>
      </c>
      <c r="K164" s="39" t="inlineStr">
        <is>
          <t>Hornet Strike | Galvanized Diffusion | Primed Pistol Gambit | Primed Target Cracker | Galvanized Crosshairs | Galvanized Shot | Deep Freeze | Pathogen Rounds</t>
        </is>
      </c>
      <c r="L164" s="39" t="inlineStr">
        <is>
          <t>Secondary Encumber</t>
        </is>
      </c>
      <c r="M164" s="39" t="inlineStr">
        <is>
          <t>Viral (Deep Freeze -&gt; Pathogen Rounds)</t>
        </is>
      </c>
      <c r="N164" s="39" t="inlineStr">
        <is>
          <t>-</t>
        </is>
      </c>
      <c r="O164" s="39" t="inlineStr">
        <is>
          <t>~3</t>
        </is>
      </c>
    </row>
    <row r="165">
      <c r="A165" s="39" t="inlineStr">
        <is>
          <t>PENDING</t>
        </is>
      </c>
      <c r="B165" s="39" t="inlineStr"/>
      <c r="C165" s="39" t="inlineStr">
        <is>
          <t>Vauban Prime</t>
        </is>
      </c>
      <c r="D165" s="39" t="inlineStr">
        <is>
          <t>Melee</t>
        </is>
      </c>
      <c r="E165" s="39" t="inlineStr">
        <is>
          <t>Fragor Prime</t>
        </is>
      </c>
      <c r="F165" s="39" t="inlineStr">
        <is>
          <t>Hammer</t>
        </is>
      </c>
      <c r="G165" s="39" t="n">
        <v>0.4</v>
      </c>
      <c r="H165" s="39" t="n">
        <v>0.18</v>
      </c>
      <c r="I165" s="39" t="inlineStr">
        <is>
          <t>crit</t>
        </is>
      </c>
      <c r="J165" s="39" t="inlineStr">
        <is>
          <t>MELEE_CRIT</t>
        </is>
      </c>
      <c r="K165" s="39" t="inlineStr">
        <is>
          <t>Primed Pressure Point | Blood Rush | Weeping Wounds | Organ Shatter | Berserker Fury | Condition Overload | North Wind | Virulent Scourge</t>
        </is>
      </c>
      <c r="L165" s="39" t="inlineStr">
        <is>
          <t>Melee Animosity</t>
        </is>
      </c>
      <c r="M165" s="39" t="inlineStr">
        <is>
          <t>Viral (North Wind -&gt; Virulent Scourge)</t>
        </is>
      </c>
      <c r="N165" s="39" t="inlineStr">
        <is>
          <t>-</t>
        </is>
      </c>
      <c r="O165" s="39" t="inlineStr">
        <is>
          <t>~3</t>
        </is>
      </c>
    </row>
    <row r="166">
      <c r="A166" s="39" t="inlineStr">
        <is>
          <t>PENDING</t>
        </is>
      </c>
      <c r="B166" s="39" t="inlineStr"/>
      <c r="C166" s="39" t="inlineStr">
        <is>
          <t>Volt Prime</t>
        </is>
      </c>
      <c r="D166" s="39" t="inlineStr">
        <is>
          <t>Primary</t>
        </is>
      </c>
      <c r="E166" s="39" t="inlineStr">
        <is>
          <t>Rubico Prime</t>
        </is>
      </c>
      <c r="F166" s="39" t="inlineStr">
        <is>
          <t>Sniper Rifle</t>
        </is>
      </c>
      <c r="G166" s="39" t="n">
        <v>0.38</v>
      </c>
      <c r="H166" s="39" t="n">
        <v>0.16</v>
      </c>
      <c r="I166" s="39" t="inlineStr">
        <is>
          <t>crit</t>
        </is>
      </c>
      <c r="J166" s="39" t="inlineStr">
        <is>
          <t>RIFLE_CRIT</t>
        </is>
      </c>
      <c r="K166" s="39" t="inlineStr">
        <is>
          <t>Serration | Galvanized Chamber | Point Strike | Vital Sense | Hammer Shot | Galvanized Aptitude | Primed Cryo Rounds | Malignant Force</t>
        </is>
      </c>
      <c r="L166" s="39" t="inlineStr">
        <is>
          <t>Primary Deadhead</t>
        </is>
      </c>
      <c r="M166" s="39" t="inlineStr">
        <is>
          <t>Viral (Primed Cryo Rounds -&gt; Malignant Force)</t>
        </is>
      </c>
      <c r="N166" s="39" t="inlineStr">
        <is>
          <t>-</t>
        </is>
      </c>
      <c r="O166" s="39" t="inlineStr">
        <is>
          <t>~3</t>
        </is>
      </c>
    </row>
    <row r="167">
      <c r="A167" s="39" t="inlineStr">
        <is>
          <t>PENDING</t>
        </is>
      </c>
      <c r="B167" s="39" t="inlineStr"/>
      <c r="C167" s="39" t="inlineStr">
        <is>
          <t>Volt Prime</t>
        </is>
      </c>
      <c r="D167" s="39" t="inlineStr">
        <is>
          <t>Secondary</t>
        </is>
      </c>
      <c r="E167" s="39" t="inlineStr">
        <is>
          <t>Tenet Spirex</t>
        </is>
      </c>
      <c r="F167" s="39" t="inlineStr">
        <is>
          <t>Pistol</t>
        </is>
      </c>
      <c r="G167" s="39" t="n">
        <v>0.26</v>
      </c>
      <c r="H167" s="39" t="n">
        <v>0.4</v>
      </c>
      <c r="I167" s="39" t="inlineStr">
        <is>
          <t>crit</t>
        </is>
      </c>
      <c r="J167" s="39" t="inlineStr">
        <is>
          <t>PISTOL_CRIT</t>
        </is>
      </c>
      <c r="K167" s="39" t="inlineStr">
        <is>
          <t>Hornet Strike | Galvanized Diffusion | Primed Pistol Gambit | Primed Target Cracker | Galvanized Crosshairs | Galvanized Shot | Deep Freeze | Pathogen Rounds</t>
        </is>
      </c>
      <c r="L167" s="39" t="inlineStr">
        <is>
          <t>Secondary Merciless</t>
        </is>
      </c>
      <c r="M167" s="39" t="inlineStr">
        <is>
          <t>Adversary innate element (see Adversary sheet) + Viral (Deep Freeze -&gt; Pathogen Rounds)</t>
        </is>
      </c>
      <c r="N167" s="39" t="inlineStr">
        <is>
          <t>-</t>
        </is>
      </c>
      <c r="O167" s="39" t="inlineStr">
        <is>
          <t>5 Forma to Rank 40 + ~3 polarization</t>
        </is>
      </c>
    </row>
    <row r="168">
      <c r="A168" s="39" t="inlineStr">
        <is>
          <t>PENDING</t>
        </is>
      </c>
      <c r="B168" s="39" t="inlineStr"/>
      <c r="C168" s="39" t="inlineStr">
        <is>
          <t>Volt Prime</t>
        </is>
      </c>
      <c r="D168" s="39" t="inlineStr">
        <is>
          <t>Melee</t>
        </is>
      </c>
      <c r="E168" s="39" t="inlineStr">
        <is>
          <t>Ohma</t>
        </is>
      </c>
      <c r="F168" s="39" t="inlineStr">
        <is>
          <t>Tonfa</t>
        </is>
      </c>
      <c r="G168" s="39" t="n">
        <v>0.15</v>
      </c>
      <c r="H168" s="39" t="n">
        <v>0.3</v>
      </c>
      <c r="I168" s="39" t="inlineStr">
        <is>
          <t>status</t>
        </is>
      </c>
      <c r="J168" s="39" t="inlineStr">
        <is>
          <t>MELEE_INFLUENCE</t>
        </is>
      </c>
      <c r="K168" s="39" t="inlineStr">
        <is>
          <t>Primed Pressure Point | Blood Rush | Weeping Wounds | Organ Shatter | Condition Overload | North Wind | Virulent Scourge | Voltaic Strike</t>
        </is>
      </c>
      <c r="L168" s="39" t="inlineStr">
        <is>
          <t>Melee Influence</t>
        </is>
      </c>
      <c r="M168" s="39" t="inlineStr">
        <is>
          <t>Viral + Electricity (North Wind -&gt; Virulent Scourge, Voltaic Strike unpaired: required to trigger Melee Influence)</t>
        </is>
      </c>
      <c r="N168" s="39" t="inlineStr">
        <is>
          <t>-</t>
        </is>
      </c>
      <c r="O168" s="39" t="inlineStr">
        <is>
          <t>~3</t>
        </is>
      </c>
    </row>
    <row r="169">
      <c r="A169" s="39" t="inlineStr">
        <is>
          <t>PENDING</t>
        </is>
      </c>
      <c r="B169" s="39" t="inlineStr"/>
      <c r="C169" s="39" t="inlineStr">
        <is>
          <t>Voruna Prime</t>
        </is>
      </c>
      <c r="D169" s="39" t="inlineStr">
        <is>
          <t>Primary</t>
        </is>
      </c>
      <c r="E169" s="39" t="inlineStr">
        <is>
          <t>Perigale Prime</t>
        </is>
      </c>
      <c r="F169" s="39" t="inlineStr">
        <is>
          <t>Sniper Rifle</t>
        </is>
      </c>
      <c r="G169" s="39" t="n">
        <v>0.32</v>
      </c>
      <c r="H169" s="39" t="n">
        <v>0.2</v>
      </c>
      <c r="I169" s="39" t="inlineStr">
        <is>
          <t>crit</t>
        </is>
      </c>
      <c r="J169" s="39" t="inlineStr">
        <is>
          <t>RIFLE_CRIT</t>
        </is>
      </c>
      <c r="K169" s="39" t="inlineStr">
        <is>
          <t>Serration | Galvanized Chamber | Point Strike | Vital Sense | Hammer Shot | Galvanized Aptitude | Primed Cryo Rounds | Malignant Force</t>
        </is>
      </c>
      <c r="L169" s="39" t="inlineStr">
        <is>
          <t>Primary Deadhead</t>
        </is>
      </c>
      <c r="M169" s="39" t="inlineStr">
        <is>
          <t>Viral (Primed Cryo Rounds -&gt; Malignant Force)</t>
        </is>
      </c>
      <c r="N169" s="39" t="inlineStr">
        <is>
          <t>-</t>
        </is>
      </c>
      <c r="O169" s="39" t="inlineStr">
        <is>
          <t>~3</t>
        </is>
      </c>
    </row>
    <row r="170">
      <c r="A170" s="39" t="inlineStr">
        <is>
          <t>PENDING</t>
        </is>
      </c>
      <c r="B170" s="39" t="inlineStr"/>
      <c r="C170" s="39" t="inlineStr">
        <is>
          <t>Voruna Prime</t>
        </is>
      </c>
      <c r="D170" s="39" t="inlineStr">
        <is>
          <t>Secondary</t>
        </is>
      </c>
      <c r="E170" s="39" t="inlineStr">
        <is>
          <t>Grimoire</t>
        </is>
      </c>
      <c r="F170" s="39" t="inlineStr">
        <is>
          <t>Tome</t>
        </is>
      </c>
      <c r="G170" s="39" t="n">
        <v>0.2</v>
      </c>
      <c r="H170" s="39" t="n">
        <v>0.26</v>
      </c>
      <c r="I170" s="39" t="inlineStr">
        <is>
          <t>status</t>
        </is>
      </c>
      <c r="J170" s="39" t="inlineStr">
        <is>
          <t>PISTOL_CRIT</t>
        </is>
      </c>
      <c r="K170" s="39" t="inlineStr">
        <is>
          <t>Hornet Strike | Galvanized Diffusion | Primed Pistol Gambit | Primed Target Cracker | Galvanized Crosshairs | Galvanized Shot | Deep Freeze | Pathogen Rounds</t>
        </is>
      </c>
      <c r="L170" s="39" t="inlineStr">
        <is>
          <t>Secondary Outburst</t>
        </is>
      </c>
      <c r="M170" s="39" t="inlineStr">
        <is>
          <t>Viral (Deep Freeze -&gt; Pathogen Rounds)</t>
        </is>
      </c>
      <c r="N170" s="39" t="inlineStr">
        <is>
          <t>-</t>
        </is>
      </c>
      <c r="O170" s="39" t="inlineStr">
        <is>
          <t>~3</t>
        </is>
      </c>
    </row>
    <row r="171">
      <c r="A171" s="39" t="inlineStr">
        <is>
          <t>PENDING</t>
        </is>
      </c>
      <c r="B171" s="39" t="inlineStr"/>
      <c r="C171" s="39" t="inlineStr">
        <is>
          <t>Voruna Prime</t>
        </is>
      </c>
      <c r="D171" s="39" t="inlineStr">
        <is>
          <t>Melee</t>
        </is>
      </c>
      <c r="E171" s="39" t="inlineStr">
        <is>
          <t>Sarofang Prime</t>
        </is>
      </c>
      <c r="F171" s="39" t="inlineStr">
        <is>
          <t>Heavy Blade</t>
        </is>
      </c>
      <c r="G171" s="39" t="n">
        <v>0.3</v>
      </c>
      <c r="H171" s="39" t="n">
        <v>0.3</v>
      </c>
      <c r="I171" s="39" t="inlineStr">
        <is>
          <t>crit</t>
        </is>
      </c>
      <c r="J171" s="39" t="inlineStr">
        <is>
          <t>MELEE_CRIT</t>
        </is>
      </c>
      <c r="K171" s="39" t="inlineStr">
        <is>
          <t>Primed Pressure Point | Blood Rush | Weeping Wounds | Organ Shatter | Berserker Fury | Condition Overload | North Wind | Virulent Scourge</t>
        </is>
      </c>
      <c r="L171" s="39" t="inlineStr">
        <is>
          <t>Melee Animosity</t>
        </is>
      </c>
      <c r="M171" s="39" t="inlineStr">
        <is>
          <t>Viral (North Wind -&gt; Virulent Scourge)</t>
        </is>
      </c>
      <c r="N171" s="39" t="inlineStr">
        <is>
          <t>-</t>
        </is>
      </c>
      <c r="O171" s="39" t="inlineStr">
        <is>
          <t>~3</t>
        </is>
      </c>
    </row>
    <row r="172">
      <c r="A172" s="39" t="inlineStr">
        <is>
          <t>PENDING</t>
        </is>
      </c>
      <c r="B172" s="39" t="inlineStr"/>
      <c r="C172" s="39" t="inlineStr">
        <is>
          <t>Wisp Prime</t>
        </is>
      </c>
      <c r="D172" s="39" t="inlineStr">
        <is>
          <t>Primary</t>
        </is>
      </c>
      <c r="E172" s="39" t="inlineStr">
        <is>
          <t>Fulmin Prime</t>
        </is>
      </c>
      <c r="F172" s="39" t="inlineStr">
        <is>
          <t>Rifle</t>
        </is>
      </c>
      <c r="G172" s="39" t="n">
        <v>0.34</v>
      </c>
      <c r="H172" s="39" t="n">
        <v>0.1</v>
      </c>
      <c r="I172" s="39" t="inlineStr">
        <is>
          <t>crit</t>
        </is>
      </c>
      <c r="J172" s="39" t="inlineStr">
        <is>
          <t>RIFLE_CRIT</t>
        </is>
      </c>
      <c r="K172" s="39" t="inlineStr">
        <is>
          <t>Serration | Galvanized Chamber | Point Strike | Vital Sense | Hammer Shot | Galvanized Aptitude | Primed Cryo Rounds | Malignant Force</t>
        </is>
      </c>
      <c r="L172" s="39" t="inlineStr">
        <is>
          <t>Primary Merciless</t>
        </is>
      </c>
      <c r="M172" s="39" t="inlineStr">
        <is>
          <t>Viral (Primed Cryo Rounds -&gt; Malignant Force)</t>
        </is>
      </c>
      <c r="N172" s="39" t="inlineStr">
        <is>
          <t>-</t>
        </is>
      </c>
      <c r="O172" s="39" t="inlineStr">
        <is>
          <t>~3</t>
        </is>
      </c>
    </row>
    <row r="173">
      <c r="A173" s="39" t="inlineStr">
        <is>
          <t>PENDING</t>
        </is>
      </c>
      <c r="B173" s="39" t="inlineStr"/>
      <c r="C173" s="39" t="inlineStr">
        <is>
          <t>Wisp Prime</t>
        </is>
      </c>
      <c r="D173" s="39" t="inlineStr">
        <is>
          <t>Secondary</t>
        </is>
      </c>
      <c r="E173" s="39" t="inlineStr">
        <is>
          <t>Furis</t>
        </is>
      </c>
      <c r="F173" s="39" t="inlineStr">
        <is>
          <t>Pistol</t>
        </is>
      </c>
      <c r="G173" s="39" t="n">
        <v>0.05</v>
      </c>
      <c r="H173" s="39" t="n">
        <v>0.12</v>
      </c>
      <c r="I173" s="39" t="inlineStr">
        <is>
          <t>status</t>
        </is>
      </c>
      <c r="J173" s="39" t="inlineStr">
        <is>
          <t>PISTOL_CRIT</t>
        </is>
      </c>
      <c r="K173" s="39" t="inlineStr">
        <is>
          <t>Hornet Strike | Galvanized Diffusion | Primed Pistol Gambit | Primed Target Cracker | Galvanized Crosshairs | Galvanized Shot | Deep Freeze | Pathogen Rounds</t>
        </is>
      </c>
      <c r="L173" s="39" t="inlineStr">
        <is>
          <t>Secondary Encumber</t>
        </is>
      </c>
      <c r="M173" s="39" t="inlineStr">
        <is>
          <t>Viral (Deep Freeze -&gt; Pathogen Rounds)</t>
        </is>
      </c>
      <c r="N173" s="39" t="inlineStr">
        <is>
          <t>EVO2: Stormburst; EVO3: Practiced Grip; EVO4: Prelude of Might</t>
        </is>
      </c>
      <c r="O173" s="39" t="inlineStr">
        <is>
          <t>~4 (Incarnon)</t>
        </is>
      </c>
    </row>
    <row r="174">
      <c r="A174" s="39" t="inlineStr">
        <is>
          <t>PENDING</t>
        </is>
      </c>
      <c r="B174" s="39" t="inlineStr"/>
      <c r="C174" s="39" t="inlineStr">
        <is>
          <t>Wisp Prime</t>
        </is>
      </c>
      <c r="D174" s="39" t="inlineStr">
        <is>
          <t>Melee</t>
        </is>
      </c>
      <c r="E174" s="39" t="inlineStr">
        <is>
          <t>Tipedo Prime</t>
        </is>
      </c>
      <c r="F174" s="39" t="inlineStr">
        <is>
          <t>Staff</t>
        </is>
      </c>
      <c r="G174" s="39" t="n">
        <v>0.24</v>
      </c>
      <c r="H174" s="39" t="n">
        <v>0.24</v>
      </c>
      <c r="I174" s="39" t="inlineStr">
        <is>
          <t>crit</t>
        </is>
      </c>
      <c r="J174" s="39" t="inlineStr">
        <is>
          <t>MELEE_CRIT</t>
        </is>
      </c>
      <c r="K174" s="39" t="inlineStr">
        <is>
          <t>Primed Pressure Point | Blood Rush | Weeping Wounds | Organ Shatter | Berserker Fury | Condition Overload | North Wind | Virulent Scourge</t>
        </is>
      </c>
      <c r="L174" s="39" t="inlineStr">
        <is>
          <t>Melee Duplicate</t>
        </is>
      </c>
      <c r="M174" s="39" t="inlineStr">
        <is>
          <t>Viral (North Wind -&gt; Virulent Scourge)</t>
        </is>
      </c>
      <c r="N174" s="39" t="inlineStr">
        <is>
          <t>-</t>
        </is>
      </c>
      <c r="O174" s="39" t="inlineStr">
        <is>
          <t>~3</t>
        </is>
      </c>
    </row>
    <row r="175">
      <c r="A175" s="39" t="inlineStr">
        <is>
          <t>PENDING</t>
        </is>
      </c>
      <c r="B175" s="39" t="inlineStr"/>
      <c r="C175" s="39" t="inlineStr">
        <is>
          <t>Wukong Prime</t>
        </is>
      </c>
      <c r="D175" s="39" t="inlineStr">
        <is>
          <t>Primary</t>
        </is>
      </c>
      <c r="E175" s="39" t="inlineStr">
        <is>
          <t>Zhuge Prime</t>
        </is>
      </c>
      <c r="F175" s="39" t="inlineStr">
        <is>
          <t>Crossbow</t>
        </is>
      </c>
      <c r="G175" s="39" t="n">
        <v>0.26</v>
      </c>
      <c r="H175" s="39" t="n">
        <v>0.3</v>
      </c>
      <c r="I175" s="39" t="inlineStr">
        <is>
          <t>crit</t>
        </is>
      </c>
      <c r="J175" s="39" t="inlineStr">
        <is>
          <t>RIFLE_CRIT</t>
        </is>
      </c>
      <c r="K175" s="39" t="inlineStr">
        <is>
          <t>Serration | Galvanized Chamber | Point Strike | Vital Sense | Hammer Shot | Galvanized Aptitude | Primed Cryo Rounds | Malignant Force</t>
        </is>
      </c>
      <c r="L175" s="39" t="inlineStr">
        <is>
          <t>Primary Deadhead</t>
        </is>
      </c>
      <c r="M175" s="39" t="inlineStr">
        <is>
          <t>Viral (Primed Cryo Rounds -&gt; Malignant Force)</t>
        </is>
      </c>
      <c r="N175" s="39" t="inlineStr">
        <is>
          <t>-</t>
        </is>
      </c>
      <c r="O175" s="39" t="inlineStr">
        <is>
          <t>~3</t>
        </is>
      </c>
    </row>
    <row r="176">
      <c r="A176" s="39" t="inlineStr">
        <is>
          <t>PENDING</t>
        </is>
      </c>
      <c r="B176" s="39" t="inlineStr"/>
      <c r="C176" s="39" t="inlineStr">
        <is>
          <t>Wukong Prime</t>
        </is>
      </c>
      <c r="D176" s="39" t="inlineStr">
        <is>
          <t>Secondary</t>
        </is>
      </c>
      <c r="E176" s="39" t="inlineStr">
        <is>
          <t>Ballistica Prime</t>
        </is>
      </c>
      <c r="F176" s="39" t="inlineStr">
        <is>
          <t>Crossbow</t>
        </is>
      </c>
      <c r="G176" s="39" t="n">
        <v>0.2</v>
      </c>
      <c r="H176" s="39" t="n">
        <v>0.15</v>
      </c>
      <c r="I176" s="39" t="inlineStr">
        <is>
          <t>crit</t>
        </is>
      </c>
      <c r="J176" s="39" t="inlineStr">
        <is>
          <t>PISTOL_CRIT</t>
        </is>
      </c>
      <c r="K176" s="39" t="inlineStr">
        <is>
          <t>Hornet Strike | Galvanized Diffusion | Primed Pistol Gambit | Primed Target Cracker | Galvanized Crosshairs | Galvanized Shot | Deep Freeze | Pathogen Rounds</t>
        </is>
      </c>
      <c r="L176" s="39" t="inlineStr">
        <is>
          <t>Secondary Outburst</t>
        </is>
      </c>
      <c r="M176" s="39" t="inlineStr">
        <is>
          <t>Viral (Deep Freeze -&gt; Pathogen Rounds)</t>
        </is>
      </c>
      <c r="N176" s="39" t="inlineStr">
        <is>
          <t>EVO2: Prolific Perforation; EVO3: Rapid Reinforcement; EVO4: Critical Parallel</t>
        </is>
      </c>
      <c r="O176" s="39" t="inlineStr">
        <is>
          <t>~4 (Incarnon)</t>
        </is>
      </c>
    </row>
    <row r="177">
      <c r="A177" s="39" t="inlineStr">
        <is>
          <t>PENDING</t>
        </is>
      </c>
      <c r="B177" s="39" t="inlineStr"/>
      <c r="C177" s="39" t="inlineStr">
        <is>
          <t>Xaku Prime</t>
        </is>
      </c>
      <c r="D177" s="39" t="inlineStr">
        <is>
          <t>Primary</t>
        </is>
      </c>
      <c r="E177" s="39" t="inlineStr">
        <is>
          <t>Trumna Prime</t>
        </is>
      </c>
      <c r="F177" s="39" t="inlineStr">
        <is>
          <t>Rifle</t>
        </is>
      </c>
      <c r="G177" s="39" t="n">
        <v>0.24</v>
      </c>
      <c r="H177" s="39" t="n">
        <v>0.34</v>
      </c>
      <c r="I177" s="39" t="inlineStr">
        <is>
          <t>crit</t>
        </is>
      </c>
      <c r="J177" s="39" t="inlineStr">
        <is>
          <t>RIFLE_CRIT</t>
        </is>
      </c>
      <c r="K177" s="39" t="inlineStr">
        <is>
          <t>Serration | Galvanized Chamber | Point Strike | Vital Sense | Hammer Shot | Galvanized Aptitude | Primed Cryo Rounds | Malignant Force</t>
        </is>
      </c>
      <c r="L177" s="39" t="inlineStr">
        <is>
          <t>Primary Merciless</t>
        </is>
      </c>
      <c r="M177" s="39" t="inlineStr">
        <is>
          <t>Viral (Primed Cryo Rounds -&gt; Malignant Force)</t>
        </is>
      </c>
      <c r="N177" s="39" t="inlineStr">
        <is>
          <t>-</t>
        </is>
      </c>
      <c r="O177" s="39" t="inlineStr">
        <is>
          <t>~3</t>
        </is>
      </c>
    </row>
    <row r="178">
      <c r="A178" s="39" t="inlineStr">
        <is>
          <t>PENDING</t>
        </is>
      </c>
      <c r="B178" s="39" t="inlineStr"/>
      <c r="C178" s="39" t="inlineStr">
        <is>
          <t>Xaku Prime</t>
        </is>
      </c>
      <c r="D178" s="39" t="inlineStr">
        <is>
          <t>Secondary</t>
        </is>
      </c>
      <c r="E178" s="39" t="inlineStr">
        <is>
          <t>Laetum</t>
        </is>
      </c>
      <c r="F178" s="39" t="inlineStr">
        <is>
          <t>Pistol</t>
        </is>
      </c>
      <c r="G178" s="39" t="n">
        <v>0.22</v>
      </c>
      <c r="H178" s="39" t="n">
        <v>0.22</v>
      </c>
      <c r="I178" s="39" t="inlineStr">
        <is>
          <t>crit</t>
        </is>
      </c>
      <c r="J178" s="39" t="inlineStr">
        <is>
          <t>PISTOL_CRIT</t>
        </is>
      </c>
      <c r="K178" s="39" t="inlineStr">
        <is>
          <t>Hornet Strike | Galvanized Diffusion | Primed Pistol Gambit | Primed Target Cracker | Galvanized Crosshairs | Galvanized Shot | Deep Freeze | Pathogen Rounds</t>
        </is>
      </c>
      <c r="L178" s="39" t="inlineStr">
        <is>
          <t>Secondary Merciless</t>
        </is>
      </c>
      <c r="M178" s="39" t="inlineStr">
        <is>
          <t>Viral (Deep Freeze -&gt; Pathogen Rounds)</t>
        </is>
      </c>
      <c r="N178" s="39" t="inlineStr">
        <is>
          <t>EVO2: Marksman's Hand; EVO3: Lethal Rearmament; EVO4: Elemental Excess; EVO5: Devouring Attrition</t>
        </is>
      </c>
      <c r="O178" s="39" t="inlineStr">
        <is>
          <t>~4 (Incarnon)</t>
        </is>
      </c>
    </row>
    <row r="179">
      <c r="A179" s="39" t="inlineStr">
        <is>
          <t>PENDING</t>
        </is>
      </c>
      <c r="B179" s="39" t="inlineStr"/>
      <c r="C179" s="39" t="inlineStr">
        <is>
          <t>Xaku Prime</t>
        </is>
      </c>
      <c r="D179" s="39" t="inlineStr">
        <is>
          <t>Melee</t>
        </is>
      </c>
      <c r="E179" s="39" t="inlineStr">
        <is>
          <t>Quassus Prime</t>
        </is>
      </c>
      <c r="F179" s="39" t="inlineStr">
        <is>
          <t>Warfan</t>
        </is>
      </c>
      <c r="G179" s="39" t="n">
        <v>0.35</v>
      </c>
      <c r="H179" s="39" t="n">
        <v>0.18</v>
      </c>
      <c r="I179" s="39" t="inlineStr">
        <is>
          <t>crit</t>
        </is>
      </c>
      <c r="J179" s="39" t="inlineStr">
        <is>
          <t>MELEE_CRIT</t>
        </is>
      </c>
      <c r="K179" s="39" t="inlineStr">
        <is>
          <t>Primed Pressure Point | Blood Rush | Weeping Wounds | Organ Shatter | Berserker Fury | Condition Overload | North Wind | Virulent Scourge</t>
        </is>
      </c>
      <c r="L179" s="39" t="inlineStr">
        <is>
          <t>Melee Duplicate</t>
        </is>
      </c>
      <c r="M179" s="39" t="inlineStr">
        <is>
          <t>Viral (North Wind -&gt; Virulent Scourge)</t>
        </is>
      </c>
      <c r="N179" s="39" t="inlineStr">
        <is>
          <t>-</t>
        </is>
      </c>
      <c r="O179" s="39" t="inlineStr">
        <is>
          <t>~3</t>
        </is>
      </c>
    </row>
    <row r="180">
      <c r="A180" s="39" t="inlineStr">
        <is>
          <t>PENDING</t>
        </is>
      </c>
      <c r="B180" s="39" t="inlineStr"/>
      <c r="C180" s="39" t="inlineStr">
        <is>
          <t>Yareli Prime</t>
        </is>
      </c>
      <c r="D180" s="39" t="inlineStr">
        <is>
          <t>Primary</t>
        </is>
      </c>
      <c r="E180" s="39" t="inlineStr">
        <is>
          <t>Komorex</t>
        </is>
      </c>
      <c r="F180" s="39" t="inlineStr">
        <is>
          <t>Sniper Rifle</t>
        </is>
      </c>
      <c r="G180" s="39" t="n">
        <v>0.16</v>
      </c>
      <c r="H180" s="39" t="n">
        <v>0.35</v>
      </c>
      <c r="I180" s="39" t="inlineStr">
        <is>
          <t>status</t>
        </is>
      </c>
      <c r="J180" s="39" t="inlineStr">
        <is>
          <t>RIFLE_CRIT</t>
        </is>
      </c>
      <c r="K180" s="39" t="inlineStr">
        <is>
          <t>Serration | Galvanized Chamber | Point Strike | Vital Sense | Hammer Shot | Galvanized Aptitude | Primed Cryo Rounds | Malignant Force</t>
        </is>
      </c>
      <c r="L180" s="39" t="inlineStr">
        <is>
          <t>Primary Deadhead</t>
        </is>
      </c>
      <c r="M180" s="39" t="inlineStr">
        <is>
          <t>Viral (Primed Cryo Rounds -&gt; Malignant Force)</t>
        </is>
      </c>
      <c r="N180" s="39" t="inlineStr">
        <is>
          <t>-</t>
        </is>
      </c>
      <c r="O180" s="39" t="inlineStr">
        <is>
          <t>~3</t>
        </is>
      </c>
    </row>
    <row r="181">
      <c r="A181" s="39" t="inlineStr">
        <is>
          <t>PENDING</t>
        </is>
      </c>
      <c r="B181" s="39" t="inlineStr"/>
      <c r="C181" s="39" t="inlineStr">
        <is>
          <t>Yareli Prime</t>
        </is>
      </c>
      <c r="D181" s="39" t="inlineStr">
        <is>
          <t>Secondary</t>
        </is>
      </c>
      <c r="E181" s="39" t="inlineStr">
        <is>
          <t>Kompressa Prime</t>
        </is>
      </c>
      <c r="F181" s="39" t="inlineStr">
        <is>
          <t>Pistol</t>
        </is>
      </c>
      <c r="G181" s="39" t="n">
        <v>0.16</v>
      </c>
      <c r="H181" s="39" t="n">
        <v>0.36</v>
      </c>
      <c r="I181" s="39" t="inlineStr">
        <is>
          <t>status</t>
        </is>
      </c>
      <c r="J181" s="39" t="inlineStr">
        <is>
          <t>PISTOL_CRIT</t>
        </is>
      </c>
      <c r="K181" s="39" t="inlineStr">
        <is>
          <t>Hornet Strike | Galvanized Diffusion | Primed Pistol Gambit | Primed Target Cracker | Galvanized Crosshairs | Galvanized Shot | Deep Freeze | Pathogen Rounds</t>
        </is>
      </c>
      <c r="L181" s="39" t="inlineStr">
        <is>
          <t>Secondary Encumber</t>
        </is>
      </c>
      <c r="M181" s="39" t="inlineStr">
        <is>
          <t>Viral (Deep Freeze -&gt; Pathogen Rounds)</t>
        </is>
      </c>
      <c r="N181" s="39" t="inlineStr">
        <is>
          <t>-</t>
        </is>
      </c>
      <c r="O181" s="39" t="inlineStr">
        <is>
          <t>~3</t>
        </is>
      </c>
    </row>
    <row r="182">
      <c r="A182" s="39" t="inlineStr">
        <is>
          <t>PENDING</t>
        </is>
      </c>
      <c r="B182" s="39" t="inlineStr"/>
      <c r="C182" s="39" t="inlineStr">
        <is>
          <t>Yareli Prime</t>
        </is>
      </c>
      <c r="D182" s="39" t="inlineStr">
        <is>
          <t>Melee</t>
        </is>
      </c>
      <c r="E182" s="39" t="inlineStr">
        <is>
          <t>Ghoulsaw</t>
        </is>
      </c>
      <c r="F182" s="39" t="inlineStr">
        <is>
          <t>Assault Saw</t>
        </is>
      </c>
      <c r="G182" s="39" t="n">
        <v>0.15</v>
      </c>
      <c r="H182" s="39" t="n">
        <v>0.27</v>
      </c>
      <c r="I182" s="39" t="inlineStr">
        <is>
          <t>status</t>
        </is>
      </c>
      <c r="J182" s="39" t="inlineStr">
        <is>
          <t>MELEE_INFLUENCE</t>
        </is>
      </c>
      <c r="K182" s="39" t="inlineStr">
        <is>
          <t>Primed Pressure Point | Blood Rush | Weeping Wounds | Organ Shatter | Condition Overload | North Wind | Virulent Scourge | Voltaic Strike</t>
        </is>
      </c>
      <c r="L182" s="39" t="inlineStr">
        <is>
          <t>Melee Influence</t>
        </is>
      </c>
      <c r="M182" s="39" t="inlineStr">
        <is>
          <t>Viral + Electricity (North Wind -&gt; Virulent Scourge, Voltaic Strike unpaired: required to trigger Melee Influence)</t>
        </is>
      </c>
      <c r="N182" s="39" t="inlineStr">
        <is>
          <t>-</t>
        </is>
      </c>
      <c r="O182" s="39" t="inlineStr">
        <is>
          <t>~3</t>
        </is>
      </c>
    </row>
    <row r="183">
      <c r="A183" s="39" t="inlineStr">
        <is>
          <t>PENDING</t>
        </is>
      </c>
      <c r="B183" s="39" t="inlineStr"/>
      <c r="C183" s="39" t="inlineStr">
        <is>
          <t>Zephyr Prime</t>
        </is>
      </c>
      <c r="D183" s="39" t="inlineStr">
        <is>
          <t>Primary</t>
        </is>
      </c>
      <c r="E183" s="39" t="inlineStr">
        <is>
          <t>Nataruk</t>
        </is>
      </c>
      <c r="F183" s="39" t="inlineStr">
        <is>
          <t>Bow</t>
        </is>
      </c>
      <c r="G183" s="39" t="n">
        <v>0.2</v>
      </c>
      <c r="H183" s="39" t="n">
        <v>0.3</v>
      </c>
      <c r="I183" s="39" t="inlineStr">
        <is>
          <t>status</t>
        </is>
      </c>
      <c r="J183" s="39" t="inlineStr">
        <is>
          <t>RIFLE_CRIT</t>
        </is>
      </c>
      <c r="K183" s="39" t="inlineStr">
        <is>
          <t>Serration | Galvanized Chamber | Point Strike | Vital Sense | Hammer Shot | Galvanized Aptitude | Primed Cryo Rounds | Malignant Force</t>
        </is>
      </c>
      <c r="L183" s="39" t="inlineStr">
        <is>
          <t>Primary Deadhead</t>
        </is>
      </c>
      <c r="M183" s="39" t="inlineStr">
        <is>
          <t>Viral (Primed Cryo Rounds -&gt; Malignant Force)</t>
        </is>
      </c>
      <c r="N183" s="39" t="inlineStr">
        <is>
          <t>-</t>
        </is>
      </c>
      <c r="O183" s="39" t="inlineStr">
        <is>
          <t>~3</t>
        </is>
      </c>
    </row>
    <row r="184">
      <c r="A184" s="39" t="inlineStr">
        <is>
          <t>PENDING</t>
        </is>
      </c>
      <c r="B184" s="39" t="inlineStr"/>
      <c r="C184" s="39" t="inlineStr">
        <is>
          <t>Zephyr Prime</t>
        </is>
      </c>
      <c r="D184" s="39" t="inlineStr">
        <is>
          <t>Secondary</t>
        </is>
      </c>
      <c r="E184" s="39" t="inlineStr">
        <is>
          <t>Catchmoon</t>
        </is>
      </c>
      <c r="F184" s="39" t="inlineStr">
        <is>
          <t>Shotgun</t>
        </is>
      </c>
      <c r="G184" s="39" t="n">
        <v>0</v>
      </c>
      <c r="H184" s="39" t="n">
        <v>0</v>
      </c>
      <c r="I184" s="39" t="inlineStr">
        <is>
          <t>crit</t>
        </is>
      </c>
      <c r="J184" s="39" t="inlineStr">
        <is>
          <t>PISTOL_CRIT</t>
        </is>
      </c>
      <c r="K184" s="39" t="inlineStr">
        <is>
          <t>Hornet Strike | Galvanized Diffusion | Primed Pistol Gambit | Primed Target Cracker | Galvanized Crosshairs | Galvanized Shot | Deep Freeze | Pathogen Rounds</t>
        </is>
      </c>
      <c r="L184" s="39" t="inlineStr">
        <is>
          <t>Secondary Merciless</t>
        </is>
      </c>
      <c r="M184" s="39" t="inlineStr">
        <is>
          <t>Viral (Deep Freeze -&gt; Pathogen Rounds)</t>
        </is>
      </c>
      <c r="N184" s="39" t="inlineStr">
        <is>
          <t>-</t>
        </is>
      </c>
      <c r="O184" s="39" t="inlineStr">
        <is>
          <t>~3</t>
        </is>
      </c>
    </row>
    <row r="185">
      <c r="A185" s="39" t="inlineStr">
        <is>
          <t>PENDING</t>
        </is>
      </c>
      <c r="B185" s="39" t="inlineStr"/>
      <c r="C185" s="39" t="inlineStr">
        <is>
          <t>Zephyr Prime</t>
        </is>
      </c>
      <c r="D185" s="39" t="inlineStr">
        <is>
          <t>Melee</t>
        </is>
      </c>
      <c r="E185" s="39" t="inlineStr">
        <is>
          <t>Kronen Prime</t>
        </is>
      </c>
      <c r="F185" s="39" t="inlineStr">
        <is>
          <t>Tonfa</t>
        </is>
      </c>
      <c r="G185" s="39" t="n">
        <v>0.22</v>
      </c>
      <c r="H185" s="39" t="n">
        <v>0.34</v>
      </c>
      <c r="I185" s="39" t="inlineStr">
        <is>
          <t>status</t>
        </is>
      </c>
      <c r="J185" s="39" t="inlineStr">
        <is>
          <t>MELEE_INFLUENCE</t>
        </is>
      </c>
      <c r="K185" s="39" t="inlineStr">
        <is>
          <t>Primed Pressure Point | Blood Rush | Weeping Wounds | Organ Shatter | Condition Overload | North Wind | Virulent Scourge | Voltaic Strike</t>
        </is>
      </c>
      <c r="L185" s="39" t="inlineStr">
        <is>
          <t>Melee Influence</t>
        </is>
      </c>
      <c r="M185" s="39" t="inlineStr">
        <is>
          <t>Viral + Electricity (North Wind -&gt; Virulent Scourge, Voltaic Strike unpaired: required to trigger Melee Influence)</t>
        </is>
      </c>
      <c r="N185" s="39" t="inlineStr">
        <is>
          <t>-</t>
        </is>
      </c>
      <c r="O185" s="39" t="inlineStr">
        <is>
          <t>~3</t>
        </is>
      </c>
    </row>
  </sheetData>
  <autoFilter ref="A1:O1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Mod</t>
        </is>
      </c>
      <c r="B3" s="39" t="inlineStr">
        <is>
          <t>Swift Deth</t>
        </is>
      </c>
      <c r="C3" s="39" t="n"/>
      <c r="D3" s="39" t="n"/>
      <c r="E3" s="39" t="n"/>
      <c r="F3" s="39" t="inlineStr">
        <is>
          <t>MARKET DATA UNAVAILABLE</t>
        </is>
      </c>
      <c r="G3" s="39" t="n"/>
    </row>
    <row r="4">
      <c r="A4" s="39" t="inlineStr">
        <is>
          <t>Arcane</t>
        </is>
      </c>
      <c r="B4" s="39" t="inlineStr">
        <is>
          <t>Arcane Bellicose</t>
        </is>
      </c>
      <c r="C4" s="39" t="n">
        <v>25</v>
      </c>
      <c r="D4" s="39" t="n">
        <v>27</v>
      </c>
      <c r="E4" s="39" t="n">
        <v>31</v>
      </c>
      <c r="F4" s="39" t="inlineStr">
        <is>
          <t>OK</t>
        </is>
      </c>
      <c r="G4" s="39" t="inlineStr">
        <is>
          <t>Required (v4.2 frame builds)</t>
        </is>
      </c>
    </row>
    <row r="5">
      <c r="A5" s="39" t="inlineStr">
        <is>
          <t>Arcane</t>
        </is>
      </c>
      <c r="B5" s="39" t="inlineStr">
        <is>
          <t>Arcane Camisado</t>
        </is>
      </c>
      <c r="C5" s="39" t="n">
        <v>20</v>
      </c>
      <c r="D5" s="39" t="n">
        <v>30</v>
      </c>
      <c r="E5" s="39" t="n">
        <v>33</v>
      </c>
      <c r="F5" s="39" t="inlineStr">
        <is>
          <t>OK</t>
        </is>
      </c>
      <c r="G5" s="39" t="inlineStr">
        <is>
          <t>Required (v4.2 frame builds)</t>
        </is>
      </c>
    </row>
    <row r="6">
      <c r="A6" s="39" t="inlineStr">
        <is>
          <t>Arcane</t>
        </is>
      </c>
      <c r="B6" s="39" t="inlineStr">
        <is>
          <t>Arcane Crepuscular</t>
        </is>
      </c>
      <c r="C6" s="39" t="n">
        <v>25</v>
      </c>
      <c r="D6" s="39" t="n">
        <v>29</v>
      </c>
      <c r="E6" s="39" t="n">
        <v>33</v>
      </c>
      <c r="F6" s="39" t="inlineStr">
        <is>
          <t>OK</t>
        </is>
      </c>
      <c r="G6" s="39" t="inlineStr">
        <is>
          <t>Required (v4.2 frame builds)</t>
        </is>
      </c>
    </row>
    <row r="7">
      <c r="A7" s="39" t="inlineStr">
        <is>
          <t>Arcane</t>
        </is>
      </c>
      <c r="B7" s="39" t="inlineStr">
        <is>
          <t>Arcane Expertise</t>
        </is>
      </c>
      <c r="C7" s="39" t="n">
        <v>35</v>
      </c>
      <c r="D7" s="39" t="n">
        <v>39</v>
      </c>
      <c r="E7" s="39" t="n">
        <v>44</v>
      </c>
      <c r="F7" s="39" t="inlineStr">
        <is>
          <t>OK</t>
        </is>
      </c>
      <c r="G7" s="39" t="inlineStr">
        <is>
          <t>Required (v4.2 frame builds)</t>
        </is>
      </c>
    </row>
    <row r="8">
      <c r="A8" s="39" t="inlineStr">
        <is>
          <t>Arcane</t>
        </is>
      </c>
      <c r="B8" s="39" t="inlineStr">
        <is>
          <t>Arcane Hot Shot</t>
        </is>
      </c>
      <c r="C8" s="39" t="n">
        <v>310</v>
      </c>
      <c r="D8" s="39" t="n">
        <v>320</v>
      </c>
      <c r="E8" s="39" t="n">
        <v>386</v>
      </c>
      <c r="F8" s="39" t="inlineStr">
        <is>
          <t>OK</t>
        </is>
      </c>
      <c r="G8" s="39" t="inlineStr">
        <is>
          <t>Required (v4.2 frame builds)</t>
        </is>
      </c>
    </row>
    <row r="9">
      <c r="A9" s="39" t="inlineStr">
        <is>
          <t>Arcane</t>
        </is>
      </c>
      <c r="B9" s="39" t="inlineStr">
        <is>
          <t>Arcane Ice Storm</t>
        </is>
      </c>
      <c r="C9" s="39" t="n">
        <v>74</v>
      </c>
      <c r="D9" s="39" t="n">
        <v>78</v>
      </c>
      <c r="E9" s="39" t="n">
        <v>94</v>
      </c>
      <c r="F9" s="39" t="inlineStr">
        <is>
          <t>OK</t>
        </is>
      </c>
      <c r="G9" s="39" t="inlineStr">
        <is>
          <t>Required (v4.2 frame builds)</t>
        </is>
      </c>
    </row>
    <row r="10">
      <c r="A10" s="39" t="inlineStr">
        <is>
          <t>Arcane</t>
        </is>
      </c>
      <c r="B10" s="39" t="inlineStr">
        <is>
          <t>Arcane Reaper</t>
        </is>
      </c>
      <c r="C10" s="39" t="n">
        <v>350</v>
      </c>
      <c r="D10" s="39" t="n">
        <v>390</v>
      </c>
      <c r="E10" s="39" t="n">
        <v>441</v>
      </c>
      <c r="F10" s="39" t="inlineStr">
        <is>
          <t>OK</t>
        </is>
      </c>
      <c r="G10" s="39" t="inlineStr">
        <is>
          <t>Required (v4.2 frame builds)</t>
        </is>
      </c>
    </row>
    <row r="11">
      <c r="A11" s="39" t="inlineStr">
        <is>
          <t>Arcane</t>
        </is>
      </c>
      <c r="B11" s="39" t="inlineStr">
        <is>
          <t>Arcane Universal Fallout</t>
        </is>
      </c>
      <c r="C11" s="39" t="n">
        <v>90</v>
      </c>
      <c r="D11" s="39" t="n">
        <v>95</v>
      </c>
      <c r="E11" s="39" t="n">
        <v>111</v>
      </c>
      <c r="F11" s="39" t="inlineStr">
        <is>
          <t>OK</t>
        </is>
      </c>
      <c r="G11" s="39" t="inlineStr">
        <is>
          <t>Required (v4.2 frame builds)</t>
        </is>
      </c>
    </row>
    <row r="12">
      <c r="A12" s="39" t="inlineStr">
        <is>
          <t>Arcane</t>
        </is>
      </c>
      <c r="B12" s="39" t="inlineStr">
        <is>
          <t>Primary Frostbite</t>
        </is>
      </c>
      <c r="C12" s="39" t="n">
        <v>35</v>
      </c>
      <c r="D12" s="39" t="n">
        <v>40</v>
      </c>
      <c r="E12" s="39" t="n">
        <v>66</v>
      </c>
      <c r="F12" s="39" t="inlineStr">
        <is>
          <t>OK</t>
        </is>
      </c>
      <c r="G12" s="39" t="inlineStr">
        <is>
          <t>Required (v4.2 weapon/exalted builds)</t>
        </is>
      </c>
    </row>
    <row r="13">
      <c r="A13" s="39" t="inlineStr">
        <is>
          <t>Arcane</t>
        </is>
      </c>
      <c r="B13" s="39" t="inlineStr">
        <is>
          <t>Secondary Encumber</t>
        </is>
      </c>
      <c r="C13" s="39" t="n">
        <v>59</v>
      </c>
      <c r="D13" s="39" t="n">
        <v>60</v>
      </c>
      <c r="E13" s="39" t="n">
        <v>85</v>
      </c>
      <c r="F13" s="39" t="inlineStr">
        <is>
          <t>OK</t>
        </is>
      </c>
      <c r="G13" s="39" t="inlineStr">
        <is>
          <t>Required (v4.2 weapon/exalted builds)</t>
        </is>
      </c>
    </row>
    <row r="14">
      <c r="A14" s="39" t="inlineStr">
        <is>
          <t>Arcane</t>
        </is>
      </c>
      <c r="B14" s="39" t="inlineStr">
        <is>
          <t>Secondary Outburst</t>
        </is>
      </c>
      <c r="C14" s="39" t="n">
        <v>90</v>
      </c>
      <c r="D14" s="39" t="n">
        <v>90</v>
      </c>
      <c r="E14" s="39" t="n">
        <v>111</v>
      </c>
      <c r="F14" s="39" t="inlineStr">
        <is>
          <t>OK</t>
        </is>
      </c>
      <c r="G14" s="39" t="inlineStr">
        <is>
          <t>Required (v4.2 weapon/exalted builds)</t>
        </is>
      </c>
    </row>
    <row r="15">
      <c r="A15" s="39" t="inlineStr">
        <is>
          <t>Arcane</t>
        </is>
      </c>
      <c r="B15" s="39" t="inlineStr">
        <is>
          <t>Secondary Shiver</t>
        </is>
      </c>
      <c r="C15" s="39" t="n">
        <v>219</v>
      </c>
      <c r="D15" s="39" t="n">
        <v>240</v>
      </c>
      <c r="E15" s="39" t="n">
        <v>281</v>
      </c>
      <c r="F15" s="39" t="inlineStr">
        <is>
          <t>OK</t>
        </is>
      </c>
      <c r="G15" s="39" t="inlineStr">
        <is>
          <t>Required (v4.2 weapon/exalted builds)</t>
        </is>
      </c>
    </row>
    <row r="16">
      <c r="A16" s="39" t="inlineStr">
        <is>
          <t>Arcane</t>
        </is>
      </c>
      <c r="B16" s="39" t="inlineStr">
        <is>
          <t>Shotgun Vendetta</t>
        </is>
      </c>
      <c r="C16" s="39" t="n">
        <v>99</v>
      </c>
      <c r="D16" s="39" t="n">
        <v>100</v>
      </c>
      <c r="E16" s="39" t="n">
        <v>176</v>
      </c>
      <c r="F16" s="39" t="inlineStr">
        <is>
          <t>OK</t>
        </is>
      </c>
      <c r="G16" s="39" t="inlineStr">
        <is>
          <t>Required (v4.2 weapon/exalted builds)</t>
        </is>
      </c>
    </row>
    <row r="17">
      <c r="A17" s="39" t="inlineStr">
        <is>
          <t>REMOVED ITEMS (no longer counted)</t>
        </is>
      </c>
      <c r="B17" s="39" t="inlineStr"/>
      <c r="C17" s="39" t="inlineStr"/>
      <c r="D17" s="39" t="inlineStr"/>
      <c r="E17" s="39" t="inlineStr"/>
      <c r="F17" s="39" t="n"/>
      <c r="G17" s="39" t="n"/>
    </row>
    <row r="18">
      <c r="A18" s="39" t="inlineStr">
        <is>
          <t>Companion</t>
        </is>
      </c>
      <c r="B18" s="39" t="inlineStr">
        <is>
          <t>Nautilus Prime</t>
        </is>
      </c>
      <c r="C18" s="39" t="n">
        <v>-50</v>
      </c>
      <c r="D18" s="39" t="n">
        <v>-55</v>
      </c>
      <c r="E18" s="39" t="n">
        <v>-61</v>
      </c>
      <c r="F18" s="39" t="inlineStr">
        <is>
          <t>Optional (no v4.2 build assignment)</t>
        </is>
      </c>
      <c r="G18" s="39" t="inlineStr">
        <is>
          <t>was counted in v4.1</t>
        </is>
      </c>
    </row>
    <row r="19">
      <c r="A19" s="39" t="inlineStr">
        <is>
          <t>Companion</t>
        </is>
      </c>
      <c r="B19" s="39" t="inlineStr">
        <is>
          <t>Shade Prime</t>
        </is>
      </c>
      <c r="C19" s="39" t="n">
        <v>-55</v>
      </c>
      <c r="D19" s="39" t="n">
        <v>-55</v>
      </c>
      <c r="E19" s="39" t="n">
        <v>-61</v>
      </c>
      <c r="F19" s="39" t="inlineStr">
        <is>
          <t>Optional (no v4.2 build assignment)</t>
        </is>
      </c>
      <c r="G19" s="39" t="inlineStr">
        <is>
          <t>was counted in v4.1</t>
        </is>
      </c>
    </row>
    <row r="20">
      <c r="A20" s="39" t="inlineStr">
        <is>
          <t>Arcane</t>
        </is>
      </c>
      <c r="B20" s="39" t="inlineStr">
        <is>
          <t>Arcane Aegis</t>
        </is>
      </c>
      <c r="C20" s="39" t="n">
        <v>-120</v>
      </c>
      <c r="D20" s="39" t="n">
        <v>-129</v>
      </c>
      <c r="E20" s="39" t="n">
        <v>-143</v>
      </c>
      <c r="F20" s="39" t="inlineStr">
        <is>
          <t>Collection (optional)</t>
        </is>
      </c>
      <c r="G20" s="39" t="inlineStr">
        <is>
          <t>was counted in v4.1</t>
        </is>
      </c>
    </row>
    <row r="21">
      <c r="A21" s="39" t="inlineStr">
        <is>
          <t>Arcane</t>
        </is>
      </c>
      <c r="B21" s="39" t="inlineStr">
        <is>
          <t>Arcane Blessing</t>
        </is>
      </c>
      <c r="C21" s="39" t="n">
        <v>-34</v>
      </c>
      <c r="D21" s="39" t="n">
        <v>-40</v>
      </c>
      <c r="E21" s="39" t="n">
        <v>-50</v>
      </c>
      <c r="F21" s="39" t="inlineStr">
        <is>
          <t>Collection (optional)</t>
        </is>
      </c>
      <c r="G21" s="39" t="inlineStr">
        <is>
          <t>was counted in v4.1</t>
        </is>
      </c>
    </row>
    <row r="22">
      <c r="A22" s="39" t="inlineStr">
        <is>
          <t>Arcane</t>
        </is>
      </c>
      <c r="B22" s="39" t="inlineStr">
        <is>
          <t>Arcane Grace</t>
        </is>
      </c>
      <c r="C22" s="39" t="n">
        <v>-100</v>
      </c>
      <c r="D22" s="39" t="n">
        <v>-100</v>
      </c>
      <c r="E22" s="39" t="n">
        <v>-122</v>
      </c>
      <c r="F22" s="39" t="inlineStr">
        <is>
          <t>Collection (optional)</t>
        </is>
      </c>
      <c r="G22" s="39" t="inlineStr">
        <is>
          <t>was counted in v4.1</t>
        </is>
      </c>
    </row>
    <row r="23">
      <c r="A23" s="39" t="inlineStr">
        <is>
          <t>Arcane</t>
        </is>
      </c>
      <c r="B23" s="39" t="inlineStr">
        <is>
          <t>Arcane Guardian</t>
        </is>
      </c>
      <c r="C23" s="39" t="n">
        <v>-50</v>
      </c>
      <c r="D23" s="39" t="n">
        <v>-60</v>
      </c>
      <c r="E23" s="39" t="n">
        <v>-66</v>
      </c>
      <c r="F23" s="39" t="inlineStr">
        <is>
          <t>Collection (optional)</t>
        </is>
      </c>
      <c r="G23" s="39" t="inlineStr">
        <is>
          <t>was counted in v4.1</t>
        </is>
      </c>
    </row>
    <row r="24">
      <c r="A24" s="39" t="inlineStr">
        <is>
          <t>Arcane</t>
        </is>
      </c>
      <c r="B24" s="39" t="inlineStr">
        <is>
          <t>Arcane Precision</t>
        </is>
      </c>
      <c r="C24" s="39" t="n">
        <v>-145</v>
      </c>
      <c r="D24" s="39" t="n">
        <v>-150</v>
      </c>
      <c r="E24" s="39" t="n">
        <v>-176</v>
      </c>
      <c r="F24" s="39" t="inlineStr">
        <is>
          <t>Collection (optional)</t>
        </is>
      </c>
      <c r="G24" s="39" t="inlineStr">
        <is>
          <t>was counted in v4.1</t>
        </is>
      </c>
    </row>
    <row r="25">
      <c r="A25" s="39" t="inlineStr">
        <is>
          <t>Arcane</t>
        </is>
      </c>
      <c r="B25" s="39" t="inlineStr">
        <is>
          <t>Arcane Strike</t>
        </is>
      </c>
      <c r="C25" s="39" t="n">
        <v>-80</v>
      </c>
      <c r="D25" s="39" t="n">
        <v>-88</v>
      </c>
      <c r="E25" s="39" t="n">
        <v>-108</v>
      </c>
      <c r="F25" s="39" t="inlineStr">
        <is>
          <t>Collection (optional)</t>
        </is>
      </c>
      <c r="G25" s="39" t="inlineStr">
        <is>
          <t>was counted in v4.1</t>
        </is>
      </c>
    </row>
    <row r="26">
      <c r="A26" s="39" t="inlineStr">
        <is>
          <t>Arcane</t>
        </is>
      </c>
      <c r="B26" s="39" t="inlineStr">
        <is>
          <t>Arcane Velocity</t>
        </is>
      </c>
      <c r="C26" s="39" t="n">
        <v>-180</v>
      </c>
      <c r="D26" s="39" t="n">
        <v>-180</v>
      </c>
      <c r="E26" s="39" t="n">
        <v>-210</v>
      </c>
      <c r="F26" s="39" t="inlineStr">
        <is>
          <t>Collection (optional)</t>
        </is>
      </c>
      <c r="G26" s="39" t="inlineStr">
        <is>
          <t>was counted in v4.1</t>
        </is>
      </c>
    </row>
    <row r="27">
      <c r="A27" s="39" t="inlineStr">
        <is>
          <t>Arcane</t>
        </is>
      </c>
      <c r="B27" s="39" t="inlineStr">
        <is>
          <t>Melee Exposure</t>
        </is>
      </c>
      <c r="C27" s="39" t="n">
        <v>-69</v>
      </c>
      <c r="D27" s="39" t="n">
        <v>-73</v>
      </c>
      <c r="E27" s="39" t="n">
        <v>-83</v>
      </c>
      <c r="F27" s="39" t="inlineStr">
        <is>
          <t>Collection (optional)</t>
        </is>
      </c>
      <c r="G27" s="39" t="inlineStr">
        <is>
          <t>was counted in v4.1</t>
        </is>
      </c>
    </row>
    <row r="28">
      <c r="A28" s="39" t="inlineStr">
        <is>
          <t>Arcane</t>
        </is>
      </c>
      <c r="B28" s="39" t="inlineStr">
        <is>
          <t>Melee Vortex</t>
        </is>
      </c>
      <c r="C28" s="39" t="n">
        <v>-60</v>
      </c>
      <c r="D28" s="39" t="n">
        <v>-65</v>
      </c>
      <c r="E28" s="39" t="n">
        <v>-77</v>
      </c>
      <c r="F28" s="39" t="inlineStr">
        <is>
          <t>Collection (optional)</t>
        </is>
      </c>
      <c r="G28" s="39" t="inlineStr">
        <is>
          <t>was counted in v4.1</t>
        </is>
      </c>
    </row>
    <row r="29">
      <c r="A29" s="39" t="inlineStr">
        <is>
          <t>Arcane</t>
        </is>
      </c>
      <c r="B29" s="39" t="inlineStr">
        <is>
          <t>Molt Efficiency</t>
        </is>
      </c>
      <c r="C29" s="39" t="n">
        <v>-28</v>
      </c>
      <c r="D29" s="39" t="n">
        <v>-30</v>
      </c>
      <c r="E29" s="39" t="n">
        <v>-33</v>
      </c>
      <c r="F29" s="39" t="inlineStr">
        <is>
          <t>Collection (optional)</t>
        </is>
      </c>
      <c r="G29" s="39" t="inlineStr">
        <is>
          <t>was counted in v4.1</t>
        </is>
      </c>
    </row>
    <row r="30">
      <c r="A30" s="39" t="inlineStr">
        <is>
          <t>Arcane</t>
        </is>
      </c>
      <c r="B30" s="39" t="inlineStr">
        <is>
          <t>Molt Reconstruct</t>
        </is>
      </c>
      <c r="C30" s="39" t="n">
        <v>-15</v>
      </c>
      <c r="D30" s="39" t="n">
        <v>-20</v>
      </c>
      <c r="E30" s="39" t="n">
        <v>-22</v>
      </c>
      <c r="F30" s="39" t="inlineStr">
        <is>
          <t>Collection (optional)</t>
        </is>
      </c>
      <c r="G30" s="39" t="inlineStr">
        <is>
          <t>was counted in v4.1</t>
        </is>
      </c>
    </row>
    <row r="31">
      <c r="A31" s="39" t="inlineStr">
        <is>
          <t>Arcane</t>
        </is>
      </c>
      <c r="B31" s="39" t="inlineStr">
        <is>
          <t>Primary Dexterity</t>
        </is>
      </c>
      <c r="C31" s="39" t="n">
        <v>-6</v>
      </c>
      <c r="D31" s="39" t="n">
        <v>-7</v>
      </c>
      <c r="E31" s="39" t="n">
        <v>-9</v>
      </c>
      <c r="F31" s="39" t="inlineStr">
        <is>
          <t>Collection (optional)</t>
        </is>
      </c>
      <c r="G31" s="39" t="inlineStr">
        <is>
          <t>was counted in v4.1</t>
        </is>
      </c>
    </row>
    <row r="32">
      <c r="A32" s="39" t="inlineStr">
        <is>
          <t>Arcane</t>
        </is>
      </c>
      <c r="B32" s="39" t="inlineStr">
        <is>
          <t>Secondary Dexterity</t>
        </is>
      </c>
      <c r="C32" s="39" t="n">
        <v>-8</v>
      </c>
      <c r="D32" s="39" t="n">
        <v>-9</v>
      </c>
      <c r="E32" s="39" t="n">
        <v>-11</v>
      </c>
      <c r="F32" s="39" t="inlineStr">
        <is>
          <t>Collection (optional)</t>
        </is>
      </c>
      <c r="G32" s="39" t="inlineStr">
        <is>
          <t>was counted in v4.1</t>
        </is>
      </c>
    </row>
    <row r="33">
      <c r="A33" s="39" t="inlineStr">
        <is>
          <t>CHANGED ITEMS</t>
        </is>
      </c>
      <c r="B33" s="39" t="inlineStr"/>
      <c r="C33" s="39" t="inlineStr"/>
      <c r="D33" s="39" t="inlineStr"/>
      <c r="E33" s="39" t="inlineStr"/>
      <c r="F33" s="39" t="n"/>
      <c r="G33" s="39" t="n"/>
    </row>
    <row r="34">
      <c r="A34" s="39" t="inlineStr">
        <is>
          <t>Companion</t>
        </is>
      </c>
      <c r="B34" s="39" t="inlineStr">
        <is>
          <t>Sahasa Kubrow</t>
        </is>
      </c>
      <c r="C34" s="39" t="inlineStr"/>
      <c r="D34" s="39" t="inlineStr"/>
      <c r="E34" s="39" t="inlineStr"/>
      <c r="F34" s="39" t="inlineStr">
        <is>
          <t>Core -&gt; Optional (no v4.2 build assignment)</t>
        </is>
      </c>
      <c r="G34" s="39" t="inlineStr">
        <is>
          <t>No -&gt; No</t>
        </is>
      </c>
    </row>
    <row r="35">
      <c r="A35" s="39" t="inlineStr">
        <is>
          <t>Companion</t>
        </is>
      </c>
      <c r="B35" s="39" t="inlineStr">
        <is>
          <t>Taxon</t>
        </is>
      </c>
      <c r="C35" s="39" t="inlineStr"/>
      <c r="D35" s="39" t="inlineStr"/>
      <c r="E35" s="39" t="inlineStr"/>
      <c r="F35" s="39" t="inlineStr">
        <is>
          <t>Core -&gt; Optional (no v4.2 build assignment)</t>
        </is>
      </c>
      <c r="G35" s="39" t="inlineStr">
        <is>
          <t>No -&gt; No</t>
        </is>
      </c>
    </row>
    <row r="36">
      <c r="A36" s="39" t="inlineStr">
        <is>
          <t>Companion</t>
        </is>
      </c>
      <c r="B36" s="39" t="inlineStr">
        <is>
          <t>Helminth Charger</t>
        </is>
      </c>
      <c r="C36" s="39" t="inlineStr"/>
      <c r="D36" s="39" t="inlineStr"/>
      <c r="E36" s="39" t="inlineStr"/>
      <c r="F36" s="39" t="inlineStr">
        <is>
          <t>Core -&gt; Optional (no v4.2 build assignment)</t>
        </is>
      </c>
      <c r="G36" s="39" t="inlineStr">
        <is>
          <t>No -&gt; No</t>
        </is>
      </c>
    </row>
    <row r="37">
      <c r="A37" s="39" t="inlineStr">
        <is>
          <t>Arcane</t>
        </is>
      </c>
      <c r="B37" s="39" t="inlineStr">
        <is>
          <t>Arcane Avenger</t>
        </is>
      </c>
      <c r="C37" s="39" t="inlineStr"/>
      <c r="D37" s="39" t="inlineStr"/>
      <c r="E37" s="39" t="inlineStr"/>
      <c r="F37" s="39" t="inlineStr">
        <is>
          <t>Required (v3 build list) -&gt; Required (v4.2 frame builds)</t>
        </is>
      </c>
      <c r="G37" s="39" t="inlineStr">
        <is>
          <t>Yes -&gt; Yes</t>
        </is>
      </c>
    </row>
    <row r="38">
      <c r="A38" s="39" t="inlineStr">
        <is>
          <t>Arcane</t>
        </is>
      </c>
      <c r="B38" s="39" t="inlineStr">
        <is>
          <t>Arcane Energize</t>
        </is>
      </c>
      <c r="C38" s="39" t="inlineStr"/>
      <c r="D38" s="39" t="inlineStr"/>
      <c r="E38" s="39" t="inlineStr"/>
      <c r="F38" s="39" t="inlineStr">
        <is>
          <t>Required (v3 build list) -&gt; Required (v4.2 frame builds)</t>
        </is>
      </c>
      <c r="G38" s="39" t="inlineStr">
        <is>
          <t>Yes -&gt; Yes</t>
        </is>
      </c>
    </row>
    <row r="39">
      <c r="A39" s="39" t="inlineStr">
        <is>
          <t>Arcane</t>
        </is>
      </c>
      <c r="B39" s="39" t="inlineStr">
        <is>
          <t>Arcane Fury</t>
        </is>
      </c>
      <c r="C39" s="39" t="inlineStr"/>
      <c r="D39" s="39" t="inlineStr"/>
      <c r="E39" s="39" t="inlineStr"/>
      <c r="F39" s="39" t="inlineStr">
        <is>
          <t>Required (v3 build list) -&gt; Required (v4.2 frame builds)</t>
        </is>
      </c>
      <c r="G39" s="39" t="inlineStr">
        <is>
          <t>Yes -&gt; Yes</t>
        </is>
      </c>
    </row>
    <row r="40">
      <c r="A40" s="39" t="inlineStr">
        <is>
          <t>Arcane</t>
        </is>
      </c>
      <c r="B40" s="39" t="inlineStr">
        <is>
          <t>Melee Animosity</t>
        </is>
      </c>
      <c r="C40" s="39" t="inlineStr"/>
      <c r="D40" s="39" t="inlineStr"/>
      <c r="E40" s="39" t="inlineStr"/>
      <c r="F40" s="39" t="inlineStr">
        <is>
          <t>Required (v4 weapon-arcane baseline) -&gt; Required (v4.2 weapon/exalted builds)</t>
        </is>
      </c>
      <c r="G40" s="39" t="inlineStr">
        <is>
          <t>Yes -&gt; Yes</t>
        </is>
      </c>
    </row>
    <row r="41">
      <c r="A41" s="39" t="inlineStr">
        <is>
          <t>Arcane</t>
        </is>
      </c>
      <c r="B41" s="39" t="inlineStr">
        <is>
          <t>Melee Crescendo</t>
        </is>
      </c>
      <c r="C41" s="39" t="inlineStr"/>
      <c r="D41" s="39" t="inlineStr"/>
      <c r="E41" s="39" t="inlineStr"/>
      <c r="F41" s="39" t="inlineStr">
        <is>
          <t>Required (v3 build list) -&gt; Required (v4.2 weapon/exalted builds)</t>
        </is>
      </c>
      <c r="G41" s="39" t="inlineStr">
        <is>
          <t>Yes -&gt; Yes</t>
        </is>
      </c>
    </row>
    <row r="42">
      <c r="A42" s="39" t="inlineStr">
        <is>
          <t>Arcane</t>
        </is>
      </c>
      <c r="B42" s="39" t="inlineStr">
        <is>
          <t>Melee Duplicate</t>
        </is>
      </c>
      <c r="C42" s="39" t="inlineStr"/>
      <c r="D42" s="39" t="inlineStr"/>
      <c r="E42" s="39" t="inlineStr"/>
      <c r="F42" s="39" t="inlineStr">
        <is>
          <t>Required (v4 weapon-arcane baseline) -&gt; Required (v4.2 weapon/exalted builds)</t>
        </is>
      </c>
      <c r="G42" s="39" t="inlineStr">
        <is>
          <t>Yes -&gt; Yes</t>
        </is>
      </c>
    </row>
    <row r="43">
      <c r="A43" s="39" t="inlineStr">
        <is>
          <t>Arcane</t>
        </is>
      </c>
      <c r="B43" s="39" t="inlineStr">
        <is>
          <t>Melee Influence</t>
        </is>
      </c>
      <c r="C43" s="39" t="inlineStr"/>
      <c r="D43" s="39" t="inlineStr"/>
      <c r="E43" s="39" t="inlineStr"/>
      <c r="F43" s="39" t="inlineStr">
        <is>
          <t>Required (v4 weapon-arcane baseline) -&gt; Required (v4.2 weapon/exalted builds)</t>
        </is>
      </c>
      <c r="G43" s="39" t="inlineStr">
        <is>
          <t>Yes -&gt; Yes</t>
        </is>
      </c>
    </row>
    <row r="44">
      <c r="A44" s="39" t="inlineStr">
        <is>
          <t>Arcane</t>
        </is>
      </c>
      <c r="B44" s="39" t="inlineStr">
        <is>
          <t>Molt Augmented</t>
        </is>
      </c>
      <c r="C44" s="39" t="inlineStr"/>
      <c r="D44" s="39" t="inlineStr"/>
      <c r="E44" s="39" t="inlineStr"/>
      <c r="F44" s="39" t="inlineStr">
        <is>
          <t>Required (v3 build list) -&gt; Required (v4.2 frame builds)</t>
        </is>
      </c>
      <c r="G44" s="39" t="inlineStr">
        <is>
          <t>Yes -&gt; Yes</t>
        </is>
      </c>
    </row>
    <row r="45">
      <c r="A45" s="39" t="inlineStr">
        <is>
          <t>Arcane</t>
        </is>
      </c>
      <c r="B45" s="39" t="inlineStr">
        <is>
          <t>Primary Deadhead</t>
        </is>
      </c>
      <c r="C45" s="39" t="inlineStr"/>
      <c r="D45" s="39" t="inlineStr"/>
      <c r="E45" s="39" t="inlineStr"/>
      <c r="F45" s="39" t="inlineStr">
        <is>
          <t>Required (v4 weapon-arcane baseline) -&gt; Required (v4.2 weapon/exalted builds)</t>
        </is>
      </c>
      <c r="G45" s="39" t="inlineStr">
        <is>
          <t>Yes -&gt; Yes</t>
        </is>
      </c>
    </row>
    <row r="46">
      <c r="A46" s="39" t="inlineStr">
        <is>
          <t>Arcane</t>
        </is>
      </c>
      <c r="B46" s="39" t="inlineStr">
        <is>
          <t>Primary Merciless</t>
        </is>
      </c>
      <c r="C46" s="39" t="inlineStr"/>
      <c r="D46" s="39" t="inlineStr"/>
      <c r="E46" s="39" t="inlineStr"/>
      <c r="F46" s="39" t="inlineStr">
        <is>
          <t>Required (v4 weapon-arcane baseline) -&gt; Required (v4.2 weapon/exalted builds)</t>
        </is>
      </c>
      <c r="G46" s="39" t="inlineStr">
        <is>
          <t>Yes -&gt; Yes</t>
        </is>
      </c>
    </row>
    <row r="47">
      <c r="A47" s="39" t="inlineStr">
        <is>
          <t>Arcane</t>
        </is>
      </c>
      <c r="B47" s="39" t="inlineStr">
        <is>
          <t>Secondary Deadhead</t>
        </is>
      </c>
      <c r="C47" s="39" t="inlineStr"/>
      <c r="D47" s="39" t="inlineStr"/>
      <c r="E47" s="39" t="inlineStr"/>
      <c r="F47" s="39" t="inlineStr">
        <is>
          <t>Required (v4 weapon-arcane baseline) -&gt; Required (v4.2 weapon/exalted builds)</t>
        </is>
      </c>
      <c r="G47" s="39" t="inlineStr">
        <is>
          <t>Yes -&gt; Yes</t>
        </is>
      </c>
    </row>
    <row r="48">
      <c r="A48" s="39" t="inlineStr">
        <is>
          <t>Arcane</t>
        </is>
      </c>
      <c r="B48" s="39" t="inlineStr">
        <is>
          <t>Secondary Merciless</t>
        </is>
      </c>
      <c r="C48" s="39" t="inlineStr"/>
      <c r="D48" s="39" t="inlineStr"/>
      <c r="E48" s="39" t="inlineStr"/>
      <c r="F48" s="39" t="inlineStr">
        <is>
          <t>Required (v4 weapon-arcane baseline) -&gt; Required (v4.2 weapon/exalted builds)</t>
        </is>
      </c>
      <c r="G48" s="39" t="inlineStr">
        <is>
          <t>Yes -&gt; Yes</t>
        </is>
      </c>
    </row>
    <row r="49">
      <c r="A49" s="39" t="inlineStr">
        <is>
          <t>NEW ACCOUNT-BOUND REQUIREMENTS</t>
        </is>
      </c>
      <c r="B49" s="39" t="inlineStr">
        <is>
          <t>Umbral Intensify / Umbral Vitality / Umbral Fiber (one copy each; The Sacrifice, extra copies 100,000 Simaris standing) - used by 58-68 builds simultaneously (mods are shared)</t>
        </is>
      </c>
      <c r="C49" s="39" t="inlineStr"/>
      <c r="D49" s="39" t="inlineStr"/>
      <c r="E49" s="39" t="inlineStr"/>
      <c r="F49" s="39" t="inlineStr"/>
      <c r="G49" s="39" t="n"/>
    </row>
    <row r="50">
      <c r="A50" s="39" t="inlineStr">
        <is>
          <t>NEW ACCOUNT-BOUND REQUIREMENTS</t>
        </is>
      </c>
      <c r="B50" s="39" t="inlineStr">
        <is>
          <t>Archon Shards: 330 positions (79 Tauforged, 251 normal) - v3 planned 230 incl. invalid "Primary Critical Chance" Crimson option</t>
        </is>
      </c>
      <c r="C50" s="39" t="inlineStr"/>
      <c r="D50" s="39" t="inlineStr"/>
      <c r="E50" s="39" t="inlineStr"/>
      <c r="F50" s="39" t="inlineStr"/>
      <c r="G50" s="39" t="n"/>
    </row>
    <row r="51">
      <c r="A51" s="39" t="inlineStr">
        <is>
          <t>NEW ACCOUNT-BOUND REQUIREMENTS</t>
        </is>
      </c>
      <c r="B51" s="39" t="inlineStr">
        <is>
          <t>All five Focus schools used (Madurai, Zenurik, Vazarin, Naramon, Unairu)</t>
        </is>
      </c>
      <c r="C51" s="39" t="inlineStr"/>
      <c r="D51" s="39" t="inlineStr"/>
      <c r="E51" s="39" t="inlineStr"/>
      <c r="F51" s="39" t="inlineStr"/>
      <c r="G51" s="39" t="n"/>
    </row>
    <row r="52">
      <c r="A52" s="39" t="inlineStr">
        <is>
          <t>NEW FARM REQUIREMENTS</t>
        </is>
      </c>
      <c r="B52" s="39" t="inlineStr">
        <is>
          <t>Helminth donors to subsume: base Rhino (Roar), base Grendel (Nourish), base Saryn (Molt); Rebuild Shields is a Helminth-native ability</t>
        </is>
      </c>
      <c r="C52" s="39" t="inlineStr"/>
      <c r="D52" s="39" t="inlineStr"/>
      <c r="E52" s="39" t="inlineStr"/>
      <c r="F52" s="39" t="inlineStr"/>
      <c r="G52" s="39" t="n"/>
    </row>
    <row r="53">
      <c r="A53" s="39" t="inlineStr">
        <is>
          <t>NEW FARM REQUIREMENTS</t>
        </is>
      </c>
      <c r="B53" s="39" t="inlineStr">
        <is>
          <t>Swift Deth (Dethcube precept) - no Warframe.Market listing</t>
        </is>
      </c>
      <c r="C53" s="39" t="inlineStr"/>
      <c r="D53" s="39" t="inlineStr"/>
      <c r="E53" s="39" t="inlineStr"/>
      <c r="F53" s="39" t="inlineStr"/>
      <c r="G53" s="39" t="n"/>
    </row>
    <row r="54">
      <c r="A54" s="39" t="inlineStr">
        <is>
          <t>NEW FARM REQUIREMENTS</t>
        </is>
      </c>
      <c r="B54" s="39" t="inlineStr">
        <is>
          <t>32 Incarnon Genesis adapters (Steel Path Circuit) - optional 120p each via Cavalero now in Optional Convenience</t>
        </is>
      </c>
      <c r="C54" s="39" t="inlineStr"/>
      <c r="D54" s="39" t="inlineStr"/>
      <c r="E54" s="39" t="inlineStr"/>
      <c r="F54" s="39" t="inlineStr"/>
      <c r="G54" s="39" t="n"/>
    </row>
    <row r="55">
      <c r="A55" s="39" t="inlineStr">
        <is>
          <t>NEW PLATINUM REQUIREMENTS</t>
        </is>
      </c>
      <c r="B55" s="39" t="inlineStr">
        <is>
          <t>Arcane set re-derived from builds: +1,538p realistic added</t>
        </is>
      </c>
      <c r="C55" s="39" t="inlineStr"/>
      <c r="D55" s="39" t="inlineStr"/>
      <c r="E55" s="39" t="inlineStr"/>
      <c r="F55" s="39" t="inlineStr"/>
      <c r="G55" s="39" t="n"/>
    </row>
    <row r="56">
      <c r="A56" s="39" t="inlineStr">
        <is>
          <t>PLATINUM REMOVED</t>
        </is>
      </c>
      <c r="B56" s="39" t="inlineStr">
        <is>
          <t>Arcanes dropped: -951p; companions unassigned: -110p realistic</t>
        </is>
      </c>
      <c r="C56" s="39" t="inlineStr"/>
      <c r="D56" s="39" t="inlineStr"/>
      <c r="E56" s="39" t="inlineStr"/>
      <c r="F56" s="39" t="inlineStr"/>
      <c r="G56" s="39" t="n"/>
    </row>
    <row r="57">
      <c r="A57" s="39" t="inlineStr">
        <is>
          <t>PLAYER-TRADE TOTAL v4.1 (F/R/C)</t>
        </is>
      </c>
      <c r="B57" s="39" t="inlineStr"/>
      <c r="C57" s="39" t="n">
        <v>44356</v>
      </c>
      <c r="D57" s="39" t="n">
        <v>51906</v>
      </c>
      <c r="E57" s="39" t="n">
        <v>78001</v>
      </c>
      <c r="F57" s="39" t="n"/>
      <c r="G57" s="39" t="n"/>
    </row>
    <row r="58">
      <c r="A58" s="39" t="inlineStr">
        <is>
          <t>PLAYER-TRADE TOTAL v4.2 (F/R/C)</t>
        </is>
      </c>
      <c r="B58" s="39" t="inlineStr"/>
      <c r="C58" s="39" t="n">
        <v>44787</v>
      </c>
      <c r="D58" s="39" t="n">
        <v>52382</v>
      </c>
      <c r="E58" s="39" t="n">
        <v>78661</v>
      </c>
      <c r="F58" s="39" t="n"/>
      <c r="G58" s="39" t="n"/>
    </row>
    <row r="59">
      <c r="A59" s="39" t="inlineStr">
        <is>
          <t>DELTA</t>
        </is>
      </c>
      <c r="B59" s="39" t="inlineStr"/>
      <c r="C59" s="39" t="n">
        <v>431</v>
      </c>
      <c r="D59" s="39" t="n">
        <v>477</v>
      </c>
      <c r="E59" s="39" t="n">
        <v>660</v>
      </c>
      <c r="F59" s="39" t="n"/>
      <c r="G59" s="39" t="n"/>
    </row>
    <row r="60">
      <c r="A60" s="39" t="inlineStr">
        <is>
          <t>Infrastructure change</t>
        </is>
      </c>
      <c r="B60" s="39" t="inlineStr">
        <is>
          <t>Companion slots: v4.1 20 slots (120p gross / 60p net) -&gt; v4.2 12 slots (72p gross / 12p net); new optional Incarnon Genesis line 3,840p (32 x 120p)</t>
        </is>
      </c>
      <c r="C60" s="39" t="n"/>
      <c r="D60" s="39" t="n"/>
      <c r="E60" s="39" t="n"/>
      <c r="F60" s="39" t="n"/>
      <c r="G60" s="39" t="n"/>
    </row>
  </sheetData>
  <autoFilter ref="A1:G6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Narin</t>
        </is>
      </c>
      <c r="B2" s="39" t="inlineStr">
        <is>
          <t>Hakchum replaced: Hakchum is a listed Ice source but Nurinarim cannot gain Ice during the dance; confirm Neote+Naraemagi alone sustain Ice -&gt; LIVE TEST REQUIRED</t>
        </is>
      </c>
    </row>
    <row r="3">
      <c r="A3" s="39" t="inlineStr">
        <is>
          <t>Sirius &amp; Orion</t>
        </is>
      </c>
      <c r="B3" s="39" t="inlineStr">
        <is>
          <t>Helminth: only Primary Son can receive the cyst; confirm Coronal Ejection replacement -&gt; LIVE TEST REQUIRED</t>
        </is>
      </c>
    </row>
    <row r="4">
      <c r="A4" s="39" t="inlineStr">
        <is>
          <t>Sirius &amp; Orion</t>
        </is>
      </c>
      <c r="B4" s="39" t="inlineStr">
        <is>
          <t>Reactor: Orion is an Exalted Warframe; one Reactor assumed -&gt; LIVE TEST REQUIRED</t>
        </is>
      </c>
    </row>
    <row r="5">
      <c r="A5" s="39" t="inlineStr">
        <is>
          <t>Saryn Prime</t>
        </is>
      </c>
      <c r="B5" s="39" t="inlineStr">
        <is>
          <t>REAUDIT (queue): v4.2 Roar over Toxic Lash vs Phase 2 Roar over Molt</t>
        </is>
      </c>
    </row>
    <row r="6">
      <c r="A6" s="39" t="inlineStr">
        <is>
          <t>Styanax Prime</t>
        </is>
      </c>
      <c r="B6" s="39" t="inlineStr">
        <is>
          <t>REAUDIT (queue): v4.2 Roar over Rally Point vs Phase 2 Nourish over Axios Javelin</t>
        </is>
      </c>
    </row>
    <row r="7">
      <c r="A7" s="39" t="inlineStr">
        <is>
          <t>Protea Prime</t>
        </is>
      </c>
      <c r="B7" s="39" t="inlineStr">
        <is>
          <t>OPTIMIZATION REVIEW (queue): Roar over Grenade Fan vs native Temporal Anchor/Erosion configurations</t>
        </is>
      </c>
    </row>
    <row r="8">
      <c r="A8" s="39" t="inlineStr">
        <is>
          <t>Orion</t>
        </is>
      </c>
      <c r="B8" s="39" t="inlineStr">
        <is>
          <t>Whether Orion has independent Arcane/Archon Shard slots (separately moddable Exalted Warframe). Shards/Arcanes recorded on Sirius &amp; Orion only -&gt; LIVE TEST REQUIRED</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19 / 66 frames audited - NOT FINAL</t>
        </is>
      </c>
    </row>
    <row r="13">
      <c r="A13" s="39" t="inlineStr">
        <is>
          <t>Incarnon configurations complete</t>
        </is>
      </c>
      <c r="B13" s="39" t="inlineStr">
        <is>
          <t>39 / 39</t>
        </is>
      </c>
    </row>
    <row r="14">
      <c r="A14" s="39" t="inlineStr">
        <is>
          <t>LIVE TEST REQUIRED count</t>
        </is>
      </c>
      <c r="B14" s="39" t="inlineStr">
        <is>
          <t>7</t>
        </is>
      </c>
    </row>
  </sheetData>
  <autoFilter ref="A1:B1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(Adversary innate element);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(Adversary innate element); Atomos: status (Viral);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Outburst</t>
        </is>
      </c>
      <c r="AH5" s="39" t="inlineStr">
        <is>
          <t>Paris Prime: EVO2: Deadly Pace, EVO3: Swift Deliverance, EVO4: Vicious Promise</t>
        </is>
      </c>
      <c r="AI5" s="39" t="inlineStr">
        <is>
          <t>Paris Prime: crit (Viral); Tenet Diplos: crit (Adversary innate element)</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Tenet Detron: crit (Adversary innate element);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Animosity</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217</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Tauforged Crimson: Ability Strength +15%</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Animosity</t>
        </is>
      </c>
      <c r="AH8" s="39" t="inlineStr">
        <is>
          <t>-</t>
        </is>
      </c>
      <c r="AI8" s="39" t="inlineStr">
        <is>
          <t>Steflos Prime: status (Viral + Electricity); Catabolyst: status (Viral);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Encumber / M: Melee Duplicate</t>
        </is>
      </c>
      <c r="AH10" s="39" t="inlineStr">
        <is>
          <t>Zylok Prime: EVO2: Mauler's Magazine, EVO3: Rapid Reinforcement, EVO4: Fatal Affliction</t>
        </is>
      </c>
      <c r="AI10" s="39" t="inlineStr">
        <is>
          <t>Cinta: crit (Viral); Zylok Prime: status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Kuva Nukor: crit (Adversary innate element);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status (Viral); Dual Toxocyst: status (Viral);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Outburst</t>
        </is>
      </c>
      <c r="AH14" s="39" t="inlineStr">
        <is>
          <t>Braton Prime: EVO2: Munitions Grit, EVO3: Void's Guidance, EVO4: Critical Parallel; Vasto Prime: EVO2: Deathtrap Trigger, EVO3: Awakened Readiness, EVO4: Commodore's Fortune</t>
        </is>
      </c>
      <c r="AI14" s="39" t="inlineStr">
        <is>
          <t>Braton Prime: status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Staticor: status (Viral);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(Viral); Twin Kohmak: status (Viral);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Outburst</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Animosity</t>
        </is>
      </c>
      <c r="AH20" s="39" t="inlineStr">
        <is>
          <t>-</t>
        </is>
      </c>
      <c r="AI20" s="39" t="inlineStr">
        <is>
          <t>Trumna: crit (Viral);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PENDING optimization audit</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Encumber / M: Melee Influence</t>
        </is>
      </c>
      <c r="AH21" s="39" t="inlineStr">
        <is>
          <t>Prisma Angstrum: EVO2: Haven Foray, EVO3: Swift Deliverance, EVO4: Fatal Affliction</t>
        </is>
      </c>
      <c r="AI21" s="39" t="inlineStr">
        <is>
          <t>Alternox Prime: status (Viral); Prisma Angstrum: status (Viral); Kestrel Prime: status (Viral + Electricity)</t>
        </is>
      </c>
      <c r="AJ21" s="39" t="inlineStr">
        <is>
          <t>62/65 (fits)</t>
        </is>
      </c>
      <c r="AK21" s="39" t="n">
        <v>7</v>
      </c>
      <c r="AL21" s="39" t="inlineStr">
        <is>
          <t>-</t>
        </is>
      </c>
      <c r="AM21" s="39" t="n"/>
      <c r="AN21" s="39" t="inlineStr">
        <is>
          <t>COMPLETE</t>
        </is>
      </c>
    </row>
    <row r="22">
      <c r="A22" s="39" t="inlineStr">
        <is>
          <t>PENDING optimization audit</t>
        </is>
      </c>
      <c r="B22" s="39" t="inlineStr">
        <is>
          <t>Harrow Prime</t>
        </is>
      </c>
      <c r="C22" s="39" t="inlineStr">
        <is>
          <t>Thurible energy support + Covenant crit buff</t>
        </is>
      </c>
      <c r="D22" s="39" t="inlineStr">
        <is>
          <t>NO HELMINTH</t>
        </is>
      </c>
      <c r="E22" s="39" t="inlineStr">
        <is>
          <t>NO HELMINTH: All four abilities core to support loop</t>
        </is>
      </c>
      <c r="F22" s="39" t="n">
        <v>217</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Warding Thurible</t>
        </is>
      </c>
      <c r="P22" s="39" t="inlineStr">
        <is>
          <t>Warding Thurible</t>
        </is>
      </c>
      <c r="Q22" s="39" t="inlineStr">
        <is>
          <t>Penance lifesteal, Covenant, Warding Thurible</t>
        </is>
      </c>
      <c r="R22" s="39" t="inlineStr">
        <is>
          <t>Arcane Energize</t>
        </is>
      </c>
      <c r="S22" s="39" t="inlineStr">
        <is>
          <t>Molt Augmented</t>
        </is>
      </c>
      <c r="T22" s="39" t="inlineStr">
        <is>
          <t>Tauforged Crimson: Ability Strength +15%</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Merciless / S: Secondary Merciless / M: Melee Duplicate</t>
        </is>
      </c>
      <c r="AH22" s="39" t="inlineStr">
        <is>
          <t>-</t>
        </is>
      </c>
      <c r="AI22" s="39" t="inlineStr">
        <is>
          <t>Scourge Prime: status (Viral); Knell Prime: crit (Viral); Dual Keres: crit (Viral)</t>
        </is>
      </c>
      <c r="AJ22" s="39" t="inlineStr">
        <is>
          <t>62/65 (fits)</t>
        </is>
      </c>
      <c r="AK22" s="39" t="n">
        <v>6</v>
      </c>
      <c r="AL22" s="39" t="inlineStr">
        <is>
          <t>-</t>
        </is>
      </c>
      <c r="AM22" s="39" t="n"/>
      <c r="AN22" s="39" t="inlineStr">
        <is>
          <t>COMPLETE</t>
        </is>
      </c>
    </row>
    <row r="23">
      <c r="A23" s="39" t="inlineStr">
        <is>
          <t>PENDING optimization audit</t>
        </is>
      </c>
      <c r="B23" s="39" t="inlineStr">
        <is>
          <t>Hildryn Prime</t>
        </is>
      </c>
      <c r="C23" s="39" t="inlineStr">
        <is>
          <t>Shield-tank: Haven/Pillage/Aegis Storm; Balefire Charger</t>
        </is>
      </c>
      <c r="D23" s="39" t="inlineStr">
        <is>
          <t>Roar</t>
        </is>
      </c>
      <c r="E23" s="39" t="inlineStr">
        <is>
          <t>Aegis Storm</t>
        </is>
      </c>
      <c r="F23" s="39" t="n">
        <v>195</v>
      </c>
      <c r="G23" s="39" t="n">
        <v>155</v>
      </c>
      <c r="H23" s="39" t="n">
        <v>175</v>
      </c>
      <c r="I23" s="39" t="n">
        <v>100</v>
      </c>
      <c r="J23" s="39" t="inlineStr">
        <is>
          <t>Shields = energy; no Efficiency/Flow (no energy).</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Augur Reach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Tauforged Crimson: Ability Strength +15%</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Hunter's Mantra, EVO3: Resonant Restore, EVO4: Survivor's Edge</t>
        </is>
      </c>
      <c r="AI23" s="39" t="inlineStr">
        <is>
          <t>Gorgon Wraith: status (Viral); Hirudo: crit (Viral)</t>
        </is>
      </c>
      <c r="AJ23" s="39" t="inlineStr">
        <is>
          <t>65/65 (fits)</t>
        </is>
      </c>
      <c r="AK23" s="39" t="n">
        <v>3</v>
      </c>
      <c r="AL23" s="39" t="inlineStr">
        <is>
          <t>-</t>
        </is>
      </c>
      <c r="AM23" s="39" t="n"/>
      <c r="AN23" s="39" t="inlineStr">
        <is>
          <t>COMPLETE</t>
        </is>
      </c>
    </row>
    <row r="24">
      <c r="A24" s="39" t="inlineStr">
        <is>
          <t>PENDING optimization audit</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Plunder corrosive procs (Emerald corrosion ability dmg)</t>
        </is>
      </c>
      <c r="L24" s="39" t="inlineStr">
        <is>
          <t>Growing Power</t>
        </is>
      </c>
      <c r="M24" s="39" t="n"/>
      <c r="N24" s="39" t="inlineStr">
        <is>
          <t>Power Drift</t>
        </is>
      </c>
      <c r="O24" s="39" t="inlineStr">
        <is>
          <t>Umbral Intensify | Umbral Vitality | Umbral Fiber | Primed Continuity | Stretch | Primed Flow | Streamline | Pilfering Swarm</t>
        </is>
      </c>
      <c r="P24" s="39" t="inlineStr">
        <is>
          <t>Pilfering Swarm</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(Adversary innate element); Pox: status (Viral); Nami Skyla Prime: status (Viral + Electricity)</t>
        </is>
      </c>
      <c r="AJ24" s="39" t="inlineStr">
        <is>
          <t>62/65 (fits)</t>
        </is>
      </c>
      <c r="AK24" s="39" t="n">
        <v>5</v>
      </c>
      <c r="AL24" s="39" t="inlineStr">
        <is>
          <t>-</t>
        </is>
      </c>
      <c r="AM24" s="39" t="n"/>
      <c r="AN24" s="39" t="inlineStr">
        <is>
          <t>COMPLETE</t>
        </is>
      </c>
    </row>
    <row r="25">
      <c r="A25" s="39" t="inlineStr">
        <is>
          <t>PENDING optimization audit</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Duplicate</t>
        </is>
      </c>
      <c r="AH25" s="39" t="inlineStr">
        <is>
          <t>-</t>
        </is>
      </c>
      <c r="AI25" s="39" t="inlineStr">
        <is>
          <t>Panthera Prime: status (Viral); Zymos: status (Viral); Karyst Prime: crit (Viral)</t>
        </is>
      </c>
      <c r="AJ25" s="39" t="inlineStr">
        <is>
          <t>62/65 (fits)</t>
        </is>
      </c>
      <c r="AK25" s="39" t="n">
        <v>7</v>
      </c>
      <c r="AL25" s="39" t="inlineStr">
        <is>
          <t>-</t>
        </is>
      </c>
      <c r="AM25" s="39" t="n"/>
      <c r="AN25" s="39" t="inlineStr">
        <is>
          <t>COMPLETE</t>
        </is>
      </c>
    </row>
    <row r="26">
      <c r="A26" s="39" t="inlineStr">
        <is>
          <t>PENDING optimization audit</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Infiltrate</t>
        </is>
      </c>
      <c r="P26" s="39" t="inlineStr">
        <is>
          <t>Infiltrate</t>
        </is>
      </c>
      <c r="Q26" s="39" t="inlineStr">
        <is>
          <t>Prowl invisibility, Umbral set</t>
        </is>
      </c>
      <c r="R26" s="39" t="inlineStr">
        <is>
          <t>Arcane Crepuscular</t>
        </is>
      </c>
      <c r="S26" s="39" t="inlineStr">
        <is>
          <t>Arcane Avenger</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Encumber / M: Melee Influence</t>
        </is>
      </c>
      <c r="AH26" s="39" t="inlineStr">
        <is>
          <t>-</t>
        </is>
      </c>
      <c r="AI26" s="39" t="inlineStr">
        <is>
          <t>Akstiletto Prime: status (Viral); Cerata: status (Viral + Electricity)</t>
        </is>
      </c>
      <c r="AJ26" s="39" t="inlineStr">
        <is>
          <t>62/65 (fits)</t>
        </is>
      </c>
      <c r="AK26" s="39" t="n">
        <v>6</v>
      </c>
      <c r="AL26" s="39" t="inlineStr">
        <is>
          <t>-</t>
        </is>
      </c>
      <c r="AM26" s="39" t="n"/>
      <c r="AN26" s="39" t="inlineStr">
        <is>
          <t>COMPLETE</t>
        </is>
      </c>
    </row>
    <row r="27">
      <c r="A27" s="39" t="inlineStr">
        <is>
          <t>PENDING optimization audit</t>
        </is>
      </c>
      <c r="B27" s="39" t="inlineStr">
        <is>
          <t>Jade</t>
        </is>
      </c>
      <c r="C27" s="39" t="inlineStr">
        <is>
          <t>Light's Judgment/Ophanim Eyes judgment debuff caster; Glory exalted; two Aura slots</t>
        </is>
      </c>
      <c r="D27" s="39" t="inlineStr">
        <is>
          <t>Roar</t>
        </is>
      </c>
      <c r="E27" s="39" t="inlineStr">
        <is>
          <t>Symphony of Mercy</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Encumber / M: Melee Influence</t>
        </is>
      </c>
      <c r="AH27" s="39" t="inlineStr">
        <is>
          <t>-</t>
        </is>
      </c>
      <c r="AI27" s="39" t="inlineStr">
        <is>
          <t>Evensong: crit (Viral); Cantare: status (Viral); Harmony: status (Viral + Electricity)</t>
        </is>
      </c>
      <c r="AJ27" s="39" t="inlineStr">
        <is>
          <t>74/74 (fits)</t>
        </is>
      </c>
      <c r="AK27" s="39" t="n">
        <v>4</v>
      </c>
      <c r="AL27" s="39" t="inlineStr">
        <is>
          <t>-</t>
        </is>
      </c>
      <c r="AM27" s="39" t="n"/>
      <c r="AN27" s="39" t="inlineStr">
        <is>
          <t>COMPLETE</t>
        </is>
      </c>
    </row>
    <row r="28">
      <c r="A28" s="39" t="inlineStr">
        <is>
          <t>PENDING optimization audit</t>
        </is>
      </c>
      <c r="B28" s="39" t="inlineStr">
        <is>
          <t>Khora Prime</t>
        </is>
      </c>
      <c r="C28" s="39" t="inlineStr">
        <is>
          <t>Strangledome CC + Whipclaw exalted (Ability Combo); Venari exalted companion</t>
        </is>
      </c>
      <c r="D28" s="39" t="inlineStr">
        <is>
          <t>Roar</t>
        </is>
      </c>
      <c r="E28" s="39" t="inlineStr">
        <is>
          <t>Ensnare</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Merciless / M: Melee Duplicate</t>
        </is>
      </c>
      <c r="AH28" s="39" t="inlineStr">
        <is>
          <t>-</t>
        </is>
      </c>
      <c r="AI28" s="39" t="inlineStr">
        <is>
          <t>Corinth Prime: crit (Viral + Electricity); Hystrix Prime: crit (Viral); Dual Keres Prime: crit (Viral)</t>
        </is>
      </c>
      <c r="AJ28" s="39" t="inlineStr">
        <is>
          <t>62/65 (fits)</t>
        </is>
      </c>
      <c r="AK28" s="39" t="n">
        <v>6</v>
      </c>
      <c r="AL28" s="39" t="inlineStr">
        <is>
          <t>-</t>
        </is>
      </c>
      <c r="AM28" s="39" t="n"/>
      <c r="AN28" s="39" t="inlineStr">
        <is>
          <t>COMPLETE</t>
        </is>
      </c>
    </row>
    <row r="29">
      <c r="A29" s="39" t="inlineStr">
        <is>
          <t>PENDING optimization audit</t>
        </is>
      </c>
      <c r="B29" s="39" t="inlineStr">
        <is>
          <t>Koumei</t>
        </is>
      </c>
      <c r="C29" s="39" t="inlineStr">
        <is>
          <t>Omikuji luck dice / Bunraku status caster</t>
        </is>
      </c>
      <c r="D29" s="39" t="inlineStr">
        <is>
          <t>Roar</t>
        </is>
      </c>
      <c r="E29" s="39" t="inlineStr">
        <is>
          <t>Kumihimo</t>
        </is>
      </c>
      <c r="F29" s="39" t="n">
        <v>217</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Tauforged Crimson: Ability Strength +15%</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Sage's Resolve, EVO3: Swift Deliverance, EVO4: Deathtrap Trigger</t>
        </is>
      </c>
      <c r="AI29" s="39" t="inlineStr">
        <is>
          <t>Higasa: crit (Viral); Kunai: crit (Viral); Amanata: crit (Viral)</t>
        </is>
      </c>
      <c r="AJ29" s="39" t="inlineStr">
        <is>
          <t>74/74 (fits)</t>
        </is>
      </c>
      <c r="AK29" s="39" t="n">
        <v>3</v>
      </c>
      <c r="AL29" s="39" t="inlineStr">
        <is>
          <t>-</t>
        </is>
      </c>
      <c r="AM29" s="39" t="inlineStr">
        <is>
          <t>Kumihimo replaced; Kumihimo Loading unused.</t>
        </is>
      </c>
      <c r="AN29" s="39" t="inlineStr">
        <is>
          <t>COMPLETE</t>
        </is>
      </c>
    </row>
    <row r="30">
      <c r="A30" s="39" t="inlineStr">
        <is>
          <t>PENDING optimization audit</t>
        </is>
      </c>
      <c r="B30" s="39" t="inlineStr">
        <is>
          <t>Kullervo</t>
        </is>
      </c>
      <c r="C30" s="39" t="inlineStr">
        <is>
          <t>Wrathful Advance crit melee teleport; Storm of Ukko</t>
        </is>
      </c>
      <c r="D30" s="39" t="inlineStr">
        <is>
          <t>Roar</t>
        </is>
      </c>
      <c r="E30" s="39" t="inlineStr">
        <is>
          <t>Collective Curse</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Wrath of Ukko</t>
        </is>
      </c>
      <c r="P30" s="39" t="inlineStr">
        <is>
          <t>Wrath of Ukko</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Shotgun Vendetta / S: Secondary Outburst / M: Melee Duplicate</t>
        </is>
      </c>
      <c r="AH30" s="39" t="inlineStr">
        <is>
          <t>-</t>
        </is>
      </c>
      <c r="AI30" s="39" t="inlineStr">
        <is>
          <t>Rauta: status (Viral + Electricity); Epitaph: crit (Viral); Azothane: crit (Viral)</t>
        </is>
      </c>
      <c r="AJ30" s="39" t="inlineStr">
        <is>
          <t>62/65 (fits)</t>
        </is>
      </c>
      <c r="AK30" s="39" t="n">
        <v>7</v>
      </c>
      <c r="AL30" s="39" t="inlineStr">
        <is>
          <t>-</t>
        </is>
      </c>
      <c r="AM30" s="39" t="n"/>
      <c r="AN30" s="39" t="inlineStr">
        <is>
          <t>COMPLETE</t>
        </is>
      </c>
    </row>
    <row r="31">
      <c r="A31" s="39" t="inlineStr">
        <is>
          <t>PENDING optimization audit</t>
        </is>
      </c>
      <c r="B31" s="39" t="inlineStr">
        <is>
          <t>Lavos Prime</t>
        </is>
      </c>
      <c r="C31" s="39" t="inlineStr">
        <is>
          <t>Cooldown elemental alchemist; Catalyze/Vial Rush</t>
        </is>
      </c>
      <c r="D31" s="39" t="inlineStr">
        <is>
          <t>Roar</t>
        </is>
      </c>
      <c r="E31" s="39" t="inlineStr">
        <is>
          <t>Ophidian Bite</t>
        </is>
      </c>
      <c r="F31" s="39" t="n">
        <v>272</v>
      </c>
      <c r="G31" s="39" t="n">
        <v>127.5</v>
      </c>
      <c r="H31" s="39" t="n">
        <v>175</v>
      </c>
      <c r="I31" s="39" t="n">
        <v>100</v>
      </c>
      <c r="J31" s="39" t="inlineStr">
        <is>
          <t>Str for Catalyze/Vial; no Efficiency mods (no energy).</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Augur Reach | Transient Fortitude | Valence Formation</t>
        </is>
      </c>
      <c r="P31" s="39" t="inlineStr">
        <is>
          <t>Valence Formation</t>
        </is>
      </c>
      <c r="Q31" s="39" t="inlineStr">
        <is>
          <t>Passive status immunity on cast, Umbral set</t>
        </is>
      </c>
      <c r="R31" s="39" t="inlineStr">
        <is>
          <t>Arcane Reaper</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Dual Zoren Prime: crit (Viral)</t>
        </is>
      </c>
      <c r="AJ31" s="39" t="inlineStr">
        <is>
          <t>62/65 (fits)</t>
        </is>
      </c>
      <c r="AK31" s="39" t="n">
        <v>6</v>
      </c>
      <c r="AL31" s="39" t="inlineStr">
        <is>
          <t>-</t>
        </is>
      </c>
      <c r="AM31" s="39" t="n"/>
      <c r="AN31" s="39" t="inlineStr">
        <is>
          <t>COMPLETE</t>
        </is>
      </c>
    </row>
    <row r="32">
      <c r="A32" s="39" t="inlineStr">
        <is>
          <t>PENDING optimization audit</t>
        </is>
      </c>
      <c r="B32" s="39" t="inlineStr">
        <is>
          <t>Limbo Prime</t>
        </is>
      </c>
      <c r="C32" s="39" t="inlineStr">
        <is>
          <t>Cataclysm/Stasis rift control</t>
        </is>
      </c>
      <c r="D32" s="39" t="inlineStr">
        <is>
          <t>Roar</t>
        </is>
      </c>
      <c r="E32" s="39" t="inlineStr">
        <is>
          <t>Banish</t>
        </is>
      </c>
      <c r="F32" s="39" t="n">
        <v>195</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Primed Flow | Streamline | Umbral Vitality | Cataclysmic Continuum</t>
        </is>
      </c>
      <c r="P32" s="39" t="inlineStr">
        <is>
          <t>Cataclysmic Continuum</t>
        </is>
      </c>
      <c r="Q32" s="39" t="inlineStr">
        <is>
          <t>Rift plane invulnerability</t>
        </is>
      </c>
      <c r="R32" s="39" t="inlineStr">
        <is>
          <t>Arcane Energize</t>
        </is>
      </c>
      <c r="S32" s="39" t="inlineStr">
        <is>
          <t>Molt Augmented</t>
        </is>
      </c>
      <c r="T32" s="39" t="inlineStr">
        <is>
          <t>Tauforged Crimson: Ability Strength +15%</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65/65 (fits)</t>
        </is>
      </c>
      <c r="AK32" s="39" t="n">
        <v>4</v>
      </c>
      <c r="AL32" s="39" t="inlineStr">
        <is>
          <t>-</t>
        </is>
      </c>
      <c r="AM32" s="39" t="n"/>
      <c r="AN32" s="39" t="inlineStr">
        <is>
          <t>COMPLETE</t>
        </is>
      </c>
    </row>
    <row r="33">
      <c r="A33" s="39" t="inlineStr">
        <is>
          <t>PENDING optimization audit</t>
        </is>
      </c>
      <c r="B33" s="39" t="inlineStr">
        <is>
          <t>Loki Prime</t>
        </is>
      </c>
      <c r="C33" s="39" t="inlineStr">
        <is>
          <t>Invisibility/Radial Disarm stealth support</t>
        </is>
      </c>
      <c r="D33" s="39" t="inlineStr">
        <is>
          <t>Roar</t>
        </is>
      </c>
      <c r="E33" s="39" t="inlineStr">
        <is>
          <t>Switch Teleport</t>
        </is>
      </c>
      <c r="F33" s="39" t="n">
        <v>195</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Tauforged Crimson: Ability Strength +15%</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PENDING optimization audit</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(Adversary innate element); Mara Detron: status (Viral); Dakra Prime: crit (Viral)</t>
        </is>
      </c>
      <c r="AJ34" s="39" t="inlineStr">
        <is>
          <t>70/74 (fits)</t>
        </is>
      </c>
      <c r="AK34" s="39" t="n">
        <v>3</v>
      </c>
      <c r="AL34" s="39" t="inlineStr">
        <is>
          <t>-</t>
        </is>
      </c>
      <c r="AM34" s="39" t="n"/>
      <c r="AN34" s="39" t="inlineStr">
        <is>
          <t>COMPLETE</t>
        </is>
      </c>
    </row>
    <row r="35">
      <c r="A35" s="39" t="inlineStr">
        <is>
          <t>PENDING optimization audit</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t>
        </is>
      </c>
      <c r="AJ35" s="39" t="inlineStr">
        <is>
          <t>67/74 (fits)</t>
        </is>
      </c>
      <c r="AK35" s="39" t="n">
        <v>3</v>
      </c>
      <c r="AL35" s="39" t="inlineStr">
        <is>
          <t>-</t>
        </is>
      </c>
      <c r="AM35" s="39" t="n"/>
      <c r="AN35" s="39" t="inlineStr">
        <is>
          <t>COMPLETE</t>
        </is>
      </c>
    </row>
    <row r="36">
      <c r="A36" s="39" t="inlineStr">
        <is>
          <t>PENDING optimization audit</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Deadhead / S: Secondary Merciless / M: Melee Influence</t>
        </is>
      </c>
      <c r="AH36" s="39" t="inlineStr">
        <is>
          <t>-</t>
        </is>
      </c>
      <c r="AI36" s="39" t="inlineStr">
        <is>
          <t>Kuva Bramma: crit (Adversary innate element);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PENDING optimization audit</t>
        </is>
      </c>
      <c r="B37" s="39" t="inlineStr">
        <is>
          <t>Narin</t>
        </is>
      </c>
      <c r="C37" s="39" t="inlineStr">
        <is>
          <t>Ice-blade caster: Neote/Naraemagi Ice generation into Nurinarim sword dance</t>
        </is>
      </c>
      <c r="D37" s="39" t="inlineStr">
        <is>
          <t>Roar</t>
        </is>
      </c>
      <c r="E37" s="39" t="inlineStr">
        <is>
          <t>Hakchum</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Molt Augmented</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Deadhead / S: Secondary Merciless / M: Melee Duplicate</t>
        </is>
      </c>
      <c r="AH37" s="39" t="inlineStr">
        <is>
          <t>Prisma Skana: EVO2: Guardian's Promise, EVO3: Orokin Reach, EVO4: Survivor's Edge</t>
        </is>
      </c>
      <c r="AI37" s="39" t="inlineStr">
        <is>
          <t>Nunchasa: crit (Viral); Aksondol: crit (Viral); Prisma Skana: crit (Viral)</t>
        </is>
      </c>
      <c r="AJ37" s="39" t="inlineStr">
        <is>
          <t>64/65 (fits)</t>
        </is>
      </c>
      <c r="AK37" s="39" t="n">
        <v>6</v>
      </c>
      <c r="AL37" s="39" t="inlineStr">
        <is>
          <t>Hakchum replaced: Hakchum is a listed Ice source but Nurinarim cannot gain Ice during the dance; confirm Neote+Naraemagi alone sustain Ice -&gt; LIVE TEST REQUIRED</t>
        </is>
      </c>
      <c r="AM37" s="39" t="inlineStr">
        <is>
          <t>Nurinarim ruling: cast ability, no Melee replacement (Prisma Skana retained). No live Narin augments.</t>
        </is>
      </c>
      <c r="AN37" s="39" t="inlineStr">
        <is>
          <t>COMPLETE</t>
        </is>
      </c>
    </row>
    <row r="38">
      <c r="A38" s="39" t="inlineStr">
        <is>
          <t>PENDING optimization audit</t>
        </is>
      </c>
      <c r="B38" s="39" t="inlineStr">
        <is>
          <t>Nekros Prime</t>
        </is>
      </c>
      <c r="C38" s="39" t="inlineStr">
        <is>
          <t>Desecrate loot + Shadows of the Dead army</t>
        </is>
      </c>
      <c r="D38" s="39" t="inlineStr">
        <is>
          <t>Roar</t>
        </is>
      </c>
      <c r="E38" s="39" t="inlineStr">
        <is>
          <t>Soul Punch</t>
        </is>
      </c>
      <c r="F38" s="39" t="n">
        <v>217</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Primed Flow | Streamline | Shield of Shadows</t>
        </is>
      </c>
      <c r="P38" s="39" t="inlineStr">
        <is>
          <t>Shield of Shadows</t>
        </is>
      </c>
      <c r="Q38" s="39" t="inlineStr">
        <is>
          <t>Shield of Shadows, Umbral set</t>
        </is>
      </c>
      <c r="R38" s="39" t="inlineStr">
        <is>
          <t>Arcane Energize</t>
        </is>
      </c>
      <c r="S38" s="39" t="inlineStr">
        <is>
          <t>Molt Augmented</t>
        </is>
      </c>
      <c r="T38" s="39" t="inlineStr">
        <is>
          <t>Tauforged Crimson: Ability Strength +15%</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Animosity</t>
        </is>
      </c>
      <c r="AH38" s="39" t="inlineStr">
        <is>
          <t>-</t>
        </is>
      </c>
      <c r="AI38" s="39" t="inlineStr">
        <is>
          <t>Tigris Prime: status (Viral + Electricity); Twin Grakatas: crit (Viral); Galatine Prime: crit (Viral)</t>
        </is>
      </c>
      <c r="AJ38" s="39" t="inlineStr">
        <is>
          <t>66/67 (fits)</t>
        </is>
      </c>
      <c r="AK38" s="39" t="n">
        <v>5</v>
      </c>
      <c r="AL38" s="39" t="inlineStr">
        <is>
          <t>-</t>
        </is>
      </c>
      <c r="AM38" s="39" t="n"/>
      <c r="AN38" s="39" t="inlineStr">
        <is>
          <t>COMPLETE</t>
        </is>
      </c>
    </row>
    <row r="39">
      <c r="A39" s="39" t="inlineStr">
        <is>
          <t>PENDING optimization audit</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Deadhead / S: Secondary Encumber / M: Melee Duplicate</t>
        </is>
      </c>
      <c r="AH39" s="39" t="inlineStr">
        <is>
          <t>-</t>
        </is>
      </c>
      <c r="AI39" s="39" t="inlineStr">
        <is>
          <t>Proboscis Cernos: status (Viral); Zakti Prime: status (Viral); Guandao Prime: crit (Viral)</t>
        </is>
      </c>
      <c r="AJ39" s="39" t="inlineStr">
        <is>
          <t>62/65 (fits)</t>
        </is>
      </c>
      <c r="AK39" s="39" t="n">
        <v>6</v>
      </c>
      <c r="AL39" s="39" t="inlineStr">
        <is>
          <t>-</t>
        </is>
      </c>
      <c r="AM39" s="39" t="n"/>
      <c r="AN39" s="39" t="inlineStr">
        <is>
          <t>COMPLETE</t>
        </is>
      </c>
    </row>
    <row r="40">
      <c r="A40" s="39" t="inlineStr">
        <is>
          <t>PENDING optimization audit</t>
        </is>
      </c>
      <c r="B40" s="39" t="inlineStr">
        <is>
          <t>Nidus Prime</t>
        </is>
      </c>
      <c r="C40" s="39" t="inlineStr">
        <is>
          <t>Virulence/Larva mutation stack infested caster</t>
        </is>
      </c>
      <c r="D40" s="39" t="inlineStr">
        <is>
          <t>Roar</t>
        </is>
      </c>
      <c r="E40" s="39" t="inlineStr">
        <is>
          <t>Parasitic Link</t>
        </is>
      </c>
      <c r="F40" s="39" t="n">
        <v>217</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Umbral Vitality | Umbral Fiber | Primed Continuity | Stretch | Primed Flow | Streamline | Larva Burst</t>
        </is>
      </c>
      <c r="P40" s="39" t="inlineStr">
        <is>
          <t>Larva Burst</t>
        </is>
      </c>
      <c r="Q40" s="39" t="inlineStr">
        <is>
          <t>No shields; Undying passive, Ravenous</t>
        </is>
      </c>
      <c r="R40" s="39" t="inlineStr">
        <is>
          <t>Arcane Reaper</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74/74 (fits)</t>
        </is>
      </c>
      <c r="AK40" s="39" t="n">
        <v>3</v>
      </c>
      <c r="AL40" s="39" t="inlineStr">
        <is>
          <t>-</t>
        </is>
      </c>
      <c r="AM40" s="39" t="n"/>
      <c r="AN40" s="39" t="inlineStr">
        <is>
          <t>COMPLETE</t>
        </is>
      </c>
    </row>
    <row r="41">
      <c r="A41" s="39" t="inlineStr">
        <is>
          <t>PENDING optimization audit</t>
        </is>
      </c>
      <c r="B41" s="39" t="inlineStr">
        <is>
          <t>Nokko</t>
        </is>
      </c>
      <c r="C41" s="39" t="inlineStr">
        <is>
          <t>Mushroom caster: Stinkbrain/Brightbonnet pulses, Reroot</t>
        </is>
      </c>
      <c r="D41" s="39" t="inlineStr">
        <is>
          <t>Roar</t>
        </is>
      </c>
      <c r="E41" s="39" t="inlineStr">
        <is>
          <t>Sporespring</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Energize</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Encumber / M: Melee Influence</t>
        </is>
      </c>
      <c r="AH41" s="39" t="inlineStr">
        <is>
          <t>-</t>
        </is>
      </c>
      <c r="AI41" s="39" t="inlineStr">
        <is>
          <t>Sporothrix: status (Viral); Ocucor: status (Viral); Mios: status (Viral + Electricity)</t>
        </is>
      </c>
      <c r="AJ41" s="39" t="inlineStr">
        <is>
          <t>74/74 (fits)</t>
        </is>
      </c>
      <c r="AK41" s="39" t="n">
        <v>3</v>
      </c>
      <c r="AL41" s="39" t="inlineStr">
        <is>
          <t>-</t>
        </is>
      </c>
      <c r="AM41" s="39" t="n"/>
      <c r="AN41" s="39" t="inlineStr">
        <is>
          <t>COMPLETE</t>
        </is>
      </c>
    </row>
    <row r="42">
      <c r="A42" s="39" t="inlineStr">
        <is>
          <t>PENDING optimization audit</t>
        </is>
      </c>
      <c r="B42" s="39" t="inlineStr">
        <is>
          <t>Nova Prime</t>
        </is>
      </c>
      <c r="C42" s="39" t="inlineStr">
        <is>
          <t>Molecular Prime slow/speed + Antimatter Drop</t>
        </is>
      </c>
      <c r="D42" s="39" t="inlineStr">
        <is>
          <t>Roar</t>
        </is>
      </c>
      <c r="E42" s="39" t="inlineStr">
        <is>
          <t>Null Star</t>
        </is>
      </c>
      <c r="F42" s="39" t="n">
        <v>195</v>
      </c>
      <c r="G42" s="39" t="n">
        <v>165</v>
      </c>
      <c r="H42" s="39" t="n">
        <v>175</v>
      </c>
      <c r="I42" s="39" t="n">
        <v>130</v>
      </c>
      <c r="J42" s="39" t="inlineStr">
        <is>
          <t>Str: slow (negative Str = speed); this build is slow/damage.</t>
        </is>
      </c>
      <c r="K42" s="39" t="inlineStr">
        <is>
          <t>Molecular Prime damage doubling</t>
        </is>
      </c>
      <c r="L42" s="39" t="inlineStr">
        <is>
          <t>Growing Power</t>
        </is>
      </c>
      <c r="M42" s="39" t="n"/>
      <c r="N42" s="39" t="inlineStr">
        <is>
          <t>Power Drift</t>
        </is>
      </c>
      <c r="O42" s="39" t="inlineStr">
        <is>
          <t>Umbral Intensify | Primed Continuity | Stretch | Augur Reach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Fortress Salvo, EVO3: Kinetic Battle, EVO4: Zeroed In</t>
        </is>
      </c>
      <c r="AI42" s="39" t="inlineStr">
        <is>
          <t>Soma Prime: crit (Viral); Aksomati Prime: crit (Viral); Gunsen Prime: status (Viral + Electricity)</t>
        </is>
      </c>
      <c r="AJ42" s="39" t="inlineStr">
        <is>
          <t>65/65 (fits)</t>
        </is>
      </c>
      <c r="AK42" s="39" t="n">
        <v>5</v>
      </c>
      <c r="AL42" s="39" t="inlineStr">
        <is>
          <t>-</t>
        </is>
      </c>
      <c r="AM42" s="39" t="n"/>
      <c r="AN42" s="39" t="inlineStr">
        <is>
          <t>COMPLETE</t>
        </is>
      </c>
    </row>
    <row r="43">
      <c r="A43" s="39" t="inlineStr">
        <is>
          <t>PENDING optimization audit</t>
        </is>
      </c>
      <c r="B43" s="39" t="inlineStr">
        <is>
          <t>Nyx Prime</t>
        </is>
      </c>
      <c r="C43" s="39" t="inlineStr">
        <is>
          <t>Current Nyx: Psychic Bolts defense strip, Chaos radiation, Absorb weapon buff</t>
        </is>
      </c>
      <c r="D43" s="39" t="inlineStr">
        <is>
          <t>Roar</t>
        </is>
      </c>
      <c r="E43" s="39" t="inlineStr">
        <is>
          <t>Mind Control</t>
        </is>
      </c>
      <c r="F43" s="39" t="n">
        <v>217</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Tauforged Crimson: Ability Strength +15%</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Animosity</t>
        </is>
      </c>
      <c r="AH43" s="39" t="inlineStr">
        <is>
          <t>-</t>
        </is>
      </c>
      <c r="AI43" s="39" t="inlineStr">
        <is>
          <t>Synapse: crit (Viral); Hikou Prime: status (Viral); Scindo Prime: crit (Viral)</t>
        </is>
      </c>
      <c r="AJ43" s="39" t="inlineStr">
        <is>
          <t>62/65 (fits)</t>
        </is>
      </c>
      <c r="AK43" s="39" t="n">
        <v>6</v>
      </c>
      <c r="AL43" s="39" t="inlineStr">
        <is>
          <t>-</t>
        </is>
      </c>
      <c r="AM43" s="39" t="n"/>
      <c r="AN43" s="39" t="inlineStr">
        <is>
          <t>COMPLETE</t>
        </is>
      </c>
    </row>
    <row r="44">
      <c r="A44" s="39" t="inlineStr">
        <is>
          <t>PENDING optimization audit</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King's Gambit, EVO3: Void's Guidance, EVO4: Commodore's Fortune</t>
        </is>
      </c>
      <c r="AI44" s="39" t="inlineStr">
        <is>
          <t>Sybaris Prime: crit (Viral); Sicarus Prime: crit (Viral); Silva &amp; Aegis Prime: crit (Viral)</t>
        </is>
      </c>
      <c r="AJ44" s="39" t="inlineStr">
        <is>
          <t>70/74 (fits)</t>
        </is>
      </c>
      <c r="AK44" s="39" t="n">
        <v>3</v>
      </c>
      <c r="AL44" s="39" t="inlineStr">
        <is>
          <t>-</t>
        </is>
      </c>
      <c r="AM44" s="39" t="n"/>
      <c r="AN44" s="39" t="inlineStr">
        <is>
          <t>COMPLETE</t>
        </is>
      </c>
    </row>
    <row r="45">
      <c r="A45" s="39" t="inlineStr">
        <is>
          <t>PENDING optimization audit</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180</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Tauforged Crimson: Ability Strength +15%</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PENDING optimization audit</t>
        </is>
      </c>
      <c r="B46" s="39" t="inlineStr">
        <is>
          <t>Oraxia</t>
        </is>
      </c>
      <c r="C46" s="39" t="inlineStr">
        <is>
          <t>Webbed Embrace / Widow's Brood spider caster; Silken Stride</t>
        </is>
      </c>
      <c r="D46" s="39" t="inlineStr">
        <is>
          <t>Roar</t>
        </is>
      </c>
      <c r="E46" s="39" t="inlineStr">
        <is>
          <t>Mercy's Kiss</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Survivor's Edge</t>
        </is>
      </c>
      <c r="AI46" s="39" t="inlineStr">
        <is>
          <t>Torid: status (Viral); Scyotid: crit (Viral); Spinnerex: status (Viral + Electricity)</t>
        </is>
      </c>
      <c r="AJ46" s="39" t="inlineStr">
        <is>
          <t>74/74 (fits)</t>
        </is>
      </c>
      <c r="AK46" s="39" t="n">
        <v>3</v>
      </c>
      <c r="AL46" s="39" t="inlineStr">
        <is>
          <t>-</t>
        </is>
      </c>
      <c r="AM46" s="39" t="n"/>
      <c r="AN46" s="39" t="inlineStr">
        <is>
          <t>COMPLETE</t>
        </is>
      </c>
    </row>
    <row r="47">
      <c r="A47" s="39" t="inlineStr">
        <is>
          <t>PENDING optimization audit</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Primed Flow | Streamline | Temporal Artillery</t>
        </is>
      </c>
      <c r="P47" s="39" t="inlineStr">
        <is>
          <t>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Okina Prime: crit (Viral)</t>
        </is>
      </c>
      <c r="AJ47" s="39" t="inlineStr">
        <is>
          <t>70/74 (fits)</t>
        </is>
      </c>
      <c r="AK47" s="39" t="n">
        <v>3</v>
      </c>
      <c r="AL47" s="39" t="inlineStr">
        <is>
          <t>OPTIMIZATION REVIEW (queue): Roar over Grenade Fan vs native Temporal Anchor/Erosion configurations</t>
        </is>
      </c>
      <c r="AM47" s="39" t="inlineStr">
        <is>
          <t>v4 resolution: Roar moved from Temporal Anchor to Grenade Fan; Temporal Artillery now valid.</t>
        </is>
      </c>
      <c r="AN47" s="39" t="inlineStr">
        <is>
          <t>COMPLETE</t>
        </is>
      </c>
    </row>
    <row r="48">
      <c r="A48" s="39" t="inlineStr">
        <is>
          <t>PENDING optimization audit</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Encumber / M: Melee Animosity</t>
        </is>
      </c>
      <c r="AH48" s="39" t="inlineStr">
        <is>
          <t>Felarx: EVO2: Attuned Accuracy, EVO3: Dual-Mode, EVO4: Brutal Edge, EVO5: Devastating Attrition; Bronco Prime: EVO2: Speeding Bullet, EVO3: Kinetic Battle, EVO4: Rain of Lead; Hate: EVO2: Swordsman's Flourish, EVO3: Orokin Reach, EVO4: Absolute Valor</t>
        </is>
      </c>
      <c r="AI48" s="39" t="inlineStr">
        <is>
          <t>Felarx: crit (Viral + Electricity); Bronco Prime: status (Viral); Hate: crit (Viral)</t>
        </is>
      </c>
      <c r="AJ48" s="39" t="inlineStr">
        <is>
          <t>62/65 (fits)</t>
        </is>
      </c>
      <c r="AK48" s="39" t="n">
        <v>7</v>
      </c>
      <c r="AL48" s="39" t="inlineStr">
        <is>
          <t>-</t>
        </is>
      </c>
      <c r="AM48" s="39" t="n"/>
      <c r="AN48" s="39" t="inlineStr">
        <is>
          <t>COMPLETE</t>
        </is>
      </c>
    </row>
    <row r="49">
      <c r="A49" s="39" t="inlineStr">
        <is>
          <t>PENDING optimization audit</t>
        </is>
      </c>
      <c r="B49" s="39" t="inlineStr">
        <is>
          <t>Revenant Prime</t>
        </is>
      </c>
      <c r="C49" s="39" t="inlineStr">
        <is>
          <t>Mesmer Skin invulnerability + Reave/Danse Macabre</t>
        </is>
      </c>
      <c r="D49" s="39" t="inlineStr">
        <is>
          <t>Roar</t>
        </is>
      </c>
      <c r="E49" s="39" t="inlineStr">
        <is>
          <t>Enthrall</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Tenet Cycron: status (Adversary innate element); Tatsu Prime: status (Viral + Electricity)</t>
        </is>
      </c>
      <c r="AJ49" s="39" t="inlineStr">
        <is>
          <t>62/65 (fits)</t>
        </is>
      </c>
      <c r="AK49" s="39" t="n">
        <v>6</v>
      </c>
      <c r="AL49" s="39" t="inlineStr">
        <is>
          <t>-</t>
        </is>
      </c>
      <c r="AM49" s="39" t="n"/>
      <c r="AN49" s="39" t="inlineStr">
        <is>
          <t>COMPLETE</t>
        </is>
      </c>
    </row>
    <row r="50">
      <c r="A50" s="39" t="inlineStr">
        <is>
          <t>PENDING optimization audit</t>
        </is>
      </c>
      <c r="B50" s="39" t="inlineStr">
        <is>
          <t>Rhino Prime</t>
        </is>
      </c>
      <c r="C50" s="39" t="inlineStr">
        <is>
          <t>Iron Skin tank + native Roar damage buff</t>
        </is>
      </c>
      <c r="D50" s="39" t="inlineStr">
        <is>
          <t>Nourish</t>
        </is>
      </c>
      <c r="E50" s="39" t="inlineStr">
        <is>
          <t>Rhino Charge</t>
        </is>
      </c>
      <c r="F50" s="39" t="n">
        <v>217</v>
      </c>
      <c r="G50" s="39" t="n">
        <v>155</v>
      </c>
      <c r="H50" s="39" t="n">
        <v>145</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Stretch | Primed Flow | Streamline | Reinforcing Stomp</t>
        </is>
      </c>
      <c r="P50" s="39" t="inlineStr">
        <is>
          <t>Reinforcing Stomp</t>
        </is>
      </c>
      <c r="Q50" s="39" t="inlineStr">
        <is>
          <t>Iron Skin scales with armor, Umbral set</t>
        </is>
      </c>
      <c r="R50" s="39" t="inlineStr">
        <is>
          <t>Arcane Reaper</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Hunter's Mantra, EVO3: Swift Deliverance, EVO4: Elemental Balance</t>
        </is>
      </c>
      <c r="AI50" s="39" t="inlineStr">
        <is>
          <t>Boltor Prime: status (Viral); Viper Wraith: crit (Viral); Ankyros Prime: crit (Viral)</t>
        </is>
      </c>
      <c r="AJ50" s="39" t="inlineStr">
        <is>
          <t>74/74 (fits)</t>
        </is>
      </c>
      <c r="AK50" s="39" t="n">
        <v>4</v>
      </c>
      <c r="AL50" s="39" t="inlineStr">
        <is>
          <t>-</t>
        </is>
      </c>
      <c r="AM50" s="39" t="n"/>
      <c r="AN50" s="39" t="inlineStr">
        <is>
          <t>COMPLETE</t>
        </is>
      </c>
    </row>
    <row r="51">
      <c r="A51" s="39" t="inlineStr">
        <is>
          <t>PENDING optimization audit</t>
        </is>
      </c>
      <c r="B51" s="39" t="inlineStr">
        <is>
          <t>Saryn Prime</t>
        </is>
      </c>
      <c r="C51" s="39" t="inlineStr">
        <is>
          <t>Spores/Miasma status nuker; Molt</t>
        </is>
      </c>
      <c r="D51" s="39" t="inlineStr">
        <is>
          <t>Roar</t>
        </is>
      </c>
      <c r="E51" s="39" t="inlineStr">
        <is>
          <t>Toxic Lash</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(Adversary innate element); Pyrana: crit (Viral); Dual Ichor: crit (Viral)</t>
        </is>
      </c>
      <c r="AJ51" s="39" t="inlineStr">
        <is>
          <t>62/65 (fits)</t>
        </is>
      </c>
      <c r="AK51" s="39" t="n">
        <v>6</v>
      </c>
      <c r="AL51" s="39" t="inlineStr">
        <is>
          <t>REAUDIT (queue): v4.2 Roar over Toxic Lash vs Phase 2 Roar over Molt</t>
        </is>
      </c>
      <c r="AM51" s="39" t="n"/>
      <c r="AN51" s="39" t="inlineStr">
        <is>
          <t>COMPLETE</t>
        </is>
      </c>
    </row>
    <row r="52">
      <c r="A52" s="39" t="inlineStr">
        <is>
          <t>PENDING optimization audit</t>
        </is>
      </c>
      <c r="B52" s="39" t="inlineStr">
        <is>
          <t>Sevagoth Prime</t>
        </is>
      </c>
      <c r="C52" s="39" t="inlineStr">
        <is>
          <t>Reap/Sow death harvest; Gloom slow/lifesteal; Exalted Shadow form</t>
        </is>
      </c>
      <c r="D52" s="39" t="inlineStr">
        <is>
          <t>Roar</t>
        </is>
      </c>
      <c r="E52" s="39" t="inlineStr">
        <is>
          <t>Sow</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n"/>
      <c r="AN52" s="39" t="inlineStr">
        <is>
          <t>COMPLETE</t>
        </is>
      </c>
    </row>
    <row r="53">
      <c r="A53" s="39" t="inlineStr">
        <is>
          <t>PENDING optimization audit</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Encumber / M: Melee Influence</t>
        </is>
      </c>
      <c r="AH53" s="39" t="inlineStr">
        <is>
          <t>-</t>
        </is>
      </c>
      <c r="AI53" s="39" t="inlineStr">
        <is>
          <t>Battacor: crit (Viral); Spectra Vandal: status (Viral); Pride: status (Viral + Electricity)</t>
        </is>
      </c>
      <c r="AJ53" s="39" t="inlineStr">
        <is>
          <t>64/65 (fits)</t>
        </is>
      </c>
      <c r="AK53" s="39" t="n">
        <v>4</v>
      </c>
      <c r="AL53" s="39" t="inlineStr">
        <is>
          <t>Helminth: only Primary Son can receive the cyst; confirm Coronal Ejection replacement -&gt; LIVE TEST REQUIRED; Reactor: Orion is an Exalted Warframe; one Reactor assumed -&gt; LIVE TEST REQUIRED</t>
        </is>
      </c>
      <c r="AM53" s="39" t="inlineStr">
        <is>
          <t>No live S&amp;O augments.</t>
        </is>
      </c>
      <c r="AN53" s="39" t="inlineStr">
        <is>
          <t>COMPLETE</t>
        </is>
      </c>
    </row>
    <row r="54">
      <c r="A54" s="39" t="inlineStr">
        <is>
          <t>PENDING optimization audit</t>
        </is>
      </c>
      <c r="B54" s="39" t="inlineStr">
        <is>
          <t>Styanax Prime</t>
        </is>
      </c>
      <c r="C54" s="39" t="inlineStr">
        <is>
          <t>Axios Javelin/Final Stand nuker; Tharros Strike shield/armor strip; Afentis Prime signature</t>
        </is>
      </c>
      <c r="D54" s="39" t="inlineStr">
        <is>
          <t>Roar</t>
        </is>
      </c>
      <c r="E54" s="39" t="inlineStr">
        <is>
          <t>Rally Point</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Primed Flow | Streamline | Tharros Lethality</t>
        </is>
      </c>
      <c r="P54" s="39" t="inlineStr">
        <is>
          <t>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62/65 (fits)</t>
        </is>
      </c>
      <c r="AK54" s="39" t="n">
        <v>6</v>
      </c>
      <c r="AL54" s="39" t="inlineStr">
        <is>
          <t>REAUDIT (queue): v4.2 Roar over Rally Point vs Phase 2 Nourish over Axios Javelin</t>
        </is>
      </c>
      <c r="AM54" s="39" t="n"/>
      <c r="AN54" s="39" t="inlineStr">
        <is>
          <t>COMPLETE</t>
        </is>
      </c>
    </row>
    <row r="55">
      <c r="A55" s="39" t="inlineStr">
        <is>
          <t>PENDING optimization audit</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t>
        </is>
      </c>
      <c r="AJ55" s="39" t="inlineStr">
        <is>
          <t>62/65 (fits)</t>
        </is>
      </c>
      <c r="AK55" s="39" t="n">
        <v>7</v>
      </c>
      <c r="AL55" s="39" t="inlineStr">
        <is>
          <t>-</t>
        </is>
      </c>
      <c r="AM55" s="39" t="n"/>
      <c r="AN55" s="39" t="inlineStr">
        <is>
          <t>COMPLETE</t>
        </is>
      </c>
    </row>
    <row r="56">
      <c r="A56" s="39" t="inlineStr">
        <is>
          <t>PENDING optimization audit</t>
        </is>
      </c>
      <c r="B56" s="39" t="inlineStr">
        <is>
          <t>Titania Prime</t>
        </is>
      </c>
      <c r="C56" s="39" t="inlineStr">
        <is>
          <t>Permanent Razorwing: Dex Pixia + Diwata exalted; Tribute buffs</t>
        </is>
      </c>
      <c r="D56" s="39" t="inlineStr">
        <is>
          <t>Roar</t>
        </is>
      </c>
      <c r="E56" s="39" t="inlineStr">
        <is>
          <t>Spellbind</t>
        </is>
      </c>
      <c r="F56" s="39" t="n">
        <v>217</v>
      </c>
      <c r="G56" s="39" t="n">
        <v>165</v>
      </c>
      <c r="H56" s="39" t="n">
        <v>145</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Stretch | Razorwing Blitz</t>
        </is>
      </c>
      <c r="P56" s="39" t="inlineStr">
        <is>
          <t>Razorwing Blitz</t>
        </is>
      </c>
      <c r="Q56" s="39" t="inlineStr">
        <is>
          <t>Small hitbox in Razorwing, Umbral set</t>
        </is>
      </c>
      <c r="R56" s="39" t="inlineStr">
        <is>
          <t>Arcane Avenger</t>
        </is>
      </c>
      <c r="S56" s="39" t="inlineStr">
        <is>
          <t>Molt Augmented</t>
        </is>
      </c>
      <c r="T56" s="39" t="inlineStr">
        <is>
          <t>Tauforged Crimson: Ability Strength +15%</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n"/>
      <c r="AN56" s="39" t="inlineStr">
        <is>
          <t>COMPLETE</t>
        </is>
      </c>
    </row>
    <row r="57">
      <c r="A57" s="39" t="inlineStr">
        <is>
          <t>PENDING optimization audit</t>
        </is>
      </c>
      <c r="B57" s="39" t="inlineStr">
        <is>
          <t>Trinity Prime</t>
        </is>
      </c>
      <c r="C57" s="39" t="inlineStr">
        <is>
          <t>Energy Vampire/Blessing support</t>
        </is>
      </c>
      <c r="D57" s="39" t="inlineStr">
        <is>
          <t>Roar</t>
        </is>
      </c>
      <c r="E57" s="39" t="inlineStr">
        <is>
          <t>Well of Life</t>
        </is>
      </c>
      <c r="F57" s="39" t="n">
        <v>217</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Tauforged Crimson: Ability Strength +15%</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Encumber / M: Melee Influence</t>
        </is>
      </c>
      <c r="AH57" s="39" t="inlineStr">
        <is>
          <t>Boar Prime: EVO2: Fortress Salvo, EVO3: Ready Retaliation, EVO4: Critical Parallel</t>
        </is>
      </c>
      <c r="AI57" s="39" t="inlineStr">
        <is>
          <t>Boar Prime: crit (Viral + Electricity); Akbronco Prime: status (Viral); Dual Kamas Prime: status (Viral + Electricity)</t>
        </is>
      </c>
      <c r="AJ57" s="39" t="inlineStr">
        <is>
          <t>62/65 (fits)</t>
        </is>
      </c>
      <c r="AK57" s="39" t="n">
        <v>6</v>
      </c>
      <c r="AL57" s="39" t="inlineStr">
        <is>
          <t>-</t>
        </is>
      </c>
      <c r="AM57" s="39" t="n"/>
      <c r="AN57" s="39" t="inlineStr">
        <is>
          <t>COMPLETE</t>
        </is>
      </c>
    </row>
    <row r="58">
      <c r="A58" s="39" t="inlineStr">
        <is>
          <t>PENDING optimization audit</t>
        </is>
      </c>
      <c r="B58" s="39" t="inlineStr">
        <is>
          <t>Uriel</t>
        </is>
      </c>
      <c r="C58" s="39" t="inlineStr">
        <is>
          <t>Demon summoner: Infernalis/Remedium/Demonium, Brimstone</t>
        </is>
      </c>
      <c r="D58" s="39" t="inlineStr">
        <is>
          <t>NO HELMINTH</t>
        </is>
      </c>
      <c r="E58" s="39" t="inlineStr">
        <is>
          <t>NO HELMINTH: Demon kit requires all abilities</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Encumber / M: Melee Duplicate</t>
        </is>
      </c>
      <c r="AH58" s="39" t="inlineStr">
        <is>
          <t>-</t>
        </is>
      </c>
      <c r="AI58" s="39" t="inlineStr">
        <is>
          <t>Vinquibus (Primary): crit (Viral); Kuva Twin Stubbas: status (Adversary innate element); Vinquibus (Melee): crit (Viral)</t>
        </is>
      </c>
      <c r="AJ58" s="39" t="inlineStr">
        <is>
          <t>74/74 (fits)</t>
        </is>
      </c>
      <c r="AK58" s="39" t="n">
        <v>4</v>
      </c>
      <c r="AL58" s="39" t="inlineStr">
        <is>
          <t>-</t>
        </is>
      </c>
      <c r="AM58" s="39" t="n"/>
      <c r="AN58" s="39" t="inlineStr">
        <is>
          <t>COMPLETE</t>
        </is>
      </c>
    </row>
    <row r="59">
      <c r="A59" s="39" t="inlineStr">
        <is>
          <t>PENDING optimization audit</t>
        </is>
      </c>
      <c r="B59" s="39" t="inlineStr">
        <is>
          <t>Valkyr Prime</t>
        </is>
      </c>
      <c r="C59" s="39" t="inlineStr">
        <is>
          <t>Hysteria invulnerable Talons melee; Warcry</t>
        </is>
      </c>
      <c r="D59" s="39" t="inlineStr">
        <is>
          <t>Roar</t>
        </is>
      </c>
      <c r="E59" s="39" t="inlineStr">
        <is>
          <t>Paralysis</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Outburst</t>
        </is>
      </c>
      <c r="AH59" s="39" t="inlineStr">
        <is>
          <t>-</t>
        </is>
      </c>
      <c r="AI59" s="39" t="inlineStr">
        <is>
          <t>Cernos Prime: crit (Viral); Twin Vipers Wraith: crit (Viral)</t>
        </is>
      </c>
      <c r="AJ59" s="39" t="inlineStr">
        <is>
          <t>74/74 (fits)</t>
        </is>
      </c>
      <c r="AK59" s="39" t="n">
        <v>4</v>
      </c>
      <c r="AL59" s="39" t="inlineStr">
        <is>
          <t>-</t>
        </is>
      </c>
      <c r="AM59" s="39" t="n"/>
      <c r="AN59" s="39" t="inlineStr">
        <is>
          <t>COMPLETE</t>
        </is>
      </c>
    </row>
    <row r="60">
      <c r="A60" s="39" t="inlineStr">
        <is>
          <t>PENDING optimization audit</t>
        </is>
      </c>
      <c r="B60" s="39" t="inlineStr">
        <is>
          <t>Vauban Prime</t>
        </is>
      </c>
      <c r="C60" s="39" t="inlineStr">
        <is>
          <t>Bastille/Vortex CC + Photon Strike</t>
        </is>
      </c>
      <c r="D60" s="39" t="inlineStr">
        <is>
          <t>Roar</t>
        </is>
      </c>
      <c r="E60" s="39" t="inlineStr">
        <is>
          <t>Tesla Nervos</t>
        </is>
      </c>
      <c r="F60" s="39" t="n">
        <v>195</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Tauforged Crimson: Ability Strength +15%</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Encumber / M: Melee Animosity</t>
        </is>
      </c>
      <c r="AH60" s="39" t="inlineStr">
        <is>
          <t>-</t>
        </is>
      </c>
      <c r="AI60" s="39" t="inlineStr">
        <is>
          <t>Ferrox: crit (Viral); Kulstar: status (Viral); Fragor Prime: crit (Viral)</t>
        </is>
      </c>
      <c r="AJ60" s="39" t="inlineStr">
        <is>
          <t>65/65 (fits)</t>
        </is>
      </c>
      <c r="AK60" s="39" t="n">
        <v>4</v>
      </c>
      <c r="AL60" s="39" t="inlineStr">
        <is>
          <t>-</t>
        </is>
      </c>
      <c r="AM60" s="39" t="n"/>
      <c r="AN60" s="39" t="inlineStr">
        <is>
          <t>COMPLETE</t>
        </is>
      </c>
    </row>
    <row r="61">
      <c r="A61" s="39" t="inlineStr">
        <is>
          <t>PENDING optimization audit</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Ability Damage vs Electricity +10%</t>
        </is>
      </c>
      <c r="V61" s="39" t="inlineStr">
        <is>
          <t>Violet: Ability Damage vs Electricity +10%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(Adversary innate element); Ohma: status (Viral + Electricity)</t>
        </is>
      </c>
      <c r="AJ61" s="39" t="inlineStr">
        <is>
          <t>73/74 (fits)</t>
        </is>
      </c>
      <c r="AK61" s="39" t="n">
        <v>2</v>
      </c>
      <c r="AL61" s="39" t="inlineStr">
        <is>
          <t>-</t>
        </is>
      </c>
      <c r="AM61" s="39" t="n"/>
      <c r="AN61" s="39" t="inlineStr">
        <is>
          <t>COMPLETE</t>
        </is>
      </c>
    </row>
    <row r="62">
      <c r="A62" s="39" t="inlineStr">
        <is>
          <t>PENDING optimization audit</t>
        </is>
      </c>
      <c r="B62" s="39" t="inlineStr">
        <is>
          <t>Voruna Prime</t>
        </is>
      </c>
      <c r="C62" s="39" t="inlineStr">
        <is>
          <t>Lycath's Hunt/Fangs of Raksh hunter; Perigale/Sarofang signatures</t>
        </is>
      </c>
      <c r="D62" s="39" t="inlineStr">
        <is>
          <t>Roar</t>
        </is>
      </c>
      <c r="E62" s="39" t="inlineStr">
        <is>
          <t>Shroud of Dynar</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Outburst / M: Melee Animosity</t>
        </is>
      </c>
      <c r="AH62" s="39" t="inlineStr">
        <is>
          <t>-</t>
        </is>
      </c>
      <c r="AI62" s="39" t="inlineStr">
        <is>
          <t>Perigale Prime: crit (Viral); Grimoire: status (Viral); Sarofang Prime: crit (Viral)</t>
        </is>
      </c>
      <c r="AJ62" s="39" t="inlineStr">
        <is>
          <t>62/65 (fits)</t>
        </is>
      </c>
      <c r="AK62" s="39" t="n">
        <v>7</v>
      </c>
      <c r="AL62" s="39" t="inlineStr">
        <is>
          <t>-</t>
        </is>
      </c>
      <c r="AM62" s="39" t="inlineStr">
        <is>
          <t>Prey of Dynar unused (Shroud replaced).</t>
        </is>
      </c>
      <c r="AN62" s="39" t="inlineStr">
        <is>
          <t>COMPLETE</t>
        </is>
      </c>
    </row>
    <row r="63">
      <c r="A63" s="39" t="inlineStr">
        <is>
          <t>PENDING optimization audit</t>
        </is>
      </c>
      <c r="B63" s="39" t="inlineStr">
        <is>
          <t>Wisp Prime</t>
        </is>
      </c>
      <c r="C63" s="39" t="inlineStr">
        <is>
          <t>Reservoir support + Breach Surge/Sol Gate</t>
        </is>
      </c>
      <c r="D63" s="39" t="inlineStr">
        <is>
          <t>Roar</t>
        </is>
      </c>
      <c r="E63" s="39" t="inlineStr">
        <is>
          <t>Wil-O-Wisp</t>
        </is>
      </c>
      <c r="F63" s="39" t="n">
        <v>202</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Tauforged Crimson: Ability Strength +15%</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Encumber / M: Melee Duplicate</t>
        </is>
      </c>
      <c r="AH63" s="39" t="inlineStr">
        <is>
          <t>Furis: EVO2: Stormburst, EVO3: Practiced Grip, EVO4: Prelude of Might</t>
        </is>
      </c>
      <c r="AI63" s="39" t="inlineStr">
        <is>
          <t>Fulmin Prime: crit (Viral); Furis: status (Viral); Tipedo Prime: crit (Viral)</t>
        </is>
      </c>
      <c r="AJ63" s="39" t="inlineStr">
        <is>
          <t>62/65 (fits)</t>
        </is>
      </c>
      <c r="AK63" s="39" t="n">
        <v>6</v>
      </c>
      <c r="AL63" s="39" t="inlineStr">
        <is>
          <t>-</t>
        </is>
      </c>
      <c r="AM63" s="39" t="n"/>
      <c r="AN63" s="39" t="inlineStr">
        <is>
          <t>COMPLETE</t>
        </is>
      </c>
    </row>
    <row r="64">
      <c r="A64" s="39" t="inlineStr">
        <is>
          <t>PENDING optimization audit</t>
        </is>
      </c>
      <c r="B64" s="39" t="inlineStr">
        <is>
          <t>Wukong Prime</t>
        </is>
      </c>
      <c r="C64" s="39" t="inlineStr">
        <is>
          <t>Celestial Twin + Primal Fury Iron Staff exalted; Defy</t>
        </is>
      </c>
      <c r="D64" s="39" t="inlineStr">
        <is>
          <t>Roar</t>
        </is>
      </c>
      <c r="E64" s="39" t="inlineStr">
        <is>
          <t>Cloud Walker</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Deadhead / S: Secondary Outburst</t>
        </is>
      </c>
      <c r="AH64" s="39" t="inlineStr">
        <is>
          <t>Ballistica Prime: EVO2: Prolific Perforation, EVO3: Rapid Reinforcement, EVO4: Critical Parallel</t>
        </is>
      </c>
      <c r="AI64" s="39" t="inlineStr">
        <is>
          <t>Zhuge Prime: crit (Viral); Ballistica Prime: crit (Viral)</t>
        </is>
      </c>
      <c r="AJ64" s="39" t="inlineStr">
        <is>
          <t>74/74 (fits)</t>
        </is>
      </c>
      <c r="AK64" s="39" t="n">
        <v>3</v>
      </c>
      <c r="AL64" s="39" t="inlineStr">
        <is>
          <t>-</t>
        </is>
      </c>
      <c r="AM64" s="39" t="n"/>
      <c r="AN64" s="39" t="inlineStr">
        <is>
          <t>COMPLETE</t>
        </is>
      </c>
    </row>
    <row r="65">
      <c r="A65" s="39" t="inlineStr">
        <is>
          <t>PENDING optimization audit</t>
        </is>
      </c>
      <c r="B65" s="39" t="inlineStr">
        <is>
          <t>Xaku Prime</t>
        </is>
      </c>
      <c r="C65" s="39" t="inlineStr">
        <is>
          <t>The Vast Untime damage amp/CC; Grasp of Lohk (no replacement)</t>
        </is>
      </c>
      <c r="D65" s="39" t="inlineStr">
        <is>
          <t>Roar</t>
        </is>
      </c>
      <c r="E65" s="39" t="inlineStr">
        <is>
          <t>Xata's Whisper</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Merciless / M: Melee Duplicate</t>
        </is>
      </c>
      <c r="AH65" s="39" t="inlineStr">
        <is>
          <t>Laetum: EVO2: Marksman's Hand, EVO3: Lethal Rearmament, EVO4: Elemental Excess, EVO5: Devouring Attrition</t>
        </is>
      </c>
      <c r="AI65" s="39" t="inlineStr">
        <is>
          <t>Trumna Prime: crit (Viral); Laetum: crit (Viral); Quassus Prime: crit (Viral)</t>
        </is>
      </c>
      <c r="AJ65" s="39" t="inlineStr">
        <is>
          <t>62/65 (fits)</t>
        </is>
      </c>
      <c r="AK65" s="39" t="n">
        <v>7</v>
      </c>
      <c r="AL65" s="39" t="inlineStr">
        <is>
          <t>-</t>
        </is>
      </c>
      <c r="AM65" s="39" t="n"/>
      <c r="AN65" s="39" t="inlineStr">
        <is>
          <t>COMPLETE</t>
        </is>
      </c>
    </row>
    <row r="66">
      <c r="A66" s="39" t="inlineStr">
        <is>
          <t>PENDING optimization audit</t>
        </is>
      </c>
      <c r="B66" s="39" t="inlineStr">
        <is>
          <t>Yareli Prime</t>
        </is>
      </c>
      <c r="C66" s="39" t="inlineStr">
        <is>
          <t>Merulina/Aquablades mobile caster; Kompressa Prime signature</t>
        </is>
      </c>
      <c r="D66" s="39" t="inlineStr">
        <is>
          <t>Roar</t>
        </is>
      </c>
      <c r="E66" s="39" t="inlineStr">
        <is>
          <t>Sea Snares</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Encumber / M: Melee Influence</t>
        </is>
      </c>
      <c r="AH66" s="39" t="inlineStr">
        <is>
          <t>-</t>
        </is>
      </c>
      <c r="AI66" s="39" t="inlineStr">
        <is>
          <t>Komorex: status (Viral); Kompressa Prime: status (Viral); Ghoulsaw: status (Viral + Electricity)</t>
        </is>
      </c>
      <c r="AJ66" s="39" t="inlineStr">
        <is>
          <t>74/74 (fits)</t>
        </is>
      </c>
      <c r="AK66" s="39" t="n">
        <v>3</v>
      </c>
      <c r="AL66" s="39" t="inlineStr">
        <is>
          <t>-</t>
        </is>
      </c>
      <c r="AM66" s="39" t="n"/>
      <c r="AN66" s="39" t="inlineStr">
        <is>
          <t>COMPLETE</t>
        </is>
      </c>
    </row>
    <row r="67">
      <c r="A67" s="39" t="inlineStr">
        <is>
          <t>PENDING optimization audit</t>
        </is>
      </c>
      <c r="B67" s="39" t="inlineStr">
        <is>
          <t>Zephyr Prime</t>
        </is>
      </c>
      <c r="C67" s="39" t="inlineStr">
        <is>
          <t>Turbulence projectile deflection + Tornado; Jet Stream</t>
        </is>
      </c>
      <c r="D67" s="39" t="inlineStr">
        <is>
          <t>Roar</t>
        </is>
      </c>
      <c r="E67" s="39" t="inlineStr">
        <is>
          <t>Tail Wind</t>
        </is>
      </c>
      <c r="F67" s="39" t="n">
        <v>217</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Avenger</t>
        </is>
      </c>
      <c r="S67" s="39" t="inlineStr">
        <is>
          <t>Molt Augmented</t>
        </is>
      </c>
      <c r="T67" s="39" t="inlineStr">
        <is>
          <t>Tauforged Crimson: Ability Strength +15%</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Deadhead / S: Secondary Merciless / M: Melee Influence</t>
        </is>
      </c>
      <c r="AH67" s="39" t="inlineStr">
        <is>
          <t>-</t>
        </is>
      </c>
      <c r="AI67" s="39" t="inlineStr">
        <is>
          <t>Nataruk: status (Viral); Catchmoon: crit (Viral); Kronen Prime: status (Viral + Electricity)</t>
        </is>
      </c>
      <c r="AJ67" s="39" t="inlineStr">
        <is>
          <t>62/65 (fits)</t>
        </is>
      </c>
      <c r="AK67" s="39" t="n">
        <v>6</v>
      </c>
      <c r="AL67" s="39" t="inlineStr">
        <is>
          <t>-</t>
        </is>
      </c>
      <c r="AM67" s="39" t="n"/>
      <c r="AN67" s="39" t="inlineStr">
        <is>
          <t>COMPLETE</t>
        </is>
      </c>
    </row>
  </sheetData>
  <autoFilter ref="A1:AN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Mods sheet</t>
        </is>
      </c>
      <c r="B20" t="inlineStr">
        <is>
          <t>Savage Silence listed as Ash augment</t>
        </is>
      </c>
      <c r="C20" t="inlineStr">
        <is>
          <t>Mod data: Savage Silence is the Banshee Silence augment.</t>
        </is>
      </c>
      <c r="D20" t="inlineStr">
        <is>
          <t>Reassigned to Banshee.</t>
        </is>
      </c>
      <c r="E20" t="inlineStr">
        <is>
          <t>None (collection buys every mod).</t>
        </is>
      </c>
    </row>
    <row r="21">
      <c r="A21" t="inlineStr">
        <is>
          <t>Mods sheet</t>
        </is>
      </c>
      <c r="B21" t="inlineStr">
        <is>
          <t>Repelling Bastille (Vauban)</t>
        </is>
      </c>
      <c r="C21" t="inlineStr">
        <is>
          <t>Mod data: no such mod exists live; the Bastille augment is Enduring Bastille.</t>
        </is>
      </c>
      <c r="D21" t="inlineStr">
        <is>
          <t>Replaced with Enduring Bastille.</t>
        </is>
      </c>
      <c r="E21" t="inlineStr">
        <is>
          <t>None (collection).</t>
        </is>
      </c>
    </row>
    <row r="22">
      <c r="A22" t="inlineStr">
        <is>
          <t>Archon Shards</t>
        </is>
      </c>
      <c r="B22" t="inlineStr">
        <is>
          <t>230 planned shards</t>
        </is>
      </c>
      <c r="C22" t="inlineStr">
        <is>
          <t>66 frames x 5 slots = 330.</t>
        </is>
      </c>
      <c r="D22" t="inlineStr">
        <is>
          <t>100 shards unplanned; flagged.</t>
        </is>
      </c>
      <c r="E22" t="inlineStr">
        <is>
          <t>Account-bound; no plat effect.</t>
        </is>
      </c>
    </row>
    <row r="23">
      <c r="A23" t="inlineStr">
        <is>
          <t>Companion slots</t>
        </is>
      </c>
      <c r="B23" t="inlineStr">
        <is>
          <t>7 pairs (14 slots) x 12p, zero free</t>
        </is>
      </c>
      <c r="C23" t="inlineStr">
        <is>
          <t>13 companions + 7 sentinel robotic weapons = 20 companion slots; 10 starter slots.</t>
        </is>
      </c>
      <c r="D23" t="inlineStr">
        <is>
          <t>Gross 10 pairs (120p); net 5 pairs (60p).</t>
        </is>
      </c>
      <c r="E23" t="inlineStr">
        <is>
          <t>Infrastructure recalculated.</t>
        </is>
      </c>
    </row>
    <row r="24">
      <c r="A24" t="inlineStr">
        <is>
          <t>Arcanes</t>
        </is>
      </c>
      <c r="B24" t="inlineStr">
        <is>
          <t>14 Warframe + Melee Crescendo only</t>
        </is>
      </c>
      <c r="C24" t="inlineStr">
        <is>
          <t>183 ordinary weapons have arcane slots but no weapon arcanes were specified.</t>
        </is>
      </c>
      <c r="D24" t="inlineStr">
        <is>
          <t>Added a v4 weapon-arcane baseline (11 Arcanes) as required.</t>
        </is>
      </c>
      <c r="E24" t="inlineStr">
        <is>
          <t>Required Arcane total increases.</t>
        </is>
      </c>
    </row>
    <row r="25">
      <c r="A25" t="inlineStr">
        <is>
          <t>Summary counts</t>
        </is>
      </c>
      <c r="B25" t="inlineStr">
        <is>
          <t>Adversary targets 11 / Incarnon 18 / weapons 176</t>
        </is>
      </c>
      <c r="C25" t="inlineStr">
        <is>
          <t>Normalized: adversary 12, Incarnon 39 (32 Genesis + 7 innate), 183 slot weapons + 14 Exalted/intrinsic.</t>
        </is>
      </c>
      <c r="D25" t="inlineStr">
        <is>
          <t>Summary updated.</t>
        </is>
      </c>
      <c r="E25" t="inlineStr">
        <is>
          <t>Slots, Catalysts, Elemental Vice (12) recalculated.</t>
        </is>
      </c>
    </row>
  </sheetData>
  <autoFilter ref="A1:E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Helminth Roar on Temporal Anchor conflicts with Temporal Artillery</t>
        </is>
      </c>
      <c r="C2" t="inlineStr">
        <is>
          <t>Pick: Roar over Grenade Fan (recommended) or drop Temporal Artillery</t>
        </is>
      </c>
    </row>
    <row r="3">
      <c r="A3" t="inlineStr">
        <is>
          <t>Dante</t>
        </is>
      </c>
      <c r="B3" t="inlineStr">
        <is>
          <t>Noctua ruled additional Exalted (no Secondary replacement)</t>
        </is>
      </c>
      <c r="C3" t="inlineStr">
        <is>
          <t>LIVE TEST REQUIRED if replacement is wanted</t>
        </is>
      </c>
    </row>
    <row r="4">
      <c r="A4" t="inlineStr">
        <is>
          <t>Sirius &amp; Orion</t>
        </is>
      </c>
      <c r="B4" t="inlineStr">
        <is>
          <t>Orion is an Exalted Warframe sharing rank/upgrades; Reactor count assumes one per S&amp;O</t>
        </is>
      </c>
      <c r="C4" t="inlineStr">
        <is>
          <t>LIVE CHECK: confirm Orion shares the Reactor</t>
        </is>
      </c>
    </row>
    <row r="5">
      <c r="A5" t="inlineStr">
        <is>
          <t>Signature preference</t>
        </is>
      </c>
      <c r="B5" t="inlineStr">
        <is>
          <t>v4.1 allocated uncontested no-bonus signatures (Temple Riot-848, Mirage Akzani, S&amp;O Pride)</t>
        </is>
      </c>
      <c r="C5" t="inlineStr">
        <is>
          <t>Revert to Athodai / Prisma Twin Gremlins / Caustacyst if preferred; counts unchanged</t>
        </is>
      </c>
    </row>
    <row r="6">
      <c r="A6" t="inlineStr">
        <is>
          <t>Builds</t>
        </is>
      </c>
      <c r="B6" t="inlineStr">
        <is>
          <t>v3 holds no per-frame aura/exilus/mod/arcane/shard/focus sheets</t>
        </is>
      </c>
      <c r="C6" t="inlineStr">
        <is>
          <t>Mods are covered by the all-mods mandate and Arcanes by the required + collection lines; per-frame build sheets still need authoring</t>
        </is>
      </c>
    </row>
    <row r="7">
      <c r="A7" t="inlineStr">
        <is>
          <t>Archon Shards</t>
        </is>
      </c>
      <c r="B7" t="inlineStr">
        <is>
          <t>Plan covers 230 of 330 shard slots</t>
        </is>
      </c>
      <c r="C7" t="inlineStr">
        <is>
          <t>Extend shard plan to all 66 frames</t>
        </is>
      </c>
    </row>
    <row r="8">
      <c r="A8" t="inlineStr">
        <is>
          <t>Sentinel weapons</t>
        </is>
      </c>
      <c r="B8" t="inlineStr">
        <is>
          <t>Resolved v4.1: default weapons bundled (Verglas Prime, Prime Laser Rifle, Deth Machine Rifle Prime, Burst Laser Prime, Deconstructor Prime, Vulklok, Artax)</t>
        </is>
      </c>
      <c r="C8" t="inlineStr">
        <is>
          <t>Change only if non-default sentinel weapons are wanted</t>
        </is>
      </c>
    </row>
    <row r="9">
      <c r="A9" t="inlineStr">
        <is>
          <t>Brysko</t>
        </is>
      </c>
      <c r="B9" t="inlineStr">
        <is>
          <t>Tracked in Upcoming (Not Live); excluded from live cost</t>
        </is>
      </c>
      <c r="C9" t="inlineStr">
        <is>
          <t>Integrate on release: frame, Corecracker ruling, Rain &amp; Shine, Hound, Sentient shotgun</t>
        </is>
      </c>
    </row>
    <row r="10">
      <c r="A10" t="inlineStr">
        <is>
          <t>Tigris Incarnon</t>
        </is>
      </c>
      <c r="B10" t="inlineStr">
        <is>
          <t>Announced Incarnon adapter (Nekros Tigris Prime) not live</t>
        </is>
      </c>
      <c r="C10" t="inlineStr">
        <is>
          <t>Add Genesis row on release</t>
        </is>
      </c>
    </row>
    <row r="11">
      <c r="A11" t="inlineStr">
        <is>
          <t>Adversary elements</t>
        </is>
      </c>
      <c r="B11" t="inlineStr">
        <is>
          <t>v3 had no element targets; v4 set them</t>
        </is>
      </c>
      <c r="C11" t="inlineStr">
        <is>
          <t>Confirm per-frame elements</t>
        </is>
      </c>
    </row>
    <row r="12">
      <c r="A12" t="inlineStr">
        <is>
          <t>Variant families</t>
        </is>
      </c>
      <c r="B12" t="inlineStr">
        <is>
          <t>Vectis/Prime, Trumna/Prime, Dual Keres/Prime, Epitaph/Prime, Cedo/Prime, Pyrana/Prime, Ohma/Prisma Ohma</t>
        </is>
      </c>
      <c r="C12" t="inlineStr">
        <is>
          <t>Distinct items; optional further uniqueness pass</t>
        </is>
      </c>
    </row>
    <row r="13">
      <c r="A13" t="inlineStr">
        <is>
          <t>Account purchase</t>
        </is>
      </c>
      <c r="B13" t="inlineStr">
        <is>
          <t>No candidate account inventory supplied</t>
        </is>
      </c>
      <c r="C13" t="inlineStr">
        <is>
          <t>Provide export for the equivalency audit</t>
        </is>
      </c>
    </row>
  </sheetData>
  <autoFilter ref="A1:C1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LIVE TEST intrinsic weapons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7</v>
      </c>
      <c r="F2" s="39" t="inlineStr">
        <is>
          <t>Chroma Prime, Gauss Prime, Ivara Prime, Mesa Prime, Mirage Prime, Titania Prime, Zephyr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1</v>
      </c>
      <c r="F3" s="39" t="inlineStr">
        <is>
          <t>Inaros Prime</t>
        </is>
      </c>
      <c r="G3" s="39" t="n">
        <v>25</v>
      </c>
      <c r="H3" s="39" t="n">
        <v>27</v>
      </c>
      <c r="I3" s="39" t="n">
        <v>31</v>
      </c>
      <c r="J3" s="39" t="n">
        <v>42</v>
      </c>
    </row>
    <row r="4">
      <c r="A4" s="39" t="inlineStr">
        <is>
          <t>Arcane Camisado</t>
        </is>
      </c>
      <c r="B4" s="39" t="inlineStr">
        <is>
          <t>Warframe</t>
        </is>
      </c>
      <c r="C4" s="39" t="inlineStr">
        <is>
          <t>Rank 5</t>
        </is>
      </c>
      <c r="D4" s="39" t="inlineStr">
        <is>
          <t>Tradeable</t>
        </is>
      </c>
      <c r="E4" s="39" t="n">
        <v>1</v>
      </c>
      <c r="F4" s="39" t="inlineStr">
        <is>
          <t>Uriel</t>
        </is>
      </c>
      <c r="G4" s="39" t="n">
        <v>20</v>
      </c>
      <c r="H4" s="39" t="n">
        <v>30</v>
      </c>
      <c r="I4" s="39" t="n">
        <v>33</v>
      </c>
      <c r="J4" s="39" t="n">
        <v>42</v>
      </c>
    </row>
    <row r="5">
      <c r="A5" s="39" t="inlineStr">
        <is>
          <t>Arcane Crepuscular</t>
        </is>
      </c>
      <c r="B5" s="39" t="inlineStr">
        <is>
          <t>Warframe</t>
        </is>
      </c>
      <c r="C5" s="39" t="inlineStr">
        <is>
          <t>Rank 5</t>
        </is>
      </c>
      <c r="D5" s="39" t="inlineStr">
        <is>
          <t>Tradeable</t>
        </is>
      </c>
      <c r="E5" s="39" t="n">
        <v>4</v>
      </c>
      <c r="F5" s="39" t="inlineStr">
        <is>
          <t>Ash Prime, Cyte-09, Ivara Prime, Loki Prime</t>
        </is>
      </c>
      <c r="G5" s="39" t="n">
        <v>25</v>
      </c>
      <c r="H5" s="39" t="n">
        <v>29</v>
      </c>
      <c r="I5" s="39" t="n">
        <v>33</v>
      </c>
      <c r="J5" s="39" t="n">
        <v>42</v>
      </c>
    </row>
    <row r="6">
      <c r="A6" s="39" t="inlineStr">
        <is>
          <t>Arcane Energize</t>
        </is>
      </c>
      <c r="B6" s="39" t="inlineStr">
        <is>
          <t>Warframe</t>
        </is>
      </c>
      <c r="C6" s="39" t="inlineStr">
        <is>
          <t>Rank 5</t>
        </is>
      </c>
      <c r="D6" s="39" t="inlineStr">
        <is>
          <t>Tradeable</t>
        </is>
      </c>
      <c r="E6" s="39" t="n">
        <v>40</v>
      </c>
      <c r="F6" s="39" t="inlineStr">
        <is>
          <t>Ash Prime, Banshee Prime, Caliban Prime, Citrine Prime, Dagath, Dante, Equinox Prime, Follie, Grendel Prime, Gyre Prime, Harrow Prime, Hydroid Prime, Jade, Khora Prime, Koumei, Limbo Prime, Loki Prime, Mag Prime, Narin, Nekros Prime, Nezha Prime, Nokko, Nova Prime, Nyx Prime, Oberon Prime, Octavia P</t>
        </is>
      </c>
      <c r="G6" s="39" t="n">
        <v>139</v>
      </c>
      <c r="H6" s="39" t="n">
        <v>140</v>
      </c>
      <c r="I6" s="39" t="n">
        <v>154</v>
      </c>
      <c r="J6" s="39" t="n">
        <v>168</v>
      </c>
    </row>
    <row r="7">
      <c r="A7" s="39" t="inlineStr">
        <is>
          <t>Arcane Expertise</t>
        </is>
      </c>
      <c r="B7" s="39" t="inlineStr">
        <is>
          <t>Warframe</t>
        </is>
      </c>
      <c r="C7" s="39" t="inlineStr">
        <is>
          <t>Rank 5</t>
        </is>
      </c>
      <c r="D7" s="39" t="inlineStr">
        <is>
          <t>Tradeable</t>
        </is>
      </c>
      <c r="E7" s="39" t="n">
        <v>1</v>
      </c>
      <c r="F7" s="39" t="inlineStr">
        <is>
          <t>Hildryn Prime</t>
        </is>
      </c>
      <c r="G7" s="39" t="n">
        <v>35</v>
      </c>
      <c r="H7" s="39" t="n">
        <v>39</v>
      </c>
      <c r="I7" s="39" t="n">
        <v>44</v>
      </c>
      <c r="J7" s="39" t="n">
        <v>63</v>
      </c>
    </row>
    <row r="8">
      <c r="A8" s="39" t="inlineStr">
        <is>
          <t>Arcane Fury</t>
        </is>
      </c>
      <c r="B8" s="39" t="inlineStr">
        <is>
          <t>Warframe</t>
        </is>
      </c>
      <c r="C8" s="39" t="inlineStr">
        <is>
          <t>Rank 5</t>
        </is>
      </c>
      <c r="D8" s="39" t="inlineStr">
        <is>
          <t>Tradeable</t>
        </is>
      </c>
      <c r="E8" s="39" t="n">
        <v>5</v>
      </c>
      <c r="F8" s="39" t="inlineStr">
        <is>
          <t>Excalibur Umbra, Garuda Prime, Kullervo, Valkyr Prime, Wukong Prime</t>
        </is>
      </c>
      <c r="G8" s="39" t="n">
        <v>120</v>
      </c>
      <c r="H8" s="39" t="n">
        <v>120</v>
      </c>
      <c r="I8" s="39" t="n">
        <v>149</v>
      </c>
      <c r="J8" s="39" t="n">
        <v>168</v>
      </c>
    </row>
    <row r="9">
      <c r="A9" s="39" t="inlineStr">
        <is>
          <t>Arcane Hot Shot</t>
        </is>
      </c>
      <c r="B9" s="39" t="inlineStr">
        <is>
          <t>Warframe</t>
        </is>
      </c>
      <c r="C9" s="39" t="inlineStr">
        <is>
          <t>Rank 5</t>
        </is>
      </c>
      <c r="D9" s="39" t="inlineStr">
        <is>
          <t>Tradeable</t>
        </is>
      </c>
      <c r="E9" s="39" t="n">
        <v>1</v>
      </c>
      <c r="F9" s="39" t="inlineStr">
        <is>
          <t>Ember Prime</t>
        </is>
      </c>
      <c r="G9" s="39" t="n">
        <v>310</v>
      </c>
      <c r="H9" s="39" t="n">
        <v>320</v>
      </c>
      <c r="I9" s="39" t="n">
        <v>386</v>
      </c>
      <c r="J9" s="39" t="n">
        <v>294</v>
      </c>
    </row>
    <row r="10">
      <c r="A10" s="39" t="inlineStr">
        <is>
          <t>Arcane Ice Storm</t>
        </is>
      </c>
      <c r="B10" s="39" t="inlineStr">
        <is>
          <t>Warframe</t>
        </is>
      </c>
      <c r="C10" s="39" t="inlineStr">
        <is>
          <t>Rank 5</t>
        </is>
      </c>
      <c r="D10" s="39" t="inlineStr">
        <is>
          <t>Tradeable</t>
        </is>
      </c>
      <c r="E10" s="39" t="n">
        <v>1</v>
      </c>
      <c r="F10" s="39" t="inlineStr">
        <is>
          <t>Frost Prime</t>
        </is>
      </c>
      <c r="G10" s="39" t="n">
        <v>74</v>
      </c>
      <c r="H10" s="39" t="n">
        <v>78</v>
      </c>
      <c r="I10" s="39" t="n">
        <v>94</v>
      </c>
      <c r="J10" s="39" t="n">
        <v>105</v>
      </c>
    </row>
    <row r="11">
      <c r="A11" s="39" t="inlineStr">
        <is>
          <t>Arcane Reaper</t>
        </is>
      </c>
      <c r="B11" s="39" t="inlineStr">
        <is>
          <t>Warframe</t>
        </is>
      </c>
      <c r="C11" s="39" t="inlineStr">
        <is>
          <t>Rank 5</t>
        </is>
      </c>
      <c r="D11" s="39" t="inlineStr">
        <is>
          <t>Tradeable</t>
        </is>
      </c>
      <c r="E11" s="39" t="n">
        <v>12</v>
      </c>
      <c r="F11" s="39" t="inlineStr">
        <is>
          <t>Atlas Prime, Baruuk Prime, Gara Prime, Garuda Prime, Inaros Prime, Kullervo, Lavos Prime, Nidus Prime, Rhino Prime, Valkyr Prime, Voruna Prime, Wukong Prime</t>
        </is>
      </c>
      <c r="G11" s="39" t="n">
        <v>350</v>
      </c>
      <c r="H11" s="39" t="n">
        <v>390</v>
      </c>
      <c r="I11" s="39" t="n">
        <v>441</v>
      </c>
      <c r="J11" s="39" t="n">
        <v>294</v>
      </c>
    </row>
    <row r="12">
      <c r="A12" s="39" t="inlineStr">
        <is>
          <t>Arcane Universal Fallout</t>
        </is>
      </c>
      <c r="B12" s="39" t="inlineStr">
        <is>
          <t>Warframe</t>
        </is>
      </c>
      <c r="C12" s="39" t="inlineStr">
        <is>
          <t>Rank 5</t>
        </is>
      </c>
      <c r="D12" s="39" t="inlineStr">
        <is>
          <t>Tradeable</t>
        </is>
      </c>
      <c r="E12" s="39" t="n">
        <v>1</v>
      </c>
      <c r="F12" s="39" t="inlineStr">
        <is>
          <t>Qorvex</t>
        </is>
      </c>
      <c r="G12" s="39" t="n">
        <v>90</v>
      </c>
      <c r="H12" s="39" t="n">
        <v>95</v>
      </c>
      <c r="I12" s="39" t="n">
        <v>111</v>
      </c>
      <c r="J12" s="39" t="n">
        <v>105</v>
      </c>
    </row>
    <row r="13">
      <c r="A13" s="39" t="inlineStr">
        <is>
          <t>Melee Animosity</t>
        </is>
      </c>
      <c r="B13" s="39" t="inlineStr">
        <is>
          <t>Melee</t>
        </is>
      </c>
      <c r="C13" s="39" t="inlineStr">
        <is>
          <t>Rank 5</t>
        </is>
      </c>
      <c r="D13" s="39" t="inlineStr">
        <is>
          <t>Tradeable</t>
        </is>
      </c>
      <c r="E13" s="39" t="n">
        <v>10</v>
      </c>
      <c r="F13" s="39" t="inlineStr">
        <is>
          <t>Corufell Prime, Fragor Prime, Galatine Prime, Gram Prime, Hate, Masseter Prime, Sarofang Prime, Scindo Prime, Sibear, Volnus Prime</t>
        </is>
      </c>
      <c r="G13" s="39" t="n">
        <v>60</v>
      </c>
      <c r="H13" s="39" t="n">
        <v>64</v>
      </c>
      <c r="I13" s="39" t="n">
        <v>77</v>
      </c>
      <c r="J13" s="39" t="n">
        <v>94.5</v>
      </c>
    </row>
    <row r="14">
      <c r="A14" s="39" t="inlineStr">
        <is>
          <t>Melee Crescendo</t>
        </is>
      </c>
      <c r="B14" s="39" t="inlineStr">
        <is>
          <t>Melee</t>
        </is>
      </c>
      <c r="C14" s="39" t="inlineStr">
        <is>
          <t>Rank 5</t>
        </is>
      </c>
      <c r="D14" s="39" t="inlineStr">
        <is>
          <t>Tradeable</t>
        </is>
      </c>
      <c r="E14" s="39" t="n">
        <v>2</v>
      </c>
      <c r="F14" s="39" t="inlineStr">
        <is>
          <t>Innodem, Shadow Clones Prime</t>
        </is>
      </c>
      <c r="G14" s="39" t="n">
        <v>95</v>
      </c>
      <c r="H14" s="39" t="n">
        <v>98</v>
      </c>
      <c r="I14" s="39" t="n">
        <v>111</v>
      </c>
      <c r="J14" s="39" t="n">
        <v>105</v>
      </c>
    </row>
    <row r="15">
      <c r="A15" s="39" t="inlineStr">
        <is>
          <t>Melee Duplicate</t>
        </is>
      </c>
      <c r="B15" s="39" t="inlineStr">
        <is>
          <t>Melee</t>
        </is>
      </c>
      <c r="C15" s="39" t="inlineStr">
        <is>
          <t>Rank 5</t>
        </is>
      </c>
      <c r="D15" s="39" t="inlineStr">
        <is>
          <t>Tradeable</t>
        </is>
      </c>
      <c r="E15" s="39" t="n">
        <v>35</v>
      </c>
      <c r="F15" s="39" t="inlineStr">
        <is>
          <t>Amanata, Ankyros Prime, Azothane, Dakra Prime, Desert Wind Prime, Destreza Prime, Diwata Prime, Dorrclave, Dual Ichor, Dual Keres, Dual Keres Prime, Dual Zoren Prime, Garuda Prime Talons, Guandao Prime, Hirudo, Iron Staff Prime, Karyst Prime, Landslide Fists Prime, Nikana Prime, Okina Prime, Praedos</t>
        </is>
      </c>
      <c r="G15" s="39" t="n">
        <v>170</v>
      </c>
      <c r="H15" s="39" t="n">
        <v>180</v>
      </c>
      <c r="I15" s="39" t="n">
        <v>221</v>
      </c>
      <c r="J15" s="39" t="n">
        <v>147</v>
      </c>
    </row>
    <row r="16">
      <c r="A16" s="39" t="inlineStr">
        <is>
          <t>Melee Influence</t>
        </is>
      </c>
      <c r="B16" s="39" t="inlineStr">
        <is>
          <t>Melee</t>
        </is>
      </c>
      <c r="C16" s="39" t="inlineStr">
        <is>
          <t>Rank 5</t>
        </is>
      </c>
      <c r="D16" s="39" t="inlineStr">
        <is>
          <t>Tradeable</t>
        </is>
      </c>
      <c r="E16" s="39" t="n">
        <v>22</v>
      </c>
      <c r="F16" s="39" t="inlineStr">
        <is>
          <t>Cerata, Dual Kamas Prime, Exalted Umbra Blade, Ghoulsaw, Glaive Prime, Gunsen Prime, Harmony, Jat Kittag, Keratinos, Kestrel Prime, Kogake Prime, Kronen Prime, Lesion, Mios, Nami Skyla Prime, Ohma, Pathocyst, Pride, Rakta Dark Dagger, Slaytra, Spinnerex, Tatsu Prime</t>
        </is>
      </c>
      <c r="G16" s="39" t="n">
        <v>59</v>
      </c>
      <c r="H16" s="39" t="n">
        <v>65</v>
      </c>
      <c r="I16" s="39" t="n">
        <v>72</v>
      </c>
      <c r="J16" s="39" t="n">
        <v>84</v>
      </c>
    </row>
    <row r="17">
      <c r="A17" s="39" t="inlineStr">
        <is>
          <t>Molt Augmented</t>
        </is>
      </c>
      <c r="B17" s="39" t="inlineStr">
        <is>
          <t>Warframe</t>
        </is>
      </c>
      <c r="C17" s="39" t="inlineStr">
        <is>
          <t>Rank 5</t>
        </is>
      </c>
      <c r="D17" s="39" t="inlineStr">
        <is>
          <t>Tradeable</t>
        </is>
      </c>
      <c r="E17" s="39" t="n">
        <v>58</v>
      </c>
      <c r="F17" s="39" t="inlineStr">
        <is>
          <t>Atlas Prime, Banshee Prime, Baruuk Prime, Caliban Prime, Chroma Prime, Citrine Prime, Cyte-09, Dagath, Dante, Ember Prime, Equinox Prime, Excalibur Umbra, Follie, Frost Prime, Gara Prime, Gauss Prime, Grendel Prime, Gyre Prime, Harrow Prime, Hildryn Prime, Hydroid Prime, Jade, Khora Prime, Koumei, L</t>
        </is>
      </c>
      <c r="G17" s="39" t="n">
        <v>35</v>
      </c>
      <c r="H17" s="39" t="n">
        <v>40</v>
      </c>
      <c r="I17" s="39" t="n">
        <v>44</v>
      </c>
      <c r="J17" s="39" t="n">
        <v>63</v>
      </c>
    </row>
    <row r="18">
      <c r="A18" s="39" t="inlineStr">
        <is>
          <t>Primary Deadhead</t>
        </is>
      </c>
      <c r="B18" s="39" t="inlineStr">
        <is>
          <t>Primary</t>
        </is>
      </c>
      <c r="C18" s="39" t="inlineStr">
        <is>
          <t>Rank 5</t>
        </is>
      </c>
      <c r="D18" s="39" t="inlineStr">
        <is>
          <t>Tradeable</t>
        </is>
      </c>
      <c r="E18" s="39" t="n">
        <v>20</v>
      </c>
      <c r="F18" s="39" t="inlineStr">
        <is>
          <t>Artemis Bow Prime, Cernos Prime, Cinta, Evensong, Komorex, Kuva Bramma, Latron Prime, Nagantaka Prime, Nataruk, Neutralizer, Nunchasa, Paris Prime, Perigale Prime, Proboscis Cernos, Rubico Prime, Sporothrix, Vadarya Prime, Vectis, Vectis Prime, Zhuge Prime</t>
        </is>
      </c>
      <c r="G18" s="39" t="n">
        <v>13</v>
      </c>
      <c r="H18" s="39" t="n">
        <v>13</v>
      </c>
      <c r="I18" s="39" t="n">
        <v>17</v>
      </c>
      <c r="J18" s="39" t="n">
        <v>42</v>
      </c>
    </row>
    <row r="19">
      <c r="A19" s="39" t="inlineStr">
        <is>
          <t>Primary Frostbite</t>
        </is>
      </c>
      <c r="B19" s="39" t="inlineStr">
        <is>
          <t>Primary</t>
        </is>
      </c>
      <c r="C19" s="39" t="inlineStr">
        <is>
          <t>Rank 5</t>
        </is>
      </c>
      <c r="D19" s="39" t="inlineStr">
        <is>
          <t>Tradeable</t>
        </is>
      </c>
      <c r="E19" s="39" t="n">
        <v>1</v>
      </c>
      <c r="F19" s="39" t="inlineStr">
        <is>
          <t>Glaxion Vandal</t>
        </is>
      </c>
      <c r="G19" s="39" t="n">
        <v>35</v>
      </c>
      <c r="H19" s="39" t="n">
        <v>40</v>
      </c>
      <c r="I19" s="39" t="n">
        <v>66</v>
      </c>
      <c r="J19" s="39" t="n">
        <v>63</v>
      </c>
    </row>
    <row r="20">
      <c r="A20" s="39" t="inlineStr">
        <is>
          <t>Primary Merciless</t>
        </is>
      </c>
      <c r="B20" s="39" t="inlineStr">
        <is>
          <t>Primary</t>
        </is>
      </c>
      <c r="C20" s="39" t="inlineStr">
        <is>
          <t>Rank 5</t>
        </is>
      </c>
      <c r="D20" s="39" t="inlineStr">
        <is>
          <t>Tradeable</t>
        </is>
      </c>
      <c r="E20" s="39" t="n">
        <v>29</v>
      </c>
      <c r="F20" s="39" t="inlineStr">
        <is>
          <t xml:space="preserve">Acceltra Prime, Afentis Prime, Alternox Prime, Battacor, Baza Prime, Boltor Prime, Braton Prime, Burston Prime, Enkaus, Ferrox, Fulmin Prime, Gorgon Wraith, Higasa, Ignis Wraith, Kuva Ogris, Lizzie, Opticor Vandal, Panthera Prime, Phenmor, Scourge Prime, Soma Prime, Stahlta, Sybaris Prime, Synapse, </t>
        </is>
      </c>
      <c r="G20" s="39" t="n">
        <v>12</v>
      </c>
      <c r="H20" s="39" t="n">
        <v>15</v>
      </c>
      <c r="I20" s="39" t="n">
        <v>22</v>
      </c>
      <c r="J20" s="39" t="n">
        <v>42</v>
      </c>
    </row>
    <row r="21">
      <c r="A21" s="39" t="inlineStr">
        <is>
          <t>Secondary Deadhead</t>
        </is>
      </c>
      <c r="B21" s="39" t="inlineStr">
        <is>
          <t>Secondary</t>
        </is>
      </c>
      <c r="C21" s="39" t="inlineStr">
        <is>
          <t>Rank 5</t>
        </is>
      </c>
      <c r="D21" s="39" t="inlineStr">
        <is>
          <t>Tradeable</t>
        </is>
      </c>
      <c r="E21" s="39" t="n">
        <v>2</v>
      </c>
      <c r="F21" s="39" t="inlineStr">
        <is>
          <t>Euphona Prime, Lex Prime</t>
        </is>
      </c>
      <c r="G21" s="39" t="n">
        <v>8</v>
      </c>
      <c r="H21" s="39" t="n">
        <v>10</v>
      </c>
      <c r="I21" s="39" t="n">
        <v>11</v>
      </c>
      <c r="J21" s="39" t="n">
        <v>21</v>
      </c>
    </row>
    <row r="22">
      <c r="A22" s="39" t="inlineStr">
        <is>
          <t>Secondary Encumber</t>
        </is>
      </c>
      <c r="B22" s="39" t="inlineStr">
        <is>
          <t>Secondary</t>
        </is>
      </c>
      <c r="C22" s="39" t="inlineStr">
        <is>
          <t>Rank 5</t>
        </is>
      </c>
      <c r="D22" s="39" t="inlineStr">
        <is>
          <t>Tradeable</t>
        </is>
      </c>
      <c r="E22" s="39" t="n">
        <v>27</v>
      </c>
      <c r="F22" s="39" t="inlineStr">
        <is>
          <t xml:space="preserve">Akbronco Prime, Akjagara Prime, Akstiletto Prime, Atomos, Bronco Prime, Cantare, Catabolyst, Cyanex, Dual Toxocyst, Furis, Fusilai, Hikou Prime, Kompressa Prime, Kulstar, Kuva Twin Stubbas, Mara Detron, Noctua, Ocucor, Pox, Prisma Angstrum, Spectra Vandal, Staticor, Tenet Cycron, Velox Prime, Zakti </t>
        </is>
      </c>
      <c r="G22" s="39" t="n">
        <v>59</v>
      </c>
      <c r="H22" s="39" t="n">
        <v>60</v>
      </c>
      <c r="I22" s="39" t="n">
        <v>85</v>
      </c>
      <c r="J22" s="39" t="n">
        <v>84</v>
      </c>
    </row>
    <row r="23">
      <c r="A23" s="39" t="inlineStr">
        <is>
          <t>Secondary Merciless</t>
        </is>
      </c>
      <c r="B23" s="39" t="inlineStr">
        <is>
          <t>Secondary</t>
        </is>
      </c>
      <c r="C23" s="39" t="inlineStr">
        <is>
          <t>Rank 5</t>
        </is>
      </c>
      <c r="D23" s="39" t="inlineStr">
        <is>
          <t>Tradeable</t>
        </is>
      </c>
      <c r="E23" s="39" t="n">
        <v>32</v>
      </c>
      <c r="F23" s="39" t="inlineStr">
        <is>
          <t>Aegrit, Akarius Prime, Aksomati Prime, Aksondol, Akzani, Balefire Charger Prime, Catchmoon, Dex Pixia Prime, Epitaph Prime, Glory, Hystrix Prime, Knell Prime, Kunai, Kuva Nukor, Laetum, Lato Vandal, Magnus Prime, Onos, Pandero Prime, Pyrana, Pyrana Prime, Regulators Prime, Riot-848, Scyotid, Sepulcr</t>
        </is>
      </c>
      <c r="G23" s="39" t="n">
        <v>7</v>
      </c>
      <c r="H23" s="39" t="n">
        <v>8</v>
      </c>
      <c r="I23" s="39" t="n">
        <v>11</v>
      </c>
      <c r="J23" s="39" t="n">
        <v>21</v>
      </c>
    </row>
    <row r="24">
      <c r="A24" s="39" t="inlineStr">
        <is>
          <t>Secondary Outburst</t>
        </is>
      </c>
      <c r="B24" s="39" t="inlineStr">
        <is>
          <t>Secondary</t>
        </is>
      </c>
      <c r="C24" s="39" t="inlineStr">
        <is>
          <t>Rank 5</t>
        </is>
      </c>
      <c r="D24" s="39" t="inlineStr">
        <is>
          <t>Tradeable</t>
        </is>
      </c>
      <c r="E24" s="39" t="n">
        <v>7</v>
      </c>
      <c r="F24" s="39" t="inlineStr">
        <is>
          <t>Ballistica Prime, Despair, Epitaph, Grimoire, Tenet Diplos, Twin Vipers Wraith, Vasto Prime</t>
        </is>
      </c>
      <c r="G24" s="39" t="n">
        <v>90</v>
      </c>
      <c r="H24" s="39" t="n">
        <v>90</v>
      </c>
      <c r="I24" s="39" t="n">
        <v>111</v>
      </c>
      <c r="J24" s="39" t="n">
        <v>168</v>
      </c>
    </row>
    <row r="25">
      <c r="A25" s="39" t="inlineStr">
        <is>
          <t>Secondary Shiver</t>
        </is>
      </c>
      <c r="B25" s="39" t="inlineStr">
        <is>
          <t>Secondary</t>
        </is>
      </c>
      <c r="C25" s="39" t="inlineStr">
        <is>
          <t>Rank 5</t>
        </is>
      </c>
      <c r="D25" s="39" t="inlineStr">
        <is>
          <t>Tradeable</t>
        </is>
      </c>
      <c r="E25" s="39" t="n">
        <v>1</v>
      </c>
      <c r="F25" s="39" t="inlineStr">
        <is>
          <t>Twin Kohmak</t>
        </is>
      </c>
      <c r="G25" s="39" t="n">
        <v>219</v>
      </c>
      <c r="H25" s="39" t="n">
        <v>240</v>
      </c>
      <c r="I25" s="39" t="n">
        <v>281</v>
      </c>
      <c r="J25" s="39" t="n">
        <v>283.5</v>
      </c>
    </row>
    <row r="26">
      <c r="A26" s="39" t="inlineStr">
        <is>
          <t>Shotgun Vendetta</t>
        </is>
      </c>
      <c r="B26" s="39" t="inlineStr">
        <is>
          <t>Shotgun</t>
        </is>
      </c>
      <c r="C26" s="39" t="inlineStr">
        <is>
          <t>Rank 5</t>
        </is>
      </c>
      <c r="D26" s="39" t="inlineStr">
        <is>
          <t>Tradeable</t>
        </is>
      </c>
      <c r="E26" s="39" t="n">
        <v>15</v>
      </c>
      <c r="F26" s="39" t="inlineStr">
        <is>
          <t>Astilla Prime, Boar Prime, Bubonico, Cedo, Cedo Prime, Corinth Prime, Felarx, Kuva Hek, Kuva Sobek, Phantasma Prime, Rauta, Steflos Prime, Strun Prime, Tenet Arca Plasmor, Tigris Prime</t>
        </is>
      </c>
      <c r="G26" s="39" t="n">
        <v>99</v>
      </c>
      <c r="H26" s="39" t="n">
        <v>100</v>
      </c>
      <c r="I26" s="39" t="n">
        <v>176</v>
      </c>
      <c r="J26" s="39" t="n">
        <v>147</v>
      </c>
    </row>
  </sheetData>
  <autoFilter ref="A1:J26"/>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row>
    <row r="5">
      <c r="A5" s="37" t="inlineStr">
        <is>
          <t>Warframe core</t>
        </is>
      </c>
      <c r="B5" s="37" t="inlineStr">
        <is>
          <t>Umbral Vitality</t>
        </is>
      </c>
      <c r="C5" s="37" t="inlineStr">
        <is>
          <t>MAX</t>
        </is>
      </c>
      <c r="D5" s="37" t="inlineStr">
        <is>
          <t>Account-bound progression</t>
        </is>
      </c>
      <c r="E5" s="37" t="inlineStr">
        <is>
          <t>Not a trade purchase</t>
        </is>
      </c>
      <c r="F5" s="37" t="str"/>
    </row>
    <row r="6">
      <c r="A6" s="37" t="inlineStr">
        <is>
          <t>Warframe core</t>
        </is>
      </c>
      <c r="B6" s="37" t="inlineStr">
        <is>
          <t>Umbral Fiber</t>
        </is>
      </c>
      <c r="C6" s="37" t="inlineStr">
        <is>
          <t>MAX</t>
        </is>
      </c>
      <c r="D6" s="37" t="inlineStr">
        <is>
          <t>Account-bound progression</t>
        </is>
      </c>
      <c r="E6" s="37" t="inlineStr">
        <is>
          <t>Not a trade purchase</t>
        </is>
      </c>
      <c r="F6" s="37" t="str"/>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LIVE TEST with Helminth config</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1388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C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55</v>
      </c>
    </row>
    <row r="10">
      <c r="A10" s="39" t="inlineStr">
        <is>
          <t>Crimson - Ability Strength</t>
        </is>
      </c>
      <c r="B10" s="39" t="inlineStr">
        <is>
          <t>Tauforged</t>
        </is>
      </c>
      <c r="C10" s="39" t="n">
        <v>70</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4</v>
      </c>
    </row>
    <row r="19">
      <c r="A19" s="39" t="inlineStr">
        <is>
          <t>TOTAL</t>
        </is>
      </c>
      <c r="B19" s="39" t="inlineStr"/>
      <c r="C19" s="39" t="n">
        <v>330</v>
      </c>
    </row>
  </sheetData>
  <autoFilter ref="A1:C19"/>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171 ordinary non-adversary weapons (v4)</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Master'!$L$2:$L$1865,'Procurement Master'!$A$2:$A$1865,"Warframe",'Procurement Master'!$AS$2:$AS$1865,"Yes")</f>
        <v/>
      </c>
      <c r="C6" s="55">
        <f>SUMIFS('Procurement Master'!$M$2:$M$1865,'Procurement Master'!$A$2:$A$1865,"Warframe",'Procurement Master'!$AS$2:$AS$1865,"Yes")</f>
        <v/>
      </c>
      <c r="D6" s="55">
        <f>SUMIFS('Procurement Master'!$N$2:$N$1865,'Procurement Master'!$A$2:$A$1865,"Warframe",'Procurement Master'!$AS$2:$AS$1865,"Yes")</f>
        <v/>
      </c>
      <c r="E6" s="55">
        <f>COUNTIFS('Procurement Master'!$A$2:$A$1865,"Warframe",'Procurement Master'!$AS$2:$AS$1865,"Yes")</f>
        <v/>
      </c>
      <c r="F6" s="55">
        <f>COUNTIFS('Procurement Master'!$A$2:$A$1865,"Warframe",'Procurement Master'!$AS$2:$AS$1865,"Yes",'Procurement Master'!$L$2:$L$1865,"")</f>
        <v/>
      </c>
      <c r="G6" s="55">
        <f>COUNTIFS('Procurement Master'!$A$2:$A$1865,"Warframe",'Procurement Master'!$P$2:$P$1865,"*UNAVAILABLE*")</f>
        <v/>
      </c>
      <c r="H6" t="inlineStr">
        <is>
          <t>51 Prime sets; 15 base/quest frames are account-bound (0p)</t>
        </is>
      </c>
    </row>
    <row r="7">
      <c r="A7" t="inlineStr">
        <is>
          <t>Weapon acquisition (ordinary, tradeable)</t>
        </is>
      </c>
      <c r="B7" s="55">
        <f>SUMIFS('Procurement Master'!$L$2:$L$1865,'Procurement Master'!$A$2:$A$1865,"Weapon",'Procurement Master'!$AS$2:$AS$1865,"Yes")</f>
        <v/>
      </c>
      <c r="C7" s="55">
        <f>SUMIFS('Procurement Master'!$M$2:$M$1865,'Procurement Master'!$A$2:$A$1865,"Weapon",'Procurement Master'!$AS$2:$AS$1865,"Yes")</f>
        <v/>
      </c>
      <c r="D7" s="55">
        <f>SUMIFS('Procurement Master'!$N$2:$N$1865,'Procurement Master'!$A$2:$A$1865,"Weapon",'Procurement Master'!$AS$2:$AS$1865,"Yes")</f>
        <v/>
      </c>
      <c r="E7" s="55">
        <f>COUNTIFS('Procurement Master'!$A$2:$A$1865,"Weapon",'Procurement Master'!$AS$2:$AS$1865,"Yes")</f>
        <v/>
      </c>
      <c r="F7" s="55">
        <f>COUNTIFS('Procurement Master'!$A$2:$A$1865,"Weapon",'Procurement Master'!$AS$2:$AS$1865,"Yes",'Procurement Master'!$L$2:$L$1865,"")</f>
        <v/>
      </c>
      <c r="G7" s="55">
        <f>COUNTIFS('Procurement Master'!$A$2:$A$1865,"Weapon",'Procurement Master'!$P$2:$P$1865,"*UNAVAILABLE*")</f>
        <v/>
      </c>
      <c r="H7" t="inlineStr">
        <is>
          <t>Prime sets, Vandal/Wraith/Prisma, Zariman/Entrati blueprints</t>
        </is>
      </c>
    </row>
    <row r="8">
      <c r="A8" t="inlineStr">
        <is>
          <t>Adversary acquisition (Kuva/Tenet)</t>
        </is>
      </c>
      <c r="B8" s="55">
        <f>SUMIFS('Procurement Master'!$L$2:$L$1865,'Procurement Master'!$A$2:$A$1865,"Adversary Weapon",'Procurement Master'!$AS$2:$AS$1865,"Yes")</f>
        <v/>
      </c>
      <c r="C8" s="55">
        <f>SUMIFS('Procurement Master'!$M$2:$M$1865,'Procurement Master'!$A$2:$A$1865,"Adversary Weapon",'Procurement Master'!$AS$2:$AS$1865,"Yes")</f>
        <v/>
      </c>
      <c r="D8" s="55">
        <f>SUMIFS('Procurement Master'!$N$2:$N$1865,'Procurement Master'!$A$2:$A$1865,"Adversary Weapon",'Procurement Master'!$AS$2:$AS$1865,"Yes")</f>
        <v/>
      </c>
      <c r="E8" s="55">
        <f>COUNTIFS('Procurement Master'!$A$2:$A$1865,"Adversary Weapon",'Procurement Master'!$AS$2:$AS$1865,"Yes")</f>
        <v/>
      </c>
      <c r="F8" s="55">
        <f>COUNTIFS('Procurement Master'!$A$2:$A$1865,"Adversary Weapon",'Procurement Master'!$AS$2:$AS$1865,"Yes",'Procurement Master'!$L$2:$L$1865,"")</f>
        <v/>
      </c>
      <c r="G8" s="55">
        <f>COUNTIFS('Procurement Master'!$A$2:$A$1865,"Adversary Weapon",'Procurement Master'!$P$2:$P$1865,"*UNAVAILABLE*")</f>
        <v/>
      </c>
      <c r="H8" t="inlineStr">
        <is>
          <t>12 weapons, target element, &gt;=58% valence</t>
        </is>
      </c>
    </row>
    <row r="9">
      <c r="A9" t="inlineStr">
        <is>
          <t>Max-rank mod acquisition (PvE, every tradeable mod)</t>
        </is>
      </c>
      <c r="B9" s="55">
        <f>SUMIFS('Procurement Master'!$L$2:$L$1865,'Procurement Master'!$A$2:$A$1865,"Mod",'Procurement Master'!$AS$2:$AS$1865,"Yes")</f>
        <v/>
      </c>
      <c r="C9" s="55">
        <f>SUMIFS('Procurement Master'!$M$2:$M$1865,'Procurement Master'!$A$2:$A$1865,"Mod",'Procurement Master'!$AS$2:$AS$1865,"Yes")</f>
        <v/>
      </c>
      <c r="D9" s="55">
        <f>SUMIFS('Procurement Master'!$N$2:$N$1865,'Procurement Master'!$A$2:$A$1865,"Mod",'Procurement Master'!$AS$2:$AS$1865,"Yes")</f>
        <v/>
      </c>
      <c r="E9" s="55">
        <f>COUNTIFS('Procurement Master'!$A$2:$A$1865,"Mod",'Procurement Master'!$AS$2:$AS$1865,"Yes")</f>
        <v/>
      </c>
      <c r="F9" s="55">
        <f>COUNTIFS('Procurement Master'!$A$2:$A$1865,"Mod",'Procurement Master'!$AS$2:$AS$1865,"Yes",'Procurement Master'!$L$2:$L$1865,"")</f>
        <v/>
      </c>
      <c r="G9" s="55">
        <f>COUNTIFS('Procurement Master'!$A$2:$A$1865,"Mod",'Procurement Master'!$P$2:$P$1865,"*UNAVAILABLE*")</f>
        <v/>
      </c>
      <c r="H9" t="inlineStr">
        <is>
          <t>All WFM mods ex Rivens/Flawed/locators; Conclave reported separately</t>
        </is>
      </c>
    </row>
    <row r="10">
      <c r="A10" t="inlineStr">
        <is>
          <t>Max-rank Arcane acquisition (required)</t>
        </is>
      </c>
      <c r="B10" s="55">
        <f>SUMIFS('Procurement Master'!$L$2:$L$1865,'Procurement Master'!$A$2:$A$1865,"Arcane",'Procurement Master'!$AS$2:$AS$1865,"Yes")</f>
        <v/>
      </c>
      <c r="C10" s="55">
        <f>SUMIFS('Procurement Master'!$M$2:$M$1865,'Procurement Master'!$A$2:$A$1865,"Arcane",'Procurement Master'!$AS$2:$AS$1865,"Yes")</f>
        <v/>
      </c>
      <c r="D10" s="55">
        <f>SUMIFS('Procurement Master'!$N$2:$N$1865,'Procurement Master'!$A$2:$A$1865,"Arcane",'Procurement Master'!$AS$2:$AS$1865,"Yes")</f>
        <v/>
      </c>
      <c r="E10" s="55">
        <f>COUNTIFS('Procurement Master'!$A$2:$A$1865,"Arcane",'Procurement Master'!$AS$2:$AS$1865,"Yes")</f>
        <v/>
      </c>
      <c r="F10" s="55">
        <f>COUNTIFS('Procurement Master'!$A$2:$A$1865,"Arcane",'Procurement Master'!$AS$2:$AS$1865,"Yes",'Procurement Master'!$L$2:$L$1865,"")</f>
        <v/>
      </c>
      <c r="G10" s="55">
        <f>COUNTIFS('Procurement Master'!$A$2:$A$1865,"Arcane",'Procurement Master'!$P$2:$P$1865,"*UNAVAILABLE*")</f>
        <v/>
      </c>
      <c r="H10" t="inlineStr">
        <is>
          <t>v3 14 required + v4 11 weapon-arcane baseline</t>
        </is>
      </c>
    </row>
    <row r="11">
      <c r="A11" t="inlineStr">
        <is>
          <t>Companions (Prime sentinel sets)</t>
        </is>
      </c>
      <c r="B11" s="55">
        <f>SUMIFS('Procurement Master'!$L$2:$L$1865,'Procurement Master'!$A$2:$A$1865,"Companion",'Procurement Master'!$AS$2:$AS$1865,"Yes")</f>
        <v/>
      </c>
      <c r="C11" s="55">
        <f>SUMIFS('Procurement Master'!$M$2:$M$1865,'Procurement Master'!$A$2:$A$1865,"Companion",'Procurement Master'!$AS$2:$AS$1865,"Yes")</f>
        <v/>
      </c>
      <c r="D11" s="55">
        <f>SUMIFS('Procurement Master'!$N$2:$N$1865,'Procurement Master'!$A$2:$A$1865,"Companion",'Procurement Master'!$AS$2:$AS$1865,"Yes")</f>
        <v/>
      </c>
      <c r="E11" s="55">
        <f>COUNTIFS('Procurement Master'!$A$2:$A$1865,"Companion",'Procurement Master'!$AS$2:$AS$1865,"Yes")</f>
        <v/>
      </c>
      <c r="F11" s="55">
        <f>COUNTIFS('Procurement Master'!$A$2:$A$1865,"Companion",'Procurement Master'!$AS$2:$AS$1865,"Yes",'Procurement Master'!$L$2:$L$1865,"")</f>
        <v/>
      </c>
      <c r="G11" s="55">
        <f>COUNTIFS('Procurement Master'!$A$2:$A$1865,"Companion",'Procurement Master'!$P$2:$P$1865,"*UNAVAILABLE*")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Master'!$L$2:$L$1865,'Procurement Master'!$A$2:$A$1865,"Mod",'Procurement Master'!$AS$2:$AS$1865,"PvP subtotal")</f>
        <v/>
      </c>
      <c r="C16" s="55">
        <f>SUMIFS('Procurement Master'!$M$2:$M$1865,'Procurement Master'!$A$2:$A$1865,"Mod",'Procurement Master'!$AS$2:$AS$1865,"PvP subtotal")</f>
        <v/>
      </c>
      <c r="D16" s="55">
        <f>SUMIFS('Procurement Master'!$N$2:$N$1865,'Procurement Master'!$A$2:$A$1865,"Mod",'Procurement Master'!$AS$2:$AS$1865,"PvP subtotal")</f>
        <v/>
      </c>
    </row>
    <row r="17">
      <c r="A17" t="inlineStr">
        <is>
          <t>Remaining Arcane collection (all other tradeable Arcanes, max rank)</t>
        </is>
      </c>
      <c r="B17" s="55">
        <f>SUMIFS('Procurement Master'!$L$2:$L$1865,'Procurement Master'!$A$2:$A$1865,"Arcane",'Procurement Master'!$AS$2:$AS$1865,"Collection (optional)")</f>
        <v/>
      </c>
      <c r="C17" s="55">
        <f>SUMIFS('Procurement Master'!$M$2:$M$1865,'Procurement Master'!$A$2:$A$1865,"Arcane",'Procurement Master'!$AS$2:$AS$1865,"Collection (optional)")</f>
        <v/>
      </c>
      <c r="D17" s="55">
        <f>SUMIFS('Procurement Master'!$N$2:$N$1865,'Procurement Master'!$A$2:$A$1865,"Arcane",'Procurement Master'!$AS$2:$AS$1865,"Collection (optional)")</f>
        <v/>
      </c>
    </row>
    <row r="18">
      <c r="A18" t="inlineStr">
        <is>
          <t>Signature archguns (Larkspur Prime; Mandonel/Arbucep farmed)</t>
        </is>
      </c>
      <c r="B18" s="55">
        <f>SUMIFS('Procurement Master'!$L$2:$L$1865,'Procurement Master'!$A$2:$A$1865,"Archgun",'Procurement Master'!$AS$2:$AS$1865,"Optional")</f>
        <v/>
      </c>
      <c r="C18" s="55">
        <f>SUMIFS('Procurement Master'!$M$2:$M$1865,'Procurement Master'!$A$2:$A$1865,"Archgun",'Procurement Master'!$AS$2:$AS$1865,"Optional")</f>
        <v/>
      </c>
      <c r="D18" s="55">
        <f>SUMIFS('Procurement Master'!$N$2:$N$1865,'Procurement Master'!$A$2:$A$1865,"Archgun",'Procurement Master'!$AS$2:$AS$1865,"Optional")</f>
        <v/>
      </c>
    </row>
    <row r="19">
      <c r="A19" t="inlineStr">
        <is>
          <t>Signature extras for Exalted-replaced/shared slots (Reconifex, Cobra &amp; Crane Prime; Skiajati/Wrath farmed)</t>
        </is>
      </c>
      <c r="B19" s="55">
        <f>SUMIFS('Procurement Master'!$L$2:$L$1865,'Procurement Master'!$A$2:$A$1865,"Signature Extra",'Procurement Master'!$AS$2:$AS$1865,"Optional")</f>
        <v/>
      </c>
      <c r="C19" s="55">
        <f>SUMIFS('Procurement Master'!$M$2:$M$1865,'Procurement Master'!$A$2:$A$1865,"Signature Extra",'Procurement Master'!$AS$2:$AS$1865,"Optional")</f>
        <v/>
      </c>
      <c r="D19" s="55">
        <f>SUMIFS('Procurement Master'!$N$2:$N$1865,'Procurement Master'!$A$2:$A$1865,"Signature Extra",'Procurement Master'!$AS$2:$AS$1865,"Optional")</f>
        <v/>
      </c>
    </row>
    <row r="20">
      <c r="A20" t="inlineStr">
        <is>
          <t>Upcoming / not live (Brysko, Corecracker, Rain &amp; Shine, Hound, Sentient shotgun, Tigris Incarnon)</t>
        </is>
      </c>
      <c r="B20" t="inlineStr">
        <is>
          <t>EXCLUDED</t>
        </is>
      </c>
      <c r="C20" t="inlineStr">
        <is>
          <t>EXCLUDED</t>
        </is>
      </c>
      <c r="D20" t="inlineStr">
        <is>
          <t>EXCLUDED</t>
        </is>
      </c>
    </row>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23</v>
      </c>
      <c r="F24" s="55">
        <f>CEILING((B24-E24)/2,1)*12</f>
        <v/>
      </c>
      <c r="H24" t="inlineStr">
        <is>
          <t>183 slot-taking weapons (Exalted/intrinsic excluded; Vinquibus counted once). Free: 11 starter + 12 junction/quest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(v4.2 builds); 10 starter</t>
        </is>
      </c>
    </row>
    <row r="26">
      <c r="A26" s="54" t="inlineStr">
        <is>
          <t>FIXED INFRASTRUCTURE TOTAL</t>
        </is>
      </c>
      <c r="B26" s="54" t="inlineStr"/>
      <c r="C26" s="54" t="inlineStr"/>
      <c r="D26" s="56">
        <f>SUM(D23:D25)</f>
        <v/>
      </c>
      <c r="E26" s="54" t="inlineStr"/>
      <c r="F26" s="56">
        <f>SUM(F23:F25)</f>
        <v/>
      </c>
      <c r="G26" s="54" t="n"/>
      <c r="H26" s="54" t="n"/>
    </row>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Cyte-09 counted: verify</t>
        </is>
      </c>
    </row>
    <row r="30">
      <c r="A30" t="inlineStr">
        <is>
          <t>Orokin Catalysts</t>
        </is>
      </c>
      <c r="B30" t="n">
        <v>171</v>
      </c>
      <c r="C30" t="n">
        <v>20</v>
      </c>
      <c r="D30" s="55">
        <f>B30*C30</f>
        <v/>
      </c>
      <c r="H30" t="inlineStr">
        <is>
          <t>171 ordinary non-adversary weapons (Kuva/Tenet pre-installed; Exalted use frame Reactor)</t>
        </is>
      </c>
    </row>
    <row r="31">
      <c r="A31" t="inlineStr">
        <is>
          <t>Incarnon Genesis via Cavalero (plat, one-time each)</t>
        </is>
      </c>
      <c r="B31" t="n">
        <v>32</v>
      </c>
      <c r="C31" t="n">
        <v>120</v>
      </c>
      <c r="D31" s="55">
        <f>B31*C31</f>
        <v/>
      </c>
      <c r="H31" t="inlineStr">
        <is>
          <t>v4.2: wiki -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Master'!$AQ$2:$AQ$1865,'Procurement Master'!$A$2:$A$1865,"Mod",'Procurement Master'!$AS$2:$AS$1865,"Yes")</f>
        <v/>
      </c>
      <c r="H45" t="inlineStr">
        <is>
          <t>Requires the Endo/credits below; R0 not on market for some mods</t>
        </is>
      </c>
    </row>
    <row r="46">
      <c r="A46" t="inlineStr">
        <is>
          <t xml:space="preserve">  Endo needed to max every PvE mod yourself</t>
        </is>
      </c>
      <c r="B46" s="55">
        <f>SUMIFS('Procurement Master'!$AO$2:$AO$1865,'Procurement Master'!$A$2:$A$1865,"Mod",'Procurement Master'!$AS$2:$AS$1865,"Yes")</f>
        <v/>
      </c>
    </row>
    <row r="47">
      <c r="A47" t="inlineStr">
        <is>
          <t xml:space="preserve">  Credits needed to max every PvE mod yourself</t>
        </is>
      </c>
      <c r="B47" s="55">
        <f>SUMIFS('Procurement Master'!$AP$2:$AP$1865,'Procurement Master'!$A$2:$A$1865,"Mod",'Procurement Master'!$AS$2:$AS$1865,"Yes")</f>
        <v/>
      </c>
    </row>
    <row r="48">
      <c r="A48" t="inlineStr">
        <is>
          <t>Arcanes via R0 copies (sum where available, required set)</t>
        </is>
      </c>
      <c r="B48" s="55">
        <f>SUMIFS('Procurement Master'!$AR$2:$AR$1865,'Procurement Master'!$A$2:$A$1865,"Arcane",'Procurement Master'!$AS$2:$AS$1865,"Yes")</f>
        <v/>
      </c>
    </row>
    <row r="49">
      <c r="A49" t="inlineStr">
        <is>
          <t>Non-tradeable frames/weapons/companions (farm/quest/vendor/Dojo)</t>
        </is>
      </c>
      <c r="B49" s="55">
        <f>COUNTIFS('Procurement Master'!$P$2:$P$1865,"FARMABLE*")</f>
        <v/>
      </c>
      <c r="H49" t="inlineStr">
        <is>
          <t>items; 0p by definition</t>
        </is>
      </c>
    </row>
    <row r="50">
      <c r="A50" t="inlineStr">
        <is>
          <t>Incarnon Genesis adapters (Steel Path Circuit)</t>
        </is>
      </c>
      <c r="B50" s="55">
        <f>COUNTIFS('Procurement Master'!$AF$2:$AF$1865,"Incarnon*")</f>
        <v/>
      </c>
      <c r="H50" t="inlineStr">
        <is>
          <t>adapters</t>
        </is>
      </c>
    </row>
    <row r="51">
      <c r="A51" t="inlineStr">
        <is>
          <t>Archon Shards (account-bound)</t>
        </is>
      </c>
      <c r="B51" t="n">
        <v>330</v>
      </c>
      <c r="H51" t="inlineStr">
        <is>
          <t>66 frames x 5; v3 shard plan covers only 230</t>
        </is>
      </c>
    </row>
    <row r="53">
      <c r="A53" t="inlineStr">
        <is>
          <t>Official Platinum pack</t>
        </is>
      </c>
      <c r="B53" t="n">
        <v>4600</v>
      </c>
      <c r="C53" t="n">
        <v>199.99</v>
      </c>
      <c r="H53" t="inlineStr">
        <is>
          <t>Current undiscounted USD price (v3)</t>
        </is>
      </c>
    </row>
    <row r="54">
      <c r="A54" t="inlineStr">
        <is>
          <t>$1,000 benchmark packs</t>
        </is>
      </c>
      <c r="B54" t="n">
        <v>5</v>
      </c>
      <c r="C54" t="n">
        <v>4600</v>
      </c>
      <c r="D54" s="55">
        <f>B54*C54</f>
        <v/>
      </c>
      <c r="H54" t="inlineStr">
        <is>
          <t>Five 4,600p packs = 23,000p for $999.95</t>
        </is>
      </c>
    </row>
    <row r="56">
      <c r="A56" s="54" t="inlineStr">
        <is>
          <t>7. MODEL NOTES</t>
        </is>
      </c>
      <c r="B56" s="54" t="n"/>
      <c r="C56" s="54" t="n"/>
      <c r="D56" s="54" t="n"/>
      <c r="E56" s="54" t="n"/>
      <c r="F56" s="54" t="n"/>
      <c r="G56" s="54" t="n"/>
      <c r="H56" s="54" t="n"/>
    </row>
    <row r="57">
      <c r="A57" t="inlineStr">
        <is>
          <t xml:space="preserve">  - Mods are ~70% of the player-trade total. Buying every PvE mod already at max rank is the most expensive acquisition route; buying R0 copies and ranking them yourself (section 6) removes most of that premium at the cost of Endo/credits.</t>
        </is>
      </c>
    </row>
    <row r="58">
      <c r="A58" t="inlineStr">
        <is>
          <t xml:space="preserve">  - Many collection mods (common drops, syndicate offerings, Nightwave/Cephalon Simaris items) are farmable at no plat cost; the max-rank trade total is an upper-bound valuation of the mandate, not a recommended spend plan.</t>
        </is>
      </c>
    </row>
    <row r="59">
      <c r="A59" t="inlineStr">
        <is>
          <t xml:space="preserve">  - Conservative mod pricing is wide because many max-rank books are thin (few sellers). Use Realistic for decisions; Conservative is an allowance.</t>
        </is>
      </c>
    </row>
    <row r="60">
      <c r="A60" t="inlineStr">
        <is>
          <t xml:space="preserve">  - Prime frames/weapons are priced as complete sets; buying parts or cracking relics is cheaper but slower.</t>
        </is>
      </c>
    </row>
    <row r="61">
      <c r="A61" t="inlineStr">
        <is>
          <t xml:space="preserve">  - Account purchase comparison: the $1,000 / 23,000p benchmark should be compared to the portion of THIS procurement universe a candidate account already satisfies (equivalency audit), not to its raw inventory. Purchase risk is separate.</t>
        </is>
      </c>
    </row>
    <row r="62">
      <c r="A62" t="inlineStr">
        <is>
          <t xml:space="preserve">  - Platinum totals exclude Forma, Archon Shards, Focus, Helminth, Incarnon Genesis, Endo and credits (all farmable/account-bound).</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S18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R237" t="inlineStr">
        <is>
          <t>Unchanged from v3 allocation</t>
        </is>
      </c>
      <c r="AC237" t="inlineStr">
        <is>
          <t>Non-signature</t>
        </is>
      </c>
      <c r="AE237" t="inlineStr">
        <is>
          <t>No</t>
        </is>
      </c>
      <c r="AL237" t="inlineStr">
        <is>
          <t>Yes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R251" t="inlineStr">
        <is>
          <t>Unchanged from v3 allocation</t>
        </is>
      </c>
      <c r="AC251" t="inlineStr">
        <is>
          <t>Non-signature</t>
        </is>
      </c>
      <c r="AE251" t="inlineStr">
        <is>
          <t>No</t>
        </is>
      </c>
      <c r="AL251" t="inlineStr">
        <is>
          <t>Yes</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Corroding Barrage</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Mod</t>
        </is>
      </c>
      <c r="B1678" t="inlineStr">
        <is>
          <t>Resonating Quake</t>
        </is>
      </c>
      <c r="E1678" t="inlineStr">
        <is>
          <t>Banshee</t>
        </is>
      </c>
      <c r="F1678" t="n">
        <v>3</v>
      </c>
      <c r="G1678" t="n">
        <v>1</v>
      </c>
      <c r="H1678" t="inlineStr">
        <is>
          <t>Player trade (in-game only)</t>
        </is>
      </c>
      <c r="I1678" t="inlineStr">
        <is>
          <t>Yes (wiki)</t>
        </is>
      </c>
      <c r="P1678" t="inlineStr">
        <is>
          <t>MARKET DATA UNAVAILABLE</t>
        </is>
      </c>
      <c r="R1678" t="inlineStr">
        <is>
          <t>Wiki lists as tradeable; no Warframe.Market listing</t>
        </is>
      </c>
      <c r="AN1678" t="inlineStr">
        <is>
          <t>Banshee</t>
        </is>
      </c>
      <c r="AS1678" t="inlineStr">
        <is>
          <t>No (no data)</t>
        </is>
      </c>
    </row>
    <row r="1679">
      <c r="A1679" t="inlineStr">
        <is>
          <t>Mod</t>
        </is>
      </c>
      <c r="B1679" t="inlineStr">
        <is>
          <t>Negation Swarm</t>
        </is>
      </c>
      <c r="E1679" t="inlineStr">
        <is>
          <t>Inaros</t>
        </is>
      </c>
      <c r="F1679" t="n">
        <v>3</v>
      </c>
      <c r="G1679" t="n">
        <v>1</v>
      </c>
      <c r="H1679" t="inlineStr">
        <is>
          <t>Player trade (in-game only)</t>
        </is>
      </c>
      <c r="I1679" t="inlineStr">
        <is>
          <t>Yes (wiki)</t>
        </is>
      </c>
      <c r="P1679" t="inlineStr">
        <is>
          <t>MARKET DATA UNAVAILABLE</t>
        </is>
      </c>
      <c r="R1679" t="inlineStr">
        <is>
          <t>Wiki lists as tradeable; no Warframe.Market listing</t>
        </is>
      </c>
      <c r="AN1679" t="inlineStr">
        <is>
          <t>Inaros</t>
        </is>
      </c>
      <c r="AS1679" t="inlineStr">
        <is>
          <t>No (no data)</t>
        </is>
      </c>
    </row>
    <row r="1680">
      <c r="A1680" t="inlineStr">
        <is>
          <t>Mod</t>
        </is>
      </c>
      <c r="B1680" t="inlineStr">
        <is>
          <t>Fatal Teleport</t>
        </is>
      </c>
      <c r="E1680" t="inlineStr">
        <is>
          <t>Ash</t>
        </is>
      </c>
      <c r="F1680" t="n">
        <v>3</v>
      </c>
      <c r="G1680" t="n">
        <v>1</v>
      </c>
      <c r="H1680" t="inlineStr">
        <is>
          <t>Player trade (in-game only)</t>
        </is>
      </c>
      <c r="I1680" t="inlineStr">
        <is>
          <t>Yes (wiki)</t>
        </is>
      </c>
      <c r="P1680" t="inlineStr">
        <is>
          <t>MARKET DATA UNAVAILABLE</t>
        </is>
      </c>
      <c r="R1680" t="inlineStr">
        <is>
          <t>Wiki lists as tradeable; no Warframe.Market listing</t>
        </is>
      </c>
      <c r="AN1680" t="inlineStr">
        <is>
          <t>Ash</t>
        </is>
      </c>
      <c r="AS1680" t="inlineStr">
        <is>
          <t>No (no data)</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v4.2 build assignment)</t>
        </is>
      </c>
      <c r="L1683" t="n">
        <v>50</v>
      </c>
      <c r="M1683" t="n">
        <v>55</v>
      </c>
      <c r="N1683" t="n">
        <v>61</v>
      </c>
      <c r="O1683" t="inlineStr">
        <is>
          <t>2026-10-05 UTC (WFM pull 02:52-04:00)</t>
        </is>
      </c>
      <c r="P1683" t="inlineStr">
        <is>
          <t>OK</t>
        </is>
      </c>
      <c r="Q1683" t="inlineStr">
        <is>
          <t>Default sentinel weapon bundled</t>
        </is>
      </c>
      <c r="R1683" t="inlineStr">
        <is>
          <t>v3 list; unassigned in v4.2 FINAL builds</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v3 companion list; v4.2 assignment</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v3 companion list; v4.2 assignment</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v3 companion list</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v3 companion list</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v4.2 build assignment)</t>
        </is>
      </c>
      <c r="L1689" t="n">
        <v>55</v>
      </c>
      <c r="M1689" t="n">
        <v>55</v>
      </c>
      <c r="N1689" t="n">
        <v>61</v>
      </c>
      <c r="O1689" t="inlineStr">
        <is>
          <t>2026-10-05 UTC (WFM pull 02:52-04:00)</t>
        </is>
      </c>
      <c r="P1689" t="inlineStr">
        <is>
          <t>OK</t>
        </is>
      </c>
      <c r="Q1689" t="inlineStr">
        <is>
          <t>Default sentinel weapon bundled</t>
        </is>
      </c>
      <c r="R1689" t="inlineStr">
        <is>
          <t>v3 list; unassigned in v4.2 FINAL builds</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v3 companion list</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v4.2 build assignment)</t>
        </is>
      </c>
      <c r="P1691" t="inlineStr">
        <is>
          <t>FARMABLE / ACCOUNT-BOUND</t>
        </is>
      </c>
      <c r="R1691" t="inlineStr">
        <is>
          <t>v3 companion list; unassigned in v4.2</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v3 companion list; v4.2 assignment</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v4.2 build assignment)</t>
        </is>
      </c>
      <c r="P1693" t="inlineStr">
        <is>
          <t>FARMABLE / ACCOUNT-BOUND</t>
        </is>
      </c>
      <c r="R1693" t="inlineStr">
        <is>
          <t>v3 companion list; unassigned in v4.2</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v4.2 build assignment)</t>
        </is>
      </c>
      <c r="P1694" t="inlineStr">
        <is>
          <t>FARMABLE / ACCOUNT-BOUND</t>
        </is>
      </c>
      <c r="R1694" t="inlineStr">
        <is>
          <t>v3 companion list; unassigned in v4.2</t>
        </is>
      </c>
      <c r="AS1694" t="inlineStr">
        <is>
          <t>No</t>
        </is>
      </c>
    </row>
    <row r="1695">
      <c r="A1695" t="inlineStr">
        <is>
          <t>Mod</t>
        </is>
      </c>
      <c r="B1695" t="inlineStr">
        <is>
          <t>Swift Deth</t>
        </is>
      </c>
      <c r="E1695" t="inlineStr">
        <is>
          <t>Dethcube precept</t>
        </is>
      </c>
      <c r="F1695" t="n">
        <v>5</v>
      </c>
      <c r="G1695" t="n">
        <v>1</v>
      </c>
      <c r="H1695" t="inlineStr">
        <is>
          <t>In-game trade / Simaris-or-drop (no WFM listing)</t>
        </is>
      </c>
      <c r="I1695" t="inlineStr">
        <is>
          <t>Yes (wiki)</t>
        </is>
      </c>
      <c r="P1695" t="inlineStr">
        <is>
          <t>MARKET DATA UNAVAILABLE</t>
        </is>
      </c>
      <c r="R1695" t="inlineStr">
        <is>
          <t>v4.2 build-required (Dethcube Prime companion config); no Warframe.Market listing</t>
        </is>
      </c>
      <c r="AN1695" t="inlineStr">
        <is>
          <t>Dethcube</t>
        </is>
      </c>
      <c r="AS1695" t="inlineStr">
        <is>
          <t>No (no data)</t>
        </is>
      </c>
    </row>
    <row r="1696">
      <c r="A1696" t="inlineStr">
        <is>
          <t>Arcane</t>
        </is>
      </c>
      <c r="B1696" t="inlineStr">
        <is>
          <t>Akimbo Slip Shot</t>
        </is>
      </c>
      <c r="E1696" t="inlineStr">
        <is>
          <t>Secondary</t>
        </is>
      </c>
      <c r="F1696" t="n">
        <v>5</v>
      </c>
      <c r="G1696" t="n">
        <v>1</v>
      </c>
      <c r="H1696" t="inlineStr">
        <is>
          <t>Player trade (max rank)</t>
        </is>
      </c>
      <c r="I1696" t="inlineStr">
        <is>
          <t>Yes</t>
        </is>
      </c>
      <c r="K1696" t="inlineStr">
        <is>
          <t>Collection (optional)</t>
        </is>
      </c>
      <c r="L1696" t="n">
        <v>30</v>
      </c>
      <c r="M1696" t="n">
        <v>40</v>
      </c>
      <c r="N1696" t="n">
        <v>44</v>
      </c>
      <c r="O1696" t="inlineStr">
        <is>
          <t>2026-10-05 UTC (WFM pull 02:52-04:00)</t>
        </is>
      </c>
      <c r="P1696" t="inlineStr">
        <is>
          <t>OK</t>
        </is>
      </c>
      <c r="R1696" t="inlineStr">
        <is>
          <t>Arcanes share across items like mods (one max-rank copy covers every build).</t>
        </is>
      </c>
      <c r="S1696" t="inlineStr">
        <is>
          <t>akimbo_slip_shot</t>
        </is>
      </c>
      <c r="T1696" t="n">
        <v>11</v>
      </c>
      <c r="U1696" t="n">
        <v>11</v>
      </c>
      <c r="V1696" t="n">
        <v>30</v>
      </c>
      <c r="W1696" t="n">
        <v>30</v>
      </c>
      <c r="X1696" t="n">
        <v>30.3</v>
      </c>
      <c r="Y1696" t="n">
        <v>501</v>
      </c>
      <c r="Z1696" t="n">
        <v>14</v>
      </c>
      <c r="AA1696" t="n">
        <v>20</v>
      </c>
      <c r="AB1696" t="n">
        <v>10</v>
      </c>
      <c r="AQ1696" t="n">
        <v>4.5</v>
      </c>
      <c r="AR1696" t="n">
        <v>94.5</v>
      </c>
      <c r="AS1696" t="inlineStr">
        <is>
          <t>Collection (optional)</t>
        </is>
      </c>
    </row>
    <row r="1697">
      <c r="A1697" t="inlineStr">
        <is>
          <t>Arcane</t>
        </is>
      </c>
      <c r="B1697" t="inlineStr">
        <is>
          <t>Arcane Acceleration</t>
        </is>
      </c>
      <c r="E1697" t="inlineStr">
        <is>
          <t>Warframe</t>
        </is>
      </c>
      <c r="F1697" t="n">
        <v>5</v>
      </c>
      <c r="G1697" t="n">
        <v>1</v>
      </c>
      <c r="H1697" t="inlineStr">
        <is>
          <t>Player trade (max rank)</t>
        </is>
      </c>
      <c r="I1697" t="inlineStr">
        <is>
          <t>Yes</t>
        </is>
      </c>
      <c r="K1697" t="inlineStr">
        <is>
          <t>Collection (optional)</t>
        </is>
      </c>
      <c r="L1697" t="n">
        <v>70</v>
      </c>
      <c r="M1697" t="n">
        <v>85</v>
      </c>
      <c r="N1697" t="n">
        <v>100</v>
      </c>
      <c r="O1697" t="inlineStr">
        <is>
          <t>2026-10-05 UTC (WFM pull 02:52-04:00)</t>
        </is>
      </c>
      <c r="P1697" t="inlineStr">
        <is>
          <t>OK</t>
        </is>
      </c>
      <c r="R1697" t="inlineStr">
        <is>
          <t>Arcanes share across items like mods (one max-rank copy covers every build).</t>
        </is>
      </c>
      <c r="S1697" t="inlineStr">
        <is>
          <t>arcane_acceleration</t>
        </is>
      </c>
      <c r="T1697" t="n">
        <v>26</v>
      </c>
      <c r="U1697" t="n">
        <v>26</v>
      </c>
      <c r="V1697" t="n">
        <v>90</v>
      </c>
      <c r="W1697" t="n">
        <v>70</v>
      </c>
      <c r="X1697" t="n">
        <v>73.2</v>
      </c>
      <c r="Y1697" t="n">
        <v>3248</v>
      </c>
      <c r="Z1697" t="n">
        <v>85</v>
      </c>
      <c r="AA1697" t="n">
        <v>60</v>
      </c>
      <c r="AB1697" t="n">
        <v>10</v>
      </c>
      <c r="AQ1697" t="n">
        <v>7.5</v>
      </c>
      <c r="AR1697" t="n">
        <v>157.5</v>
      </c>
      <c r="AS1697" t="inlineStr">
        <is>
          <t>Collection (optional)</t>
        </is>
      </c>
    </row>
    <row r="1698">
      <c r="A1698" t="inlineStr">
        <is>
          <t>Arcane</t>
        </is>
      </c>
      <c r="B1698" t="inlineStr">
        <is>
          <t>Arcane Aegis</t>
        </is>
      </c>
      <c r="E1698" t="inlineStr">
        <is>
          <t>Warframe</t>
        </is>
      </c>
      <c r="F1698" t="n">
        <v>5</v>
      </c>
      <c r="G1698" t="n">
        <v>1</v>
      </c>
      <c r="H1698" t="inlineStr">
        <is>
          <t>Player trade (max rank)</t>
        </is>
      </c>
      <c r="I1698" t="inlineStr">
        <is>
          <t>Yes</t>
        </is>
      </c>
      <c r="K1698" t="inlineStr">
        <is>
          <t>Collection (optional)</t>
        </is>
      </c>
      <c r="L1698" t="n">
        <v>120</v>
      </c>
      <c r="M1698" t="n">
        <v>129</v>
      </c>
      <c r="N1698" t="n">
        <v>143</v>
      </c>
      <c r="O1698" t="inlineStr">
        <is>
          <t>2026-10-05 UTC (WFM pull 02:52-04:00)</t>
        </is>
      </c>
      <c r="P1698" t="inlineStr">
        <is>
          <t>OK</t>
        </is>
      </c>
      <c r="R1698" t="inlineStr">
        <is>
          <t>Arcanes share across items like mods (one max-rank copy covers every build).</t>
        </is>
      </c>
      <c r="S1698" t="inlineStr">
        <is>
          <t>arcane_aegis</t>
        </is>
      </c>
      <c r="T1698" t="n">
        <v>37</v>
      </c>
      <c r="U1698" t="n">
        <v>37</v>
      </c>
      <c r="V1698" t="n">
        <v>130</v>
      </c>
      <c r="W1698" t="n">
        <v>130</v>
      </c>
      <c r="X1698" t="n">
        <v>123.4</v>
      </c>
      <c r="Y1698" t="n">
        <v>8267</v>
      </c>
      <c r="Z1698" t="n">
        <v>165</v>
      </c>
      <c r="AA1698" t="n">
        <v>110</v>
      </c>
      <c r="AB1698" t="n">
        <v>10</v>
      </c>
      <c r="AQ1698" t="n">
        <v>8</v>
      </c>
      <c r="AR1698" t="n">
        <v>168</v>
      </c>
      <c r="AS1698" t="inlineStr">
        <is>
          <t>Collection (optional)</t>
        </is>
      </c>
    </row>
    <row r="1699">
      <c r="A1699" t="inlineStr">
        <is>
          <t>Arcane</t>
        </is>
      </c>
      <c r="B1699" t="inlineStr">
        <is>
          <t>Arcane Agility</t>
        </is>
      </c>
      <c r="E1699" t="inlineStr">
        <is>
          <t>Warframe</t>
        </is>
      </c>
      <c r="F1699" t="n">
        <v>5</v>
      </c>
      <c r="G1699" t="n">
        <v>1</v>
      </c>
      <c r="H1699" t="inlineStr">
        <is>
          <t>Player trade (max rank)</t>
        </is>
      </c>
      <c r="I1699" t="inlineStr">
        <is>
          <t>Yes</t>
        </is>
      </c>
      <c r="K1699" t="inlineStr">
        <is>
          <t>Collection (optional)</t>
        </is>
      </c>
      <c r="L1699" t="n">
        <v>60</v>
      </c>
      <c r="M1699" t="n">
        <v>60</v>
      </c>
      <c r="N1699" t="n">
        <v>88</v>
      </c>
      <c r="O1699" t="inlineStr">
        <is>
          <t>2026-10-05 UTC (WFM pull 02:52-04:00)</t>
        </is>
      </c>
      <c r="P1699" t="inlineStr">
        <is>
          <t>OK</t>
        </is>
      </c>
      <c r="R1699" t="inlineStr">
        <is>
          <t>Arcanes share across items like mods (one max-rank copy covers every build).</t>
        </is>
      </c>
      <c r="S1699" t="inlineStr">
        <is>
          <t>arcane_agility</t>
        </is>
      </c>
      <c r="T1699" t="n">
        <v>3</v>
      </c>
      <c r="U1699" t="n">
        <v>3</v>
      </c>
      <c r="V1699" t="n">
        <v>37</v>
      </c>
      <c r="W1699" t="n">
        <v>35</v>
      </c>
      <c r="X1699" t="n">
        <v>36.1</v>
      </c>
      <c r="Y1699" t="n">
        <v>770</v>
      </c>
      <c r="Z1699" t="n">
        <v>18</v>
      </c>
      <c r="AA1699" t="n">
        <v>28</v>
      </c>
      <c r="AB1699" t="n">
        <v>32</v>
      </c>
      <c r="AQ1699" t="n">
        <v>3</v>
      </c>
      <c r="AR1699" t="n">
        <v>63</v>
      </c>
      <c r="AS1699" t="inlineStr">
        <is>
          <t>Collection (optional)</t>
        </is>
      </c>
    </row>
    <row r="1700">
      <c r="A1700" t="inlineStr">
        <is>
          <t>Arcane</t>
        </is>
      </c>
      <c r="B1700" t="inlineStr">
        <is>
          <t>Arcane Arachne</t>
        </is>
      </c>
      <c r="E1700" t="inlineStr">
        <is>
          <t>Warframe</t>
        </is>
      </c>
      <c r="F1700" t="n">
        <v>5</v>
      </c>
      <c r="G1700" t="n">
        <v>1</v>
      </c>
      <c r="H1700" t="inlineStr">
        <is>
          <t>Player trade (max rank)</t>
        </is>
      </c>
      <c r="I1700" t="inlineStr">
        <is>
          <t>Yes</t>
        </is>
      </c>
      <c r="K1700" t="inlineStr">
        <is>
          <t>Collection (optional)</t>
        </is>
      </c>
      <c r="L1700" t="n">
        <v>75</v>
      </c>
      <c r="M1700" t="n">
        <v>75</v>
      </c>
      <c r="N1700" t="n">
        <v>88</v>
      </c>
      <c r="O1700" t="inlineStr">
        <is>
          <t>2026-10-05 UTC (WFM pull 02:52-04:00)</t>
        </is>
      </c>
      <c r="P1700" t="inlineStr">
        <is>
          <t>OK</t>
        </is>
      </c>
      <c r="R1700" t="inlineStr">
        <is>
          <t>Arcanes share across items like mods (one max-rank copy covers every build).</t>
        </is>
      </c>
      <c r="S1700" t="inlineStr">
        <is>
          <t>arcane_arachne</t>
        </is>
      </c>
      <c r="T1700" t="n">
        <v>18</v>
      </c>
      <c r="U1700" t="n">
        <v>18</v>
      </c>
      <c r="V1700" t="n">
        <v>70</v>
      </c>
      <c r="W1700" t="n">
        <v>79.5</v>
      </c>
      <c r="X1700" t="n">
        <v>76.3</v>
      </c>
      <c r="Y1700" t="n">
        <v>3415</v>
      </c>
      <c r="Z1700" t="n">
        <v>70</v>
      </c>
      <c r="AA1700" t="n">
        <v>60</v>
      </c>
      <c r="AB1700" t="n">
        <v>15</v>
      </c>
      <c r="AQ1700" t="n">
        <v>7.5</v>
      </c>
      <c r="AR1700" t="n">
        <v>157.5</v>
      </c>
      <c r="AS1700" t="inlineStr">
        <is>
          <t>Collection (optional)</t>
        </is>
      </c>
    </row>
    <row r="1701">
      <c r="A1701" t="inlineStr">
        <is>
          <t>Arcane</t>
        </is>
      </c>
      <c r="B1701" t="inlineStr">
        <is>
          <t>Arcane Avenger</t>
        </is>
      </c>
      <c r="E1701" t="inlineStr">
        <is>
          <t>Warframe</t>
        </is>
      </c>
      <c r="F1701" t="n">
        <v>5</v>
      </c>
      <c r="G1701" t="n">
        <v>1</v>
      </c>
      <c r="H1701" t="inlineStr">
        <is>
          <t>Player trade (max rank)</t>
        </is>
      </c>
      <c r="I1701" t="inlineStr">
        <is>
          <t>Yes</t>
        </is>
      </c>
      <c r="K1701" t="inlineStr">
        <is>
          <t>Required (v4.2 frame builds)</t>
        </is>
      </c>
      <c r="L1701" t="n">
        <v>90</v>
      </c>
      <c r="M1701" t="n">
        <v>90</v>
      </c>
      <c r="N1701" t="n">
        <v>105</v>
      </c>
      <c r="O1701" t="inlineStr">
        <is>
          <t>2026-10-05 UTC (WFM pull 02:52-04:00)</t>
        </is>
      </c>
      <c r="P1701" t="inlineStr">
        <is>
          <t>OK</t>
        </is>
      </c>
      <c r="R1701" t="inlineStr">
        <is>
          <t>Arcanes share across items like mods (one max-rank copy covers every build).</t>
        </is>
      </c>
      <c r="S1701" t="inlineStr">
        <is>
          <t>arcane_avenger</t>
        </is>
      </c>
      <c r="T1701" t="n">
        <v>29</v>
      </c>
      <c r="U1701" t="n">
        <v>29</v>
      </c>
      <c r="V1701" t="n">
        <v>85</v>
      </c>
      <c r="W1701" t="n">
        <v>80</v>
      </c>
      <c r="X1701" t="n">
        <v>79</v>
      </c>
      <c r="Y1701" t="n">
        <v>7013</v>
      </c>
      <c r="Z1701" t="n">
        <v>195</v>
      </c>
      <c r="AA1701" t="n">
        <v>70</v>
      </c>
      <c r="AB1701" t="n">
        <v>20</v>
      </c>
      <c r="AQ1701" t="n">
        <v>5</v>
      </c>
      <c r="AR1701" t="n">
        <v>105</v>
      </c>
      <c r="AS1701" t="inlineStr">
        <is>
          <t>Yes</t>
        </is>
      </c>
    </row>
    <row r="1702">
      <c r="A1702" t="inlineStr">
        <is>
          <t>Arcane</t>
        </is>
      </c>
      <c r="B1702" t="inlineStr">
        <is>
          <t>Arcane Awakening</t>
        </is>
      </c>
      <c r="E1702" t="inlineStr">
        <is>
          <t>Warframe</t>
        </is>
      </c>
      <c r="F1702" t="n">
        <v>5</v>
      </c>
      <c r="G1702" t="n">
        <v>1</v>
      </c>
      <c r="H1702" t="inlineStr">
        <is>
          <t>Player trade (max rank)</t>
        </is>
      </c>
      <c r="I1702" t="inlineStr">
        <is>
          <t>Yes</t>
        </is>
      </c>
      <c r="K1702" t="inlineStr">
        <is>
          <t>Collection (optional)</t>
        </is>
      </c>
      <c r="L1702" t="n">
        <v>39</v>
      </c>
      <c r="M1702" t="n">
        <v>40</v>
      </c>
      <c r="N1702" t="n">
        <v>50</v>
      </c>
      <c r="O1702" t="inlineStr">
        <is>
          <t>2026-10-05 UTC (WFM pull 02:52-04:00)</t>
        </is>
      </c>
      <c r="P1702" t="inlineStr">
        <is>
          <t>OK</t>
        </is>
      </c>
      <c r="R1702" t="inlineStr">
        <is>
          <t>Arcanes share across items like mods (one max-rank copy covers every build).</t>
        </is>
      </c>
      <c r="S1702" t="inlineStr">
        <is>
          <t>arcane_awakening</t>
        </is>
      </c>
      <c r="T1702" t="n">
        <v>9</v>
      </c>
      <c r="U1702" t="n">
        <v>9</v>
      </c>
      <c r="V1702" t="n">
        <v>30</v>
      </c>
      <c r="W1702" t="n">
        <v>30</v>
      </c>
      <c r="X1702" t="n">
        <v>32</v>
      </c>
      <c r="Y1702" t="n">
        <v>984</v>
      </c>
      <c r="Z1702" t="n">
        <v>25</v>
      </c>
      <c r="AA1702" t="n">
        <v>15</v>
      </c>
      <c r="AB1702" t="n">
        <v>24</v>
      </c>
      <c r="AQ1702" t="n">
        <v>2</v>
      </c>
      <c r="AR1702" t="n">
        <v>42</v>
      </c>
      <c r="AS1702" t="inlineStr">
        <is>
          <t>Collection (optional)</t>
        </is>
      </c>
    </row>
    <row r="1703">
      <c r="A1703" t="inlineStr">
        <is>
          <t>Arcane</t>
        </is>
      </c>
      <c r="B1703" t="inlineStr">
        <is>
          <t>Arcane Barrier</t>
        </is>
      </c>
      <c r="E1703" t="inlineStr">
        <is>
          <t>Warframe</t>
        </is>
      </c>
      <c r="F1703" t="n">
        <v>5</v>
      </c>
      <c r="G1703" t="n">
        <v>1</v>
      </c>
      <c r="H1703" t="inlineStr">
        <is>
          <t>Player trade (max rank)</t>
        </is>
      </c>
      <c r="I1703" t="inlineStr">
        <is>
          <t>Yes</t>
        </is>
      </c>
      <c r="K1703" t="inlineStr">
        <is>
          <t>Collection (optional)</t>
        </is>
      </c>
      <c r="L1703" t="n">
        <v>40</v>
      </c>
      <c r="M1703" t="n">
        <v>40</v>
      </c>
      <c r="N1703" t="n">
        <v>50</v>
      </c>
      <c r="O1703" t="inlineStr">
        <is>
          <t>2026-10-05 UTC (WFM pull 02:52-04:00)</t>
        </is>
      </c>
      <c r="P1703" t="inlineStr">
        <is>
          <t>OK</t>
        </is>
      </c>
      <c r="R1703" t="inlineStr">
        <is>
          <t>Arcanes share across items like mods (one max-rank copy covers every build).</t>
        </is>
      </c>
      <c r="S1703" t="inlineStr">
        <is>
          <t>arcane_barrier</t>
        </is>
      </c>
      <c r="T1703" t="n">
        <v>32</v>
      </c>
      <c r="U1703" t="n">
        <v>32</v>
      </c>
      <c r="V1703" t="n">
        <v>40</v>
      </c>
      <c r="W1703" t="n">
        <v>40</v>
      </c>
      <c r="X1703" t="n">
        <v>40.6</v>
      </c>
      <c r="Y1703" t="n">
        <v>1010</v>
      </c>
      <c r="Z1703" t="n">
        <v>21</v>
      </c>
      <c r="AA1703" t="n">
        <v>30</v>
      </c>
      <c r="AB1703" t="n">
        <v>10</v>
      </c>
      <c r="AQ1703" t="n">
        <v>4</v>
      </c>
      <c r="AR1703" t="n">
        <v>84</v>
      </c>
      <c r="AS1703" t="inlineStr">
        <is>
          <t>Collection (optional)</t>
        </is>
      </c>
    </row>
    <row r="1704">
      <c r="A1704" t="inlineStr">
        <is>
          <t>Arcane</t>
        </is>
      </c>
      <c r="B1704" t="inlineStr">
        <is>
          <t>Arcane Battery</t>
        </is>
      </c>
      <c r="E1704" t="inlineStr">
        <is>
          <t>Warframe</t>
        </is>
      </c>
      <c r="F1704" t="n">
        <v>5</v>
      </c>
      <c r="G1704" t="n">
        <v>1</v>
      </c>
      <c r="H1704" t="inlineStr">
        <is>
          <t>Player trade (max rank)</t>
        </is>
      </c>
      <c r="I1704" t="inlineStr">
        <is>
          <t>Yes</t>
        </is>
      </c>
      <c r="K1704" t="inlineStr">
        <is>
          <t>Collection (optional)</t>
        </is>
      </c>
      <c r="L1704" t="n">
        <v>80</v>
      </c>
      <c r="M1704" t="n">
        <v>80</v>
      </c>
      <c r="N1704" t="n">
        <v>100</v>
      </c>
      <c r="O1704" t="inlineStr">
        <is>
          <t>2026-10-05 UTC (WFM pull 02:52-04:00)</t>
        </is>
      </c>
      <c r="P1704" t="inlineStr">
        <is>
          <t>OK</t>
        </is>
      </c>
      <c r="R1704" t="inlineStr">
        <is>
          <t>Arcanes share across items like mods (one max-rank copy covers every build).</t>
        </is>
      </c>
      <c r="S1704" t="inlineStr">
        <is>
          <t>arcane_battery</t>
        </is>
      </c>
      <c r="T1704" t="n">
        <v>14</v>
      </c>
      <c r="U1704" t="n">
        <v>14</v>
      </c>
      <c r="V1704" t="n">
        <v>70</v>
      </c>
      <c r="W1704" t="n">
        <v>60</v>
      </c>
      <c r="X1704" t="n">
        <v>63.1</v>
      </c>
      <c r="Y1704" t="n">
        <v>7981</v>
      </c>
      <c r="Z1704" t="n">
        <v>224</v>
      </c>
      <c r="AA1704" t="n">
        <v>75</v>
      </c>
      <c r="AB1704" t="n">
        <v>5</v>
      </c>
      <c r="AQ1704" t="n">
        <v>4</v>
      </c>
      <c r="AR1704" t="n">
        <v>84</v>
      </c>
      <c r="AS1704" t="inlineStr">
        <is>
          <t>Collection (optional)</t>
        </is>
      </c>
    </row>
    <row r="1705">
      <c r="A1705" t="inlineStr">
        <is>
          <t>Arcane</t>
        </is>
      </c>
      <c r="B1705" t="inlineStr">
        <is>
          <t>Arcane Bellicose</t>
        </is>
      </c>
      <c r="E1705" t="inlineStr">
        <is>
          <t>Warframe</t>
        </is>
      </c>
      <c r="F1705" t="n">
        <v>5</v>
      </c>
      <c r="G1705" t="n">
        <v>1</v>
      </c>
      <c r="H1705" t="inlineStr">
        <is>
          <t>Player trade (max rank)</t>
        </is>
      </c>
      <c r="I1705" t="inlineStr">
        <is>
          <t>Yes</t>
        </is>
      </c>
      <c r="K1705" t="inlineStr">
        <is>
          <t>Required (v4.2 frame builds)</t>
        </is>
      </c>
      <c r="L1705" t="n">
        <v>25</v>
      </c>
      <c r="M1705" t="n">
        <v>27</v>
      </c>
      <c r="N1705" t="n">
        <v>31</v>
      </c>
      <c r="O1705" t="inlineStr">
        <is>
          <t>2026-10-05 UTC (WFM pull 02:52-04:00)</t>
        </is>
      </c>
      <c r="P1705" t="inlineStr">
        <is>
          <t>OK</t>
        </is>
      </c>
      <c r="R1705" t="inlineStr">
        <is>
          <t>Arcanes share across items like mods (one max-rank copy covers every build).</t>
        </is>
      </c>
      <c r="S1705" t="inlineStr">
        <is>
          <t>arcane_bellicose</t>
        </is>
      </c>
      <c r="T1705" t="n">
        <v>39</v>
      </c>
      <c r="U1705" t="n">
        <v>39</v>
      </c>
      <c r="V1705" t="n">
        <v>25</v>
      </c>
      <c r="W1705" t="n">
        <v>25</v>
      </c>
      <c r="X1705" t="n">
        <v>26.5</v>
      </c>
      <c r="Y1705" t="n">
        <v>8787</v>
      </c>
      <c r="Z1705" t="n">
        <v>185</v>
      </c>
      <c r="AA1705" t="n">
        <v>11</v>
      </c>
      <c r="AB1705" t="n">
        <v>14</v>
      </c>
      <c r="AQ1705" t="n">
        <v>2</v>
      </c>
      <c r="AR1705" t="n">
        <v>42</v>
      </c>
      <c r="AS1705" t="inlineStr">
        <is>
          <t>Yes</t>
        </is>
      </c>
    </row>
    <row r="1706">
      <c r="A1706" t="inlineStr">
        <is>
          <t>Arcane</t>
        </is>
      </c>
      <c r="B1706" t="inlineStr">
        <is>
          <t>Arcane Blade Charger</t>
        </is>
      </c>
      <c r="E1706" t="inlineStr">
        <is>
          <t>Warframe</t>
        </is>
      </c>
      <c r="F1706" t="n">
        <v>5</v>
      </c>
      <c r="G1706" t="n">
        <v>1</v>
      </c>
      <c r="H1706" t="inlineStr">
        <is>
          <t>Player trade (max rank)</t>
        </is>
      </c>
      <c r="I1706" t="inlineStr">
        <is>
          <t>Yes</t>
        </is>
      </c>
      <c r="K1706" t="inlineStr">
        <is>
          <t>Collection (optional)</t>
        </is>
      </c>
      <c r="L1706" t="n">
        <v>22</v>
      </c>
      <c r="M1706" t="n">
        <v>25</v>
      </c>
      <c r="N1706" t="n">
        <v>28</v>
      </c>
      <c r="O1706" t="inlineStr">
        <is>
          <t>2026-10-05 UTC (WFM pull 02:52-04:00)</t>
        </is>
      </c>
      <c r="P1706" t="inlineStr">
        <is>
          <t>OK</t>
        </is>
      </c>
      <c r="R1706" t="inlineStr">
        <is>
          <t>Arcanes share across items like mods (one max-rank copy covers every build).</t>
        </is>
      </c>
      <c r="S1706" t="inlineStr">
        <is>
          <t>arcane_blade_charger</t>
        </is>
      </c>
      <c r="T1706" t="n">
        <v>10</v>
      </c>
      <c r="U1706" t="n">
        <v>10</v>
      </c>
      <c r="V1706" t="n">
        <v>24.5</v>
      </c>
      <c r="W1706" t="n">
        <v>26</v>
      </c>
      <c r="X1706" t="n">
        <v>25.7</v>
      </c>
      <c r="Y1706" t="n">
        <v>419</v>
      </c>
      <c r="Z1706" t="n">
        <v>13</v>
      </c>
      <c r="AA1706" t="n">
        <v>6</v>
      </c>
      <c r="AB1706" t="n">
        <v>16</v>
      </c>
      <c r="AQ1706" t="n">
        <v>3</v>
      </c>
      <c r="AR1706" t="n">
        <v>63</v>
      </c>
      <c r="AS1706" t="inlineStr">
        <is>
          <t>Collection (optional)</t>
        </is>
      </c>
    </row>
    <row r="1707">
      <c r="A1707" t="inlineStr">
        <is>
          <t>Arcane</t>
        </is>
      </c>
      <c r="B1707" t="inlineStr">
        <is>
          <t>Arcane Blessing</t>
        </is>
      </c>
      <c r="E1707" t="inlineStr">
        <is>
          <t>Warframe</t>
        </is>
      </c>
      <c r="F1707" t="n">
        <v>5</v>
      </c>
      <c r="G1707" t="n">
        <v>1</v>
      </c>
      <c r="H1707" t="inlineStr">
        <is>
          <t>Player trade (max rank)</t>
        </is>
      </c>
      <c r="I1707" t="inlineStr">
        <is>
          <t>Yes</t>
        </is>
      </c>
      <c r="K1707" t="inlineStr">
        <is>
          <t>Collection (optional)</t>
        </is>
      </c>
      <c r="L1707" t="n">
        <v>34</v>
      </c>
      <c r="M1707" t="n">
        <v>40</v>
      </c>
      <c r="N1707" t="n">
        <v>50</v>
      </c>
      <c r="O1707" t="inlineStr">
        <is>
          <t>2026-10-05 UTC (WFM pull 02:52-04:00)</t>
        </is>
      </c>
      <c r="P1707" t="inlineStr">
        <is>
          <t>OK</t>
        </is>
      </c>
      <c r="R1707" t="inlineStr">
        <is>
          <t>Arcanes share across items like mods (one max-rank copy covers every build).</t>
        </is>
      </c>
      <c r="S1707" t="inlineStr">
        <is>
          <t>arcane_blessing</t>
        </is>
      </c>
      <c r="T1707" t="n">
        <v>9</v>
      </c>
      <c r="U1707" t="n">
        <v>9</v>
      </c>
      <c r="V1707" t="n">
        <v>30</v>
      </c>
      <c r="W1707" t="n">
        <v>29</v>
      </c>
      <c r="X1707" t="n">
        <v>27.7</v>
      </c>
      <c r="Y1707" t="n">
        <v>6860</v>
      </c>
      <c r="Z1707" t="n">
        <v>193</v>
      </c>
      <c r="AA1707" t="n">
        <v>15</v>
      </c>
      <c r="AB1707" t="n">
        <v>19</v>
      </c>
      <c r="AQ1707" t="n">
        <v>2</v>
      </c>
      <c r="AR1707" t="n">
        <v>42</v>
      </c>
      <c r="AS1707" t="inlineStr">
        <is>
          <t>Collection (optional)</t>
        </is>
      </c>
    </row>
    <row r="1708">
      <c r="A1708" t="inlineStr">
        <is>
          <t>Arcane</t>
        </is>
      </c>
      <c r="B1708" t="inlineStr">
        <is>
          <t>Arcane Bodyguard</t>
        </is>
      </c>
      <c r="E1708" t="inlineStr">
        <is>
          <t>Warframe</t>
        </is>
      </c>
      <c r="F1708" t="n">
        <v>5</v>
      </c>
      <c r="G1708" t="n">
        <v>1</v>
      </c>
      <c r="H1708" t="inlineStr">
        <is>
          <t>Player trade (max rank)</t>
        </is>
      </c>
      <c r="I1708" t="inlineStr">
        <is>
          <t>Yes</t>
        </is>
      </c>
      <c r="K1708" t="inlineStr">
        <is>
          <t>Collection (optional)</t>
        </is>
      </c>
      <c r="L1708" t="n">
        <v>24</v>
      </c>
      <c r="M1708" t="n">
        <v>34.5</v>
      </c>
      <c r="N1708" t="n">
        <v>76</v>
      </c>
      <c r="O1708" t="inlineStr">
        <is>
          <t>2026-10-05 UTC (WFM pull 02:52-04:00)</t>
        </is>
      </c>
      <c r="P1708" t="inlineStr">
        <is>
          <t>OK</t>
        </is>
      </c>
      <c r="R1708" t="inlineStr">
        <is>
          <t>Arcanes share across items like mods (one max-rank copy covers every build).</t>
        </is>
      </c>
      <c r="S1708" t="inlineStr">
        <is>
          <t>arcane_bodyguard</t>
        </is>
      </c>
      <c r="T1708" t="n">
        <v>3</v>
      </c>
      <c r="U1708" t="n">
        <v>3</v>
      </c>
      <c r="V1708" t="n">
        <v>23</v>
      </c>
      <c r="W1708" t="n">
        <v>27.5</v>
      </c>
      <c r="X1708" t="n">
        <v>27.3</v>
      </c>
      <c r="Y1708" t="n">
        <v>102</v>
      </c>
      <c r="Z1708" t="n">
        <v>4</v>
      </c>
      <c r="AA1708" t="n">
        <v>15</v>
      </c>
      <c r="AB1708" t="n">
        <v>9</v>
      </c>
      <c r="AQ1708" t="n">
        <v>4.5</v>
      </c>
      <c r="AR1708" t="n">
        <v>94.5</v>
      </c>
      <c r="AS1708" t="inlineStr">
        <is>
          <t>Collection (optional)</t>
        </is>
      </c>
    </row>
    <row r="1709">
      <c r="A1709" t="inlineStr">
        <is>
          <t>Arcane</t>
        </is>
      </c>
      <c r="B1709" t="inlineStr">
        <is>
          <t>Arcane Camisado</t>
        </is>
      </c>
      <c r="E1709" t="inlineStr">
        <is>
          <t>Warframe</t>
        </is>
      </c>
      <c r="F1709" t="n">
        <v>5</v>
      </c>
      <c r="G1709" t="n">
        <v>1</v>
      </c>
      <c r="H1709" t="inlineStr">
        <is>
          <t>Player trade (max rank)</t>
        </is>
      </c>
      <c r="I1709" t="inlineStr">
        <is>
          <t>Yes</t>
        </is>
      </c>
      <c r="K1709" t="inlineStr">
        <is>
          <t>Required (v4.2 frame builds)</t>
        </is>
      </c>
      <c r="L1709" t="n">
        <v>20</v>
      </c>
      <c r="M1709" t="n">
        <v>30</v>
      </c>
      <c r="N1709" t="n">
        <v>33</v>
      </c>
      <c r="O1709" t="inlineStr">
        <is>
          <t>2026-10-05 UTC (WFM pull 02:52-04:00)</t>
        </is>
      </c>
      <c r="P1709" t="inlineStr">
        <is>
          <t>OK</t>
        </is>
      </c>
      <c r="R1709" t="inlineStr">
        <is>
          <t>Arcanes share across items like mods (one max-rank copy covers every build).</t>
        </is>
      </c>
      <c r="S1709" t="inlineStr">
        <is>
          <t>arcane_camisado</t>
        </is>
      </c>
      <c r="T1709" t="n">
        <v>27</v>
      </c>
      <c r="U1709" t="n">
        <v>27</v>
      </c>
      <c r="V1709" t="n">
        <v>25</v>
      </c>
      <c r="W1709" t="n">
        <v>25</v>
      </c>
      <c r="X1709" t="n">
        <v>25.6</v>
      </c>
      <c r="Y1709" t="n">
        <v>7559</v>
      </c>
      <c r="Z1709" t="n">
        <v>239</v>
      </c>
      <c r="AA1709" t="n">
        <v>10</v>
      </c>
      <c r="AB1709" t="n">
        <v>10</v>
      </c>
      <c r="AQ1709" t="n">
        <v>2</v>
      </c>
      <c r="AR1709" t="n">
        <v>42</v>
      </c>
      <c r="AS1709" t="inlineStr">
        <is>
          <t>Yes</t>
        </is>
      </c>
    </row>
    <row r="1710">
      <c r="A1710" t="inlineStr">
        <is>
          <t>Arcane</t>
        </is>
      </c>
      <c r="B1710" t="inlineStr">
        <is>
          <t>Arcane Circumvent</t>
        </is>
      </c>
      <c r="E1710" t="inlineStr">
        <is>
          <t>Warframe</t>
        </is>
      </c>
      <c r="F1710" t="n">
        <v>5</v>
      </c>
      <c r="G1710" t="n">
        <v>1</v>
      </c>
      <c r="H1710" t="inlineStr">
        <is>
          <t>Player trade (max rank)</t>
        </is>
      </c>
      <c r="I1710" t="inlineStr">
        <is>
          <t>Yes</t>
        </is>
      </c>
      <c r="K1710" t="inlineStr">
        <is>
          <t>Collection (optional)</t>
        </is>
      </c>
      <c r="L1710" t="n">
        <v>40</v>
      </c>
      <c r="M1710" t="n">
        <v>40</v>
      </c>
      <c r="N1710" t="n">
        <v>50</v>
      </c>
      <c r="O1710" t="inlineStr">
        <is>
          <t>2026-10-05 UTC (WFM pull 02:52-04:00)</t>
        </is>
      </c>
      <c r="P1710" t="inlineStr">
        <is>
          <t>OK</t>
        </is>
      </c>
      <c r="R1710" t="inlineStr">
        <is>
          <t>Arcanes share across items like mods (one max-rank copy covers every build).</t>
        </is>
      </c>
      <c r="S1710" t="inlineStr">
        <is>
          <t>arcane_circumvent</t>
        </is>
      </c>
      <c r="T1710" t="n">
        <v>14</v>
      </c>
      <c r="U1710" t="n">
        <v>14</v>
      </c>
      <c r="V1710" t="n">
        <v>35</v>
      </c>
      <c r="W1710" t="n">
        <v>34</v>
      </c>
      <c r="X1710" t="n">
        <v>33.1</v>
      </c>
      <c r="Y1710" t="n">
        <v>4554</v>
      </c>
      <c r="Z1710" t="n">
        <v>117</v>
      </c>
      <c r="AA1710" t="n">
        <v>21</v>
      </c>
      <c r="AB1710" t="n">
        <v>19</v>
      </c>
      <c r="AQ1710" t="n">
        <v>3</v>
      </c>
      <c r="AR1710" t="n">
        <v>63</v>
      </c>
      <c r="AS1710" t="inlineStr">
        <is>
          <t>Collection (optional)</t>
        </is>
      </c>
    </row>
    <row r="1711">
      <c r="A1711" t="inlineStr">
        <is>
          <t>Arcane</t>
        </is>
      </c>
      <c r="B1711" t="inlineStr">
        <is>
          <t>Arcane Concentration</t>
        </is>
      </c>
      <c r="E1711" t="inlineStr">
        <is>
          <t>Warframe</t>
        </is>
      </c>
      <c r="F1711" t="n">
        <v>5</v>
      </c>
      <c r="G1711" t="n">
        <v>1</v>
      </c>
      <c r="H1711" t="inlineStr">
        <is>
          <t>Player trade (max rank)</t>
        </is>
      </c>
      <c r="I1711" t="inlineStr">
        <is>
          <t>Yes</t>
        </is>
      </c>
      <c r="K1711" t="inlineStr">
        <is>
          <t>Collection (optional)</t>
        </is>
      </c>
      <c r="L1711" t="n">
        <v>39</v>
      </c>
      <c r="M1711" t="n">
        <v>40</v>
      </c>
      <c r="N1711" t="n">
        <v>54</v>
      </c>
      <c r="O1711" t="inlineStr">
        <is>
          <t>2026-10-05 UTC (WFM pull 02:52-04:00)</t>
        </is>
      </c>
      <c r="P1711" t="inlineStr">
        <is>
          <t>OK</t>
        </is>
      </c>
      <c r="R1711" t="inlineStr">
        <is>
          <t>Arcanes share across items like mods (one max-rank copy covers every build).</t>
        </is>
      </c>
      <c r="S1711" t="inlineStr">
        <is>
          <t>arcane_concentration</t>
        </is>
      </c>
      <c r="T1711" t="n">
        <v>13</v>
      </c>
      <c r="U1711" t="n">
        <v>13</v>
      </c>
      <c r="V1711" t="n">
        <v>35</v>
      </c>
      <c r="W1711" t="n">
        <v>30</v>
      </c>
      <c r="X1711" t="n">
        <v>31.6</v>
      </c>
      <c r="Y1711" t="n">
        <v>14481</v>
      </c>
      <c r="Z1711" t="n">
        <v>430</v>
      </c>
      <c r="AA1711" t="n">
        <v>20</v>
      </c>
      <c r="AB1711" t="n">
        <v>19</v>
      </c>
      <c r="AQ1711" t="n">
        <v>3</v>
      </c>
      <c r="AR1711" t="n">
        <v>63</v>
      </c>
      <c r="AS1711" t="inlineStr">
        <is>
          <t>Collection (optional)</t>
        </is>
      </c>
    </row>
    <row r="1712">
      <c r="A1712" t="inlineStr">
        <is>
          <t>Arcane</t>
        </is>
      </c>
      <c r="B1712" t="inlineStr">
        <is>
          <t>Arcane Consequence</t>
        </is>
      </c>
      <c r="E1712" t="inlineStr">
        <is>
          <t>Warframe</t>
        </is>
      </c>
      <c r="F1712" t="n">
        <v>5</v>
      </c>
      <c r="G1712" t="n">
        <v>1</v>
      </c>
      <c r="H1712" t="inlineStr">
        <is>
          <t>Player trade (max rank)</t>
        </is>
      </c>
      <c r="I1712" t="inlineStr">
        <is>
          <t>Yes</t>
        </is>
      </c>
      <c r="K1712" t="inlineStr">
        <is>
          <t>Collection (optional)</t>
        </is>
      </c>
      <c r="L1712" t="n">
        <v>28</v>
      </c>
      <c r="M1712" t="n">
        <v>35</v>
      </c>
      <c r="N1712" t="n">
        <v>44</v>
      </c>
      <c r="O1712" t="inlineStr">
        <is>
          <t>2026-10-05 UTC (WFM pull 02:52-04:00)</t>
        </is>
      </c>
      <c r="P1712" t="inlineStr">
        <is>
          <t>OK</t>
        </is>
      </c>
      <c r="R1712" t="inlineStr">
        <is>
          <t>Arcanes share across items like mods (one max-rank copy covers every build).</t>
        </is>
      </c>
      <c r="S1712" t="inlineStr">
        <is>
          <t>arcane_consequence</t>
        </is>
      </c>
      <c r="T1712" t="n">
        <v>8</v>
      </c>
      <c r="U1712" t="n">
        <v>8</v>
      </c>
      <c r="V1712" t="n">
        <v>29.5</v>
      </c>
      <c r="W1712" t="n">
        <v>30</v>
      </c>
      <c r="X1712" t="n">
        <v>29.2</v>
      </c>
      <c r="Y1712" t="n">
        <v>430</v>
      </c>
      <c r="Z1712" t="n">
        <v>8</v>
      </c>
      <c r="AQ1712" t="n">
        <v>3</v>
      </c>
      <c r="AR1712" t="n">
        <v>63</v>
      </c>
      <c r="AS1712" t="inlineStr">
        <is>
          <t>Collection (optional)</t>
        </is>
      </c>
    </row>
    <row r="1713">
      <c r="A1713" t="inlineStr">
        <is>
          <t>Arcane</t>
        </is>
      </c>
      <c r="B1713" t="inlineStr">
        <is>
          <t>Arcane Crepuscular</t>
        </is>
      </c>
      <c r="E1713" t="inlineStr">
        <is>
          <t>Warframe</t>
        </is>
      </c>
      <c r="F1713" t="n">
        <v>5</v>
      </c>
      <c r="G1713" t="n">
        <v>1</v>
      </c>
      <c r="H1713" t="inlineStr">
        <is>
          <t>Player trade (max rank)</t>
        </is>
      </c>
      <c r="I1713" t="inlineStr">
        <is>
          <t>Yes</t>
        </is>
      </c>
      <c r="K1713" t="inlineStr">
        <is>
          <t>Required (v4.2 frame builds)</t>
        </is>
      </c>
      <c r="L1713" t="n">
        <v>25</v>
      </c>
      <c r="M1713" t="n">
        <v>29</v>
      </c>
      <c r="N1713" t="n">
        <v>33</v>
      </c>
      <c r="O1713" t="inlineStr">
        <is>
          <t>2026-10-05 UTC (WFM pull 02:52-04:00)</t>
        </is>
      </c>
      <c r="P1713" t="inlineStr">
        <is>
          <t>OK</t>
        </is>
      </c>
      <c r="R1713" t="inlineStr">
        <is>
          <t>Arcanes share across items like mods (one max-rank copy covers every build).</t>
        </is>
      </c>
      <c r="S1713" t="inlineStr">
        <is>
          <t>arcane_crepuscular</t>
        </is>
      </c>
      <c r="T1713" t="n">
        <v>33</v>
      </c>
      <c r="U1713" t="n">
        <v>33</v>
      </c>
      <c r="V1713" t="n">
        <v>25</v>
      </c>
      <c r="W1713" t="n">
        <v>27</v>
      </c>
      <c r="X1713" t="n">
        <v>27</v>
      </c>
      <c r="Y1713" t="n">
        <v>9263</v>
      </c>
      <c r="Z1713" t="n">
        <v>283</v>
      </c>
      <c r="AA1713" t="n">
        <v>17</v>
      </c>
      <c r="AB1713" t="n">
        <v>8</v>
      </c>
      <c r="AQ1713" t="n">
        <v>2</v>
      </c>
      <c r="AR1713" t="n">
        <v>42</v>
      </c>
      <c r="AS1713" t="inlineStr">
        <is>
          <t>Yes</t>
        </is>
      </c>
    </row>
    <row r="1714">
      <c r="A1714" t="inlineStr">
        <is>
          <t>Arcane</t>
        </is>
      </c>
      <c r="B1714" t="inlineStr">
        <is>
          <t>Arcane Deflection</t>
        </is>
      </c>
      <c r="E1714" t="inlineStr">
        <is>
          <t>Warframe</t>
        </is>
      </c>
      <c r="F1714" t="n">
        <v>5</v>
      </c>
      <c r="G1714" t="n">
        <v>1</v>
      </c>
      <c r="H1714" t="inlineStr">
        <is>
          <t>Player trade (max rank)</t>
        </is>
      </c>
      <c r="I1714" t="inlineStr">
        <is>
          <t>Yes</t>
        </is>
      </c>
      <c r="K1714" t="inlineStr">
        <is>
          <t>Collection (optional)</t>
        </is>
      </c>
      <c r="L1714" t="n">
        <v>25</v>
      </c>
      <c r="M1714" t="n">
        <v>29.5</v>
      </c>
      <c r="N1714" t="n">
        <v>65</v>
      </c>
      <c r="O1714" t="inlineStr">
        <is>
          <t>2026-10-05 UTC (WFM pull 02:52-04:00)</t>
        </is>
      </c>
      <c r="P1714" t="inlineStr">
        <is>
          <t>OK</t>
        </is>
      </c>
      <c r="R1714" t="inlineStr">
        <is>
          <t>Arcanes share across items like mods (one max-rank copy covers every build).</t>
        </is>
      </c>
      <c r="S1714" t="inlineStr">
        <is>
          <t>arcane_deflection</t>
        </is>
      </c>
      <c r="T1714" t="n">
        <v>4</v>
      </c>
      <c r="U1714" t="n">
        <v>4</v>
      </c>
      <c r="V1714" t="n">
        <v>24.5</v>
      </c>
      <c r="W1714" t="n">
        <v>21.5</v>
      </c>
      <c r="X1714" t="n">
        <v>22.1</v>
      </c>
      <c r="Y1714" t="n">
        <v>97</v>
      </c>
      <c r="Z1714" t="n">
        <v>2</v>
      </c>
      <c r="AA1714" t="n">
        <v>10</v>
      </c>
      <c r="AB1714" t="n">
        <v>15</v>
      </c>
      <c r="AQ1714" t="n">
        <v>3</v>
      </c>
      <c r="AR1714" t="n">
        <v>63</v>
      </c>
      <c r="AS1714" t="inlineStr">
        <is>
          <t>Collection (optional)</t>
        </is>
      </c>
    </row>
    <row r="1715">
      <c r="A1715" t="inlineStr">
        <is>
          <t>Arcane</t>
        </is>
      </c>
      <c r="B1715" t="inlineStr">
        <is>
          <t>Arcane Double Back</t>
        </is>
      </c>
      <c r="E1715" t="inlineStr">
        <is>
          <t>Warframe</t>
        </is>
      </c>
      <c r="F1715" t="n">
        <v>5</v>
      </c>
      <c r="G1715" t="n">
        <v>1</v>
      </c>
      <c r="H1715" t="inlineStr">
        <is>
          <t>Player trade (max rank)</t>
        </is>
      </c>
      <c r="I1715" t="inlineStr">
        <is>
          <t>Yes</t>
        </is>
      </c>
      <c r="K1715" t="inlineStr">
        <is>
          <t>Collection (optional)</t>
        </is>
      </c>
      <c r="L1715" t="n">
        <v>51</v>
      </c>
      <c r="M1715" t="n">
        <v>59</v>
      </c>
      <c r="N1715" t="n">
        <v>77</v>
      </c>
      <c r="O1715" t="inlineStr">
        <is>
          <t>2026-10-05 UTC (WFM pull 02:52-04:00)</t>
        </is>
      </c>
      <c r="P1715" t="inlineStr">
        <is>
          <t>OK</t>
        </is>
      </c>
      <c r="R1715" t="inlineStr">
        <is>
          <t>Arcanes share across items like mods (one max-rank copy covers every build).</t>
        </is>
      </c>
      <c r="S1715" t="inlineStr">
        <is>
          <t>arcane_double_back</t>
        </is>
      </c>
      <c r="T1715" t="n">
        <v>10</v>
      </c>
      <c r="U1715" t="n">
        <v>10</v>
      </c>
      <c r="V1715" t="n">
        <v>47</v>
      </c>
      <c r="W1715" t="n">
        <v>40</v>
      </c>
      <c r="X1715" t="n">
        <v>43</v>
      </c>
      <c r="Y1715" t="n">
        <v>318</v>
      </c>
      <c r="Z1715" t="n">
        <v>6</v>
      </c>
      <c r="AA1715" t="n">
        <v>50</v>
      </c>
      <c r="AB1715" t="n">
        <v>1</v>
      </c>
      <c r="AQ1715" t="n">
        <v>3</v>
      </c>
      <c r="AR1715" t="n">
        <v>63</v>
      </c>
      <c r="AS1715" t="inlineStr">
        <is>
          <t>Collection (optional)</t>
        </is>
      </c>
    </row>
    <row r="1716">
      <c r="A1716" t="inlineStr">
        <is>
          <t>Arcane</t>
        </is>
      </c>
      <c r="B1716" t="inlineStr">
        <is>
          <t>Arcane Energize</t>
        </is>
      </c>
      <c r="E1716" t="inlineStr">
        <is>
          <t>Warframe</t>
        </is>
      </c>
      <c r="F1716" t="n">
        <v>5</v>
      </c>
      <c r="G1716" t="n">
        <v>1</v>
      </c>
      <c r="H1716" t="inlineStr">
        <is>
          <t>Player trade (max rank)</t>
        </is>
      </c>
      <c r="I1716" t="inlineStr">
        <is>
          <t>Yes</t>
        </is>
      </c>
      <c r="K1716" t="inlineStr">
        <is>
          <t>Required (v4.2 frame builds)</t>
        </is>
      </c>
      <c r="L1716" t="n">
        <v>139</v>
      </c>
      <c r="M1716" t="n">
        <v>140</v>
      </c>
      <c r="N1716" t="n">
        <v>154</v>
      </c>
      <c r="O1716" t="inlineStr">
        <is>
          <t>2026-10-05 UTC (WFM pull 02:52-04:00)</t>
        </is>
      </c>
      <c r="P1716" t="inlineStr">
        <is>
          <t>OK</t>
        </is>
      </c>
      <c r="R1716" t="inlineStr">
        <is>
          <t>Arcanes share across items like mods (one max-rank copy covers every build).</t>
        </is>
      </c>
      <c r="S1716" t="inlineStr">
        <is>
          <t>arcane_energize</t>
        </is>
      </c>
      <c r="T1716" t="n">
        <v>59</v>
      </c>
      <c r="U1716" t="n">
        <v>59</v>
      </c>
      <c r="V1716" t="n">
        <v>134</v>
      </c>
      <c r="W1716" t="n">
        <v>130</v>
      </c>
      <c r="X1716" t="n">
        <v>126.5</v>
      </c>
      <c r="Y1716" t="n">
        <v>10798</v>
      </c>
      <c r="Z1716" t="n">
        <v>260</v>
      </c>
      <c r="AA1716" t="n">
        <v>90</v>
      </c>
      <c r="AB1716" t="n">
        <v>49</v>
      </c>
      <c r="AQ1716" t="n">
        <v>8</v>
      </c>
      <c r="AR1716" t="n">
        <v>168</v>
      </c>
      <c r="AS1716" t="inlineStr">
        <is>
          <t>Yes</t>
        </is>
      </c>
    </row>
    <row r="1717">
      <c r="A1717" t="inlineStr">
        <is>
          <t>Arcane</t>
        </is>
      </c>
      <c r="B1717" t="inlineStr">
        <is>
          <t>Arcane Eruption</t>
        </is>
      </c>
      <c r="E1717" t="inlineStr">
        <is>
          <t>Warframe</t>
        </is>
      </c>
      <c r="F1717" t="n">
        <v>5</v>
      </c>
      <c r="G1717" t="n">
        <v>1</v>
      </c>
      <c r="H1717" t="inlineStr">
        <is>
          <t>Player trade (max rank)</t>
        </is>
      </c>
      <c r="I1717" t="inlineStr">
        <is>
          <t>Yes</t>
        </is>
      </c>
      <c r="K1717" t="inlineStr">
        <is>
          <t>Collection (optional)</t>
        </is>
      </c>
      <c r="L1717" t="n">
        <v>35</v>
      </c>
      <c r="M1717" t="n">
        <v>44.2</v>
      </c>
      <c r="N1717" t="n">
        <v>98</v>
      </c>
      <c r="O1717" t="inlineStr">
        <is>
          <t>2026-10-05 UTC (WFM pull 02:52-04:00)</t>
        </is>
      </c>
      <c r="P1717" t="inlineStr">
        <is>
          <t>OK</t>
        </is>
      </c>
      <c r="R1717" t="inlineStr">
        <is>
          <t>Arcanes share across items like mods (one max-rank copy covers every build).</t>
        </is>
      </c>
      <c r="S1717" t="inlineStr">
        <is>
          <t>arcane_eruption</t>
        </is>
      </c>
      <c r="T1717" t="n">
        <v>6</v>
      </c>
      <c r="U1717" t="n">
        <v>6</v>
      </c>
      <c r="V1717" t="n">
        <v>29.5</v>
      </c>
      <c r="W1717" t="n">
        <v>27.5</v>
      </c>
      <c r="X1717" t="n">
        <v>26.2</v>
      </c>
      <c r="Y1717" t="n">
        <v>384</v>
      </c>
      <c r="Z1717" t="n">
        <v>16</v>
      </c>
      <c r="AA1717" t="n">
        <v>7</v>
      </c>
      <c r="AB1717" t="n">
        <v>28</v>
      </c>
      <c r="AQ1717" t="n">
        <v>3</v>
      </c>
      <c r="AR1717" t="n">
        <v>63</v>
      </c>
      <c r="AS1717" t="inlineStr">
        <is>
          <t>Collection (optional)</t>
        </is>
      </c>
    </row>
    <row r="1718">
      <c r="A1718" t="inlineStr">
        <is>
          <t>Arcane</t>
        </is>
      </c>
      <c r="B1718" t="inlineStr">
        <is>
          <t>Arcane Escapist</t>
        </is>
      </c>
      <c r="E1718" t="inlineStr">
        <is>
          <t>Warframe</t>
        </is>
      </c>
      <c r="F1718" t="n">
        <v>5</v>
      </c>
      <c r="G1718" t="n">
        <v>1</v>
      </c>
      <c r="H1718" t="inlineStr">
        <is>
          <t>Player trade (max rank)</t>
        </is>
      </c>
      <c r="I1718" t="inlineStr">
        <is>
          <t>Yes</t>
        </is>
      </c>
      <c r="K1718" t="inlineStr">
        <is>
          <t>Collection (optional)</t>
        </is>
      </c>
      <c r="L1718" t="n">
        <v>29</v>
      </c>
      <c r="M1718" t="n">
        <v>30</v>
      </c>
      <c r="N1718" t="n">
        <v>33</v>
      </c>
      <c r="O1718" t="inlineStr">
        <is>
          <t>2026-10-05 UTC (WFM pull 02:52-04:00)</t>
        </is>
      </c>
      <c r="P1718" t="inlineStr">
        <is>
          <t>OK</t>
        </is>
      </c>
      <c r="R1718" t="inlineStr">
        <is>
          <t>Arcanes share across items like mods (one max-rank copy covers every build).</t>
        </is>
      </c>
      <c r="S1718" t="inlineStr">
        <is>
          <t>arcane_escapist</t>
        </is>
      </c>
      <c r="T1718" t="n">
        <v>27</v>
      </c>
      <c r="U1718" t="n">
        <v>27</v>
      </c>
      <c r="V1718" t="n">
        <v>29</v>
      </c>
      <c r="W1718" t="n">
        <v>30</v>
      </c>
      <c r="X1718" t="n">
        <v>29.7</v>
      </c>
      <c r="Y1718" t="n">
        <v>602</v>
      </c>
      <c r="Z1718" t="n">
        <v>15</v>
      </c>
      <c r="AA1718" t="n">
        <v>25</v>
      </c>
      <c r="AB1718" t="n">
        <v>4</v>
      </c>
      <c r="AQ1718" t="n">
        <v>3</v>
      </c>
      <c r="AR1718" t="n">
        <v>63</v>
      </c>
      <c r="AS1718" t="inlineStr">
        <is>
          <t>Collection (optional)</t>
        </is>
      </c>
    </row>
    <row r="1719">
      <c r="A1719" t="inlineStr">
        <is>
          <t>Arcane</t>
        </is>
      </c>
      <c r="B1719" t="inlineStr">
        <is>
          <t>Arcane Expertise</t>
        </is>
      </c>
      <c r="E1719" t="inlineStr">
        <is>
          <t>Warframe</t>
        </is>
      </c>
      <c r="F1719" t="n">
        <v>5</v>
      </c>
      <c r="G1719" t="n">
        <v>1</v>
      </c>
      <c r="H1719" t="inlineStr">
        <is>
          <t>Player trade (max rank)</t>
        </is>
      </c>
      <c r="I1719" t="inlineStr">
        <is>
          <t>Yes</t>
        </is>
      </c>
      <c r="K1719" t="inlineStr">
        <is>
          <t>Required (v4.2 frame builds)</t>
        </is>
      </c>
      <c r="L1719" t="n">
        <v>35</v>
      </c>
      <c r="M1719" t="n">
        <v>39</v>
      </c>
      <c r="N1719" t="n">
        <v>44</v>
      </c>
      <c r="O1719" t="inlineStr">
        <is>
          <t>2026-10-05 UTC (WFM pull 02:52-04:00)</t>
        </is>
      </c>
      <c r="P1719" t="inlineStr">
        <is>
          <t>OK</t>
        </is>
      </c>
      <c r="R1719" t="inlineStr">
        <is>
          <t>Arcanes share across items like mods (one max-rank copy covers every build).</t>
        </is>
      </c>
      <c r="S1719" t="inlineStr">
        <is>
          <t>arcane_expertise</t>
        </is>
      </c>
      <c r="T1719" t="n">
        <v>23</v>
      </c>
      <c r="U1719" t="n">
        <v>23</v>
      </c>
      <c r="V1719" t="n">
        <v>30</v>
      </c>
      <c r="W1719" t="n">
        <v>30</v>
      </c>
      <c r="X1719" t="n">
        <v>31.2</v>
      </c>
      <c r="Y1719" t="n">
        <v>10195</v>
      </c>
      <c r="Z1719" t="n">
        <v>210</v>
      </c>
      <c r="AA1719" t="n">
        <v>22</v>
      </c>
      <c r="AB1719" t="n">
        <v>13</v>
      </c>
      <c r="AQ1719" t="n">
        <v>3</v>
      </c>
      <c r="AR1719" t="n">
        <v>63</v>
      </c>
      <c r="AS1719" t="inlineStr">
        <is>
          <t>Yes</t>
        </is>
      </c>
    </row>
    <row r="1720">
      <c r="A1720" t="inlineStr">
        <is>
          <t>Arcane</t>
        </is>
      </c>
      <c r="B1720" t="inlineStr">
        <is>
          <t>Arcane Fury</t>
        </is>
      </c>
      <c r="E1720" t="inlineStr">
        <is>
          <t>Warframe</t>
        </is>
      </c>
      <c r="F1720" t="n">
        <v>5</v>
      </c>
      <c r="G1720" t="n">
        <v>1</v>
      </c>
      <c r="H1720" t="inlineStr">
        <is>
          <t>Player trade (max rank)</t>
        </is>
      </c>
      <c r="I1720" t="inlineStr">
        <is>
          <t>Yes</t>
        </is>
      </c>
      <c r="K1720" t="inlineStr">
        <is>
          <t>Required (v4.2 frame builds)</t>
        </is>
      </c>
      <c r="L1720" t="n">
        <v>120</v>
      </c>
      <c r="M1720" t="n">
        <v>120</v>
      </c>
      <c r="N1720" t="n">
        <v>149</v>
      </c>
      <c r="O1720" t="inlineStr">
        <is>
          <t>2026-10-05 UTC (WFM pull 02:52-04:00)</t>
        </is>
      </c>
      <c r="P1720" t="inlineStr">
        <is>
          <t>OK</t>
        </is>
      </c>
      <c r="R1720" t="inlineStr">
        <is>
          <t>Arcanes share across items like mods (one max-rank copy covers every build).</t>
        </is>
      </c>
      <c r="S1720" t="inlineStr">
        <is>
          <t>arcane_fury</t>
        </is>
      </c>
      <c r="T1720" t="n">
        <v>34</v>
      </c>
      <c r="U1720" t="n">
        <v>34</v>
      </c>
      <c r="V1720" t="n">
        <v>135</v>
      </c>
      <c r="W1720" t="n">
        <v>135</v>
      </c>
      <c r="X1720" t="n">
        <v>125</v>
      </c>
      <c r="Y1720" t="n">
        <v>9266</v>
      </c>
      <c r="Z1720" t="n">
        <v>192</v>
      </c>
      <c r="AA1720" t="n">
        <v>108</v>
      </c>
      <c r="AB1720" t="n">
        <v>12</v>
      </c>
      <c r="AQ1720" t="n">
        <v>8</v>
      </c>
      <c r="AR1720" t="n">
        <v>168</v>
      </c>
      <c r="AS1720" t="inlineStr">
        <is>
          <t>Yes</t>
        </is>
      </c>
    </row>
    <row r="1721">
      <c r="A1721" t="inlineStr">
        <is>
          <t>Arcane</t>
        </is>
      </c>
      <c r="B1721" t="inlineStr">
        <is>
          <t>Arcane Grace</t>
        </is>
      </c>
      <c r="E1721" t="inlineStr">
        <is>
          <t>Warframe</t>
        </is>
      </c>
      <c r="F1721" t="n">
        <v>5</v>
      </c>
      <c r="G1721" t="n">
        <v>1</v>
      </c>
      <c r="H1721" t="inlineStr">
        <is>
          <t>Player trade (max rank)</t>
        </is>
      </c>
      <c r="I1721" t="inlineStr">
        <is>
          <t>Yes</t>
        </is>
      </c>
      <c r="K1721" t="inlineStr">
        <is>
          <t>Collection (optional)</t>
        </is>
      </c>
      <c r="L1721" t="n">
        <v>100</v>
      </c>
      <c r="M1721" t="n">
        <v>100</v>
      </c>
      <c r="N1721" t="n">
        <v>122</v>
      </c>
      <c r="O1721" t="inlineStr">
        <is>
          <t>2026-10-05 UTC (WFM pull 02:52-04:00)</t>
        </is>
      </c>
      <c r="P1721" t="inlineStr">
        <is>
          <t>OK</t>
        </is>
      </c>
      <c r="R1721" t="inlineStr">
        <is>
          <t>Arcanes share across items like mods (one max-rank copy covers every build).</t>
        </is>
      </c>
      <c r="S1721" t="inlineStr">
        <is>
          <t>arcane_grace</t>
        </is>
      </c>
      <c r="T1721" t="n">
        <v>30</v>
      </c>
      <c r="U1721" t="n">
        <v>30</v>
      </c>
      <c r="V1721" t="n">
        <v>100</v>
      </c>
      <c r="W1721" t="n">
        <v>100</v>
      </c>
      <c r="X1721" t="n">
        <v>100.2</v>
      </c>
      <c r="Y1721" t="n">
        <v>3267</v>
      </c>
      <c r="Z1721" t="n">
        <v>82</v>
      </c>
      <c r="AA1721" t="n">
        <v>60</v>
      </c>
      <c r="AB1721" t="n">
        <v>40</v>
      </c>
      <c r="AQ1721" t="n">
        <v>10</v>
      </c>
      <c r="AR1721" t="n">
        <v>210</v>
      </c>
      <c r="AS1721" t="inlineStr">
        <is>
          <t>Collection (optional)</t>
        </is>
      </c>
    </row>
    <row r="1722">
      <c r="A1722" t="inlineStr">
        <is>
          <t>Arcane</t>
        </is>
      </c>
      <c r="B1722" t="inlineStr">
        <is>
          <t>Arcane Guardian</t>
        </is>
      </c>
      <c r="E1722" t="inlineStr">
        <is>
          <t>Warframe</t>
        </is>
      </c>
      <c r="F1722" t="n">
        <v>5</v>
      </c>
      <c r="G1722" t="n">
        <v>1</v>
      </c>
      <c r="H1722" t="inlineStr">
        <is>
          <t>Player trade (max rank)</t>
        </is>
      </c>
      <c r="I1722" t="inlineStr">
        <is>
          <t>Yes</t>
        </is>
      </c>
      <c r="K1722" t="inlineStr">
        <is>
          <t>Collection (optional)</t>
        </is>
      </c>
      <c r="L1722" t="n">
        <v>50</v>
      </c>
      <c r="M1722" t="n">
        <v>60</v>
      </c>
      <c r="N1722" t="n">
        <v>66</v>
      </c>
      <c r="O1722" t="inlineStr">
        <is>
          <t>2026-10-05 UTC (WFM pull 02:52-04:00)</t>
        </is>
      </c>
      <c r="P1722" t="inlineStr">
        <is>
          <t>OK</t>
        </is>
      </c>
      <c r="R1722" t="inlineStr">
        <is>
          <t>Arcanes share across items like mods (one max-rank copy covers every build).</t>
        </is>
      </c>
      <c r="S1722" t="inlineStr">
        <is>
          <t>arcane_guardian</t>
        </is>
      </c>
      <c r="T1722" t="n">
        <v>15</v>
      </c>
      <c r="U1722" t="n">
        <v>15</v>
      </c>
      <c r="V1722" t="n">
        <v>55</v>
      </c>
      <c r="W1722" t="n">
        <v>50</v>
      </c>
      <c r="X1722" t="n">
        <v>51</v>
      </c>
      <c r="Y1722" t="n">
        <v>2921</v>
      </c>
      <c r="Z1722" t="n">
        <v>77</v>
      </c>
      <c r="AA1722" t="n">
        <v>27</v>
      </c>
      <c r="AB1722" t="n">
        <v>23</v>
      </c>
      <c r="AQ1722" t="n">
        <v>3</v>
      </c>
      <c r="AR1722" t="n">
        <v>63</v>
      </c>
      <c r="AS1722" t="inlineStr">
        <is>
          <t>Collection (optional)</t>
        </is>
      </c>
    </row>
    <row r="1723">
      <c r="A1723" t="inlineStr">
        <is>
          <t>Arcane</t>
        </is>
      </c>
      <c r="B1723" t="inlineStr">
        <is>
          <t>Arcane Healing</t>
        </is>
      </c>
      <c r="E1723" t="inlineStr">
        <is>
          <t>Warframe</t>
        </is>
      </c>
      <c r="F1723" t="n">
        <v>5</v>
      </c>
      <c r="G1723" t="n">
        <v>1</v>
      </c>
      <c r="H1723" t="inlineStr">
        <is>
          <t>Player trade (max rank)</t>
        </is>
      </c>
      <c r="I1723" t="inlineStr">
        <is>
          <t>Yes</t>
        </is>
      </c>
      <c r="K1723" t="inlineStr">
        <is>
          <t>Collection (optional)</t>
        </is>
      </c>
      <c r="L1723" t="n">
        <v>19</v>
      </c>
      <c r="M1723" t="n">
        <v>20</v>
      </c>
      <c r="N1723" t="n">
        <v>28</v>
      </c>
      <c r="O1723" t="inlineStr">
        <is>
          <t>2026-10-05 UTC (WFM pull 02:52-04:00)</t>
        </is>
      </c>
      <c r="P1723" t="inlineStr">
        <is>
          <t>OK</t>
        </is>
      </c>
      <c r="R1723" t="inlineStr">
        <is>
          <t>Arcanes share across items like mods (one max-rank copy covers every build).</t>
        </is>
      </c>
      <c r="S1723" t="inlineStr">
        <is>
          <t>arcane_healing</t>
        </is>
      </c>
      <c r="T1723" t="n">
        <v>7</v>
      </c>
      <c r="U1723" t="n">
        <v>7</v>
      </c>
      <c r="V1723" t="n">
        <v>17</v>
      </c>
      <c r="W1723" t="n">
        <v>19</v>
      </c>
      <c r="X1723" t="n">
        <v>17.5</v>
      </c>
      <c r="Y1723" t="n">
        <v>89</v>
      </c>
      <c r="Z1723" t="n">
        <v>3</v>
      </c>
      <c r="AA1723" t="n">
        <v>10</v>
      </c>
      <c r="AB1723" t="n">
        <v>9</v>
      </c>
      <c r="AQ1723" t="n">
        <v>3</v>
      </c>
      <c r="AR1723" t="n">
        <v>63</v>
      </c>
      <c r="AS1723" t="inlineStr">
        <is>
          <t>Collection (optional)</t>
        </is>
      </c>
    </row>
    <row r="1724">
      <c r="A1724" t="inlineStr">
        <is>
          <t>Arcane</t>
        </is>
      </c>
      <c r="B1724" t="inlineStr">
        <is>
          <t>Arcane Hot Shot</t>
        </is>
      </c>
      <c r="E1724" t="inlineStr">
        <is>
          <t>Warframe</t>
        </is>
      </c>
      <c r="F1724" t="n">
        <v>5</v>
      </c>
      <c r="G1724" t="n">
        <v>1</v>
      </c>
      <c r="H1724" t="inlineStr">
        <is>
          <t>Player trade (max rank)</t>
        </is>
      </c>
      <c r="I1724" t="inlineStr">
        <is>
          <t>Yes</t>
        </is>
      </c>
      <c r="K1724" t="inlineStr">
        <is>
          <t>Required (v4.2 frame builds)</t>
        </is>
      </c>
      <c r="L1724" t="n">
        <v>310</v>
      </c>
      <c r="M1724" t="n">
        <v>320</v>
      </c>
      <c r="N1724" t="n">
        <v>386</v>
      </c>
      <c r="O1724" t="inlineStr">
        <is>
          <t>2026-10-05 UTC (WFM pull 02:52-04:00)</t>
        </is>
      </c>
      <c r="P1724" t="inlineStr">
        <is>
          <t>OK</t>
        </is>
      </c>
      <c r="Q1724" t="inlineStr">
        <is>
          <t>Cheaper via 21x R0 (294p realistic) than buying max rank</t>
        </is>
      </c>
      <c r="R1724" t="inlineStr">
        <is>
          <t>Arcanes share across items like mods (one max-rank copy covers every build).</t>
        </is>
      </c>
      <c r="S1724" t="inlineStr">
        <is>
          <t>arcane_hot_shot</t>
        </is>
      </c>
      <c r="T1724" t="n">
        <v>84</v>
      </c>
      <c r="U1724" t="n">
        <v>84</v>
      </c>
      <c r="V1724" t="n">
        <v>350</v>
      </c>
      <c r="W1724" t="n">
        <v>449</v>
      </c>
      <c r="X1724" t="n">
        <v>434.2</v>
      </c>
      <c r="Y1724" t="n">
        <v>12285</v>
      </c>
      <c r="Z1724" t="n">
        <v>337</v>
      </c>
      <c r="AA1724" t="n">
        <v>290</v>
      </c>
      <c r="AB1724" t="n">
        <v>20</v>
      </c>
      <c r="AQ1724" t="n">
        <v>14</v>
      </c>
      <c r="AR1724" t="n">
        <v>294</v>
      </c>
      <c r="AS1724" t="inlineStr">
        <is>
          <t>Yes</t>
        </is>
      </c>
    </row>
    <row r="1725">
      <c r="A1725" t="inlineStr">
        <is>
          <t>Arcane</t>
        </is>
      </c>
      <c r="B1725" t="inlineStr">
        <is>
          <t>Arcane Ice</t>
        </is>
      </c>
      <c r="E1725" t="inlineStr">
        <is>
          <t>Warframe</t>
        </is>
      </c>
      <c r="F1725" t="n">
        <v>5</v>
      </c>
      <c r="G1725" t="n">
        <v>1</v>
      </c>
      <c r="H1725" t="inlineStr">
        <is>
          <t>Player trade (max rank)</t>
        </is>
      </c>
      <c r="I1725" t="inlineStr">
        <is>
          <t>Yes</t>
        </is>
      </c>
      <c r="K1725" t="inlineStr">
        <is>
          <t>Collection (optional)</t>
        </is>
      </c>
      <c r="L1725" t="n">
        <v>20</v>
      </c>
      <c r="M1725" t="n">
        <v>30</v>
      </c>
      <c r="N1725" t="n">
        <v>66</v>
      </c>
      <c r="O1725" t="inlineStr">
        <is>
          <t>2026-10-05 UTC (WFM pull 02:52-04:00)</t>
        </is>
      </c>
      <c r="P1725" t="inlineStr">
        <is>
          <t>OK</t>
        </is>
      </c>
      <c r="R1725" t="inlineStr">
        <is>
          <t>Arcanes share across items like mods (one max-rank copy covers every build).</t>
        </is>
      </c>
      <c r="S1725" t="inlineStr">
        <is>
          <t>arcane_ice</t>
        </is>
      </c>
      <c r="T1725" t="n">
        <v>6</v>
      </c>
      <c r="U1725" t="n">
        <v>6</v>
      </c>
      <c r="V1725" t="n">
        <v>20</v>
      </c>
      <c r="W1725" t="n">
        <v>20</v>
      </c>
      <c r="X1725" t="n">
        <v>19.7</v>
      </c>
      <c r="Y1725" t="n">
        <v>170</v>
      </c>
      <c r="Z1725" t="n">
        <v>5</v>
      </c>
      <c r="AQ1725" t="n">
        <v>3</v>
      </c>
      <c r="AR1725" t="n">
        <v>63</v>
      </c>
      <c r="AS1725" t="inlineStr">
        <is>
          <t>Collection (optional)</t>
        </is>
      </c>
    </row>
    <row r="1726">
      <c r="A1726" t="inlineStr">
        <is>
          <t>Arcane</t>
        </is>
      </c>
      <c r="B1726" t="inlineStr">
        <is>
          <t>Arcane Ice Storm</t>
        </is>
      </c>
      <c r="E1726" t="inlineStr">
        <is>
          <t>Warframe</t>
        </is>
      </c>
      <c r="F1726" t="n">
        <v>5</v>
      </c>
      <c r="G1726" t="n">
        <v>1</v>
      </c>
      <c r="H1726" t="inlineStr">
        <is>
          <t>Player trade (max rank)</t>
        </is>
      </c>
      <c r="I1726" t="inlineStr">
        <is>
          <t>Yes</t>
        </is>
      </c>
      <c r="K1726" t="inlineStr">
        <is>
          <t>Required (v4.2 frame builds)</t>
        </is>
      </c>
      <c r="L1726" t="n">
        <v>74</v>
      </c>
      <c r="M1726" t="n">
        <v>78</v>
      </c>
      <c r="N1726" t="n">
        <v>94</v>
      </c>
      <c r="O1726" t="inlineStr">
        <is>
          <t>2026-10-05 UTC (WFM pull 02:52-04:00)</t>
        </is>
      </c>
      <c r="P1726" t="inlineStr">
        <is>
          <t>OK</t>
        </is>
      </c>
      <c r="R1726" t="inlineStr">
        <is>
          <t>Arcanes share across items like mods (one max-rank copy covers every build).</t>
        </is>
      </c>
      <c r="S1726" t="inlineStr">
        <is>
          <t>arcane_ice_storm</t>
        </is>
      </c>
      <c r="T1726" t="n">
        <v>22</v>
      </c>
      <c r="U1726" t="n">
        <v>22</v>
      </c>
      <c r="V1726" t="n">
        <v>85</v>
      </c>
      <c r="W1726" t="n">
        <v>80</v>
      </c>
      <c r="X1726" t="n">
        <v>77.40000000000001</v>
      </c>
      <c r="Y1726" t="n">
        <v>8874</v>
      </c>
      <c r="Z1726" t="n">
        <v>533</v>
      </c>
      <c r="AA1726" t="n">
        <v>70</v>
      </c>
      <c r="AB1726" t="n">
        <v>4</v>
      </c>
      <c r="AQ1726" t="n">
        <v>5</v>
      </c>
      <c r="AR1726" t="n">
        <v>105</v>
      </c>
      <c r="AS1726" t="inlineStr">
        <is>
          <t>Yes</t>
        </is>
      </c>
    </row>
    <row r="1727">
      <c r="A1727" t="inlineStr">
        <is>
          <t>Arcane</t>
        </is>
      </c>
      <c r="B1727" t="inlineStr">
        <is>
          <t>Arcane Impetus</t>
        </is>
      </c>
      <c r="E1727" t="inlineStr">
        <is>
          <t>Warframe</t>
        </is>
      </c>
      <c r="F1727" t="n">
        <v>5</v>
      </c>
      <c r="G1727" t="n">
        <v>1</v>
      </c>
      <c r="H1727" t="inlineStr">
        <is>
          <t>Player trade (max rank)</t>
        </is>
      </c>
      <c r="I1727" t="inlineStr">
        <is>
          <t>Yes</t>
        </is>
      </c>
      <c r="K1727" t="inlineStr">
        <is>
          <t>Collection (optional)</t>
        </is>
      </c>
      <c r="L1727" t="n">
        <v>24</v>
      </c>
      <c r="M1727" t="n">
        <v>28</v>
      </c>
      <c r="N1727" t="n">
        <v>31</v>
      </c>
      <c r="O1727" t="inlineStr">
        <is>
          <t>2026-10-05 UTC (WFM pull 02:52-04:00)</t>
        </is>
      </c>
      <c r="P1727" t="inlineStr">
        <is>
          <t>OK</t>
        </is>
      </c>
      <c r="R1727" t="inlineStr">
        <is>
          <t>Arcanes share across items like mods (one max-rank copy covers every build).</t>
        </is>
      </c>
      <c r="S1727" t="inlineStr">
        <is>
          <t>arcane_impetus</t>
        </is>
      </c>
      <c r="T1727" t="n">
        <v>34</v>
      </c>
      <c r="U1727" t="n">
        <v>34</v>
      </c>
      <c r="V1727" t="n">
        <v>25</v>
      </c>
      <c r="W1727" t="n">
        <v>28</v>
      </c>
      <c r="X1727" t="n">
        <v>27.4</v>
      </c>
      <c r="Y1727" t="n">
        <v>8311</v>
      </c>
      <c r="Z1727" t="n">
        <v>281</v>
      </c>
      <c r="AA1727" t="n">
        <v>7</v>
      </c>
      <c r="AB1727" t="n">
        <v>17</v>
      </c>
      <c r="AQ1727" t="n">
        <v>2</v>
      </c>
      <c r="AR1727" t="n">
        <v>42</v>
      </c>
      <c r="AS1727" t="inlineStr">
        <is>
          <t>Collection (optional)</t>
        </is>
      </c>
    </row>
    <row r="1728">
      <c r="A1728" t="inlineStr">
        <is>
          <t>Arcane</t>
        </is>
      </c>
      <c r="B1728" t="inlineStr">
        <is>
          <t>Arcane Intention</t>
        </is>
      </c>
      <c r="E1728" t="inlineStr">
        <is>
          <t>Warframe</t>
        </is>
      </c>
      <c r="F1728" t="n">
        <v>5</v>
      </c>
      <c r="G1728" t="n">
        <v>1</v>
      </c>
      <c r="H1728" t="inlineStr">
        <is>
          <t>Player trade (max rank)</t>
        </is>
      </c>
      <c r="I1728" t="inlineStr">
        <is>
          <t>Yes</t>
        </is>
      </c>
      <c r="K1728" t="inlineStr">
        <is>
          <t>Collection (optional)</t>
        </is>
      </c>
      <c r="L1728" t="n">
        <v>15</v>
      </c>
      <c r="M1728" t="n">
        <v>20</v>
      </c>
      <c r="N1728" t="n">
        <v>22</v>
      </c>
      <c r="O1728" t="inlineStr">
        <is>
          <t>2026-10-05 UTC (WFM pull 02:52-04:00)</t>
        </is>
      </c>
      <c r="P1728" t="inlineStr">
        <is>
          <t>OK</t>
        </is>
      </c>
      <c r="R1728" t="inlineStr">
        <is>
          <t>Arcanes share across items like mods (one max-rank copy covers every build).</t>
        </is>
      </c>
      <c r="S1728" t="inlineStr">
        <is>
          <t>arcane_intention</t>
        </is>
      </c>
      <c r="T1728" t="n">
        <v>12</v>
      </c>
      <c r="U1728" t="n">
        <v>12</v>
      </c>
      <c r="V1728" t="n">
        <v>15</v>
      </c>
      <c r="W1728" t="n">
        <v>15</v>
      </c>
      <c r="X1728" t="n">
        <v>15.8</v>
      </c>
      <c r="Y1728" t="n">
        <v>171</v>
      </c>
      <c r="Z1728" t="n">
        <v>6</v>
      </c>
      <c r="AA1728" t="n">
        <v>7</v>
      </c>
      <c r="AB1728" t="n">
        <v>8</v>
      </c>
      <c r="AQ1728" t="n">
        <v>2</v>
      </c>
      <c r="AR1728" t="n">
        <v>42</v>
      </c>
      <c r="AS1728" t="inlineStr">
        <is>
          <t>Collection (optional)</t>
        </is>
      </c>
    </row>
    <row r="1729">
      <c r="A1729" t="inlineStr">
        <is>
          <t>Arcane</t>
        </is>
      </c>
      <c r="B1729" t="inlineStr">
        <is>
          <t>Arcane Momentum</t>
        </is>
      </c>
      <c r="E1729" t="inlineStr">
        <is>
          <t>Warframe</t>
        </is>
      </c>
      <c r="F1729" t="n">
        <v>5</v>
      </c>
      <c r="G1729" t="n">
        <v>1</v>
      </c>
      <c r="H1729" t="inlineStr">
        <is>
          <t>Player trade (max rank)</t>
        </is>
      </c>
      <c r="I1729" t="inlineStr">
        <is>
          <t>Yes</t>
        </is>
      </c>
      <c r="K1729" t="inlineStr">
        <is>
          <t>Collection (optional)</t>
        </is>
      </c>
      <c r="L1729" t="n">
        <v>20</v>
      </c>
      <c r="M1729" t="n">
        <v>20</v>
      </c>
      <c r="N1729" t="n">
        <v>33</v>
      </c>
      <c r="O1729" t="inlineStr">
        <is>
          <t>2026-10-05 UTC (WFM pull 02:52-04:00)</t>
        </is>
      </c>
      <c r="P1729" t="inlineStr">
        <is>
          <t>OK</t>
        </is>
      </c>
      <c r="R1729" t="inlineStr">
        <is>
          <t>Arcanes share across items like mods (one max-rank copy covers every build).</t>
        </is>
      </c>
      <c r="S1729" t="inlineStr">
        <is>
          <t>arcane_momentum</t>
        </is>
      </c>
      <c r="T1729" t="n">
        <v>10</v>
      </c>
      <c r="U1729" t="n">
        <v>10</v>
      </c>
      <c r="V1729" t="n">
        <v>19</v>
      </c>
      <c r="W1729" t="n">
        <v>19</v>
      </c>
      <c r="X1729" t="n">
        <v>18.5</v>
      </c>
      <c r="Y1729" t="n">
        <v>220</v>
      </c>
      <c r="Z1729" t="n">
        <v>0</v>
      </c>
      <c r="AA1729" t="n">
        <v>5</v>
      </c>
      <c r="AB1729" t="n">
        <v>15</v>
      </c>
      <c r="AQ1729" t="n">
        <v>3</v>
      </c>
      <c r="AR1729" t="n">
        <v>63</v>
      </c>
      <c r="AS1729" t="inlineStr">
        <is>
          <t>Collection (optional)</t>
        </is>
      </c>
    </row>
    <row r="1730">
      <c r="A1730" t="inlineStr">
        <is>
          <t>Arcane</t>
        </is>
      </c>
      <c r="B1730" t="inlineStr">
        <is>
          <t>Arcane Nullifier</t>
        </is>
      </c>
      <c r="E1730" t="inlineStr">
        <is>
          <t>Warframe</t>
        </is>
      </c>
      <c r="F1730" t="n">
        <v>5</v>
      </c>
      <c r="G1730" t="n">
        <v>1</v>
      </c>
      <c r="H1730" t="inlineStr">
        <is>
          <t>Player trade (max rank)</t>
        </is>
      </c>
      <c r="I1730" t="inlineStr">
        <is>
          <t>Yes</t>
        </is>
      </c>
      <c r="K1730" t="inlineStr">
        <is>
          <t>Collection (optional)</t>
        </is>
      </c>
      <c r="L1730" t="n">
        <v>55</v>
      </c>
      <c r="M1730" t="n">
        <v>57</v>
      </c>
      <c r="N1730" t="n">
        <v>66</v>
      </c>
      <c r="O1730" t="inlineStr">
        <is>
          <t>2026-10-05 UTC (WFM pull 02:52-04:00)</t>
        </is>
      </c>
      <c r="P1730" t="inlineStr">
        <is>
          <t>OK</t>
        </is>
      </c>
      <c r="R1730" t="inlineStr">
        <is>
          <t>Arcanes share across items like mods (one max-rank copy covers every build).</t>
        </is>
      </c>
      <c r="S1730" t="inlineStr">
        <is>
          <t>arcane_nullifier</t>
        </is>
      </c>
      <c r="T1730" t="n">
        <v>23</v>
      </c>
      <c r="U1730" t="n">
        <v>23</v>
      </c>
      <c r="V1730" t="n">
        <v>60</v>
      </c>
      <c r="W1730" t="n">
        <v>60</v>
      </c>
      <c r="X1730" t="n">
        <v>58.3</v>
      </c>
      <c r="Y1730" t="n">
        <v>2919</v>
      </c>
      <c r="Z1730" t="n">
        <v>59</v>
      </c>
      <c r="AA1730" t="n">
        <v>47</v>
      </c>
      <c r="AB1730" t="n">
        <v>8</v>
      </c>
      <c r="AQ1730" t="n">
        <v>5</v>
      </c>
      <c r="AR1730" t="n">
        <v>105</v>
      </c>
      <c r="AS1730" t="inlineStr">
        <is>
          <t>Collection (optional)</t>
        </is>
      </c>
    </row>
    <row r="1731">
      <c r="A1731" t="inlineStr">
        <is>
          <t>Arcane</t>
        </is>
      </c>
      <c r="B1731" t="inlineStr">
        <is>
          <t>Arcane Persistence</t>
        </is>
      </c>
      <c r="E1731" t="inlineStr">
        <is>
          <t>Warframe</t>
        </is>
      </c>
      <c r="F1731" t="n">
        <v>5</v>
      </c>
      <c r="G1731" t="n">
        <v>1</v>
      </c>
      <c r="H1731" t="inlineStr">
        <is>
          <t>Player trade (max rank)</t>
        </is>
      </c>
      <c r="I1731" t="inlineStr">
        <is>
          <t>Yes</t>
        </is>
      </c>
      <c r="K1731" t="inlineStr">
        <is>
          <t>Collection (optional)</t>
        </is>
      </c>
      <c r="L1731" t="n">
        <v>40</v>
      </c>
      <c r="M1731" t="n">
        <v>40</v>
      </c>
      <c r="N1731" t="n">
        <v>50</v>
      </c>
      <c r="O1731" t="inlineStr">
        <is>
          <t>2026-10-05 UTC (WFM pull 02:52-04:00)</t>
        </is>
      </c>
      <c r="P1731" t="inlineStr">
        <is>
          <t>OK</t>
        </is>
      </c>
      <c r="R1731" t="inlineStr">
        <is>
          <t>Arcanes share across items like mods (one max-rank copy covers every build).</t>
        </is>
      </c>
      <c r="S1731" t="inlineStr">
        <is>
          <t>arcane_persistence</t>
        </is>
      </c>
      <c r="T1731" t="n">
        <v>14</v>
      </c>
      <c r="U1731" t="n">
        <v>14</v>
      </c>
      <c r="V1731" t="n">
        <v>35</v>
      </c>
      <c r="W1731" t="n">
        <v>33.5</v>
      </c>
      <c r="X1731" t="n">
        <v>32.6</v>
      </c>
      <c r="Y1731" t="n">
        <v>10623</v>
      </c>
      <c r="Z1731" t="n">
        <v>323</v>
      </c>
      <c r="AA1731" t="n">
        <v>30</v>
      </c>
      <c r="AB1731" t="n">
        <v>10</v>
      </c>
      <c r="AQ1731" t="n">
        <v>3</v>
      </c>
      <c r="AR1731" t="n">
        <v>63</v>
      </c>
      <c r="AS1731" t="inlineStr">
        <is>
          <t>Collection (optional)</t>
        </is>
      </c>
    </row>
    <row r="1732">
      <c r="A1732" t="inlineStr">
        <is>
          <t>Arcane</t>
        </is>
      </c>
      <c r="B1732" t="inlineStr">
        <is>
          <t>Arcane Phantasm</t>
        </is>
      </c>
      <c r="E1732" t="inlineStr">
        <is>
          <t>Warframe</t>
        </is>
      </c>
      <c r="F1732" t="n">
        <v>5</v>
      </c>
      <c r="G1732" t="n">
        <v>1</v>
      </c>
      <c r="H1732" t="inlineStr">
        <is>
          <t>Player trade (max rank)</t>
        </is>
      </c>
      <c r="I1732" t="inlineStr">
        <is>
          <t>Yes</t>
        </is>
      </c>
      <c r="K1732" t="inlineStr">
        <is>
          <t>Collection (optional)</t>
        </is>
      </c>
      <c r="L1732" t="n">
        <v>30</v>
      </c>
      <c r="M1732" t="n">
        <v>30</v>
      </c>
      <c r="N1732" t="n">
        <v>66</v>
      </c>
      <c r="O1732" t="inlineStr">
        <is>
          <t>2026-10-05 UTC (WFM pull 02:52-04:00)</t>
        </is>
      </c>
      <c r="P1732" t="inlineStr">
        <is>
          <t>OK</t>
        </is>
      </c>
      <c r="R1732" t="inlineStr">
        <is>
          <t>Arcanes share across items like mods (one max-rank copy covers every build).</t>
        </is>
      </c>
      <c r="S1732" t="inlineStr">
        <is>
          <t>arcane_phantasm</t>
        </is>
      </c>
      <c r="T1732" t="n">
        <v>5</v>
      </c>
      <c r="U1732" t="n">
        <v>5</v>
      </c>
      <c r="V1732" t="n">
        <v>20</v>
      </c>
      <c r="W1732" t="n">
        <v>20</v>
      </c>
      <c r="X1732" t="n">
        <v>21</v>
      </c>
      <c r="Y1732" t="n">
        <v>219</v>
      </c>
      <c r="Z1732" t="n">
        <v>7</v>
      </c>
      <c r="AA1732" t="n">
        <v>7</v>
      </c>
      <c r="AB1732" t="n">
        <v>23</v>
      </c>
      <c r="AQ1732" t="n">
        <v>3</v>
      </c>
      <c r="AR1732" t="n">
        <v>63</v>
      </c>
      <c r="AS1732" t="inlineStr">
        <is>
          <t>Collection (optional)</t>
        </is>
      </c>
    </row>
    <row r="1733">
      <c r="A1733" t="inlineStr">
        <is>
          <t>Arcane</t>
        </is>
      </c>
      <c r="B1733" t="inlineStr">
        <is>
          <t>Arcane Pistoleer</t>
        </is>
      </c>
      <c r="E1733" t="inlineStr">
        <is>
          <t>Warframe</t>
        </is>
      </c>
      <c r="F1733" t="n">
        <v>5</v>
      </c>
      <c r="G1733" t="n">
        <v>1</v>
      </c>
      <c r="H1733" t="inlineStr">
        <is>
          <t>Player trade (max rank)</t>
        </is>
      </c>
      <c r="I1733" t="inlineStr">
        <is>
          <t>Yes</t>
        </is>
      </c>
      <c r="K1733" t="inlineStr">
        <is>
          <t>Collection (optional)</t>
        </is>
      </c>
      <c r="L1733" t="n">
        <v>55</v>
      </c>
      <c r="M1733" t="n">
        <v>55</v>
      </c>
      <c r="N1733" t="n">
        <v>62</v>
      </c>
      <c r="O1733" t="inlineStr">
        <is>
          <t>2026-10-05 UTC (WFM pull 02:52-04:00)</t>
        </is>
      </c>
      <c r="P1733" t="inlineStr">
        <is>
          <t>OK</t>
        </is>
      </c>
      <c r="R1733" t="inlineStr">
        <is>
          <t>Arcanes share across items like mods (one max-rank copy covers every build).</t>
        </is>
      </c>
      <c r="S1733" t="inlineStr">
        <is>
          <t>arcane_pistoleer</t>
        </is>
      </c>
      <c r="T1733" t="n">
        <v>19</v>
      </c>
      <c r="U1733" t="n">
        <v>19</v>
      </c>
      <c r="V1733" t="n">
        <v>50</v>
      </c>
      <c r="W1733" t="n">
        <v>48</v>
      </c>
      <c r="X1733" t="n">
        <v>47.2</v>
      </c>
      <c r="Y1733" t="n">
        <v>8311</v>
      </c>
      <c r="Z1733" t="n">
        <v>234</v>
      </c>
      <c r="AA1733" t="n">
        <v>45</v>
      </c>
      <c r="AB1733" t="n">
        <v>10</v>
      </c>
      <c r="AQ1733" t="n">
        <v>4</v>
      </c>
      <c r="AR1733" t="n">
        <v>84</v>
      </c>
      <c r="AS1733" t="inlineStr">
        <is>
          <t>Collection (optional)</t>
        </is>
      </c>
    </row>
    <row r="1734">
      <c r="A1734" t="inlineStr">
        <is>
          <t>Arcane</t>
        </is>
      </c>
      <c r="B1734" t="inlineStr">
        <is>
          <t>Arcane Power Ramp</t>
        </is>
      </c>
      <c r="E1734" t="inlineStr">
        <is>
          <t>Warframe</t>
        </is>
      </c>
      <c r="F1734" t="n">
        <v>5</v>
      </c>
      <c r="G1734" t="n">
        <v>1</v>
      </c>
      <c r="H1734" t="inlineStr">
        <is>
          <t>Player trade (max rank)</t>
        </is>
      </c>
      <c r="I1734" t="inlineStr">
        <is>
          <t>Yes</t>
        </is>
      </c>
      <c r="K1734" t="inlineStr">
        <is>
          <t>Collection (optional)</t>
        </is>
      </c>
      <c r="L1734" t="n">
        <v>30</v>
      </c>
      <c r="M1734" t="n">
        <v>35</v>
      </c>
      <c r="N1734" t="n">
        <v>44</v>
      </c>
      <c r="O1734" t="inlineStr">
        <is>
          <t>2026-10-05 UTC (WFM pull 02:52-04:00)</t>
        </is>
      </c>
      <c r="P1734" t="inlineStr">
        <is>
          <t>OK</t>
        </is>
      </c>
      <c r="R1734" t="inlineStr">
        <is>
          <t>Arcanes share across items like mods (one max-rank copy covers every build).</t>
        </is>
      </c>
      <c r="S1734" t="inlineStr">
        <is>
          <t>arcane_power_ramp</t>
        </is>
      </c>
      <c r="T1734" t="n">
        <v>15</v>
      </c>
      <c r="U1734" t="n">
        <v>15</v>
      </c>
      <c r="V1734" t="n">
        <v>35</v>
      </c>
      <c r="W1734" t="n">
        <v>38.5</v>
      </c>
      <c r="X1734" t="n">
        <v>37.6</v>
      </c>
      <c r="Y1734" t="n">
        <v>742</v>
      </c>
      <c r="Z1734" t="n">
        <v>11</v>
      </c>
      <c r="AA1734" t="n">
        <v>20</v>
      </c>
      <c r="AB1734" t="n">
        <v>10</v>
      </c>
      <c r="AQ1734" t="n">
        <v>5.2</v>
      </c>
      <c r="AR1734" t="n">
        <v>109.2</v>
      </c>
      <c r="AS1734" t="inlineStr">
        <is>
          <t>Collection (optional)</t>
        </is>
      </c>
    </row>
    <row r="1735">
      <c r="A1735" t="inlineStr">
        <is>
          <t>Arcane</t>
        </is>
      </c>
      <c r="B1735" t="inlineStr">
        <is>
          <t>Arcane Precision</t>
        </is>
      </c>
      <c r="E1735" t="inlineStr">
        <is>
          <t>Warframe</t>
        </is>
      </c>
      <c r="F1735" t="n">
        <v>5</v>
      </c>
      <c r="G1735" t="n">
        <v>1</v>
      </c>
      <c r="H1735" t="inlineStr">
        <is>
          <t>Player trade (max rank)</t>
        </is>
      </c>
      <c r="I1735" t="inlineStr">
        <is>
          <t>Yes</t>
        </is>
      </c>
      <c r="K1735" t="inlineStr">
        <is>
          <t>Collection (optional)</t>
        </is>
      </c>
      <c r="L1735" t="n">
        <v>145</v>
      </c>
      <c r="M1735" t="n">
        <v>150</v>
      </c>
      <c r="N1735" t="n">
        <v>176</v>
      </c>
      <c r="O1735" t="inlineStr">
        <is>
          <t>2026-10-05 UTC (WFM pull 02:52-04:00)</t>
        </is>
      </c>
      <c r="P1735" t="inlineStr">
        <is>
          <t>OK</t>
        </is>
      </c>
      <c r="R1735" t="inlineStr">
        <is>
          <t>Arcanes share across items like mods (one max-rank copy covers every build).</t>
        </is>
      </c>
      <c r="S1735" t="inlineStr">
        <is>
          <t>arcane_precision</t>
        </is>
      </c>
      <c r="T1735" t="n">
        <v>30</v>
      </c>
      <c r="U1735" t="n">
        <v>30</v>
      </c>
      <c r="V1735" t="n">
        <v>160</v>
      </c>
      <c r="W1735" t="n">
        <v>150</v>
      </c>
      <c r="X1735" t="n">
        <v>141</v>
      </c>
      <c r="Y1735" t="n">
        <v>5120</v>
      </c>
      <c r="Z1735" t="n">
        <v>125</v>
      </c>
      <c r="AA1735" t="n">
        <v>145</v>
      </c>
      <c r="AB1735" t="n">
        <v>0</v>
      </c>
      <c r="AQ1735" t="n">
        <v>10</v>
      </c>
      <c r="AR1735" t="n">
        <v>210</v>
      </c>
      <c r="AS1735" t="inlineStr">
        <is>
          <t>Collection (optional)</t>
        </is>
      </c>
    </row>
    <row r="1736">
      <c r="A1736" t="inlineStr">
        <is>
          <t>Arcane</t>
        </is>
      </c>
      <c r="B1736" t="inlineStr">
        <is>
          <t>Arcane Primary Charger</t>
        </is>
      </c>
      <c r="E1736" t="inlineStr">
        <is>
          <t>Warframe</t>
        </is>
      </c>
      <c r="F1736" t="n">
        <v>5</v>
      </c>
      <c r="G1736" t="n">
        <v>1</v>
      </c>
      <c r="H1736" t="inlineStr">
        <is>
          <t>Player trade (max rank)</t>
        </is>
      </c>
      <c r="I1736" t="inlineStr">
        <is>
          <t>Yes</t>
        </is>
      </c>
      <c r="K1736" t="inlineStr">
        <is>
          <t>Collection (optional)</t>
        </is>
      </c>
      <c r="L1736" t="n">
        <v>20</v>
      </c>
      <c r="M1736" t="n">
        <v>24</v>
      </c>
      <c r="N1736" t="n">
        <v>28</v>
      </c>
      <c r="O1736" t="inlineStr">
        <is>
          <t>2026-10-05 UTC (WFM pull 02:52-04:00)</t>
        </is>
      </c>
      <c r="P1736" t="inlineStr">
        <is>
          <t>OK</t>
        </is>
      </c>
      <c r="R1736" t="inlineStr">
        <is>
          <t>Arcanes share across items like mods (one max-rank copy covers every build).</t>
        </is>
      </c>
      <c r="S1736" t="inlineStr">
        <is>
          <t>arcane_primary_charger</t>
        </is>
      </c>
      <c r="T1736" t="n">
        <v>15</v>
      </c>
      <c r="U1736" t="n">
        <v>15</v>
      </c>
      <c r="V1736" t="n">
        <v>19</v>
      </c>
      <c r="W1736" t="n">
        <v>20</v>
      </c>
      <c r="X1736" t="n">
        <v>21.1</v>
      </c>
      <c r="Y1736" t="n">
        <v>222</v>
      </c>
      <c r="Z1736" t="n">
        <v>4</v>
      </c>
      <c r="AA1736" t="n">
        <v>7</v>
      </c>
      <c r="AB1736" t="n">
        <v>13</v>
      </c>
      <c r="AQ1736" t="n">
        <v>5</v>
      </c>
      <c r="AR1736" t="n">
        <v>105</v>
      </c>
      <c r="AS1736" t="inlineStr">
        <is>
          <t>Collection (optional)</t>
        </is>
      </c>
    </row>
    <row r="1737">
      <c r="A1737" t="inlineStr">
        <is>
          <t>Arcane</t>
        </is>
      </c>
      <c r="B1737" t="inlineStr">
        <is>
          <t>Arcane Pulse</t>
        </is>
      </c>
      <c r="E1737" t="inlineStr">
        <is>
          <t>Warframe</t>
        </is>
      </c>
      <c r="F1737" t="n">
        <v>5</v>
      </c>
      <c r="G1737" t="n">
        <v>1</v>
      </c>
      <c r="H1737" t="inlineStr">
        <is>
          <t>Player trade (max rank)</t>
        </is>
      </c>
      <c r="I1737" t="inlineStr">
        <is>
          <t>Yes</t>
        </is>
      </c>
      <c r="K1737" t="inlineStr">
        <is>
          <t>Collection (optional)</t>
        </is>
      </c>
      <c r="L1737" t="n">
        <v>20</v>
      </c>
      <c r="M1737" t="n">
        <v>20</v>
      </c>
      <c r="N1737" t="n">
        <v>28</v>
      </c>
      <c r="O1737" t="inlineStr">
        <is>
          <t>2026-10-05 UTC (WFM pull 02:52-04:00)</t>
        </is>
      </c>
      <c r="P1737" t="inlineStr">
        <is>
          <t>OK</t>
        </is>
      </c>
      <c r="R1737" t="inlineStr">
        <is>
          <t>Arcanes share across items like mods (one max-rank copy covers every build).</t>
        </is>
      </c>
      <c r="S1737" t="inlineStr">
        <is>
          <t>arcane_pulse</t>
        </is>
      </c>
      <c r="T1737" t="n">
        <v>11</v>
      </c>
      <c r="U1737" t="n">
        <v>11</v>
      </c>
      <c r="V1737" t="n">
        <v>18</v>
      </c>
      <c r="W1737" t="n">
        <v>17.5</v>
      </c>
      <c r="X1737" t="n">
        <v>16.7</v>
      </c>
      <c r="Y1737" t="n">
        <v>164</v>
      </c>
      <c r="Z1737" t="n">
        <v>3</v>
      </c>
      <c r="AA1737" t="n">
        <v>15</v>
      </c>
      <c r="AB1737" t="n">
        <v>5</v>
      </c>
      <c r="AQ1737" t="n">
        <v>2</v>
      </c>
      <c r="AR1737" t="n">
        <v>42</v>
      </c>
      <c r="AS1737" t="inlineStr">
        <is>
          <t>Collection (optional)</t>
        </is>
      </c>
    </row>
    <row r="1738">
      <c r="A1738" t="inlineStr">
        <is>
          <t>Arcane</t>
        </is>
      </c>
      <c r="B1738" t="inlineStr">
        <is>
          <t>Arcane Rage</t>
        </is>
      </c>
      <c r="E1738" t="inlineStr">
        <is>
          <t>Warframe</t>
        </is>
      </c>
      <c r="F1738" t="n">
        <v>5</v>
      </c>
      <c r="G1738" t="n">
        <v>1</v>
      </c>
      <c r="H1738" t="inlineStr">
        <is>
          <t>Player trade (max rank)</t>
        </is>
      </c>
      <c r="I1738" t="inlineStr">
        <is>
          <t>Yes</t>
        </is>
      </c>
      <c r="K1738" t="inlineStr">
        <is>
          <t>Collection (optional)</t>
        </is>
      </c>
      <c r="L1738" t="n">
        <v>50</v>
      </c>
      <c r="M1738" t="n">
        <v>50</v>
      </c>
      <c r="N1738" t="n">
        <v>56</v>
      </c>
      <c r="O1738" t="inlineStr">
        <is>
          <t>2026-10-05 UTC (WFM pull 02:52-04:00)</t>
        </is>
      </c>
      <c r="P1738" t="inlineStr">
        <is>
          <t>OK</t>
        </is>
      </c>
      <c r="R1738" t="inlineStr">
        <is>
          <t>Arcanes share across items like mods (one max-rank copy covers every build).</t>
        </is>
      </c>
      <c r="S1738" t="inlineStr">
        <is>
          <t>arcane_rage</t>
        </is>
      </c>
      <c r="T1738" t="n">
        <v>26</v>
      </c>
      <c r="U1738" t="n">
        <v>26</v>
      </c>
      <c r="V1738" t="n">
        <v>50</v>
      </c>
      <c r="W1738" t="n">
        <v>45</v>
      </c>
      <c r="X1738" t="n">
        <v>44.7</v>
      </c>
      <c r="Y1738" t="n">
        <v>3103</v>
      </c>
      <c r="Z1738" t="n">
        <v>73</v>
      </c>
      <c r="AA1738" t="n">
        <v>27</v>
      </c>
      <c r="AB1738" t="n">
        <v>23</v>
      </c>
      <c r="AQ1738" t="n">
        <v>3</v>
      </c>
      <c r="AR1738" t="n">
        <v>63</v>
      </c>
      <c r="AS1738" t="inlineStr">
        <is>
          <t>Collection (optional)</t>
        </is>
      </c>
    </row>
    <row r="1739">
      <c r="A1739" t="inlineStr">
        <is>
          <t>Arcane</t>
        </is>
      </c>
      <c r="B1739" t="inlineStr">
        <is>
          <t>Arcane Reaper</t>
        </is>
      </c>
      <c r="E1739" t="inlineStr">
        <is>
          <t>Warframe</t>
        </is>
      </c>
      <c r="F1739" t="n">
        <v>5</v>
      </c>
      <c r="G1739" t="n">
        <v>1</v>
      </c>
      <c r="H1739" t="inlineStr">
        <is>
          <t>Player trade (max rank)</t>
        </is>
      </c>
      <c r="I1739" t="inlineStr">
        <is>
          <t>Yes</t>
        </is>
      </c>
      <c r="K1739" t="inlineStr">
        <is>
          <t>Required (v4.2 frame builds)</t>
        </is>
      </c>
      <c r="L1739" t="n">
        <v>350</v>
      </c>
      <c r="M1739" t="n">
        <v>390</v>
      </c>
      <c r="N1739" t="n">
        <v>441</v>
      </c>
      <c r="O1739" t="inlineStr">
        <is>
          <t>2026-10-05 UTC (WFM pull 02:52-04:00)</t>
        </is>
      </c>
      <c r="P1739" t="inlineStr">
        <is>
          <t>OK</t>
        </is>
      </c>
      <c r="Q1739" t="inlineStr">
        <is>
          <t>Cheaper via 21x R0 (294p realistic) than buying max rank</t>
        </is>
      </c>
      <c r="R1739" t="inlineStr">
        <is>
          <t>Arcanes share across items like mods (one max-rank copy covers every build).</t>
        </is>
      </c>
      <c r="S1739" t="inlineStr">
        <is>
          <t>arcane_reaper</t>
        </is>
      </c>
      <c r="T1739" t="n">
        <v>15</v>
      </c>
      <c r="U1739" t="n">
        <v>15</v>
      </c>
      <c r="V1739" t="n">
        <v>395</v>
      </c>
      <c r="W1739" t="n">
        <v>397</v>
      </c>
      <c r="X1739" t="n">
        <v>394.5</v>
      </c>
      <c r="Y1739" t="n">
        <v>1371</v>
      </c>
      <c r="Z1739" t="n">
        <v>19</v>
      </c>
      <c r="AA1739" t="n">
        <v>320</v>
      </c>
      <c r="AB1739" t="n">
        <v>30</v>
      </c>
      <c r="AQ1739" t="n">
        <v>14</v>
      </c>
      <c r="AR1739" t="n">
        <v>294</v>
      </c>
      <c r="AS1739" t="inlineStr">
        <is>
          <t>Yes</t>
        </is>
      </c>
    </row>
    <row r="1740">
      <c r="A1740" t="inlineStr">
        <is>
          <t>Arcane</t>
        </is>
      </c>
      <c r="B1740" t="inlineStr">
        <is>
          <t>Arcane Resistance</t>
        </is>
      </c>
      <c r="E1740" t="inlineStr">
        <is>
          <t>Warframe</t>
        </is>
      </c>
      <c r="F1740" t="n">
        <v>5</v>
      </c>
      <c r="G1740" t="n">
        <v>1</v>
      </c>
      <c r="H1740" t="inlineStr">
        <is>
          <t>Player trade (max rank)</t>
        </is>
      </c>
      <c r="I1740" t="inlineStr">
        <is>
          <t>Yes</t>
        </is>
      </c>
      <c r="K1740" t="inlineStr">
        <is>
          <t>Collection (optional)</t>
        </is>
      </c>
      <c r="L1740" t="n">
        <v>45</v>
      </c>
      <c r="M1740" t="n">
        <v>49</v>
      </c>
      <c r="N1740" t="n">
        <v>58</v>
      </c>
      <c r="O1740" t="inlineStr">
        <is>
          <t>2026-10-05 UTC (WFM pull 02:52-04:00)</t>
        </is>
      </c>
      <c r="P1740" t="inlineStr">
        <is>
          <t>OK</t>
        </is>
      </c>
      <c r="R1740" t="inlineStr">
        <is>
          <t>Arcanes share across items like mods (one max-rank copy covers every build).</t>
        </is>
      </c>
      <c r="S1740" t="inlineStr">
        <is>
          <t>arcane_resistance</t>
        </is>
      </c>
      <c r="T1740" t="n">
        <v>11</v>
      </c>
      <c r="U1740" t="n">
        <v>11</v>
      </c>
      <c r="V1740" t="n">
        <v>47.5</v>
      </c>
      <c r="W1740" t="n">
        <v>45</v>
      </c>
      <c r="X1740" t="n">
        <v>44.5</v>
      </c>
      <c r="Y1740" t="n">
        <v>402</v>
      </c>
      <c r="Z1740" t="n">
        <v>13</v>
      </c>
      <c r="AA1740" t="n">
        <v>15</v>
      </c>
      <c r="AB1740" t="n">
        <v>30</v>
      </c>
      <c r="AQ1740" t="n">
        <v>5</v>
      </c>
      <c r="AR1740" t="n">
        <v>105</v>
      </c>
      <c r="AS1740" t="inlineStr">
        <is>
          <t>Collection (optional)</t>
        </is>
      </c>
    </row>
    <row r="1741">
      <c r="A1741" t="inlineStr">
        <is>
          <t>Arcane</t>
        </is>
      </c>
      <c r="B1741" t="inlineStr">
        <is>
          <t>Arcane Rise</t>
        </is>
      </c>
      <c r="E1741" t="inlineStr">
        <is>
          <t>Warframe</t>
        </is>
      </c>
      <c r="F1741" t="n">
        <v>5</v>
      </c>
      <c r="G1741" t="n">
        <v>1</v>
      </c>
      <c r="H1741" t="inlineStr">
        <is>
          <t>Player trade (max rank)</t>
        </is>
      </c>
      <c r="I1741" t="inlineStr">
        <is>
          <t>Yes</t>
        </is>
      </c>
      <c r="K1741" t="inlineStr">
        <is>
          <t>Collection (optional)</t>
        </is>
      </c>
      <c r="L1741" t="n">
        <v>30</v>
      </c>
      <c r="M1741" t="n">
        <v>30</v>
      </c>
      <c r="N1741" t="n">
        <v>50</v>
      </c>
      <c r="O1741" t="inlineStr">
        <is>
          <t>2026-10-05 UTC (WFM pull 02:52-04:00)</t>
        </is>
      </c>
      <c r="P1741" t="inlineStr">
        <is>
          <t>OK</t>
        </is>
      </c>
      <c r="R1741" t="inlineStr">
        <is>
          <t>Arcanes share across items like mods (one max-rank copy covers every build).</t>
        </is>
      </c>
      <c r="S1741" t="inlineStr">
        <is>
          <t>arcane_rise</t>
        </is>
      </c>
      <c r="T1741" t="n">
        <v>10</v>
      </c>
      <c r="U1741" t="n">
        <v>10</v>
      </c>
      <c r="V1741" t="n">
        <v>35</v>
      </c>
      <c r="W1741" t="n">
        <v>27</v>
      </c>
      <c r="X1741" t="n">
        <v>29.6</v>
      </c>
      <c r="Y1741" t="n">
        <v>1545</v>
      </c>
      <c r="Z1741" t="n">
        <v>22</v>
      </c>
      <c r="AA1741" t="n">
        <v>10</v>
      </c>
      <c r="AB1741" t="n">
        <v>20</v>
      </c>
      <c r="AQ1741" t="n">
        <v>3</v>
      </c>
      <c r="AR1741" t="n">
        <v>63</v>
      </c>
      <c r="AS1741" t="inlineStr">
        <is>
          <t>Collection (optional)</t>
        </is>
      </c>
    </row>
    <row r="1742">
      <c r="A1742" t="inlineStr">
        <is>
          <t>Arcane</t>
        </is>
      </c>
      <c r="B1742" t="inlineStr">
        <is>
          <t>Arcane Sculptor</t>
        </is>
      </c>
      <c r="E1742" t="inlineStr">
        <is>
          <t>Warframe</t>
        </is>
      </c>
      <c r="F1742" t="n">
        <v>5</v>
      </c>
      <c r="G1742" t="n">
        <v>1</v>
      </c>
      <c r="H1742" t="inlineStr">
        <is>
          <t>Player trade (max rank)</t>
        </is>
      </c>
      <c r="I1742" t="inlineStr">
        <is>
          <t>Yes</t>
        </is>
      </c>
      <c r="K1742" t="inlineStr">
        <is>
          <t>Collection (optional)</t>
        </is>
      </c>
      <c r="L1742" t="n">
        <v>180</v>
      </c>
      <c r="M1742" t="n">
        <v>190</v>
      </c>
      <c r="N1742" t="n">
        <v>210</v>
      </c>
      <c r="O1742" t="inlineStr">
        <is>
          <t>2026-10-05 UTC (WFM pull 02:52-04:00)</t>
        </is>
      </c>
      <c r="P1742" t="inlineStr">
        <is>
          <t>OK</t>
        </is>
      </c>
      <c r="R1742" t="inlineStr">
        <is>
          <t>Arcanes share across items like mods (one max-rank copy covers every build).</t>
        </is>
      </c>
      <c r="S1742" t="inlineStr">
        <is>
          <t>arcane_sculptor</t>
        </is>
      </c>
      <c r="T1742" t="n">
        <v>24</v>
      </c>
      <c r="U1742" t="n">
        <v>24</v>
      </c>
      <c r="V1742" t="n">
        <v>190</v>
      </c>
      <c r="W1742" t="n">
        <v>145</v>
      </c>
      <c r="X1742" t="n">
        <v>153.9</v>
      </c>
      <c r="Y1742" t="n">
        <v>21742</v>
      </c>
      <c r="Z1742" t="n">
        <v>691</v>
      </c>
      <c r="AA1742" t="n">
        <v>163</v>
      </c>
      <c r="AB1742" t="n">
        <v>17</v>
      </c>
      <c r="AQ1742" t="n">
        <v>10</v>
      </c>
      <c r="AR1742" t="n">
        <v>210</v>
      </c>
      <c r="AS1742" t="inlineStr">
        <is>
          <t>Collection (optional)</t>
        </is>
      </c>
    </row>
    <row r="1743">
      <c r="A1743" t="inlineStr">
        <is>
          <t>Arcane</t>
        </is>
      </c>
      <c r="B1743" t="inlineStr">
        <is>
          <t>Arcane Steadfast</t>
        </is>
      </c>
      <c r="E1743" t="inlineStr">
        <is>
          <t>Warframe</t>
        </is>
      </c>
      <c r="F1743" t="n">
        <v>5</v>
      </c>
      <c r="G1743" t="n">
        <v>1</v>
      </c>
      <c r="H1743" t="inlineStr">
        <is>
          <t>Player trade (max rank)</t>
        </is>
      </c>
      <c r="I1743" t="inlineStr">
        <is>
          <t>Yes</t>
        </is>
      </c>
      <c r="K1743" t="inlineStr">
        <is>
          <t>Collection (optional)</t>
        </is>
      </c>
      <c r="L1743" t="n">
        <v>220</v>
      </c>
      <c r="M1743" t="n">
        <v>225</v>
      </c>
      <c r="N1743" t="n">
        <v>254</v>
      </c>
      <c r="O1743" t="inlineStr">
        <is>
          <t>2026-10-05 UTC (WFM pull 02:52-04:00)</t>
        </is>
      </c>
      <c r="P1743" t="inlineStr">
        <is>
          <t>OK</t>
        </is>
      </c>
      <c r="R1743" t="inlineStr">
        <is>
          <t>Arcanes share across items like mods (one max-rank copy covers every build).</t>
        </is>
      </c>
      <c r="S1743" t="inlineStr">
        <is>
          <t>arcane_steadfast</t>
        </is>
      </c>
      <c r="T1743" t="n">
        <v>23</v>
      </c>
      <c r="U1743" t="n">
        <v>23</v>
      </c>
      <c r="V1743" t="n">
        <v>210</v>
      </c>
      <c r="W1743" t="n">
        <v>191.5</v>
      </c>
      <c r="X1743" t="n">
        <v>194.8</v>
      </c>
      <c r="Y1743" t="n">
        <v>5150</v>
      </c>
      <c r="Z1743" t="n">
        <v>223</v>
      </c>
      <c r="AA1743" t="n">
        <v>205</v>
      </c>
      <c r="AB1743" t="n">
        <v>15</v>
      </c>
      <c r="AQ1743" t="n">
        <v>15</v>
      </c>
      <c r="AR1743" t="n">
        <v>315</v>
      </c>
      <c r="AS1743" t="inlineStr">
        <is>
          <t>Collection (optional)</t>
        </is>
      </c>
    </row>
    <row r="1744">
      <c r="A1744" t="inlineStr">
        <is>
          <t>Arcane</t>
        </is>
      </c>
      <c r="B1744" t="inlineStr">
        <is>
          <t>Arcane Strike</t>
        </is>
      </c>
      <c r="E1744" t="inlineStr">
        <is>
          <t>Warframe</t>
        </is>
      </c>
      <c r="F1744" t="n">
        <v>5</v>
      </c>
      <c r="G1744" t="n">
        <v>1</v>
      </c>
      <c r="H1744" t="inlineStr">
        <is>
          <t>Player trade (max rank)</t>
        </is>
      </c>
      <c r="I1744" t="inlineStr">
        <is>
          <t>Yes</t>
        </is>
      </c>
      <c r="K1744" t="inlineStr">
        <is>
          <t>Collection (optional)</t>
        </is>
      </c>
      <c r="L1744" t="n">
        <v>80</v>
      </c>
      <c r="M1744" t="n">
        <v>88</v>
      </c>
      <c r="N1744" t="n">
        <v>108</v>
      </c>
      <c r="O1744" t="inlineStr">
        <is>
          <t>2026-10-05 UTC (WFM pull 02:52-04:00)</t>
        </is>
      </c>
      <c r="P1744" t="inlineStr">
        <is>
          <t>OK</t>
        </is>
      </c>
      <c r="R1744" t="inlineStr">
        <is>
          <t>Arcanes share across items like mods (one max-rank copy covers every build).</t>
        </is>
      </c>
      <c r="S1744" t="inlineStr">
        <is>
          <t>arcane_strike</t>
        </is>
      </c>
      <c r="T1744" t="n">
        <v>31</v>
      </c>
      <c r="U1744" t="n">
        <v>31</v>
      </c>
      <c r="V1744" t="n">
        <v>94</v>
      </c>
      <c r="W1744" t="n">
        <v>90</v>
      </c>
      <c r="X1744" t="n">
        <v>83.5</v>
      </c>
      <c r="Y1744" t="n">
        <v>4695</v>
      </c>
      <c r="Z1744" t="n">
        <v>114</v>
      </c>
      <c r="AA1744" t="n">
        <v>80</v>
      </c>
      <c r="AB1744" t="n">
        <v>0</v>
      </c>
      <c r="AQ1744" t="n">
        <v>7.5</v>
      </c>
      <c r="AR1744" t="n">
        <v>157.5</v>
      </c>
      <c r="AS1744" t="inlineStr">
        <is>
          <t>Collection (optional)</t>
        </is>
      </c>
    </row>
    <row r="1745">
      <c r="A1745" t="inlineStr">
        <is>
          <t>Arcane</t>
        </is>
      </c>
      <c r="B1745" t="inlineStr">
        <is>
          <t>Arcane Tanker</t>
        </is>
      </c>
      <c r="E1745" t="inlineStr">
        <is>
          <t>Warframe</t>
        </is>
      </c>
      <c r="F1745" t="n">
        <v>5</v>
      </c>
      <c r="G1745" t="n">
        <v>1</v>
      </c>
      <c r="H1745" t="inlineStr">
        <is>
          <t>Player trade (max rank)</t>
        </is>
      </c>
      <c r="I1745" t="inlineStr">
        <is>
          <t>Yes</t>
        </is>
      </c>
      <c r="K1745" t="inlineStr">
        <is>
          <t>Collection (optional)</t>
        </is>
      </c>
      <c r="L1745" t="n">
        <v>24</v>
      </c>
      <c r="M1745" t="n">
        <v>30</v>
      </c>
      <c r="N1745" t="n">
        <v>38</v>
      </c>
      <c r="O1745" t="inlineStr">
        <is>
          <t>2026-10-05 UTC (WFM pull 02:52-04:00)</t>
        </is>
      </c>
      <c r="P1745" t="inlineStr">
        <is>
          <t>OK</t>
        </is>
      </c>
      <c r="R1745" t="inlineStr">
        <is>
          <t>Arcanes share across items like mods (one max-rank copy covers every build).</t>
        </is>
      </c>
      <c r="S1745" t="inlineStr">
        <is>
          <t>arcane_tanker</t>
        </is>
      </c>
      <c r="T1745" t="n">
        <v>9</v>
      </c>
      <c r="U1745" t="n">
        <v>9</v>
      </c>
      <c r="V1745" t="n">
        <v>25</v>
      </c>
      <c r="W1745" t="n">
        <v>28</v>
      </c>
      <c r="X1745" t="n">
        <v>28.2</v>
      </c>
      <c r="Y1745" t="n">
        <v>477</v>
      </c>
      <c r="Z1745" t="n">
        <v>9</v>
      </c>
      <c r="AA1745" t="n">
        <v>16</v>
      </c>
      <c r="AB1745" t="n">
        <v>8</v>
      </c>
      <c r="AQ1745" t="n">
        <v>3</v>
      </c>
      <c r="AR1745" t="n">
        <v>63</v>
      </c>
      <c r="AS1745" t="inlineStr">
        <is>
          <t>Collection (optional)</t>
        </is>
      </c>
    </row>
    <row r="1746">
      <c r="A1746" t="inlineStr">
        <is>
          <t>Arcane</t>
        </is>
      </c>
      <c r="B1746" t="inlineStr">
        <is>
          <t>Arcane Tempo</t>
        </is>
      </c>
      <c r="E1746" t="inlineStr">
        <is>
          <t>Warframe</t>
        </is>
      </c>
      <c r="F1746" t="n">
        <v>5</v>
      </c>
      <c r="G1746" t="n">
        <v>1</v>
      </c>
      <c r="H1746" t="inlineStr">
        <is>
          <t>Player trade (max rank)</t>
        </is>
      </c>
      <c r="I1746" t="inlineStr">
        <is>
          <t>Yes</t>
        </is>
      </c>
      <c r="K1746" t="inlineStr">
        <is>
          <t>Collection (optional)</t>
        </is>
      </c>
      <c r="L1746" t="n">
        <v>59</v>
      </c>
      <c r="M1746" t="n">
        <v>60</v>
      </c>
      <c r="N1746" t="n">
        <v>72</v>
      </c>
      <c r="O1746" t="inlineStr">
        <is>
          <t>2026-10-05 UTC (WFM pull 02:52-04:00)</t>
        </is>
      </c>
      <c r="P1746" t="inlineStr">
        <is>
          <t>OK</t>
        </is>
      </c>
      <c r="R1746" t="inlineStr">
        <is>
          <t>Arcanes share across items like mods (one max-rank copy covers every build).</t>
        </is>
      </c>
      <c r="S1746" t="inlineStr">
        <is>
          <t>arcane_tempo</t>
        </is>
      </c>
      <c r="T1746" t="n">
        <v>15</v>
      </c>
      <c r="U1746" t="n">
        <v>15</v>
      </c>
      <c r="V1746" t="n">
        <v>65</v>
      </c>
      <c r="W1746" t="n">
        <v>60</v>
      </c>
      <c r="X1746" t="n">
        <v>59.5</v>
      </c>
      <c r="Y1746" t="n">
        <v>2788</v>
      </c>
      <c r="Z1746" t="n">
        <v>57</v>
      </c>
      <c r="AA1746" t="n">
        <v>34</v>
      </c>
      <c r="AB1746" t="n">
        <v>25</v>
      </c>
      <c r="AQ1746" t="n">
        <v>5</v>
      </c>
      <c r="AR1746" t="n">
        <v>105</v>
      </c>
      <c r="AS1746" t="inlineStr">
        <is>
          <t>Collection (optional)</t>
        </is>
      </c>
    </row>
    <row r="1747">
      <c r="A1747" t="inlineStr">
        <is>
          <t>Arcane</t>
        </is>
      </c>
      <c r="B1747" t="inlineStr">
        <is>
          <t>Arcane Trickery</t>
        </is>
      </c>
      <c r="E1747" t="inlineStr">
        <is>
          <t>Warframe</t>
        </is>
      </c>
      <c r="F1747" t="n">
        <v>5</v>
      </c>
      <c r="G1747" t="n">
        <v>1</v>
      </c>
      <c r="H1747" t="inlineStr">
        <is>
          <t>Player trade (max rank)</t>
        </is>
      </c>
      <c r="I1747" t="inlineStr">
        <is>
          <t>Yes</t>
        </is>
      </c>
      <c r="K1747" t="inlineStr">
        <is>
          <t>Collection (optional)</t>
        </is>
      </c>
      <c r="L1747" t="n">
        <v>30</v>
      </c>
      <c r="M1747" t="n">
        <v>30</v>
      </c>
      <c r="N1747" t="n">
        <v>33</v>
      </c>
      <c r="O1747" t="inlineStr">
        <is>
          <t>2026-10-05 UTC (WFM pull 02:52-04:00)</t>
        </is>
      </c>
      <c r="P1747" t="inlineStr">
        <is>
          <t>OK</t>
        </is>
      </c>
      <c r="R1747" t="inlineStr">
        <is>
          <t>Arcanes share across items like mods (one max-rank copy covers every build).</t>
        </is>
      </c>
      <c r="S1747" t="inlineStr">
        <is>
          <t>arcane_trickery</t>
        </is>
      </c>
      <c r="T1747" t="n">
        <v>12</v>
      </c>
      <c r="U1747" t="n">
        <v>12</v>
      </c>
      <c r="V1747" t="n">
        <v>23</v>
      </c>
      <c r="W1747" t="n">
        <v>23.5</v>
      </c>
      <c r="X1747" t="n">
        <v>23.4</v>
      </c>
      <c r="Y1747" t="n">
        <v>392</v>
      </c>
      <c r="Z1747" t="n">
        <v>7</v>
      </c>
      <c r="AA1747" t="n">
        <v>10</v>
      </c>
      <c r="AB1747" t="n">
        <v>20</v>
      </c>
      <c r="AQ1747" t="n">
        <v>3</v>
      </c>
      <c r="AR1747" t="n">
        <v>63</v>
      </c>
      <c r="AS1747" t="inlineStr">
        <is>
          <t>Collection (optional)</t>
        </is>
      </c>
    </row>
    <row r="1748">
      <c r="A1748" t="inlineStr">
        <is>
          <t>Arcane</t>
        </is>
      </c>
      <c r="B1748" t="inlineStr">
        <is>
          <t>Arcane Truculence</t>
        </is>
      </c>
      <c r="E1748" t="inlineStr">
        <is>
          <t>Warframe</t>
        </is>
      </c>
      <c r="F1748" t="n">
        <v>5</v>
      </c>
      <c r="G1748" t="n">
        <v>1</v>
      </c>
      <c r="H1748" t="inlineStr">
        <is>
          <t>Player trade (max rank)</t>
        </is>
      </c>
      <c r="I1748" t="inlineStr">
        <is>
          <t>Yes</t>
        </is>
      </c>
      <c r="K1748" t="inlineStr">
        <is>
          <t>Collection (optional)</t>
        </is>
      </c>
      <c r="L1748" t="n">
        <v>19</v>
      </c>
      <c r="M1748" t="n">
        <v>20</v>
      </c>
      <c r="N1748" t="n">
        <v>22</v>
      </c>
      <c r="O1748" t="inlineStr">
        <is>
          <t>2026-10-05 UTC (WFM pull 02:52-04:00)</t>
        </is>
      </c>
      <c r="P1748" t="inlineStr">
        <is>
          <t>OK</t>
        </is>
      </c>
      <c r="R1748" t="inlineStr">
        <is>
          <t>Arcanes share across items like mods (one max-rank copy covers every build).</t>
        </is>
      </c>
      <c r="S1748" t="inlineStr">
        <is>
          <t>arcane_truculence</t>
        </is>
      </c>
      <c r="T1748" t="n">
        <v>20</v>
      </c>
      <c r="U1748" t="n">
        <v>20</v>
      </c>
      <c r="V1748" t="n">
        <v>20</v>
      </c>
      <c r="W1748" t="n">
        <v>20</v>
      </c>
      <c r="X1748" t="n">
        <v>19.2</v>
      </c>
      <c r="Y1748" t="n">
        <v>3122</v>
      </c>
      <c r="Z1748" t="n">
        <v>30</v>
      </c>
      <c r="AA1748" t="n">
        <v>10</v>
      </c>
      <c r="AB1748" t="n">
        <v>9</v>
      </c>
      <c r="AQ1748" t="n">
        <v>2</v>
      </c>
      <c r="AR1748" t="n">
        <v>42</v>
      </c>
      <c r="AS1748" t="inlineStr">
        <is>
          <t>Collection (optional)</t>
        </is>
      </c>
    </row>
    <row r="1749">
      <c r="A1749" t="inlineStr">
        <is>
          <t>Arcane</t>
        </is>
      </c>
      <c r="B1749" t="inlineStr">
        <is>
          <t>Arcane Ultimatum</t>
        </is>
      </c>
      <c r="E1749" t="inlineStr">
        <is>
          <t>Warframe</t>
        </is>
      </c>
      <c r="F1749" t="n">
        <v>5</v>
      </c>
      <c r="G1749" t="n">
        <v>1</v>
      </c>
      <c r="H1749" t="inlineStr">
        <is>
          <t>Player trade (max rank)</t>
        </is>
      </c>
      <c r="I1749" t="inlineStr">
        <is>
          <t>Yes</t>
        </is>
      </c>
      <c r="K1749" t="inlineStr">
        <is>
          <t>Collection (optional)</t>
        </is>
      </c>
      <c r="L1749" t="n">
        <v>30</v>
      </c>
      <c r="M1749" t="n">
        <v>30</v>
      </c>
      <c r="N1749" t="n">
        <v>66</v>
      </c>
      <c r="O1749" t="inlineStr">
        <is>
          <t>2026-10-05 UTC (WFM pull 02:52-04:00)</t>
        </is>
      </c>
      <c r="P1749" t="inlineStr">
        <is>
          <t>OK</t>
        </is>
      </c>
      <c r="R1749" t="inlineStr">
        <is>
          <t>Arcanes share across items like mods (one max-rank copy covers every build).</t>
        </is>
      </c>
      <c r="S1749" t="inlineStr">
        <is>
          <t>arcane_ultimatum</t>
        </is>
      </c>
      <c r="T1749" t="n">
        <v>6</v>
      </c>
      <c r="U1749" t="n">
        <v>6</v>
      </c>
      <c r="V1749" t="n">
        <v>20</v>
      </c>
      <c r="W1749" t="n">
        <v>20</v>
      </c>
      <c r="X1749" t="n">
        <v>20.1</v>
      </c>
      <c r="Y1749" t="n">
        <v>211</v>
      </c>
      <c r="Z1749" t="n">
        <v>2</v>
      </c>
      <c r="AA1749" t="n">
        <v>5</v>
      </c>
      <c r="AB1749" t="n">
        <v>25</v>
      </c>
      <c r="AQ1749" t="n">
        <v>3</v>
      </c>
      <c r="AR1749" t="n">
        <v>63</v>
      </c>
      <c r="AS1749" t="inlineStr">
        <is>
          <t>Collection (optional)</t>
        </is>
      </c>
    </row>
    <row r="1750">
      <c r="A1750" t="inlineStr">
        <is>
          <t>Arcane</t>
        </is>
      </c>
      <c r="B1750" t="inlineStr">
        <is>
          <t>Arcane Universal Fallout</t>
        </is>
      </c>
      <c r="E1750" t="inlineStr">
        <is>
          <t>Warframe</t>
        </is>
      </c>
      <c r="F1750" t="n">
        <v>5</v>
      </c>
      <c r="G1750" t="n">
        <v>1</v>
      </c>
      <c r="H1750" t="inlineStr">
        <is>
          <t>Player trade (max rank)</t>
        </is>
      </c>
      <c r="I1750" t="inlineStr">
        <is>
          <t>Yes</t>
        </is>
      </c>
      <c r="K1750" t="inlineStr">
        <is>
          <t>Required (v4.2 frame builds)</t>
        </is>
      </c>
      <c r="L1750" t="n">
        <v>90</v>
      </c>
      <c r="M1750" t="n">
        <v>95</v>
      </c>
      <c r="N1750" t="n">
        <v>111</v>
      </c>
      <c r="O1750" t="inlineStr">
        <is>
          <t>2026-10-05 UTC (WFM pull 02:52-04:00)</t>
        </is>
      </c>
      <c r="P1750" t="inlineStr">
        <is>
          <t>OK</t>
        </is>
      </c>
      <c r="R1750" t="inlineStr">
        <is>
          <t>Arcanes share across items like mods (one max-rank copy covers every build).</t>
        </is>
      </c>
      <c r="S1750" t="inlineStr">
        <is>
          <t>arcane_universal_fallout</t>
        </is>
      </c>
      <c r="T1750" t="n">
        <v>40</v>
      </c>
      <c r="U1750" t="n">
        <v>40</v>
      </c>
      <c r="V1750" t="n">
        <v>85</v>
      </c>
      <c r="W1750" t="n">
        <v>99</v>
      </c>
      <c r="X1750" t="n">
        <v>93.59999999999999</v>
      </c>
      <c r="Y1750" t="n">
        <v>3952</v>
      </c>
      <c r="Z1750" t="n">
        <v>135</v>
      </c>
      <c r="AA1750" t="n">
        <v>60</v>
      </c>
      <c r="AB1750" t="n">
        <v>30</v>
      </c>
      <c r="AQ1750" t="n">
        <v>5</v>
      </c>
      <c r="AR1750" t="n">
        <v>105</v>
      </c>
      <c r="AS1750" t="inlineStr">
        <is>
          <t>Yes</t>
        </is>
      </c>
    </row>
    <row r="1751">
      <c r="A1751" t="inlineStr">
        <is>
          <t>Arcane</t>
        </is>
      </c>
      <c r="B1751" t="inlineStr">
        <is>
          <t>Arcane Velocity</t>
        </is>
      </c>
      <c r="E1751" t="inlineStr">
        <is>
          <t>Warframe</t>
        </is>
      </c>
      <c r="F1751" t="n">
        <v>5</v>
      </c>
      <c r="G1751" t="n">
        <v>1</v>
      </c>
      <c r="H1751" t="inlineStr">
        <is>
          <t>Player trade (max rank)</t>
        </is>
      </c>
      <c r="I1751" t="inlineStr">
        <is>
          <t>Yes</t>
        </is>
      </c>
      <c r="K1751" t="inlineStr">
        <is>
          <t>Collection (optional)</t>
        </is>
      </c>
      <c r="L1751" t="n">
        <v>180</v>
      </c>
      <c r="M1751" t="n">
        <v>180</v>
      </c>
      <c r="N1751" t="n">
        <v>210</v>
      </c>
      <c r="O1751" t="inlineStr">
        <is>
          <t>2026-10-05 UTC (WFM pull 02:52-04:00)</t>
        </is>
      </c>
      <c r="P1751" t="inlineStr">
        <is>
          <t>OK</t>
        </is>
      </c>
      <c r="R1751" t="inlineStr">
        <is>
          <t>Arcanes share across items like mods (one max-rank copy covers every build).</t>
        </is>
      </c>
      <c r="S1751" t="inlineStr">
        <is>
          <t>arcane_velocity</t>
        </is>
      </c>
      <c r="T1751" t="n">
        <v>27</v>
      </c>
      <c r="U1751" t="n">
        <v>27</v>
      </c>
      <c r="V1751" t="n">
        <v>170</v>
      </c>
      <c r="W1751" t="n">
        <v>155</v>
      </c>
      <c r="X1751" t="n">
        <v>155.7</v>
      </c>
      <c r="Y1751" t="n">
        <v>11515</v>
      </c>
      <c r="Z1751" t="n">
        <v>192</v>
      </c>
      <c r="AA1751" t="n">
        <v>140</v>
      </c>
      <c r="AB1751" t="n">
        <v>40</v>
      </c>
      <c r="AQ1751" t="n">
        <v>10</v>
      </c>
      <c r="AR1751" t="n">
        <v>210</v>
      </c>
      <c r="AS1751" t="inlineStr">
        <is>
          <t>Collection (optional)</t>
        </is>
      </c>
    </row>
    <row r="1752">
      <c r="A1752" t="inlineStr">
        <is>
          <t>Arcane</t>
        </is>
      </c>
      <c r="B1752" t="inlineStr">
        <is>
          <t>Arcane Victory</t>
        </is>
      </c>
      <c r="E1752" t="inlineStr">
        <is>
          <t>Warframe</t>
        </is>
      </c>
      <c r="F1752" t="n">
        <v>5</v>
      </c>
      <c r="G1752" t="n">
        <v>1</v>
      </c>
      <c r="H1752" t="inlineStr">
        <is>
          <t>Player trade (max rank)</t>
        </is>
      </c>
      <c r="I1752" t="inlineStr">
        <is>
          <t>Yes</t>
        </is>
      </c>
      <c r="K1752" t="inlineStr">
        <is>
          <t>Collection (optional)</t>
        </is>
      </c>
      <c r="L1752" t="n">
        <v>25</v>
      </c>
      <c r="M1752" t="n">
        <v>25</v>
      </c>
      <c r="N1752" t="n">
        <v>56</v>
      </c>
      <c r="O1752" t="inlineStr">
        <is>
          <t>2026-10-05 UTC (WFM pull 02:52-04:00)</t>
        </is>
      </c>
      <c r="P1752" t="inlineStr">
        <is>
          <t>OK</t>
        </is>
      </c>
      <c r="R1752" t="inlineStr">
        <is>
          <t>Arcanes share across items like mods (one max-rank copy covers every build).</t>
        </is>
      </c>
      <c r="S1752" t="inlineStr">
        <is>
          <t>arcane_victory</t>
        </is>
      </c>
      <c r="T1752" t="n">
        <v>4</v>
      </c>
      <c r="U1752" t="n">
        <v>4</v>
      </c>
      <c r="V1752" t="n">
        <v>15</v>
      </c>
      <c r="W1752" t="n">
        <v>15</v>
      </c>
      <c r="X1752" t="n">
        <v>15.1</v>
      </c>
      <c r="Y1752" t="n">
        <v>136</v>
      </c>
      <c r="Z1752" t="n">
        <v>1</v>
      </c>
      <c r="AA1752" t="n">
        <v>8</v>
      </c>
      <c r="AB1752" t="n">
        <v>17</v>
      </c>
      <c r="AQ1752" t="n">
        <v>2</v>
      </c>
      <c r="AR1752" t="n">
        <v>42</v>
      </c>
      <c r="AS1752" t="inlineStr">
        <is>
          <t>Collection (optional)</t>
        </is>
      </c>
    </row>
    <row r="1753">
      <c r="A1753" t="inlineStr">
        <is>
          <t>Arcane</t>
        </is>
      </c>
      <c r="B1753" t="inlineStr">
        <is>
          <t>Arcane Warmth</t>
        </is>
      </c>
      <c r="E1753" t="inlineStr">
        <is>
          <t>Warframe</t>
        </is>
      </c>
      <c r="F1753" t="n">
        <v>5</v>
      </c>
      <c r="G1753" t="n">
        <v>1</v>
      </c>
      <c r="H1753" t="inlineStr">
        <is>
          <t>Player trade (max rank)</t>
        </is>
      </c>
      <c r="I1753" t="inlineStr">
        <is>
          <t>Yes</t>
        </is>
      </c>
      <c r="K1753" t="inlineStr">
        <is>
          <t>Collection (optional)</t>
        </is>
      </c>
      <c r="L1753" t="n">
        <v>20</v>
      </c>
      <c r="M1753" t="n">
        <v>20</v>
      </c>
      <c r="N1753" t="n">
        <v>33</v>
      </c>
      <c r="O1753" t="inlineStr">
        <is>
          <t>2026-10-05 UTC (WFM pull 02:52-04:00)</t>
        </is>
      </c>
      <c r="P1753" t="inlineStr">
        <is>
          <t>OK</t>
        </is>
      </c>
      <c r="R1753" t="inlineStr">
        <is>
          <t>Arcanes share across items like mods (one max-rank copy covers every build).</t>
        </is>
      </c>
      <c r="S1753" t="inlineStr">
        <is>
          <t>arcane_warmth</t>
        </is>
      </c>
      <c r="T1753" t="n">
        <v>7</v>
      </c>
      <c r="U1753" t="n">
        <v>7</v>
      </c>
      <c r="V1753" t="n">
        <v>10</v>
      </c>
      <c r="W1753" t="n">
        <v>14.5</v>
      </c>
      <c r="X1753" t="n">
        <v>14.4</v>
      </c>
      <c r="Y1753" t="n">
        <v>86</v>
      </c>
      <c r="Z1753" t="n">
        <v>2</v>
      </c>
      <c r="AA1753" t="n">
        <v>5</v>
      </c>
      <c r="AB1753" t="n">
        <v>15</v>
      </c>
      <c r="AQ1753" t="n">
        <v>3</v>
      </c>
      <c r="AR1753" t="n">
        <v>63</v>
      </c>
      <c r="AS1753" t="inlineStr">
        <is>
          <t>Collection (optional)</t>
        </is>
      </c>
    </row>
    <row r="1754">
      <c r="A1754" t="inlineStr">
        <is>
          <t>Arcane</t>
        </is>
      </c>
      <c r="B1754" t="inlineStr">
        <is>
          <t>Cascadia Accuracy</t>
        </is>
      </c>
      <c r="E1754" t="inlineStr">
        <is>
          <t>Secondary</t>
        </is>
      </c>
      <c r="F1754" t="n">
        <v>5</v>
      </c>
      <c r="G1754" t="n">
        <v>1</v>
      </c>
      <c r="H1754" t="inlineStr">
        <is>
          <t>Player trade (max rank)</t>
        </is>
      </c>
      <c r="I1754" t="inlineStr">
        <is>
          <t>Yes</t>
        </is>
      </c>
      <c r="K1754" t="inlineStr">
        <is>
          <t>Collection (optional)</t>
        </is>
      </c>
      <c r="L1754" t="n">
        <v>8</v>
      </c>
      <c r="M1754" t="n">
        <v>9</v>
      </c>
      <c r="N1754" t="n">
        <v>11</v>
      </c>
      <c r="O1754" t="inlineStr">
        <is>
          <t>2026-10-05 UTC (WFM pull 02:52-04:00)</t>
        </is>
      </c>
      <c r="P1754" t="inlineStr">
        <is>
          <t>OK</t>
        </is>
      </c>
      <c r="R1754" t="inlineStr">
        <is>
          <t>Arcanes share across items like mods (one max-rank copy covers every build).</t>
        </is>
      </c>
      <c r="S1754" t="inlineStr">
        <is>
          <t>cascadia_accuracy</t>
        </is>
      </c>
      <c r="T1754" t="n">
        <v>21</v>
      </c>
      <c r="U1754" t="n">
        <v>21</v>
      </c>
      <c r="V1754" t="n">
        <v>9</v>
      </c>
      <c r="W1754" t="n">
        <v>9</v>
      </c>
      <c r="X1754" t="n">
        <v>8.699999999999999</v>
      </c>
      <c r="Y1754" t="n">
        <v>388</v>
      </c>
      <c r="Z1754" t="n">
        <v>3</v>
      </c>
      <c r="AQ1754" t="n">
        <v>2</v>
      </c>
      <c r="AR1754" t="n">
        <v>42</v>
      </c>
      <c r="AS1754" t="inlineStr">
        <is>
          <t>Collection (optional)</t>
        </is>
      </c>
    </row>
    <row r="1755">
      <c r="A1755" t="inlineStr">
        <is>
          <t>Arcane</t>
        </is>
      </c>
      <c r="B1755" t="inlineStr">
        <is>
          <t>Cascadia Empowered</t>
        </is>
      </c>
      <c r="E1755" t="inlineStr">
        <is>
          <t>Secondary</t>
        </is>
      </c>
      <c r="F1755" t="n">
        <v>5</v>
      </c>
      <c r="G1755" t="n">
        <v>1</v>
      </c>
      <c r="H1755" t="inlineStr">
        <is>
          <t>Player trade (max rank)</t>
        </is>
      </c>
      <c r="I1755" t="inlineStr">
        <is>
          <t>Yes</t>
        </is>
      </c>
      <c r="K1755" t="inlineStr">
        <is>
          <t>Collection (optional)</t>
        </is>
      </c>
      <c r="L1755" t="n">
        <v>10</v>
      </c>
      <c r="M1755" t="n">
        <v>15</v>
      </c>
      <c r="N1755" t="n">
        <v>22</v>
      </c>
      <c r="O1755" t="inlineStr">
        <is>
          <t>2026-10-05 UTC (WFM pull 02:52-04:00)</t>
        </is>
      </c>
      <c r="P1755" t="inlineStr">
        <is>
          <t>OK</t>
        </is>
      </c>
      <c r="R1755" t="inlineStr">
        <is>
          <t>Arcanes share across items like mods (one max-rank copy covers every build).</t>
        </is>
      </c>
      <c r="S1755" t="inlineStr">
        <is>
          <t>cascadia_empowered</t>
        </is>
      </c>
      <c r="T1755" t="n">
        <v>14</v>
      </c>
      <c r="U1755" t="n">
        <v>14</v>
      </c>
      <c r="V1755" t="n">
        <v>14</v>
      </c>
      <c r="W1755" t="n">
        <v>14</v>
      </c>
      <c r="X1755" t="n">
        <v>13.7</v>
      </c>
      <c r="Y1755" t="n">
        <v>603</v>
      </c>
      <c r="Z1755" t="n">
        <v>13</v>
      </c>
      <c r="AA1755" t="n">
        <v>40</v>
      </c>
      <c r="AB1755" t="n">
        <v>-30</v>
      </c>
      <c r="AQ1755" t="n">
        <v>2</v>
      </c>
      <c r="AR1755" t="n">
        <v>42</v>
      </c>
      <c r="AS1755" t="inlineStr">
        <is>
          <t>Collection (optional)</t>
        </is>
      </c>
    </row>
    <row r="1756">
      <c r="A1756" t="inlineStr">
        <is>
          <t>Arcane</t>
        </is>
      </c>
      <c r="B1756" t="inlineStr">
        <is>
          <t>Cascadia Flare</t>
        </is>
      </c>
      <c r="E1756" t="inlineStr">
        <is>
          <t>Secondary</t>
        </is>
      </c>
      <c r="F1756" t="n">
        <v>5</v>
      </c>
      <c r="G1756" t="n">
        <v>1</v>
      </c>
      <c r="H1756" t="inlineStr">
        <is>
          <t>Player trade (max rank)</t>
        </is>
      </c>
      <c r="I1756" t="inlineStr">
        <is>
          <t>Yes</t>
        </is>
      </c>
      <c r="K1756" t="inlineStr">
        <is>
          <t>Collection (optional)</t>
        </is>
      </c>
      <c r="L1756" t="n">
        <v>27</v>
      </c>
      <c r="M1756" t="n">
        <v>28</v>
      </c>
      <c r="N1756" t="n">
        <v>33</v>
      </c>
      <c r="O1756" t="inlineStr">
        <is>
          <t>2026-10-05 UTC (WFM pull 02:52-04:00)</t>
        </is>
      </c>
      <c r="P1756" t="inlineStr">
        <is>
          <t>OK</t>
        </is>
      </c>
      <c r="R1756" t="inlineStr">
        <is>
          <t>Arcanes share across items like mods (one max-rank copy covers every build).</t>
        </is>
      </c>
      <c r="S1756" t="inlineStr">
        <is>
          <t>cascadia_flare</t>
        </is>
      </c>
      <c r="T1756" t="n">
        <v>41</v>
      </c>
      <c r="U1756" t="n">
        <v>41</v>
      </c>
      <c r="V1756" t="n">
        <v>30</v>
      </c>
      <c r="W1756" t="n">
        <v>30</v>
      </c>
      <c r="X1756" t="n">
        <v>31.8</v>
      </c>
      <c r="Y1756" t="n">
        <v>9711</v>
      </c>
      <c r="Z1756" t="n">
        <v>69</v>
      </c>
      <c r="AA1756" t="n">
        <v>20</v>
      </c>
      <c r="AB1756" t="n">
        <v>7</v>
      </c>
      <c r="AQ1756" t="n">
        <v>2</v>
      </c>
      <c r="AR1756" t="n">
        <v>42</v>
      </c>
      <c r="AS1756" t="inlineStr">
        <is>
          <t>Collection (optional)</t>
        </is>
      </c>
    </row>
    <row r="1757">
      <c r="A1757" t="inlineStr">
        <is>
          <t>Arcane</t>
        </is>
      </c>
      <c r="B1757" t="inlineStr">
        <is>
          <t>Cascadia Overcharge</t>
        </is>
      </c>
      <c r="E1757" t="inlineStr">
        <is>
          <t>Secondary</t>
        </is>
      </c>
      <c r="F1757" t="n">
        <v>5</v>
      </c>
      <c r="G1757" t="n">
        <v>1</v>
      </c>
      <c r="H1757" t="inlineStr">
        <is>
          <t>Player trade (max rank)</t>
        </is>
      </c>
      <c r="I1757" t="inlineStr">
        <is>
          <t>Yes</t>
        </is>
      </c>
      <c r="K1757" t="inlineStr">
        <is>
          <t>Collection (optional)</t>
        </is>
      </c>
      <c r="L1757" t="n">
        <v>15</v>
      </c>
      <c r="M1757" t="n">
        <v>18</v>
      </c>
      <c r="N1757" t="n">
        <v>22</v>
      </c>
      <c r="O1757" t="inlineStr">
        <is>
          <t>2026-10-05 UTC (WFM pull 02:52-04:00)</t>
        </is>
      </c>
      <c r="P1757" t="inlineStr">
        <is>
          <t>OK</t>
        </is>
      </c>
      <c r="R1757" t="inlineStr">
        <is>
          <t>Arcanes share across items like mods (one max-rank copy covers every build).</t>
        </is>
      </c>
      <c r="S1757" t="inlineStr">
        <is>
          <t>cascadia_overcharge</t>
        </is>
      </c>
      <c r="T1757" t="n">
        <v>19</v>
      </c>
      <c r="U1757" t="n">
        <v>19</v>
      </c>
      <c r="V1757" t="n">
        <v>19</v>
      </c>
      <c r="W1757" t="n">
        <v>20</v>
      </c>
      <c r="X1757" t="n">
        <v>21.7</v>
      </c>
      <c r="Y1757" t="n">
        <v>2304</v>
      </c>
      <c r="Z1757" t="n">
        <v>40</v>
      </c>
      <c r="AA1757" t="n">
        <v>5</v>
      </c>
      <c r="AB1757" t="n">
        <v>10</v>
      </c>
      <c r="AQ1757" t="n">
        <v>2</v>
      </c>
      <c r="AR1757" t="n">
        <v>42</v>
      </c>
      <c r="AS1757" t="inlineStr">
        <is>
          <t>Collection (optional)</t>
        </is>
      </c>
    </row>
    <row r="1758">
      <c r="A1758" t="inlineStr">
        <is>
          <t>Arcane</t>
        </is>
      </c>
      <c r="B1758" t="inlineStr">
        <is>
          <t>Conjunction Voltage</t>
        </is>
      </c>
      <c r="E1758" t="inlineStr">
        <is>
          <t>Secondary</t>
        </is>
      </c>
      <c r="F1758" t="n">
        <v>5</v>
      </c>
      <c r="G1758" t="n">
        <v>1</v>
      </c>
      <c r="H1758" t="inlineStr">
        <is>
          <t>Player trade (max rank)</t>
        </is>
      </c>
      <c r="I1758" t="inlineStr">
        <is>
          <t>Yes</t>
        </is>
      </c>
      <c r="K1758" t="inlineStr">
        <is>
          <t>Collection (optional)</t>
        </is>
      </c>
      <c r="L1758" t="n">
        <v>25</v>
      </c>
      <c r="M1758" t="n">
        <v>25</v>
      </c>
      <c r="N1758" t="n">
        <v>33</v>
      </c>
      <c r="O1758" t="inlineStr">
        <is>
          <t>2026-10-05 UTC (WFM pull 02:52-04:00)</t>
        </is>
      </c>
      <c r="P1758" t="inlineStr">
        <is>
          <t>OK</t>
        </is>
      </c>
      <c r="R1758" t="inlineStr">
        <is>
          <t>Arcanes share across items like mods (one max-rank copy covers every build).</t>
        </is>
      </c>
      <c r="S1758" t="inlineStr">
        <is>
          <t>conjunction_voltage</t>
        </is>
      </c>
      <c r="T1758" t="n">
        <v>12</v>
      </c>
      <c r="U1758" t="n">
        <v>12</v>
      </c>
      <c r="V1758" t="n">
        <v>21</v>
      </c>
      <c r="W1758" t="n">
        <v>20</v>
      </c>
      <c r="X1758" t="n">
        <v>21.3</v>
      </c>
      <c r="Y1758" t="n">
        <v>848</v>
      </c>
      <c r="Z1758" t="n">
        <v>27</v>
      </c>
      <c r="AA1758" t="n">
        <v>5</v>
      </c>
      <c r="AB1758" t="n">
        <v>20</v>
      </c>
      <c r="AQ1758" t="n">
        <v>2</v>
      </c>
      <c r="AR1758" t="n">
        <v>42</v>
      </c>
      <c r="AS1758" t="inlineStr">
        <is>
          <t>Collection (optional)</t>
        </is>
      </c>
    </row>
    <row r="1759">
      <c r="A1759" t="inlineStr">
        <is>
          <t>Arcane</t>
        </is>
      </c>
      <c r="B1759" t="inlineStr">
        <is>
          <t>Emergence Dissipate</t>
        </is>
      </c>
      <c r="E1759" t="inlineStr">
        <is>
          <t>Operator</t>
        </is>
      </c>
      <c r="F1759" t="n">
        <v>5</v>
      </c>
      <c r="G1759" t="n">
        <v>1</v>
      </c>
      <c r="H1759" t="inlineStr">
        <is>
          <t>Player trade (max rank)</t>
        </is>
      </c>
      <c r="I1759" t="inlineStr">
        <is>
          <t>Yes</t>
        </is>
      </c>
      <c r="K1759" t="inlineStr">
        <is>
          <t>Collection (optional)</t>
        </is>
      </c>
      <c r="L1759" t="n">
        <v>10</v>
      </c>
      <c r="M1759" t="n">
        <v>10</v>
      </c>
      <c r="N1759" t="n">
        <v>11</v>
      </c>
      <c r="O1759" t="inlineStr">
        <is>
          <t>2026-10-05 UTC (WFM pull 02:52-04:00)</t>
        </is>
      </c>
      <c r="P1759" t="inlineStr">
        <is>
          <t>OK</t>
        </is>
      </c>
      <c r="R1759" t="inlineStr">
        <is>
          <t>Arcanes share across items like mods (one max-rank copy covers every build).</t>
        </is>
      </c>
      <c r="S1759" t="inlineStr">
        <is>
          <t>emergence_dissipate</t>
        </is>
      </c>
      <c r="T1759" t="n">
        <v>22</v>
      </c>
      <c r="U1759" t="n">
        <v>22</v>
      </c>
      <c r="V1759" t="n">
        <v>10</v>
      </c>
      <c r="W1759" t="n">
        <v>10</v>
      </c>
      <c r="X1759" t="n">
        <v>10.1</v>
      </c>
      <c r="Y1759" t="n">
        <v>272</v>
      </c>
      <c r="Z1759" t="n">
        <v>1</v>
      </c>
      <c r="AA1759" t="n">
        <v>36</v>
      </c>
      <c r="AB1759" t="n">
        <v>-26</v>
      </c>
      <c r="AQ1759" t="n">
        <v>2</v>
      </c>
      <c r="AR1759" t="n">
        <v>42</v>
      </c>
      <c r="AS1759" t="inlineStr">
        <is>
          <t>Collection (optional)</t>
        </is>
      </c>
    </row>
    <row r="1760">
      <c r="A1760" t="inlineStr">
        <is>
          <t>Arcane</t>
        </is>
      </c>
      <c r="B1760" t="inlineStr">
        <is>
          <t>Emergence Renewed</t>
        </is>
      </c>
      <c r="E1760" t="inlineStr">
        <is>
          <t>Operator</t>
        </is>
      </c>
      <c r="F1760" t="n">
        <v>5</v>
      </c>
      <c r="G1760" t="n">
        <v>1</v>
      </c>
      <c r="H1760" t="inlineStr">
        <is>
          <t>Player trade (max rank)</t>
        </is>
      </c>
      <c r="I1760" t="inlineStr">
        <is>
          <t>Yes</t>
        </is>
      </c>
      <c r="K1760" t="inlineStr">
        <is>
          <t>Collection (optional)</t>
        </is>
      </c>
      <c r="L1760" t="n">
        <v>15</v>
      </c>
      <c r="M1760" t="n">
        <v>15</v>
      </c>
      <c r="N1760" t="n">
        <v>17</v>
      </c>
      <c r="O1760" t="inlineStr">
        <is>
          <t>2026-10-05 UTC (WFM pull 02:52-04:00)</t>
        </is>
      </c>
      <c r="P1760" t="inlineStr">
        <is>
          <t>OK</t>
        </is>
      </c>
      <c r="R1760" t="inlineStr">
        <is>
          <t>Arcanes share across items like mods (one max-rank copy covers every build).</t>
        </is>
      </c>
      <c r="S1760" t="inlineStr">
        <is>
          <t>emergence_renewed</t>
        </is>
      </c>
      <c r="T1760" t="n">
        <v>13</v>
      </c>
      <c r="U1760" t="n">
        <v>13</v>
      </c>
      <c r="V1760" t="n">
        <v>12</v>
      </c>
      <c r="W1760" t="n">
        <v>12</v>
      </c>
      <c r="X1760" t="n">
        <v>12</v>
      </c>
      <c r="Y1760" t="n">
        <v>524</v>
      </c>
      <c r="Z1760" t="n">
        <v>14</v>
      </c>
      <c r="AQ1760" t="n">
        <v>2</v>
      </c>
      <c r="AR1760" t="n">
        <v>42</v>
      </c>
      <c r="AS1760" t="inlineStr">
        <is>
          <t>Collection (optional)</t>
        </is>
      </c>
    </row>
    <row r="1761">
      <c r="A1761" t="inlineStr">
        <is>
          <t>Arcane</t>
        </is>
      </c>
      <c r="B1761" t="inlineStr">
        <is>
          <t>Emergence Savior</t>
        </is>
      </c>
      <c r="E1761" t="inlineStr">
        <is>
          <t>Operator</t>
        </is>
      </c>
      <c r="F1761" t="n">
        <v>5</v>
      </c>
      <c r="G1761" t="n">
        <v>1</v>
      </c>
      <c r="H1761" t="inlineStr">
        <is>
          <t>Player trade (max rank)</t>
        </is>
      </c>
      <c r="I1761" t="inlineStr">
        <is>
          <t>Yes</t>
        </is>
      </c>
      <c r="K1761" t="inlineStr">
        <is>
          <t>Collection (optional)</t>
        </is>
      </c>
      <c r="L1761" t="n">
        <v>15</v>
      </c>
      <c r="M1761" t="n">
        <v>15</v>
      </c>
      <c r="N1761" t="n">
        <v>22</v>
      </c>
      <c r="O1761" t="inlineStr">
        <is>
          <t>2026-10-05 UTC (WFM pull 02:52-04:00)</t>
        </is>
      </c>
      <c r="P1761" t="inlineStr">
        <is>
          <t>OK</t>
        </is>
      </c>
      <c r="R1761" t="inlineStr">
        <is>
          <t>Arcanes share across items like mods (one max-rank copy covers every build).</t>
        </is>
      </c>
      <c r="S1761" t="inlineStr">
        <is>
          <t>emergence_savior</t>
        </is>
      </c>
      <c r="T1761" t="n">
        <v>16</v>
      </c>
      <c r="U1761" t="n">
        <v>16</v>
      </c>
      <c r="V1761" t="n">
        <v>15</v>
      </c>
      <c r="W1761" t="n">
        <v>15</v>
      </c>
      <c r="X1761" t="n">
        <v>14.4</v>
      </c>
      <c r="Y1761" t="n">
        <v>667</v>
      </c>
      <c r="Z1761" t="n">
        <v>16</v>
      </c>
      <c r="AA1761" t="n">
        <v>36</v>
      </c>
      <c r="AB1761" t="n">
        <v>-21</v>
      </c>
      <c r="AQ1761" t="n">
        <v>2</v>
      </c>
      <c r="AR1761" t="n">
        <v>42</v>
      </c>
      <c r="AS1761" t="inlineStr">
        <is>
          <t>Collection (optional)</t>
        </is>
      </c>
    </row>
    <row r="1762">
      <c r="A1762" t="inlineStr">
        <is>
          <t>Arcane</t>
        </is>
      </c>
      <c r="B1762" t="inlineStr">
        <is>
          <t>Eternal Eradicate</t>
        </is>
      </c>
      <c r="E1762" t="inlineStr">
        <is>
          <t>Amp</t>
        </is>
      </c>
      <c r="F1762" t="n">
        <v>5</v>
      </c>
      <c r="G1762" t="n">
        <v>1</v>
      </c>
      <c r="H1762" t="inlineStr">
        <is>
          <t>Player trade (max rank)</t>
        </is>
      </c>
      <c r="I1762" t="inlineStr">
        <is>
          <t>Yes</t>
        </is>
      </c>
      <c r="K1762" t="inlineStr">
        <is>
          <t>Collection (optional)</t>
        </is>
      </c>
      <c r="L1762" t="n">
        <v>20</v>
      </c>
      <c r="M1762" t="n">
        <v>20</v>
      </c>
      <c r="N1762" t="n">
        <v>27</v>
      </c>
      <c r="O1762" t="inlineStr">
        <is>
          <t>2026-10-05 UTC (WFM pull 02:52-04:00)</t>
        </is>
      </c>
      <c r="P1762" t="inlineStr">
        <is>
          <t>OK</t>
        </is>
      </c>
      <c r="R1762" t="inlineStr">
        <is>
          <t>Arcanes share across items like mods (one max-rank copy covers every build).</t>
        </is>
      </c>
      <c r="S1762" t="inlineStr">
        <is>
          <t>eternal_eradicate</t>
        </is>
      </c>
      <c r="T1762" t="n">
        <v>27</v>
      </c>
      <c r="U1762" t="n">
        <v>27</v>
      </c>
      <c r="V1762" t="n">
        <v>24</v>
      </c>
      <c r="W1762" t="n">
        <v>25</v>
      </c>
      <c r="X1762" t="n">
        <v>24.2</v>
      </c>
      <c r="Y1762" t="n">
        <v>4356</v>
      </c>
      <c r="Z1762" t="n">
        <v>92</v>
      </c>
      <c r="AA1762" t="n">
        <v>10</v>
      </c>
      <c r="AB1762" t="n">
        <v>10</v>
      </c>
      <c r="AQ1762" t="n">
        <v>2</v>
      </c>
      <c r="AR1762" t="n">
        <v>42</v>
      </c>
      <c r="AS1762" t="inlineStr">
        <is>
          <t>Collection (optional)</t>
        </is>
      </c>
    </row>
    <row r="1763">
      <c r="A1763" t="inlineStr">
        <is>
          <t>Arcane</t>
        </is>
      </c>
      <c r="B1763" t="inlineStr">
        <is>
          <t>Eternal Logistics</t>
        </is>
      </c>
      <c r="E1763" t="inlineStr">
        <is>
          <t>Amp</t>
        </is>
      </c>
      <c r="F1763" t="n">
        <v>5</v>
      </c>
      <c r="G1763" t="n">
        <v>1</v>
      </c>
      <c r="H1763" t="inlineStr">
        <is>
          <t>Player trade (max rank)</t>
        </is>
      </c>
      <c r="I1763" t="inlineStr">
        <is>
          <t>Yes</t>
        </is>
      </c>
      <c r="K1763" t="inlineStr">
        <is>
          <t>Collection (optional)</t>
        </is>
      </c>
      <c r="L1763" t="n">
        <v>25</v>
      </c>
      <c r="M1763" t="n">
        <v>29</v>
      </c>
      <c r="N1763" t="n">
        <v>44</v>
      </c>
      <c r="O1763" t="inlineStr">
        <is>
          <t>2026-10-05 UTC (WFM pull 02:52-04:00)</t>
        </is>
      </c>
      <c r="P1763" t="inlineStr">
        <is>
          <t>OK</t>
        </is>
      </c>
      <c r="R1763" t="inlineStr">
        <is>
          <t>Arcanes share across items like mods (one max-rank copy covers every build).</t>
        </is>
      </c>
      <c r="S1763" t="inlineStr">
        <is>
          <t>eternal_logistics</t>
        </is>
      </c>
      <c r="T1763" t="n">
        <v>12</v>
      </c>
      <c r="U1763" t="n">
        <v>12</v>
      </c>
      <c r="V1763" t="n">
        <v>30</v>
      </c>
      <c r="W1763" t="n">
        <v>30</v>
      </c>
      <c r="X1763" t="n">
        <v>30</v>
      </c>
      <c r="Y1763" t="n">
        <v>3981</v>
      </c>
      <c r="Z1763" t="n">
        <v>38</v>
      </c>
      <c r="AQ1763" t="n">
        <v>2</v>
      </c>
      <c r="AR1763" t="n">
        <v>42</v>
      </c>
      <c r="AS1763" t="inlineStr">
        <is>
          <t>Collection (optional)</t>
        </is>
      </c>
    </row>
    <row r="1764">
      <c r="A1764" t="inlineStr">
        <is>
          <t>Arcane</t>
        </is>
      </c>
      <c r="B1764" t="inlineStr">
        <is>
          <t>Eternal Onslaught</t>
        </is>
      </c>
      <c r="E1764" t="inlineStr">
        <is>
          <t>Amp</t>
        </is>
      </c>
      <c r="F1764" t="n">
        <v>5</v>
      </c>
      <c r="G1764" t="n">
        <v>1</v>
      </c>
      <c r="H1764" t="inlineStr">
        <is>
          <t>Player trade (max rank)</t>
        </is>
      </c>
      <c r="I1764" t="inlineStr">
        <is>
          <t>Yes</t>
        </is>
      </c>
      <c r="K1764" t="inlineStr">
        <is>
          <t>Collection (optional)</t>
        </is>
      </c>
      <c r="L1764" t="n">
        <v>20</v>
      </c>
      <c r="M1764" t="n">
        <v>20</v>
      </c>
      <c r="N1764" t="n">
        <v>25</v>
      </c>
      <c r="O1764" t="inlineStr">
        <is>
          <t>2026-10-05 UTC (WFM pull 02:52-04:00)</t>
        </is>
      </c>
      <c r="P1764" t="inlineStr">
        <is>
          <t>OK</t>
        </is>
      </c>
      <c r="R1764" t="inlineStr">
        <is>
          <t>Arcanes share across items like mods (one max-rank copy covers every build).</t>
        </is>
      </c>
      <c r="S1764" t="inlineStr">
        <is>
          <t>eternal_onslaught</t>
        </is>
      </c>
      <c r="T1764" t="n">
        <v>25</v>
      </c>
      <c r="U1764" t="n">
        <v>25</v>
      </c>
      <c r="V1764" t="n">
        <v>22.5</v>
      </c>
      <c r="W1764" t="n">
        <v>24</v>
      </c>
      <c r="X1764" t="n">
        <v>23.3</v>
      </c>
      <c r="Y1764" t="n">
        <v>3843</v>
      </c>
      <c r="Z1764" t="n">
        <v>66</v>
      </c>
      <c r="AA1764" t="n">
        <v>30</v>
      </c>
      <c r="AB1764" t="n">
        <v>-10</v>
      </c>
      <c r="AQ1764" t="n">
        <v>2</v>
      </c>
      <c r="AR1764" t="n">
        <v>42</v>
      </c>
      <c r="AS1764" t="inlineStr">
        <is>
          <t>Collection (optional)</t>
        </is>
      </c>
    </row>
    <row r="1765">
      <c r="A1765" t="inlineStr">
        <is>
          <t>Arcane</t>
        </is>
      </c>
      <c r="B1765" t="inlineStr">
        <is>
          <t>Exodia Brave</t>
        </is>
      </c>
      <c r="E1765" t="inlineStr">
        <is>
          <t>Zaw</t>
        </is>
      </c>
      <c r="F1765" t="n">
        <v>3</v>
      </c>
      <c r="G1765" t="n">
        <v>1</v>
      </c>
      <c r="H1765" t="inlineStr">
        <is>
          <t>Player trade (max rank)</t>
        </is>
      </c>
      <c r="I1765" t="inlineStr">
        <is>
          <t>Yes</t>
        </is>
      </c>
      <c r="K1765" t="inlineStr">
        <is>
          <t>Collection (optional)</t>
        </is>
      </c>
      <c r="L1765" t="n">
        <v>80</v>
      </c>
      <c r="M1765" t="n">
        <v>82.5</v>
      </c>
      <c r="N1765" t="n">
        <v>111</v>
      </c>
      <c r="O1765" t="inlineStr">
        <is>
          <t>2026-10-05 UTC (WFM pull 02:52-04:00)</t>
        </is>
      </c>
      <c r="P1765" t="inlineStr">
        <is>
          <t>OK</t>
        </is>
      </c>
      <c r="Q1765" t="inlineStr">
        <is>
          <t>Cheaper via 10x R0 (50p realistic) than buying max rank</t>
        </is>
      </c>
      <c r="R1765" t="inlineStr">
        <is>
          <t>Arcanes share across items like mods (one max-rank copy covers every build).</t>
        </is>
      </c>
      <c r="S1765" t="inlineStr">
        <is>
          <t>exodia_brave</t>
        </is>
      </c>
      <c r="T1765" t="n">
        <v>3</v>
      </c>
      <c r="U1765" t="n">
        <v>3</v>
      </c>
      <c r="V1765" t="n">
        <v>55</v>
      </c>
      <c r="W1765" t="n">
        <v>57.5</v>
      </c>
      <c r="X1765" t="n">
        <v>58.2</v>
      </c>
      <c r="Y1765" t="n">
        <v>84</v>
      </c>
      <c r="Z1765" t="n">
        <v>3</v>
      </c>
      <c r="AQ1765" t="n">
        <v>5</v>
      </c>
      <c r="AR1765" t="n">
        <v>50</v>
      </c>
      <c r="AS1765" t="inlineStr">
        <is>
          <t>Collection (optional)</t>
        </is>
      </c>
    </row>
    <row r="1766">
      <c r="A1766" t="inlineStr">
        <is>
          <t>Arcane</t>
        </is>
      </c>
      <c r="B1766" t="inlineStr">
        <is>
          <t>Exodia Contagion</t>
        </is>
      </c>
      <c r="E1766" t="inlineStr">
        <is>
          <t>Zaw</t>
        </is>
      </c>
      <c r="F1766" t="n">
        <v>3</v>
      </c>
      <c r="G1766" t="n">
        <v>1</v>
      </c>
      <c r="H1766" t="inlineStr">
        <is>
          <t>Player trade (max rank)</t>
        </is>
      </c>
      <c r="I1766" t="inlineStr">
        <is>
          <t>Yes</t>
        </is>
      </c>
      <c r="K1766" t="inlineStr">
        <is>
          <t>Collection (optional)</t>
        </is>
      </c>
      <c r="L1766" t="n">
        <v>100</v>
      </c>
      <c r="M1766" t="n">
        <v>110</v>
      </c>
      <c r="N1766" t="n">
        <v>142</v>
      </c>
      <c r="O1766" t="inlineStr">
        <is>
          <t>2026-10-05 UTC (WFM pull 02:52-04:00)</t>
        </is>
      </c>
      <c r="P1766" t="inlineStr">
        <is>
          <t>OK</t>
        </is>
      </c>
      <c r="R1766" t="inlineStr">
        <is>
          <t>Arcanes share across items like mods (one max-rank copy covers every build).</t>
        </is>
      </c>
      <c r="S1766" t="inlineStr">
        <is>
          <t>exodia_contagion</t>
        </is>
      </c>
      <c r="T1766" t="n">
        <v>21</v>
      </c>
      <c r="U1766" t="n">
        <v>21</v>
      </c>
      <c r="V1766" t="n">
        <v>98</v>
      </c>
      <c r="W1766" t="n">
        <v>99</v>
      </c>
      <c r="X1766" t="n">
        <v>96.90000000000001</v>
      </c>
      <c r="Y1766" t="n">
        <v>3334</v>
      </c>
      <c r="Z1766" t="n">
        <v>57</v>
      </c>
      <c r="AA1766" t="n">
        <v>72</v>
      </c>
      <c r="AB1766" t="n">
        <v>28</v>
      </c>
      <c r="AQ1766" t="n">
        <v>14</v>
      </c>
      <c r="AR1766" t="n">
        <v>140</v>
      </c>
      <c r="AS1766" t="inlineStr">
        <is>
          <t>Collection (optional)</t>
        </is>
      </c>
    </row>
    <row r="1767">
      <c r="A1767" t="inlineStr">
        <is>
          <t>Arcane</t>
        </is>
      </c>
      <c r="B1767" t="inlineStr">
        <is>
          <t>Exodia Epidemic</t>
        </is>
      </c>
      <c r="E1767" t="inlineStr">
        <is>
          <t>Zaw</t>
        </is>
      </c>
      <c r="F1767" t="n">
        <v>3</v>
      </c>
      <c r="G1767" t="n">
        <v>1</v>
      </c>
      <c r="H1767" t="inlineStr">
        <is>
          <t>Player trade (max rank)</t>
        </is>
      </c>
      <c r="I1767" t="inlineStr">
        <is>
          <t>Yes</t>
        </is>
      </c>
      <c r="K1767" t="inlineStr">
        <is>
          <t>Collection (optional)</t>
        </is>
      </c>
      <c r="L1767" t="n">
        <v>135</v>
      </c>
      <c r="M1767" t="n">
        <v>150</v>
      </c>
      <c r="N1767" t="n">
        <v>330</v>
      </c>
      <c r="O1767" t="inlineStr">
        <is>
          <t>2026-10-05 UTC (WFM pull 02:52-04:00)</t>
        </is>
      </c>
      <c r="P1767" t="inlineStr">
        <is>
          <t>OK</t>
        </is>
      </c>
      <c r="R1767" t="inlineStr">
        <is>
          <t>Arcanes share across items like mods (one max-rank copy covers every build).</t>
        </is>
      </c>
      <c r="S1767" t="inlineStr">
        <is>
          <t>exodia_epidemic</t>
        </is>
      </c>
      <c r="T1767" t="n">
        <v>5</v>
      </c>
      <c r="U1767" t="n">
        <v>5</v>
      </c>
      <c r="V1767" t="n">
        <v>100</v>
      </c>
      <c r="W1767" t="n">
        <v>100</v>
      </c>
      <c r="X1767" t="n">
        <v>96.90000000000001</v>
      </c>
      <c r="Y1767" t="n">
        <v>414</v>
      </c>
      <c r="Z1767" t="n">
        <v>4</v>
      </c>
      <c r="AA1767" t="n">
        <v>70</v>
      </c>
      <c r="AB1767" t="n">
        <v>65</v>
      </c>
      <c r="AQ1767" t="n">
        <v>15</v>
      </c>
      <c r="AR1767" t="n">
        <v>150</v>
      </c>
      <c r="AS1767" t="inlineStr">
        <is>
          <t>Collection (optional)</t>
        </is>
      </c>
    </row>
    <row r="1768">
      <c r="A1768" t="inlineStr">
        <is>
          <t>Arcane</t>
        </is>
      </c>
      <c r="B1768" t="inlineStr">
        <is>
          <t>Exodia Force</t>
        </is>
      </c>
      <c r="E1768" t="inlineStr">
        <is>
          <t>Zaw</t>
        </is>
      </c>
      <c r="F1768" t="n">
        <v>3</v>
      </c>
      <c r="G1768" t="n">
        <v>1</v>
      </c>
      <c r="H1768" t="inlineStr">
        <is>
          <t>Player trade (max rank)</t>
        </is>
      </c>
      <c r="I1768" t="inlineStr">
        <is>
          <t>Yes</t>
        </is>
      </c>
      <c r="K1768" t="inlineStr">
        <is>
          <t>Collection (optional)</t>
        </is>
      </c>
      <c r="L1768" t="n">
        <v>80</v>
      </c>
      <c r="M1768" t="n">
        <v>97.5</v>
      </c>
      <c r="N1768" t="n">
        <v>215</v>
      </c>
      <c r="O1768" t="inlineStr">
        <is>
          <t>2026-10-05 UTC (WFM pull 02:52-04:00)</t>
        </is>
      </c>
      <c r="P1768" t="inlineStr">
        <is>
          <t>OK</t>
        </is>
      </c>
      <c r="R1768" t="inlineStr">
        <is>
          <t>Arcanes share across items like mods (one max-rank copy covers every build).</t>
        </is>
      </c>
      <c r="S1768" t="inlineStr">
        <is>
          <t>exodia_force</t>
        </is>
      </c>
      <c r="T1768" t="n">
        <v>4</v>
      </c>
      <c r="U1768" t="n">
        <v>4</v>
      </c>
      <c r="V1768" t="n">
        <v>65</v>
      </c>
      <c r="W1768" t="n">
        <v>59</v>
      </c>
      <c r="X1768" t="n">
        <v>59.2</v>
      </c>
      <c r="Y1768" t="n">
        <v>415</v>
      </c>
      <c r="Z1768" t="n">
        <v>17</v>
      </c>
      <c r="AA1768" t="n">
        <v>25</v>
      </c>
      <c r="AB1768" t="n">
        <v>55</v>
      </c>
      <c r="AQ1768" t="n">
        <v>11</v>
      </c>
      <c r="AR1768" t="n">
        <v>110</v>
      </c>
      <c r="AS1768" t="inlineStr">
        <is>
          <t>Collection (optional)</t>
        </is>
      </c>
    </row>
    <row r="1769">
      <c r="A1769" t="inlineStr">
        <is>
          <t>Arcane</t>
        </is>
      </c>
      <c r="B1769" t="inlineStr">
        <is>
          <t>Exodia Hunt</t>
        </is>
      </c>
      <c r="E1769" t="inlineStr">
        <is>
          <t>Zaw</t>
        </is>
      </c>
      <c r="F1769" t="n">
        <v>3</v>
      </c>
      <c r="G1769" t="n">
        <v>1</v>
      </c>
      <c r="H1769" t="inlineStr">
        <is>
          <t>Player trade (max rank)</t>
        </is>
      </c>
      <c r="I1769" t="inlineStr">
        <is>
          <t>Yes</t>
        </is>
      </c>
      <c r="K1769" t="inlineStr">
        <is>
          <t>Collection (optional)</t>
        </is>
      </c>
      <c r="L1769" t="n">
        <v>35</v>
      </c>
      <c r="M1769" t="n">
        <v>80</v>
      </c>
      <c r="N1769" t="n">
        <v>105</v>
      </c>
      <c r="O1769" t="inlineStr">
        <is>
          <t>2026-10-05 UTC (WFM pull 02:52-04:00)</t>
        </is>
      </c>
      <c r="P1769" t="inlineStr">
        <is>
          <t>OK</t>
        </is>
      </c>
      <c r="Q1769" t="inlineStr">
        <is>
          <t>Cheaper via 10x R0 (70p realistic) than buying max rank</t>
        </is>
      </c>
      <c r="R1769" t="inlineStr">
        <is>
          <t>Arcanes share across items like mods (one max-rank copy covers every build).</t>
        </is>
      </c>
      <c r="S1769" t="inlineStr">
        <is>
          <t>exodia_hunt</t>
        </is>
      </c>
      <c r="T1769" t="n">
        <v>8</v>
      </c>
      <c r="U1769" t="n">
        <v>8</v>
      </c>
      <c r="V1769" t="n">
        <v>65</v>
      </c>
      <c r="W1769" t="n">
        <v>60</v>
      </c>
      <c r="X1769" t="n">
        <v>59.2</v>
      </c>
      <c r="Y1769" t="n">
        <v>108</v>
      </c>
      <c r="Z1769" t="n">
        <v>5</v>
      </c>
      <c r="AQ1769" t="n">
        <v>7</v>
      </c>
      <c r="AR1769" t="n">
        <v>70</v>
      </c>
      <c r="AS1769" t="inlineStr">
        <is>
          <t>Collection (optional)</t>
        </is>
      </c>
    </row>
    <row r="1770">
      <c r="A1770" t="inlineStr">
        <is>
          <t>Arcane</t>
        </is>
      </c>
      <c r="B1770" t="inlineStr">
        <is>
          <t>Exodia Might</t>
        </is>
      </c>
      <c r="E1770" t="inlineStr">
        <is>
          <t>Zaw</t>
        </is>
      </c>
      <c r="F1770" t="n">
        <v>3</v>
      </c>
      <c r="G1770" t="n">
        <v>1</v>
      </c>
      <c r="H1770" t="inlineStr">
        <is>
          <t>Player trade (max rank)</t>
        </is>
      </c>
      <c r="I1770" t="inlineStr">
        <is>
          <t>Yes</t>
        </is>
      </c>
      <c r="K1770" t="inlineStr">
        <is>
          <t>Collection (optional)</t>
        </is>
      </c>
      <c r="L1770" t="n">
        <v>70</v>
      </c>
      <c r="M1770" t="n">
        <v>90</v>
      </c>
      <c r="N1770" t="n">
        <v>111</v>
      </c>
      <c r="O1770" t="inlineStr">
        <is>
          <t>2026-10-05 UTC (WFM pull 02:52-04:00)</t>
        </is>
      </c>
      <c r="P1770" t="inlineStr">
        <is>
          <t>OK</t>
        </is>
      </c>
      <c r="Q1770" t="inlineStr">
        <is>
          <t>Cheaper via 10x R0 (80p realistic) than buying max rank</t>
        </is>
      </c>
      <c r="R1770" t="inlineStr">
        <is>
          <t>Arcanes share across items like mods (one max-rank copy covers every build).</t>
        </is>
      </c>
      <c r="S1770" t="inlineStr">
        <is>
          <t>exodia_might</t>
        </is>
      </c>
      <c r="T1770" t="n">
        <v>8</v>
      </c>
      <c r="U1770" t="n">
        <v>8</v>
      </c>
      <c r="V1770" t="n">
        <v>65</v>
      </c>
      <c r="W1770" t="n">
        <v>69</v>
      </c>
      <c r="X1770" t="n">
        <v>69</v>
      </c>
      <c r="Y1770" t="n">
        <v>40</v>
      </c>
      <c r="Z1770" t="n">
        <v>0</v>
      </c>
      <c r="AA1770" t="n">
        <v>30</v>
      </c>
      <c r="AB1770" t="n">
        <v>40</v>
      </c>
      <c r="AQ1770" t="n">
        <v>8</v>
      </c>
      <c r="AR1770" t="n">
        <v>80</v>
      </c>
      <c r="AS1770" t="inlineStr">
        <is>
          <t>Collection (optional)</t>
        </is>
      </c>
    </row>
    <row r="1771">
      <c r="A1771" t="inlineStr">
        <is>
          <t>Arcane</t>
        </is>
      </c>
      <c r="B1771" t="inlineStr">
        <is>
          <t>Exodia Triumph</t>
        </is>
      </c>
      <c r="E1771" t="inlineStr">
        <is>
          <t>Zaw</t>
        </is>
      </c>
      <c r="F1771" t="n">
        <v>3</v>
      </c>
      <c r="G1771" t="n">
        <v>1</v>
      </c>
      <c r="H1771" t="inlineStr">
        <is>
          <t>Player trade (max rank)</t>
        </is>
      </c>
      <c r="I1771" t="inlineStr">
        <is>
          <t>Yes</t>
        </is>
      </c>
      <c r="K1771" t="inlineStr">
        <is>
          <t>Collection (optional)</t>
        </is>
      </c>
      <c r="L1771" t="n">
        <v>80</v>
      </c>
      <c r="M1771" t="n">
        <v>90</v>
      </c>
      <c r="N1771" t="n">
        <v>111</v>
      </c>
      <c r="O1771" t="inlineStr">
        <is>
          <t>2026-10-05 UTC (WFM pull 02:52-04:00)</t>
        </is>
      </c>
      <c r="P1771" t="inlineStr">
        <is>
          <t>OK</t>
        </is>
      </c>
      <c r="Q1771" t="inlineStr">
        <is>
          <t>Cheaper via 10x R0 (75.0p realistic) than buying max rank</t>
        </is>
      </c>
      <c r="R1771" t="inlineStr">
        <is>
          <t>Arcanes share across items like mods (one max-rank copy covers every build).</t>
        </is>
      </c>
      <c r="S1771" t="inlineStr">
        <is>
          <t>exodia_triumph</t>
        </is>
      </c>
      <c r="T1771" t="n">
        <v>8</v>
      </c>
      <c r="U1771" t="n">
        <v>8</v>
      </c>
      <c r="V1771" t="n">
        <v>67</v>
      </c>
      <c r="W1771" t="n">
        <v>65</v>
      </c>
      <c r="X1771" t="n">
        <v>65.7</v>
      </c>
      <c r="Y1771" t="n">
        <v>80</v>
      </c>
      <c r="Z1771" t="n">
        <v>1</v>
      </c>
      <c r="AA1771" t="n">
        <v>30</v>
      </c>
      <c r="AB1771" t="n">
        <v>50</v>
      </c>
      <c r="AQ1771" t="n">
        <v>7.5</v>
      </c>
      <c r="AR1771" t="n">
        <v>75</v>
      </c>
      <c r="AS1771" t="inlineStr">
        <is>
          <t>Collection (optional)</t>
        </is>
      </c>
    </row>
    <row r="1772">
      <c r="A1772" t="inlineStr">
        <is>
          <t>Arcane</t>
        </is>
      </c>
      <c r="B1772" t="inlineStr">
        <is>
          <t>Exodia Valor</t>
        </is>
      </c>
      <c r="E1772" t="inlineStr">
        <is>
          <t>Zaw</t>
        </is>
      </c>
      <c r="F1772" t="n">
        <v>3</v>
      </c>
      <c r="G1772" t="n">
        <v>1</v>
      </c>
      <c r="H1772" t="inlineStr">
        <is>
          <t>Player trade (max rank)</t>
        </is>
      </c>
      <c r="I1772" t="inlineStr">
        <is>
          <t>Yes</t>
        </is>
      </c>
      <c r="K1772" t="inlineStr">
        <is>
          <t>Collection (optional)</t>
        </is>
      </c>
      <c r="L1772" t="n">
        <v>50</v>
      </c>
      <c r="M1772" t="n">
        <v>80</v>
      </c>
      <c r="N1772" t="n">
        <v>111</v>
      </c>
      <c r="O1772" t="inlineStr">
        <is>
          <t>2026-10-05 UTC (WFM pull 02:52-04:00)</t>
        </is>
      </c>
      <c r="P1772" t="inlineStr">
        <is>
          <t>OK</t>
        </is>
      </c>
      <c r="Q1772" t="inlineStr">
        <is>
          <t>Cheaper via 10x R0 (60p realistic) than buying max rank</t>
        </is>
      </c>
      <c r="R1772" t="inlineStr">
        <is>
          <t>Arcanes share across items like mods (one max-rank copy covers every build).</t>
        </is>
      </c>
      <c r="S1772" t="inlineStr">
        <is>
          <t>exodia_valor</t>
        </is>
      </c>
      <c r="T1772" t="n">
        <v>3</v>
      </c>
      <c r="U1772" t="n">
        <v>3</v>
      </c>
      <c r="V1772" t="n">
        <v>60</v>
      </c>
      <c r="W1772" t="n">
        <v>64</v>
      </c>
      <c r="X1772" t="n">
        <v>63.1</v>
      </c>
      <c r="Y1772" t="n">
        <v>33</v>
      </c>
      <c r="Z1772" t="n">
        <v>1</v>
      </c>
      <c r="AQ1772" t="n">
        <v>6</v>
      </c>
      <c r="AR1772" t="n">
        <v>60</v>
      </c>
      <c r="AS1772" t="inlineStr">
        <is>
          <t>Collection (optional)</t>
        </is>
      </c>
    </row>
    <row r="1773">
      <c r="A1773" t="inlineStr">
        <is>
          <t>Arcane</t>
        </is>
      </c>
      <c r="B1773" t="inlineStr">
        <is>
          <t>Fractalized Reset</t>
        </is>
      </c>
      <c r="E1773" t="inlineStr">
        <is>
          <t>Primary</t>
        </is>
      </c>
      <c r="F1773" t="n">
        <v>5</v>
      </c>
      <c r="G1773" t="n">
        <v>1</v>
      </c>
      <c r="H1773" t="inlineStr">
        <is>
          <t>Player trade (max rank)</t>
        </is>
      </c>
      <c r="I1773" t="inlineStr">
        <is>
          <t>Yes</t>
        </is>
      </c>
      <c r="K1773" t="inlineStr">
        <is>
          <t>Collection (optional)</t>
        </is>
      </c>
      <c r="L1773" t="n">
        <v>15</v>
      </c>
      <c r="M1773" t="n">
        <v>15</v>
      </c>
      <c r="N1773" t="n">
        <v>22</v>
      </c>
      <c r="O1773" t="inlineStr">
        <is>
          <t>2026-10-05 UTC (WFM pull 02:52-04:00)</t>
        </is>
      </c>
      <c r="P1773" t="inlineStr">
        <is>
          <t>OK</t>
        </is>
      </c>
      <c r="R1773" t="inlineStr">
        <is>
          <t>Arcanes share across items like mods (one max-rank copy covers every build).</t>
        </is>
      </c>
      <c r="S1773" t="inlineStr">
        <is>
          <t>fractalized_reset</t>
        </is>
      </c>
      <c r="T1773" t="n">
        <v>12</v>
      </c>
      <c r="U1773" t="n">
        <v>12</v>
      </c>
      <c r="V1773" t="n">
        <v>13.5</v>
      </c>
      <c r="W1773" t="n">
        <v>14</v>
      </c>
      <c r="X1773" t="n">
        <v>13.5</v>
      </c>
      <c r="Y1773" t="n">
        <v>463</v>
      </c>
      <c r="Z1773" t="n">
        <v>6</v>
      </c>
      <c r="AQ1773" t="n">
        <v>2</v>
      </c>
      <c r="AR1773" t="n">
        <v>42</v>
      </c>
      <c r="AS1773" t="inlineStr">
        <is>
          <t>Collection (optional)</t>
        </is>
      </c>
    </row>
    <row r="1774">
      <c r="A1774" t="inlineStr">
        <is>
          <t>Arcane</t>
        </is>
      </c>
      <c r="B1774" t="inlineStr">
        <is>
          <t>Longbow Sharpshot</t>
        </is>
      </c>
      <c r="E1774" t="inlineStr">
        <is>
          <t>Bow</t>
        </is>
      </c>
      <c r="F1774" t="n">
        <v>5</v>
      </c>
      <c r="G1774" t="n">
        <v>1</v>
      </c>
      <c r="H1774" t="inlineStr">
        <is>
          <t>Player trade (max rank)</t>
        </is>
      </c>
      <c r="I1774" t="inlineStr">
        <is>
          <t>Yes</t>
        </is>
      </c>
      <c r="K1774" t="inlineStr">
        <is>
          <t>Collection (optional)</t>
        </is>
      </c>
      <c r="L1774" t="n">
        <v>320</v>
      </c>
      <c r="M1774" t="n">
        <v>340</v>
      </c>
      <c r="N1774" t="n">
        <v>386</v>
      </c>
      <c r="O1774" t="inlineStr">
        <is>
          <t>2026-10-05 UTC (WFM pull 02:52-04:00)</t>
        </is>
      </c>
      <c r="P1774" t="inlineStr">
        <is>
          <t>OK</t>
        </is>
      </c>
      <c r="Q1774" t="inlineStr">
        <is>
          <t>Cheaper via 21x R0 (294p realistic) than buying max rank</t>
        </is>
      </c>
      <c r="R1774" t="inlineStr">
        <is>
          <t>Arcanes share across items like mods (one max-rank copy covers every build).</t>
        </is>
      </c>
      <c r="S1774" t="inlineStr">
        <is>
          <t>longbow_sharpshot</t>
        </is>
      </c>
      <c r="T1774" t="n">
        <v>10</v>
      </c>
      <c r="U1774" t="n">
        <v>10</v>
      </c>
      <c r="V1774" t="n">
        <v>300</v>
      </c>
      <c r="W1774" t="n">
        <v>240</v>
      </c>
      <c r="X1774" t="n">
        <v>251.4</v>
      </c>
      <c r="Y1774" t="n">
        <v>1203</v>
      </c>
      <c r="Z1774" t="n">
        <v>55</v>
      </c>
      <c r="AA1774" t="n">
        <v>300</v>
      </c>
      <c r="AB1774" t="n">
        <v>20</v>
      </c>
      <c r="AQ1774" t="n">
        <v>14</v>
      </c>
      <c r="AR1774" t="n">
        <v>294</v>
      </c>
      <c r="AS1774" t="inlineStr">
        <is>
          <t>Collection (optional)</t>
        </is>
      </c>
    </row>
    <row r="1775">
      <c r="A1775" t="inlineStr">
        <is>
          <t>Arcane</t>
        </is>
      </c>
      <c r="B1775" t="inlineStr">
        <is>
          <t>Magus Accelerant</t>
        </is>
      </c>
      <c r="E1775" t="inlineStr">
        <is>
          <t>Operator</t>
        </is>
      </c>
      <c r="F1775" t="n">
        <v>5</v>
      </c>
      <c r="G1775" t="n">
        <v>1</v>
      </c>
      <c r="H1775" t="inlineStr">
        <is>
          <t>Player trade (max rank)</t>
        </is>
      </c>
      <c r="I1775" t="inlineStr">
        <is>
          <t>Yes</t>
        </is>
      </c>
      <c r="K1775" t="inlineStr">
        <is>
          <t>Collection (optional)</t>
        </is>
      </c>
      <c r="L1775" t="n">
        <v>114</v>
      </c>
      <c r="M1775" t="n">
        <v>140</v>
      </c>
      <c r="N1775" t="n">
        <v>165</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magus_accelerant</t>
        </is>
      </c>
      <c r="T1775" t="n">
        <v>7</v>
      </c>
      <c r="U1775" t="n">
        <v>7</v>
      </c>
      <c r="V1775" t="n">
        <v>105</v>
      </c>
      <c r="W1775" t="n">
        <v>99.5</v>
      </c>
      <c r="X1775" t="n">
        <v>100.3</v>
      </c>
      <c r="Y1775" t="n">
        <v>104</v>
      </c>
      <c r="Z1775" t="n">
        <v>0</v>
      </c>
      <c r="AQ1775" t="n">
        <v>5</v>
      </c>
      <c r="AR1775" t="n">
        <v>105</v>
      </c>
      <c r="AS1775" t="inlineStr">
        <is>
          <t>Collection (optional)</t>
        </is>
      </c>
    </row>
    <row r="1776">
      <c r="A1776" t="inlineStr">
        <is>
          <t>Arcane</t>
        </is>
      </c>
      <c r="B1776" t="inlineStr">
        <is>
          <t>Magus Aggress</t>
        </is>
      </c>
      <c r="E1776" t="inlineStr">
        <is>
          <t>Operator</t>
        </is>
      </c>
      <c r="F1776" t="n">
        <v>5</v>
      </c>
      <c r="G1776" t="n">
        <v>1</v>
      </c>
      <c r="H1776" t="inlineStr">
        <is>
          <t>Player trade (max rank)</t>
        </is>
      </c>
      <c r="I1776" t="inlineStr">
        <is>
          <t>Yes</t>
        </is>
      </c>
      <c r="K1776" t="inlineStr">
        <is>
          <t>Collection (optional)</t>
        </is>
      </c>
      <c r="L1776" t="n">
        <v>14</v>
      </c>
      <c r="M1776" t="n">
        <v>20</v>
      </c>
      <c r="N1776" t="n">
        <v>22</v>
      </c>
      <c r="O1776" t="inlineStr">
        <is>
          <t>2026-10-05 UTC (WFM pull 02:52-04:00)</t>
        </is>
      </c>
      <c r="P1776" t="inlineStr">
        <is>
          <t>OK</t>
        </is>
      </c>
      <c r="R1776" t="inlineStr">
        <is>
          <t>Arcanes share across items like mods (one max-rank copy covers every build).</t>
        </is>
      </c>
      <c r="S1776" t="inlineStr">
        <is>
          <t>magus_aggress</t>
        </is>
      </c>
      <c r="T1776" t="n">
        <v>11</v>
      </c>
      <c r="U1776" t="n">
        <v>11</v>
      </c>
      <c r="V1776" t="n">
        <v>15</v>
      </c>
      <c r="W1776" t="n">
        <v>15</v>
      </c>
      <c r="X1776" t="n">
        <v>15.2</v>
      </c>
      <c r="Y1776" t="n">
        <v>260</v>
      </c>
      <c r="Z1776" t="n">
        <v>19</v>
      </c>
      <c r="AA1776" t="n">
        <v>7</v>
      </c>
      <c r="AB1776" t="n">
        <v>7</v>
      </c>
      <c r="AQ1776" t="n">
        <v>2</v>
      </c>
      <c r="AR1776" t="n">
        <v>42</v>
      </c>
      <c r="AS1776" t="inlineStr">
        <is>
          <t>Collection (optional)</t>
        </is>
      </c>
    </row>
    <row r="1777">
      <c r="A1777" t="inlineStr">
        <is>
          <t>Arcane</t>
        </is>
      </c>
      <c r="B1777" t="inlineStr">
        <is>
          <t>Magus Anomaly</t>
        </is>
      </c>
      <c r="E1777" t="inlineStr">
        <is>
          <t>Operator</t>
        </is>
      </c>
      <c r="F1777" t="n">
        <v>5</v>
      </c>
      <c r="G1777" t="n">
        <v>1</v>
      </c>
      <c r="H1777" t="inlineStr">
        <is>
          <t>Player trade (max rank)</t>
        </is>
      </c>
      <c r="I1777" t="inlineStr">
        <is>
          <t>Yes</t>
        </is>
      </c>
      <c r="K1777" t="inlineStr">
        <is>
          <t>Collection (optional)</t>
        </is>
      </c>
      <c r="L1777" t="n">
        <v>90</v>
      </c>
      <c r="M1777" t="n">
        <v>95</v>
      </c>
      <c r="N1777" t="n">
        <v>109</v>
      </c>
      <c r="O1777" t="inlineStr">
        <is>
          <t>2026-10-05 UTC (WFM pull 02:52-04:00)</t>
        </is>
      </c>
      <c r="P1777" t="inlineStr">
        <is>
          <t>OK</t>
        </is>
      </c>
      <c r="R1777" t="inlineStr">
        <is>
          <t>Arcanes share across items like mods (one max-rank copy covers every build).</t>
        </is>
      </c>
      <c r="S1777" t="inlineStr">
        <is>
          <t>magus_anomaly</t>
        </is>
      </c>
      <c r="T1777" t="n">
        <v>16</v>
      </c>
      <c r="U1777" t="n">
        <v>16</v>
      </c>
      <c r="V1777" t="n">
        <v>90</v>
      </c>
      <c r="W1777" t="n">
        <v>90.5</v>
      </c>
      <c r="X1777" t="n">
        <v>92.5</v>
      </c>
      <c r="Y1777" t="n">
        <v>838</v>
      </c>
      <c r="Z1777" t="n">
        <v>18</v>
      </c>
      <c r="AA1777" t="n">
        <v>39</v>
      </c>
      <c r="AB1777" t="n">
        <v>51</v>
      </c>
      <c r="AQ1777" t="n">
        <v>10</v>
      </c>
      <c r="AR1777" t="n">
        <v>210</v>
      </c>
      <c r="AS1777" t="inlineStr">
        <is>
          <t>Collection (optional)</t>
        </is>
      </c>
    </row>
    <row r="1778">
      <c r="A1778" t="inlineStr">
        <is>
          <t>Arcane</t>
        </is>
      </c>
      <c r="B1778" t="inlineStr">
        <is>
          <t>Magus Cadence</t>
        </is>
      </c>
      <c r="E1778" t="inlineStr">
        <is>
          <t>Operator</t>
        </is>
      </c>
      <c r="F1778" t="n">
        <v>5</v>
      </c>
      <c r="G1778" t="n">
        <v>1</v>
      </c>
      <c r="H1778" t="inlineStr">
        <is>
          <t>Player trade (max rank)</t>
        </is>
      </c>
      <c r="I1778" t="inlineStr">
        <is>
          <t>Yes</t>
        </is>
      </c>
      <c r="K1778" t="inlineStr">
        <is>
          <t>Collection (optional)</t>
        </is>
      </c>
      <c r="L1778" t="n">
        <v>69</v>
      </c>
      <c r="M1778" t="n">
        <v>75</v>
      </c>
      <c r="N1778" t="n">
        <v>88</v>
      </c>
      <c r="O1778" t="inlineStr">
        <is>
          <t>2026-10-05 UTC (WFM pull 02:52-04:00)</t>
        </is>
      </c>
      <c r="P1778" t="inlineStr">
        <is>
          <t>OK</t>
        </is>
      </c>
      <c r="R1778" t="inlineStr">
        <is>
          <t>Arcanes share across items like mods (one max-rank copy covers every build).</t>
        </is>
      </c>
      <c r="S1778" t="inlineStr">
        <is>
          <t>magus_cadence</t>
        </is>
      </c>
      <c r="T1778" t="n">
        <v>10</v>
      </c>
      <c r="U1778" t="n">
        <v>10</v>
      </c>
      <c r="V1778" t="n">
        <v>62.5</v>
      </c>
      <c r="W1778" t="n">
        <v>65</v>
      </c>
      <c r="X1778" t="n">
        <v>65.09999999999999</v>
      </c>
      <c r="Y1778" t="n">
        <v>139</v>
      </c>
      <c r="Z1778" t="n">
        <v>4</v>
      </c>
      <c r="AQ1778" t="n">
        <v>4</v>
      </c>
      <c r="AR1778" t="n">
        <v>84</v>
      </c>
      <c r="AS1778" t="inlineStr">
        <is>
          <t>Collection (optional)</t>
        </is>
      </c>
    </row>
    <row r="1779">
      <c r="A1779" t="inlineStr">
        <is>
          <t>Arcane</t>
        </is>
      </c>
      <c r="B1779" t="inlineStr">
        <is>
          <t>Magus Cloud</t>
        </is>
      </c>
      <c r="E1779" t="inlineStr">
        <is>
          <t>Operator</t>
        </is>
      </c>
      <c r="F1779" t="n">
        <v>5</v>
      </c>
      <c r="G1779" t="n">
        <v>1</v>
      </c>
      <c r="H1779" t="inlineStr">
        <is>
          <t>Player trade (max rank)</t>
        </is>
      </c>
      <c r="I1779" t="inlineStr">
        <is>
          <t>Yes</t>
        </is>
      </c>
      <c r="K1779" t="inlineStr">
        <is>
          <t>Collection (optional)</t>
        </is>
      </c>
      <c r="L1779" t="n">
        <v>49</v>
      </c>
      <c r="M1779" t="n">
        <v>55</v>
      </c>
      <c r="N1779" t="n">
        <v>66</v>
      </c>
      <c r="O1779" t="inlineStr">
        <is>
          <t>2026-10-05 UTC (WFM pull 02:52-04:00)</t>
        </is>
      </c>
      <c r="P1779" t="inlineStr">
        <is>
          <t>OK</t>
        </is>
      </c>
      <c r="R1779" t="inlineStr">
        <is>
          <t>Arcanes share across items like mods (one max-rank copy covers every build).</t>
        </is>
      </c>
      <c r="S1779" t="inlineStr">
        <is>
          <t>magus_cloud</t>
        </is>
      </c>
      <c r="T1779" t="n">
        <v>15</v>
      </c>
      <c r="U1779" t="n">
        <v>15</v>
      </c>
      <c r="V1779" t="n">
        <v>50</v>
      </c>
      <c r="W1779" t="n">
        <v>54</v>
      </c>
      <c r="X1779" t="n">
        <v>53.4</v>
      </c>
      <c r="Y1779" t="n">
        <v>1632</v>
      </c>
      <c r="Z1779" t="n">
        <v>42</v>
      </c>
      <c r="AA1779" t="n">
        <v>35</v>
      </c>
      <c r="AB1779" t="n">
        <v>14</v>
      </c>
      <c r="AQ1779" t="n">
        <v>4</v>
      </c>
      <c r="AR1779" t="n">
        <v>84</v>
      </c>
      <c r="AS1779" t="inlineStr">
        <is>
          <t>Collection (optional)</t>
        </is>
      </c>
    </row>
    <row r="1780">
      <c r="A1780" t="inlineStr">
        <is>
          <t>Arcane</t>
        </is>
      </c>
      <c r="B1780" t="inlineStr">
        <is>
          <t>Magus Destruct</t>
        </is>
      </c>
      <c r="E1780" t="inlineStr">
        <is>
          <t>Operator</t>
        </is>
      </c>
      <c r="F1780" t="n">
        <v>5</v>
      </c>
      <c r="G1780" t="n">
        <v>1</v>
      </c>
      <c r="H1780" t="inlineStr">
        <is>
          <t>Player trade (max rank)</t>
        </is>
      </c>
      <c r="I1780" t="inlineStr">
        <is>
          <t>Yes</t>
        </is>
      </c>
      <c r="K1780" t="inlineStr">
        <is>
          <t>Collection (optional)</t>
        </is>
      </c>
      <c r="L1780" t="n">
        <v>149</v>
      </c>
      <c r="M1780" t="n">
        <v>149</v>
      </c>
      <c r="N1780" t="n">
        <v>221</v>
      </c>
      <c r="O1780" t="inlineStr">
        <is>
          <t>2026-10-05 UTC (WFM pull 02:52-04:00)</t>
        </is>
      </c>
      <c r="P1780" t="inlineStr">
        <is>
          <t>OK</t>
        </is>
      </c>
      <c r="Q1780" t="inlineStr">
        <is>
          <t>Cheaper via 21x R0 (105p realistic) than buying max rank</t>
        </is>
      </c>
      <c r="R1780" t="inlineStr">
        <is>
          <t>Arcanes share across items like mods (one max-rank copy covers every build).</t>
        </is>
      </c>
      <c r="S1780" t="inlineStr">
        <is>
          <t>magus_destruct</t>
        </is>
      </c>
      <c r="T1780" t="n">
        <v>6</v>
      </c>
      <c r="U1780" t="n">
        <v>6</v>
      </c>
      <c r="V1780" t="n">
        <v>95</v>
      </c>
      <c r="W1780" t="n">
        <v>100</v>
      </c>
      <c r="X1780" t="n">
        <v>102.4</v>
      </c>
      <c r="Y1780" t="n">
        <v>46</v>
      </c>
      <c r="Z1780" t="n">
        <v>4</v>
      </c>
      <c r="AQ1780" t="n">
        <v>5</v>
      </c>
      <c r="AR1780" t="n">
        <v>105</v>
      </c>
      <c r="AS1780" t="inlineStr">
        <is>
          <t>Collection (optional)</t>
        </is>
      </c>
    </row>
    <row r="1781">
      <c r="A1781" t="inlineStr">
        <is>
          <t>Arcane</t>
        </is>
      </c>
      <c r="B1781" t="inlineStr">
        <is>
          <t>Magus Drive</t>
        </is>
      </c>
      <c r="E1781" t="inlineStr">
        <is>
          <t>Operator</t>
        </is>
      </c>
      <c r="F1781" t="n">
        <v>5</v>
      </c>
      <c r="G1781" t="n">
        <v>1</v>
      </c>
      <c r="H1781" t="inlineStr">
        <is>
          <t>Player trade (max rank)</t>
        </is>
      </c>
      <c r="I1781" t="inlineStr">
        <is>
          <t>Yes</t>
        </is>
      </c>
      <c r="K1781" t="inlineStr">
        <is>
          <t>Collection (optional)</t>
        </is>
      </c>
      <c r="L1781" t="n">
        <v>90</v>
      </c>
      <c r="M1781" t="n">
        <v>139</v>
      </c>
      <c r="N1781" t="n">
        <v>210</v>
      </c>
      <c r="O1781" t="inlineStr">
        <is>
          <t>2026-10-05 UTC (WFM pull 02:52-04:00)</t>
        </is>
      </c>
      <c r="P1781" t="inlineStr">
        <is>
          <t>OK</t>
        </is>
      </c>
      <c r="R1781" t="inlineStr">
        <is>
          <t>Arcanes share across items like mods (one max-rank copy covers every build).</t>
        </is>
      </c>
      <c r="S1781" t="inlineStr">
        <is>
          <t>magus_drive</t>
        </is>
      </c>
      <c r="T1781" t="n">
        <v>7</v>
      </c>
      <c r="U1781" t="n">
        <v>7</v>
      </c>
      <c r="V1781" t="n">
        <v>99.5</v>
      </c>
      <c r="W1781" t="n">
        <v>90</v>
      </c>
      <c r="X1781" t="n">
        <v>89.09999999999999</v>
      </c>
      <c r="Y1781" t="n">
        <v>53</v>
      </c>
      <c r="Z1781" t="n">
        <v>0</v>
      </c>
      <c r="AQ1781" t="n">
        <v>7</v>
      </c>
      <c r="AR1781" t="n">
        <v>147</v>
      </c>
      <c r="AS1781" t="inlineStr">
        <is>
          <t>Collection (optional)</t>
        </is>
      </c>
    </row>
    <row r="1782">
      <c r="A1782" t="inlineStr">
        <is>
          <t>Arcane</t>
        </is>
      </c>
      <c r="B1782" t="inlineStr">
        <is>
          <t>Magus Elevate</t>
        </is>
      </c>
      <c r="E1782" t="inlineStr">
        <is>
          <t>Operator</t>
        </is>
      </c>
      <c r="F1782" t="n">
        <v>5</v>
      </c>
      <c r="G1782" t="n">
        <v>1</v>
      </c>
      <c r="H1782" t="inlineStr">
        <is>
          <t>Player trade (max rank)</t>
        </is>
      </c>
      <c r="I1782" t="inlineStr">
        <is>
          <t>Yes</t>
        </is>
      </c>
      <c r="K1782" t="inlineStr">
        <is>
          <t>Collection (optional)</t>
        </is>
      </c>
      <c r="L1782" t="n">
        <v>50</v>
      </c>
      <c r="M1782" t="n">
        <v>55</v>
      </c>
      <c r="N1782" t="n">
        <v>66</v>
      </c>
      <c r="O1782" t="inlineStr">
        <is>
          <t>2026-10-05 UTC (WFM pull 02:52-04:00)</t>
        </is>
      </c>
      <c r="P1782" t="inlineStr">
        <is>
          <t>OK</t>
        </is>
      </c>
      <c r="R1782" t="inlineStr">
        <is>
          <t>Arcanes share across items like mods (one max-rank copy covers every build).</t>
        </is>
      </c>
      <c r="S1782" t="inlineStr">
        <is>
          <t>magus_elevate</t>
        </is>
      </c>
      <c r="T1782" t="n">
        <v>17</v>
      </c>
      <c r="U1782" t="n">
        <v>17</v>
      </c>
      <c r="V1782" t="n">
        <v>50</v>
      </c>
      <c r="W1782" t="n">
        <v>59</v>
      </c>
      <c r="X1782" t="n">
        <v>57.1</v>
      </c>
      <c r="Y1782" t="n">
        <v>1475</v>
      </c>
      <c r="Z1782" t="n">
        <v>26</v>
      </c>
      <c r="AA1782" t="n">
        <v>21</v>
      </c>
      <c r="AB1782" t="n">
        <v>29</v>
      </c>
      <c r="AQ1782" t="n">
        <v>5</v>
      </c>
      <c r="AR1782" t="n">
        <v>105</v>
      </c>
      <c r="AS1782" t="inlineStr">
        <is>
          <t>Collection (optional)</t>
        </is>
      </c>
    </row>
    <row r="1783">
      <c r="A1783" t="inlineStr">
        <is>
          <t>Arcane</t>
        </is>
      </c>
      <c r="B1783" t="inlineStr">
        <is>
          <t>Magus Firewall</t>
        </is>
      </c>
      <c r="E1783" t="inlineStr">
        <is>
          <t>Operator</t>
        </is>
      </c>
      <c r="F1783" t="n">
        <v>5</v>
      </c>
      <c r="G1783" t="n">
        <v>1</v>
      </c>
      <c r="H1783" t="inlineStr">
        <is>
          <t>Player trade (max rank)</t>
        </is>
      </c>
      <c r="I1783" t="inlineStr">
        <is>
          <t>Yes</t>
        </is>
      </c>
      <c r="K1783" t="inlineStr">
        <is>
          <t>Collection (optional)</t>
        </is>
      </c>
      <c r="L1783" t="n">
        <v>100</v>
      </c>
      <c r="M1783" t="n">
        <v>114</v>
      </c>
      <c r="N1783" t="n">
        <v>175</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magus_firewall</t>
        </is>
      </c>
      <c r="T1783" t="n">
        <v>10</v>
      </c>
      <c r="U1783" t="n">
        <v>10</v>
      </c>
      <c r="V1783" t="n">
        <v>90</v>
      </c>
      <c r="W1783" t="n">
        <v>90</v>
      </c>
      <c r="X1783" t="n">
        <v>91.2</v>
      </c>
      <c r="Y1783" t="n">
        <v>41</v>
      </c>
      <c r="Z1783" t="n">
        <v>2</v>
      </c>
      <c r="AQ1783" t="n">
        <v>5</v>
      </c>
      <c r="AR1783" t="n">
        <v>105</v>
      </c>
      <c r="AS1783" t="inlineStr">
        <is>
          <t>Collection (optional)</t>
        </is>
      </c>
    </row>
    <row r="1784">
      <c r="A1784" t="inlineStr">
        <is>
          <t>Arcane</t>
        </is>
      </c>
      <c r="B1784" t="inlineStr">
        <is>
          <t>Magus Glitch</t>
        </is>
      </c>
      <c r="E1784" t="inlineStr">
        <is>
          <t>Operator</t>
        </is>
      </c>
      <c r="F1784" t="n">
        <v>5</v>
      </c>
      <c r="G1784" t="n">
        <v>1</v>
      </c>
      <c r="H1784" t="inlineStr">
        <is>
          <t>Player trade (max rank)</t>
        </is>
      </c>
      <c r="I1784" t="inlineStr">
        <is>
          <t>Yes</t>
        </is>
      </c>
      <c r="K1784" t="inlineStr">
        <is>
          <t>Collection (optional)</t>
        </is>
      </c>
      <c r="L1784" t="n">
        <v>99</v>
      </c>
      <c r="M1784" t="n">
        <v>125</v>
      </c>
      <c r="N1784" t="n">
        <v>154</v>
      </c>
      <c r="O1784" t="inlineStr">
        <is>
          <t>2026-10-05 UTC (WFM pull 02:52-04:00)</t>
        </is>
      </c>
      <c r="P1784" t="inlineStr">
        <is>
          <t>OK</t>
        </is>
      </c>
      <c r="Q1784" t="inlineStr">
        <is>
          <t>Cheaper via 21x R0 (105p realistic) than buying max rank</t>
        </is>
      </c>
      <c r="R1784" t="inlineStr">
        <is>
          <t>Arcanes share across items like mods (one max-rank copy covers every build).</t>
        </is>
      </c>
      <c r="S1784" t="inlineStr">
        <is>
          <t>magus_glitch</t>
        </is>
      </c>
      <c r="T1784" t="n">
        <v>8</v>
      </c>
      <c r="U1784" t="n">
        <v>8</v>
      </c>
      <c r="V1784" t="n">
        <v>97.5</v>
      </c>
      <c r="W1784" t="n">
        <v>97.5</v>
      </c>
      <c r="X1784" t="n">
        <v>96.59999999999999</v>
      </c>
      <c r="Y1784" t="n">
        <v>90</v>
      </c>
      <c r="Z1784" t="n">
        <v>2</v>
      </c>
      <c r="AA1784" t="n">
        <v>37</v>
      </c>
      <c r="AB1784" t="n">
        <v>62</v>
      </c>
      <c r="AQ1784" t="n">
        <v>5</v>
      </c>
      <c r="AR1784" t="n">
        <v>105</v>
      </c>
      <c r="AS1784" t="inlineStr">
        <is>
          <t>Collection (optional)</t>
        </is>
      </c>
    </row>
    <row r="1785">
      <c r="A1785" t="inlineStr">
        <is>
          <t>Arcane</t>
        </is>
      </c>
      <c r="B1785" t="inlineStr">
        <is>
          <t>Magus Husk</t>
        </is>
      </c>
      <c r="E1785" t="inlineStr">
        <is>
          <t>Operator</t>
        </is>
      </c>
      <c r="F1785" t="n">
        <v>5</v>
      </c>
      <c r="G1785" t="n">
        <v>1</v>
      </c>
      <c r="H1785" t="inlineStr">
        <is>
          <t>Player trade (max rank)</t>
        </is>
      </c>
      <c r="I1785" t="inlineStr">
        <is>
          <t>Yes</t>
        </is>
      </c>
      <c r="K1785" t="inlineStr">
        <is>
          <t>Collection (optional)</t>
        </is>
      </c>
      <c r="L1785" t="n">
        <v>60</v>
      </c>
      <c r="M1785" t="n">
        <v>61.5</v>
      </c>
      <c r="N1785" t="n">
        <v>111</v>
      </c>
      <c r="O1785" t="inlineStr">
        <is>
          <t>2026-10-05 UTC (WFM pull 02:52-04:00)</t>
        </is>
      </c>
      <c r="P1785" t="inlineStr">
        <is>
          <t>OK</t>
        </is>
      </c>
      <c r="R1785" t="inlineStr">
        <is>
          <t>Arcanes share across items like mods (one max-rank copy covers every build).</t>
        </is>
      </c>
      <c r="S1785" t="inlineStr">
        <is>
          <t>magus_husk</t>
        </is>
      </c>
      <c r="T1785" t="n">
        <v>6</v>
      </c>
      <c r="U1785" t="n">
        <v>6</v>
      </c>
      <c r="V1785" t="n">
        <v>41</v>
      </c>
      <c r="W1785" t="n">
        <v>42.5</v>
      </c>
      <c r="X1785" t="n">
        <v>43</v>
      </c>
      <c r="Y1785" t="n">
        <v>121</v>
      </c>
      <c r="Z1785" t="n">
        <v>3</v>
      </c>
      <c r="AA1785" t="n">
        <v>15</v>
      </c>
      <c r="AB1785" t="n">
        <v>45</v>
      </c>
      <c r="AQ1785" t="n">
        <v>4</v>
      </c>
      <c r="AR1785" t="n">
        <v>84</v>
      </c>
      <c r="AS1785" t="inlineStr">
        <is>
          <t>Collection (optional)</t>
        </is>
      </c>
    </row>
    <row r="1786">
      <c r="A1786" t="inlineStr">
        <is>
          <t>Arcane</t>
        </is>
      </c>
      <c r="B1786" t="inlineStr">
        <is>
          <t>Magus Lockdown</t>
        </is>
      </c>
      <c r="E1786" t="inlineStr">
        <is>
          <t>Operator</t>
        </is>
      </c>
      <c r="F1786" t="n">
        <v>5</v>
      </c>
      <c r="G1786" t="n">
        <v>1</v>
      </c>
      <c r="H1786" t="inlineStr">
        <is>
          <t>Player trade (max rank)</t>
        </is>
      </c>
      <c r="I1786" t="inlineStr">
        <is>
          <t>Yes</t>
        </is>
      </c>
      <c r="K1786" t="inlineStr">
        <is>
          <t>Collection (optional)</t>
        </is>
      </c>
      <c r="L1786" t="n">
        <v>85</v>
      </c>
      <c r="M1786" t="n">
        <v>88</v>
      </c>
      <c r="N1786" t="n">
        <v>100</v>
      </c>
      <c r="O1786" t="inlineStr">
        <is>
          <t>2026-10-05 UTC (WFM pull 02:52-04:00)</t>
        </is>
      </c>
      <c r="P1786" t="inlineStr">
        <is>
          <t>OK</t>
        </is>
      </c>
      <c r="R1786" t="inlineStr">
        <is>
          <t>Arcanes share across items like mods (one max-rank copy covers every build).</t>
        </is>
      </c>
      <c r="S1786" t="inlineStr">
        <is>
          <t>magus_lockdown</t>
        </is>
      </c>
      <c r="T1786" t="n">
        <v>23</v>
      </c>
      <c r="U1786" t="n">
        <v>23</v>
      </c>
      <c r="V1786" t="n">
        <v>80</v>
      </c>
      <c r="W1786" t="n">
        <v>90</v>
      </c>
      <c r="X1786" t="n">
        <v>87.8</v>
      </c>
      <c r="Y1786" t="n">
        <v>2316</v>
      </c>
      <c r="Z1786" t="n">
        <v>50</v>
      </c>
      <c r="AA1786" t="n">
        <v>60</v>
      </c>
      <c r="AB1786" t="n">
        <v>25</v>
      </c>
      <c r="AQ1786" t="n">
        <v>6</v>
      </c>
      <c r="AR1786" t="n">
        <v>126</v>
      </c>
      <c r="AS1786" t="inlineStr">
        <is>
          <t>Collection (optional)</t>
        </is>
      </c>
    </row>
    <row r="1787">
      <c r="A1787" t="inlineStr">
        <is>
          <t>Arcane</t>
        </is>
      </c>
      <c r="B1787" t="inlineStr">
        <is>
          <t>Magus Melt</t>
        </is>
      </c>
      <c r="E1787" t="inlineStr">
        <is>
          <t>Operator</t>
        </is>
      </c>
      <c r="F1787" t="n">
        <v>5</v>
      </c>
      <c r="G1787" t="n">
        <v>1</v>
      </c>
      <c r="H1787" t="inlineStr">
        <is>
          <t>Player trade (max rank)</t>
        </is>
      </c>
      <c r="I1787" t="inlineStr">
        <is>
          <t>Yes</t>
        </is>
      </c>
      <c r="K1787" t="inlineStr">
        <is>
          <t>Collection (optional)</t>
        </is>
      </c>
      <c r="L1787" t="n">
        <v>83</v>
      </c>
      <c r="M1787" t="n">
        <v>85</v>
      </c>
      <c r="N1787" t="n">
        <v>94</v>
      </c>
      <c r="O1787" t="inlineStr">
        <is>
          <t>2026-10-05 UTC (WFM pull 02:52-04:00)</t>
        </is>
      </c>
      <c r="P1787" t="inlineStr">
        <is>
          <t>OK</t>
        </is>
      </c>
      <c r="R1787" t="inlineStr">
        <is>
          <t>Arcanes share across items like mods (one max-rank copy covers every build).</t>
        </is>
      </c>
      <c r="S1787" t="inlineStr">
        <is>
          <t>magus_melt</t>
        </is>
      </c>
      <c r="T1787" t="n">
        <v>23</v>
      </c>
      <c r="U1787" t="n">
        <v>23</v>
      </c>
      <c r="V1787" t="n">
        <v>83</v>
      </c>
      <c r="W1787" t="n">
        <v>90</v>
      </c>
      <c r="X1787" t="n">
        <v>89</v>
      </c>
      <c r="Y1787" t="n">
        <v>3397</v>
      </c>
      <c r="Z1787" t="n">
        <v>93</v>
      </c>
      <c r="AA1787" t="n">
        <v>70</v>
      </c>
      <c r="AB1787" t="n">
        <v>13</v>
      </c>
      <c r="AQ1787" t="n">
        <v>5</v>
      </c>
      <c r="AR1787" t="n">
        <v>105</v>
      </c>
      <c r="AS1787" t="inlineStr">
        <is>
          <t>Collection (optional)</t>
        </is>
      </c>
    </row>
    <row r="1788">
      <c r="A1788" t="inlineStr">
        <is>
          <t>Arcane</t>
        </is>
      </c>
      <c r="B1788" t="inlineStr">
        <is>
          <t>Magus Nourish</t>
        </is>
      </c>
      <c r="E1788" t="inlineStr">
        <is>
          <t>Operator</t>
        </is>
      </c>
      <c r="F1788" t="n">
        <v>5</v>
      </c>
      <c r="G1788" t="n">
        <v>1</v>
      </c>
      <c r="H1788" t="inlineStr">
        <is>
          <t>Player trade (max rank)</t>
        </is>
      </c>
      <c r="I1788" t="inlineStr">
        <is>
          <t>Yes</t>
        </is>
      </c>
      <c r="K1788" t="inlineStr">
        <is>
          <t>Collection (optional)</t>
        </is>
      </c>
      <c r="L1788" t="n">
        <v>49</v>
      </c>
      <c r="M1788" t="n">
        <v>60</v>
      </c>
      <c r="N1788" t="n">
        <v>88</v>
      </c>
      <c r="O1788" t="inlineStr">
        <is>
          <t>2026-10-05 UTC (WFM pull 02:52-04:00)</t>
        </is>
      </c>
      <c r="P1788" t="inlineStr">
        <is>
          <t>OK</t>
        </is>
      </c>
      <c r="R1788" t="inlineStr">
        <is>
          <t>Arcanes share across items like mods (one max-rank copy covers every build).</t>
        </is>
      </c>
      <c r="S1788" t="inlineStr">
        <is>
          <t>magus_nourish</t>
        </is>
      </c>
      <c r="T1788" t="n">
        <v>10</v>
      </c>
      <c r="U1788" t="n">
        <v>10</v>
      </c>
      <c r="V1788" t="n">
        <v>50</v>
      </c>
      <c r="W1788" t="n">
        <v>55</v>
      </c>
      <c r="X1788" t="n">
        <v>54.5</v>
      </c>
      <c r="Y1788" t="n">
        <v>193</v>
      </c>
      <c r="Z1788" t="n">
        <v>7</v>
      </c>
      <c r="AA1788" t="n">
        <v>36</v>
      </c>
      <c r="AB1788" t="n">
        <v>13</v>
      </c>
      <c r="AQ1788" t="n">
        <v>6</v>
      </c>
      <c r="AR1788" t="n">
        <v>126</v>
      </c>
      <c r="AS1788" t="inlineStr">
        <is>
          <t>Collection (optional)</t>
        </is>
      </c>
    </row>
    <row r="1789">
      <c r="A1789" t="inlineStr">
        <is>
          <t>Arcane</t>
        </is>
      </c>
      <c r="B1789" t="inlineStr">
        <is>
          <t>Magus Overload</t>
        </is>
      </c>
      <c r="E1789" t="inlineStr">
        <is>
          <t>Operator</t>
        </is>
      </c>
      <c r="F1789" t="n">
        <v>5</v>
      </c>
      <c r="G1789" t="n">
        <v>1</v>
      </c>
      <c r="H1789" t="inlineStr">
        <is>
          <t>Player trade (max rank)</t>
        </is>
      </c>
      <c r="I1789" t="inlineStr">
        <is>
          <t>Yes</t>
        </is>
      </c>
      <c r="K1789" t="inlineStr">
        <is>
          <t>Collection (optional)</t>
        </is>
      </c>
      <c r="L1789" t="n">
        <v>94</v>
      </c>
      <c r="M1789" t="n">
        <v>120</v>
      </c>
      <c r="N1789" t="n">
        <v>199</v>
      </c>
      <c r="O1789" t="inlineStr">
        <is>
          <t>2026-10-05 UTC (WFM pull 02:52-04:00)</t>
        </is>
      </c>
      <c r="P1789" t="inlineStr">
        <is>
          <t>OK</t>
        </is>
      </c>
      <c r="R1789" t="inlineStr">
        <is>
          <t>Arcanes share across items like mods (one max-rank copy covers every build).</t>
        </is>
      </c>
      <c r="S1789" t="inlineStr">
        <is>
          <t>magus_overload</t>
        </is>
      </c>
      <c r="T1789" t="n">
        <v>7</v>
      </c>
      <c r="U1789" t="n">
        <v>7</v>
      </c>
      <c r="V1789" t="n">
        <v>80</v>
      </c>
      <c r="W1789" t="n">
        <v>82.5</v>
      </c>
      <c r="X1789" t="n">
        <v>86.2</v>
      </c>
      <c r="Y1789" t="n">
        <v>48</v>
      </c>
      <c r="Z1789" t="n">
        <v>2</v>
      </c>
      <c r="AQ1789" t="n">
        <v>6</v>
      </c>
      <c r="AR1789" t="n">
        <v>126</v>
      </c>
      <c r="AS1789" t="inlineStr">
        <is>
          <t>Collection (optional)</t>
        </is>
      </c>
    </row>
    <row r="1790">
      <c r="A1790" t="inlineStr">
        <is>
          <t>Arcane</t>
        </is>
      </c>
      <c r="B1790" t="inlineStr">
        <is>
          <t>Magus Repair</t>
        </is>
      </c>
      <c r="E1790" t="inlineStr">
        <is>
          <t>Operator</t>
        </is>
      </c>
      <c r="F1790" t="n">
        <v>5</v>
      </c>
      <c r="G1790" t="n">
        <v>1</v>
      </c>
      <c r="H1790" t="inlineStr">
        <is>
          <t>Player trade (max rank)</t>
        </is>
      </c>
      <c r="I1790" t="inlineStr">
        <is>
          <t>Yes</t>
        </is>
      </c>
      <c r="K1790" t="inlineStr">
        <is>
          <t>Collection (optional)</t>
        </is>
      </c>
      <c r="L1790" t="n">
        <v>90</v>
      </c>
      <c r="M1790" t="n">
        <v>95</v>
      </c>
      <c r="N1790" t="n">
        <v>111</v>
      </c>
      <c r="O1790" t="inlineStr">
        <is>
          <t>2026-10-05 UTC (WFM pull 02:52-04:00)</t>
        </is>
      </c>
      <c r="P1790" t="inlineStr">
        <is>
          <t>OK</t>
        </is>
      </c>
      <c r="R1790" t="inlineStr">
        <is>
          <t>Arcanes share across items like mods (one max-rank copy covers every build).</t>
        </is>
      </c>
      <c r="S1790" t="inlineStr">
        <is>
          <t>magus_repair</t>
        </is>
      </c>
      <c r="T1790" t="n">
        <v>12</v>
      </c>
      <c r="U1790" t="n">
        <v>12</v>
      </c>
      <c r="V1790" t="n">
        <v>90</v>
      </c>
      <c r="W1790" t="n">
        <v>95</v>
      </c>
      <c r="X1790" t="n">
        <v>93.59999999999999</v>
      </c>
      <c r="Y1790" t="n">
        <v>802</v>
      </c>
      <c r="Z1790" t="n">
        <v>22</v>
      </c>
      <c r="AA1790" t="n">
        <v>65</v>
      </c>
      <c r="AB1790" t="n">
        <v>25</v>
      </c>
      <c r="AQ1790" t="n">
        <v>8</v>
      </c>
      <c r="AR1790" t="n">
        <v>168</v>
      </c>
      <c r="AS1790" t="inlineStr">
        <is>
          <t>Collection (optional)</t>
        </is>
      </c>
    </row>
    <row r="1791">
      <c r="A1791" t="inlineStr">
        <is>
          <t>Arcane</t>
        </is>
      </c>
      <c r="B1791" t="inlineStr">
        <is>
          <t>Magus Replenish</t>
        </is>
      </c>
      <c r="E1791" t="inlineStr">
        <is>
          <t>Operator</t>
        </is>
      </c>
      <c r="F1791" t="n">
        <v>5</v>
      </c>
      <c r="G1791" t="n">
        <v>1</v>
      </c>
      <c r="H1791" t="inlineStr">
        <is>
          <t>Player trade (max rank)</t>
        </is>
      </c>
      <c r="I1791" t="inlineStr">
        <is>
          <t>Yes</t>
        </is>
      </c>
      <c r="K1791" t="inlineStr">
        <is>
          <t>Collection (optional)</t>
        </is>
      </c>
      <c r="L1791" t="n">
        <v>70</v>
      </c>
      <c r="M1791" t="n">
        <v>90</v>
      </c>
      <c r="N1791" t="n">
        <v>199</v>
      </c>
      <c r="O1791" t="inlineStr">
        <is>
          <t>2026-10-05 UTC (WFM pull 02:52-04:00)</t>
        </is>
      </c>
      <c r="P1791" t="inlineStr">
        <is>
          <t>OK</t>
        </is>
      </c>
      <c r="R1791" t="inlineStr">
        <is>
          <t>Arcanes share across items like mods (one max-rank copy covers every build).</t>
        </is>
      </c>
      <c r="S1791" t="inlineStr">
        <is>
          <t>magus_replenish</t>
        </is>
      </c>
      <c r="T1791" t="n">
        <v>5</v>
      </c>
      <c r="U1791" t="n">
        <v>5</v>
      </c>
      <c r="V1791" t="n">
        <v>60</v>
      </c>
      <c r="W1791" t="n">
        <v>65</v>
      </c>
      <c r="X1791" t="n">
        <v>66.2</v>
      </c>
      <c r="Y1791" t="n">
        <v>113</v>
      </c>
      <c r="Z1791" t="n">
        <v>2</v>
      </c>
      <c r="AA1791" t="n">
        <v>21</v>
      </c>
      <c r="AB1791" t="n">
        <v>49</v>
      </c>
      <c r="AQ1791" t="n">
        <v>5</v>
      </c>
      <c r="AR1791" t="n">
        <v>105</v>
      </c>
      <c r="AS1791" t="inlineStr">
        <is>
          <t>Collection (optional)</t>
        </is>
      </c>
    </row>
    <row r="1792">
      <c r="A1792" t="inlineStr">
        <is>
          <t>Arcane</t>
        </is>
      </c>
      <c r="B1792" t="inlineStr">
        <is>
          <t>Magus Revert</t>
        </is>
      </c>
      <c r="E1792" t="inlineStr">
        <is>
          <t>Operator</t>
        </is>
      </c>
      <c r="F1792" t="n">
        <v>5</v>
      </c>
      <c r="G1792" t="n">
        <v>1</v>
      </c>
      <c r="H1792" t="inlineStr">
        <is>
          <t>Player trade (max rank)</t>
        </is>
      </c>
      <c r="I1792" t="inlineStr">
        <is>
          <t>Yes</t>
        </is>
      </c>
      <c r="K1792" t="inlineStr">
        <is>
          <t>Collection (optional)</t>
        </is>
      </c>
      <c r="L1792" t="n">
        <v>109</v>
      </c>
      <c r="M1792" t="n">
        <v>150</v>
      </c>
      <c r="N1792" t="n">
        <v>184</v>
      </c>
      <c r="O1792" t="inlineStr">
        <is>
          <t>2026-10-05 UTC (WFM pull 02:52-04:00)</t>
        </is>
      </c>
      <c r="P1792" t="inlineStr">
        <is>
          <t>OK</t>
        </is>
      </c>
      <c r="Q1792" t="inlineStr">
        <is>
          <t>Cheaper via 21x R0 (105p realistic) than buying max rank</t>
        </is>
      </c>
      <c r="R1792" t="inlineStr">
        <is>
          <t>Arcanes share across items like mods (one max-rank copy covers every build).</t>
        </is>
      </c>
      <c r="S1792" t="inlineStr">
        <is>
          <t>magus_revert</t>
        </is>
      </c>
      <c r="T1792" t="n">
        <v>6</v>
      </c>
      <c r="U1792" t="n">
        <v>6</v>
      </c>
      <c r="V1792" t="n">
        <v>100</v>
      </c>
      <c r="W1792" t="n">
        <v>95</v>
      </c>
      <c r="X1792" t="n">
        <v>96.09999999999999</v>
      </c>
      <c r="Y1792" t="n">
        <v>36</v>
      </c>
      <c r="Z1792" t="n">
        <v>0</v>
      </c>
      <c r="AA1792" t="n">
        <v>42</v>
      </c>
      <c r="AB1792" t="n">
        <v>67</v>
      </c>
      <c r="AQ1792" t="n">
        <v>5</v>
      </c>
      <c r="AR1792" t="n">
        <v>105</v>
      </c>
      <c r="AS1792" t="inlineStr">
        <is>
          <t>Collection (optional)</t>
        </is>
      </c>
    </row>
    <row r="1793">
      <c r="A1793" t="inlineStr">
        <is>
          <t>Arcane</t>
        </is>
      </c>
      <c r="B1793" t="inlineStr">
        <is>
          <t>Magus Vigor</t>
        </is>
      </c>
      <c r="E1793" t="inlineStr">
        <is>
          <t>Operator</t>
        </is>
      </c>
      <c r="F1793" t="n">
        <v>5</v>
      </c>
      <c r="G1793" t="n">
        <v>1</v>
      </c>
      <c r="H1793" t="inlineStr">
        <is>
          <t>Player trade (max rank)</t>
        </is>
      </c>
      <c r="I1793" t="inlineStr">
        <is>
          <t>Yes</t>
        </is>
      </c>
      <c r="K1793" t="inlineStr">
        <is>
          <t>Collection (optional)</t>
        </is>
      </c>
      <c r="L1793" t="n">
        <v>19</v>
      </c>
      <c r="M1793" t="n">
        <v>30.8</v>
      </c>
      <c r="N1793" t="n">
        <v>68</v>
      </c>
      <c r="O1793" t="inlineStr">
        <is>
          <t>2026-10-05 UTC (WFM pull 02:52-04:00)</t>
        </is>
      </c>
      <c r="P1793" t="inlineStr">
        <is>
          <t>OK</t>
        </is>
      </c>
      <c r="R1793" t="inlineStr">
        <is>
          <t>Arcanes share across items like mods (one max-rank copy covers every build).</t>
        </is>
      </c>
      <c r="S1793" t="inlineStr">
        <is>
          <t>magus_vigor</t>
        </is>
      </c>
      <c r="T1793" t="n">
        <v>4</v>
      </c>
      <c r="U1793" t="n">
        <v>4</v>
      </c>
      <c r="V1793" t="n">
        <v>20.5</v>
      </c>
      <c r="W1793" t="n">
        <v>22.5</v>
      </c>
      <c r="X1793" t="n">
        <v>22.7</v>
      </c>
      <c r="Y1793" t="n">
        <v>246</v>
      </c>
      <c r="Z1793" t="n">
        <v>7</v>
      </c>
      <c r="AQ1793" t="n">
        <v>3</v>
      </c>
      <c r="AR1793" t="n">
        <v>63</v>
      </c>
      <c r="AS1793" t="inlineStr">
        <is>
          <t>Collection (optional)</t>
        </is>
      </c>
    </row>
    <row r="1794">
      <c r="A1794" t="inlineStr">
        <is>
          <t>Arcane</t>
        </is>
      </c>
      <c r="B1794" t="inlineStr">
        <is>
          <t>Melee Afflictions</t>
        </is>
      </c>
      <c r="E1794" t="inlineStr">
        <is>
          <t>Melee</t>
        </is>
      </c>
      <c r="F1794" t="n">
        <v>5</v>
      </c>
      <c r="G1794" t="n">
        <v>1</v>
      </c>
      <c r="H1794" t="inlineStr">
        <is>
          <t>Player trade (max rank)</t>
        </is>
      </c>
      <c r="I1794" t="inlineStr">
        <is>
          <t>Yes</t>
        </is>
      </c>
      <c r="K1794" t="inlineStr">
        <is>
          <t>Collection (optional)</t>
        </is>
      </c>
      <c r="L1794" t="n">
        <v>70</v>
      </c>
      <c r="M1794" t="n">
        <v>70</v>
      </c>
      <c r="N1794" t="n">
        <v>83</v>
      </c>
      <c r="O1794" t="inlineStr">
        <is>
          <t>2026-10-05 UTC (WFM pull 02:52-04:00)</t>
        </is>
      </c>
      <c r="P1794" t="inlineStr">
        <is>
          <t>OK</t>
        </is>
      </c>
      <c r="R1794" t="inlineStr">
        <is>
          <t>Arcanes share across items like mods (one max-rank copy covers every build).</t>
        </is>
      </c>
      <c r="S1794" t="inlineStr">
        <is>
          <t>melee_afflictions</t>
        </is>
      </c>
      <c r="T1794" t="n">
        <v>15</v>
      </c>
      <c r="U1794" t="n">
        <v>15</v>
      </c>
      <c r="V1794" t="n">
        <v>69.5</v>
      </c>
      <c r="W1794" t="n">
        <v>61</v>
      </c>
      <c r="X1794" t="n">
        <v>62.2</v>
      </c>
      <c r="Y1794" t="n">
        <v>4663</v>
      </c>
      <c r="Z1794" t="n">
        <v>103</v>
      </c>
      <c r="AA1794" t="n">
        <v>50</v>
      </c>
      <c r="AB1794" t="n">
        <v>20</v>
      </c>
      <c r="AQ1794" t="n">
        <v>4</v>
      </c>
      <c r="AR1794" t="n">
        <v>84</v>
      </c>
      <c r="AS1794" t="inlineStr">
        <is>
          <t>Collection (optional)</t>
        </is>
      </c>
    </row>
    <row r="1795">
      <c r="A1795" t="inlineStr">
        <is>
          <t>Arcane</t>
        </is>
      </c>
      <c r="B1795" t="inlineStr">
        <is>
          <t>Melee Animosity</t>
        </is>
      </c>
      <c r="E1795" t="inlineStr">
        <is>
          <t>Melee</t>
        </is>
      </c>
      <c r="F1795" t="n">
        <v>5</v>
      </c>
      <c r="G1795" t="n">
        <v>1</v>
      </c>
      <c r="H1795" t="inlineStr">
        <is>
          <t>Player trade (max rank)</t>
        </is>
      </c>
      <c r="I1795" t="inlineStr">
        <is>
          <t>Yes</t>
        </is>
      </c>
      <c r="K1795" t="inlineStr">
        <is>
          <t>Required (v4.2 weapon/exalted builds)</t>
        </is>
      </c>
      <c r="L1795" t="n">
        <v>60</v>
      </c>
      <c r="M1795" t="n">
        <v>64</v>
      </c>
      <c r="N1795" t="n">
        <v>77</v>
      </c>
      <c r="O1795" t="inlineStr">
        <is>
          <t>2026-10-05 UTC (WFM pull 02:52-04:00)</t>
        </is>
      </c>
      <c r="P1795" t="inlineStr">
        <is>
          <t>OK</t>
        </is>
      </c>
      <c r="R1795" t="inlineStr">
        <is>
          <t>Arcanes share across items like mods (one max-rank copy covers every build).</t>
        </is>
      </c>
      <c r="S1795" t="inlineStr">
        <is>
          <t>melee_animosity</t>
        </is>
      </c>
      <c r="T1795" t="n">
        <v>11</v>
      </c>
      <c r="U1795" t="n">
        <v>11</v>
      </c>
      <c r="V1795" t="n">
        <v>59</v>
      </c>
      <c r="W1795" t="n">
        <v>60</v>
      </c>
      <c r="X1795" t="n">
        <v>58.5</v>
      </c>
      <c r="Y1795" t="n">
        <v>1554</v>
      </c>
      <c r="Z1795" t="n">
        <v>32</v>
      </c>
      <c r="AA1795" t="n">
        <v>34</v>
      </c>
      <c r="AB1795" t="n">
        <v>26</v>
      </c>
      <c r="AQ1795" t="n">
        <v>4.5</v>
      </c>
      <c r="AR1795" t="n">
        <v>94.5</v>
      </c>
      <c r="AS1795" t="inlineStr">
        <is>
          <t>Yes</t>
        </is>
      </c>
    </row>
    <row r="1796">
      <c r="A1796" t="inlineStr">
        <is>
          <t>Arcane</t>
        </is>
      </c>
      <c r="B1796" t="inlineStr">
        <is>
          <t>Melee Assimilation</t>
        </is>
      </c>
      <c r="E1796" t="inlineStr">
        <is>
          <t>Melee</t>
        </is>
      </c>
      <c r="F1796" t="n">
        <v>5</v>
      </c>
      <c r="G1796" t="n">
        <v>1</v>
      </c>
      <c r="H1796" t="inlineStr">
        <is>
          <t>Player trade (max rank)</t>
        </is>
      </c>
      <c r="I1796" t="inlineStr">
        <is>
          <t>Yes</t>
        </is>
      </c>
      <c r="K1796" t="inlineStr">
        <is>
          <t>Collection (optional)</t>
        </is>
      </c>
      <c r="L1796" t="n">
        <v>59</v>
      </c>
      <c r="M1796" t="n">
        <v>60</v>
      </c>
      <c r="N1796" t="n">
        <v>98</v>
      </c>
      <c r="O1796" t="inlineStr">
        <is>
          <t>2026-10-05 UTC (WFM pull 02:52-04:00)</t>
        </is>
      </c>
      <c r="P1796" t="inlineStr">
        <is>
          <t>OK</t>
        </is>
      </c>
      <c r="R1796" t="inlineStr">
        <is>
          <t>Arcanes share across items like mods (one max-rank copy covers every build).</t>
        </is>
      </c>
      <c r="S1796" t="inlineStr">
        <is>
          <t>melee_assimilation</t>
        </is>
      </c>
      <c r="T1796" t="n">
        <v>5</v>
      </c>
      <c r="U1796" t="n">
        <v>5</v>
      </c>
      <c r="V1796" t="n">
        <v>54</v>
      </c>
      <c r="W1796" t="n">
        <v>40</v>
      </c>
      <c r="X1796" t="n">
        <v>43.4</v>
      </c>
      <c r="Y1796" t="n">
        <v>789</v>
      </c>
      <c r="Z1796" t="n">
        <v>30</v>
      </c>
      <c r="AA1796" t="n">
        <v>40</v>
      </c>
      <c r="AB1796" t="n">
        <v>19</v>
      </c>
      <c r="AQ1796" t="n">
        <v>7</v>
      </c>
      <c r="AR1796" t="n">
        <v>147</v>
      </c>
      <c r="AS1796" t="inlineStr">
        <is>
          <t>Collection (optional)</t>
        </is>
      </c>
    </row>
    <row r="1797">
      <c r="A1797" t="inlineStr">
        <is>
          <t>Arcane</t>
        </is>
      </c>
      <c r="B1797" t="inlineStr">
        <is>
          <t>Melee Careen</t>
        </is>
      </c>
      <c r="E1797" t="inlineStr">
        <is>
          <t>Melee</t>
        </is>
      </c>
      <c r="F1797" t="n">
        <v>5</v>
      </c>
      <c r="G1797" t="n">
        <v>1</v>
      </c>
      <c r="H1797" t="inlineStr">
        <is>
          <t>Player trade (max rank)</t>
        </is>
      </c>
      <c r="I1797" t="inlineStr">
        <is>
          <t>Yes</t>
        </is>
      </c>
      <c r="K1797" t="inlineStr">
        <is>
          <t>Collection (optional)</t>
        </is>
      </c>
      <c r="L1797" t="n">
        <v>39</v>
      </c>
      <c r="M1797" t="n">
        <v>40</v>
      </c>
      <c r="N1797" t="n">
        <v>66</v>
      </c>
      <c r="O1797" t="inlineStr">
        <is>
          <t>2026-10-05 UTC (WFM pull 02:52-04:00)</t>
        </is>
      </c>
      <c r="P1797" t="inlineStr">
        <is>
          <t>OK</t>
        </is>
      </c>
      <c r="R1797" t="inlineStr">
        <is>
          <t>Arcanes share across items like mods (one max-rank copy covers every build).</t>
        </is>
      </c>
      <c r="S1797" t="inlineStr">
        <is>
          <t>melee_careen</t>
        </is>
      </c>
      <c r="T1797" t="n">
        <v>9</v>
      </c>
      <c r="U1797" t="n">
        <v>9</v>
      </c>
      <c r="V1797" t="n">
        <v>30</v>
      </c>
      <c r="W1797" t="n">
        <v>29</v>
      </c>
      <c r="X1797" t="n">
        <v>28.4</v>
      </c>
      <c r="Y1797" t="n">
        <v>1795</v>
      </c>
      <c r="Z1797" t="n">
        <v>62</v>
      </c>
      <c r="AA1797" t="n">
        <v>20</v>
      </c>
      <c r="AB1797" t="n">
        <v>19</v>
      </c>
      <c r="AQ1797" t="n">
        <v>3</v>
      </c>
      <c r="AR1797" t="n">
        <v>63</v>
      </c>
      <c r="AS1797" t="inlineStr">
        <is>
          <t>Collection (optional)</t>
        </is>
      </c>
    </row>
    <row r="1798">
      <c r="A1798" t="inlineStr">
        <is>
          <t>Arcane</t>
        </is>
      </c>
      <c r="B1798" t="inlineStr">
        <is>
          <t>Melee Crescendo</t>
        </is>
      </c>
      <c r="E1798" t="inlineStr">
        <is>
          <t>Melee</t>
        </is>
      </c>
      <c r="F1798" t="n">
        <v>5</v>
      </c>
      <c r="G1798" t="n">
        <v>1</v>
      </c>
      <c r="H1798" t="inlineStr">
        <is>
          <t>Player trade (max rank)</t>
        </is>
      </c>
      <c r="I1798" t="inlineStr">
        <is>
          <t>Yes</t>
        </is>
      </c>
      <c r="K1798" t="inlineStr">
        <is>
          <t>Required (v4.2 weapon/exalted builds)</t>
        </is>
      </c>
      <c r="L1798" t="n">
        <v>95</v>
      </c>
      <c r="M1798" t="n">
        <v>98</v>
      </c>
      <c r="N1798" t="n">
        <v>111</v>
      </c>
      <c r="O1798" t="inlineStr">
        <is>
          <t>2026-10-05 UTC (WFM pull 02:52-04:00)</t>
        </is>
      </c>
      <c r="P1798" t="inlineStr">
        <is>
          <t>OK</t>
        </is>
      </c>
      <c r="R1798" t="inlineStr">
        <is>
          <t>Arcanes share across items like mods (one max-rank copy covers every build).</t>
        </is>
      </c>
      <c r="S1798" t="inlineStr">
        <is>
          <t>melee_crescendo</t>
        </is>
      </c>
      <c r="T1798" t="n">
        <v>43</v>
      </c>
      <c r="U1798" t="n">
        <v>43</v>
      </c>
      <c r="V1798" t="n">
        <v>100</v>
      </c>
      <c r="W1798" t="n">
        <v>120</v>
      </c>
      <c r="X1798" t="n">
        <v>115.7</v>
      </c>
      <c r="Y1798" t="n">
        <v>2846</v>
      </c>
      <c r="Z1798" t="n">
        <v>71</v>
      </c>
      <c r="AA1798" t="n">
        <v>76</v>
      </c>
      <c r="AB1798" t="n">
        <v>19</v>
      </c>
      <c r="AQ1798" t="n">
        <v>5</v>
      </c>
      <c r="AR1798" t="n">
        <v>105</v>
      </c>
      <c r="AS1798" t="inlineStr">
        <is>
          <t>Yes</t>
        </is>
      </c>
    </row>
    <row r="1799">
      <c r="A1799" t="inlineStr">
        <is>
          <t>Arcane</t>
        </is>
      </c>
      <c r="B1799" t="inlineStr">
        <is>
          <t>Melee Doughty</t>
        </is>
      </c>
      <c r="E1799" t="inlineStr">
        <is>
          <t>Melee</t>
        </is>
      </c>
      <c r="F1799" t="n">
        <v>5</v>
      </c>
      <c r="G1799" t="n">
        <v>1</v>
      </c>
      <c r="H1799" t="inlineStr">
        <is>
          <t>Player trade (max rank)</t>
        </is>
      </c>
      <c r="I1799" t="inlineStr">
        <is>
          <t>Yes</t>
        </is>
      </c>
      <c r="K1799" t="inlineStr">
        <is>
          <t>Collection (optional)</t>
        </is>
      </c>
      <c r="L1799" t="n">
        <v>14</v>
      </c>
      <c r="M1799" t="n">
        <v>15</v>
      </c>
      <c r="N1799" t="n">
        <v>17</v>
      </c>
      <c r="O1799" t="inlineStr">
        <is>
          <t>2026-10-05 UTC (WFM pull 02:52-04:00)</t>
        </is>
      </c>
      <c r="P1799" t="inlineStr">
        <is>
          <t>OK</t>
        </is>
      </c>
      <c r="R1799" t="inlineStr">
        <is>
          <t>Arcanes share across items like mods (one max-rank copy covers every build).</t>
        </is>
      </c>
      <c r="S1799" t="inlineStr">
        <is>
          <t>melee_doughty</t>
        </is>
      </c>
      <c r="T1799" t="n">
        <v>24</v>
      </c>
      <c r="U1799" t="n">
        <v>24</v>
      </c>
      <c r="V1799" t="n">
        <v>15</v>
      </c>
      <c r="W1799" t="n">
        <v>15</v>
      </c>
      <c r="X1799" t="n">
        <v>14.5</v>
      </c>
      <c r="Y1799" t="n">
        <v>1355</v>
      </c>
      <c r="Z1799" t="n">
        <v>22</v>
      </c>
      <c r="AA1799" t="n">
        <v>5</v>
      </c>
      <c r="AB1799" t="n">
        <v>9</v>
      </c>
      <c r="AQ1799" t="n">
        <v>2</v>
      </c>
      <c r="AR1799" t="n">
        <v>42</v>
      </c>
      <c r="AS1799" t="inlineStr">
        <is>
          <t>Collection (optional)</t>
        </is>
      </c>
    </row>
    <row r="1800">
      <c r="A1800" t="inlineStr">
        <is>
          <t>Arcane</t>
        </is>
      </c>
      <c r="B1800" t="inlineStr">
        <is>
          <t>Melee Duplicate</t>
        </is>
      </c>
      <c r="E1800" t="inlineStr">
        <is>
          <t>Melee</t>
        </is>
      </c>
      <c r="F1800" t="n">
        <v>5</v>
      </c>
      <c r="G1800" t="n">
        <v>1</v>
      </c>
      <c r="H1800" t="inlineStr">
        <is>
          <t>Player trade (max rank)</t>
        </is>
      </c>
      <c r="I1800" t="inlineStr">
        <is>
          <t>Yes</t>
        </is>
      </c>
      <c r="K1800" t="inlineStr">
        <is>
          <t>Required (v4.2 weapon/exalted builds)</t>
        </is>
      </c>
      <c r="L1800" t="n">
        <v>170</v>
      </c>
      <c r="M1800" t="n">
        <v>180</v>
      </c>
      <c r="N1800" t="n">
        <v>221</v>
      </c>
      <c r="O1800" t="inlineStr">
        <is>
          <t>2026-10-05 UTC (WFM pull 02:52-04:00)</t>
        </is>
      </c>
      <c r="P1800" t="inlineStr">
        <is>
          <t>OK</t>
        </is>
      </c>
      <c r="Q1800" t="inlineStr">
        <is>
          <t>Cheaper via 21x R0 (147p realistic) than buying max rank</t>
        </is>
      </c>
      <c r="R1800" t="inlineStr">
        <is>
          <t>Arcanes share across items like mods (one max-rank copy covers every build).</t>
        </is>
      </c>
      <c r="S1800" t="inlineStr">
        <is>
          <t>melee_duplicate</t>
        </is>
      </c>
      <c r="T1800" t="n">
        <v>23</v>
      </c>
      <c r="U1800" t="n">
        <v>23</v>
      </c>
      <c r="V1800" t="n">
        <v>155</v>
      </c>
      <c r="W1800" t="n">
        <v>180</v>
      </c>
      <c r="X1800" t="n">
        <v>173.7</v>
      </c>
      <c r="Y1800" t="n">
        <v>3476</v>
      </c>
      <c r="Z1800" t="n">
        <v>88</v>
      </c>
      <c r="AA1800" t="n">
        <v>101</v>
      </c>
      <c r="AB1800" t="n">
        <v>69</v>
      </c>
      <c r="AQ1800" t="n">
        <v>7</v>
      </c>
      <c r="AR1800" t="n">
        <v>147</v>
      </c>
      <c r="AS1800" t="inlineStr">
        <is>
          <t>Yes</t>
        </is>
      </c>
    </row>
    <row r="1801">
      <c r="A1801" t="inlineStr">
        <is>
          <t>Arcane</t>
        </is>
      </c>
      <c r="B1801" t="inlineStr">
        <is>
          <t>Melee Exposure</t>
        </is>
      </c>
      <c r="E1801" t="inlineStr">
        <is>
          <t>Melee</t>
        </is>
      </c>
      <c r="F1801" t="n">
        <v>5</v>
      </c>
      <c r="G1801" t="n">
        <v>1</v>
      </c>
      <c r="H1801" t="inlineStr">
        <is>
          <t>Player trade (max rank)</t>
        </is>
      </c>
      <c r="I1801" t="inlineStr">
        <is>
          <t>Yes</t>
        </is>
      </c>
      <c r="K1801" t="inlineStr">
        <is>
          <t>Collection (optional)</t>
        </is>
      </c>
      <c r="L1801" t="n">
        <v>69</v>
      </c>
      <c r="M1801" t="n">
        <v>73</v>
      </c>
      <c r="N1801" t="n">
        <v>83</v>
      </c>
      <c r="O1801" t="inlineStr">
        <is>
          <t>2026-10-05 UTC (WFM pull 02:52-04:00)</t>
        </is>
      </c>
      <c r="P1801" t="inlineStr">
        <is>
          <t>OK</t>
        </is>
      </c>
      <c r="R1801" t="inlineStr">
        <is>
          <t>Arcanes share across items like mods (one max-rank copy covers every build).</t>
        </is>
      </c>
      <c r="S1801" t="inlineStr">
        <is>
          <t>melee_exposure</t>
        </is>
      </c>
      <c r="T1801" t="n">
        <v>28</v>
      </c>
      <c r="U1801" t="n">
        <v>28</v>
      </c>
      <c r="V1801" t="n">
        <v>75</v>
      </c>
      <c r="W1801" t="n">
        <v>75</v>
      </c>
      <c r="X1801" t="n">
        <v>73.2</v>
      </c>
      <c r="Y1801" t="n">
        <v>8763</v>
      </c>
      <c r="Z1801" t="n">
        <v>211</v>
      </c>
      <c r="AA1801" t="n">
        <v>57</v>
      </c>
      <c r="AB1801" t="n">
        <v>12</v>
      </c>
      <c r="AQ1801" t="n">
        <v>5</v>
      </c>
      <c r="AR1801" t="n">
        <v>105</v>
      </c>
      <c r="AS1801" t="inlineStr">
        <is>
          <t>Collection (optional)</t>
        </is>
      </c>
    </row>
    <row r="1802">
      <c r="A1802" t="inlineStr">
        <is>
          <t>Arcane</t>
        </is>
      </c>
      <c r="B1802" t="inlineStr">
        <is>
          <t>Melee Fortification</t>
        </is>
      </c>
      <c r="E1802" t="inlineStr">
        <is>
          <t>Melee</t>
        </is>
      </c>
      <c r="F1802" t="n">
        <v>5</v>
      </c>
      <c r="G1802" t="n">
        <v>1</v>
      </c>
      <c r="H1802" t="inlineStr">
        <is>
          <t>Player trade (max rank)</t>
        </is>
      </c>
      <c r="I1802" t="inlineStr">
        <is>
          <t>Yes</t>
        </is>
      </c>
      <c r="K1802" t="inlineStr">
        <is>
          <t>Collection (optional)</t>
        </is>
      </c>
      <c r="L1802" t="n">
        <v>14</v>
      </c>
      <c r="M1802" t="n">
        <v>15</v>
      </c>
      <c r="N1802" t="n">
        <v>17</v>
      </c>
      <c r="O1802" t="inlineStr">
        <is>
          <t>2026-10-05 UTC (WFM pull 02:52-04:00)</t>
        </is>
      </c>
      <c r="P1802" t="inlineStr">
        <is>
          <t>OK</t>
        </is>
      </c>
      <c r="R1802" t="inlineStr">
        <is>
          <t>Arcanes share across items like mods (one max-rank copy covers every build).</t>
        </is>
      </c>
      <c r="S1802" t="inlineStr">
        <is>
          <t>melee_fortification</t>
        </is>
      </c>
      <c r="T1802" t="n">
        <v>15</v>
      </c>
      <c r="U1802" t="n">
        <v>15</v>
      </c>
      <c r="V1802" t="n">
        <v>14.5</v>
      </c>
      <c r="W1802" t="n">
        <v>15</v>
      </c>
      <c r="X1802" t="n">
        <v>14.2</v>
      </c>
      <c r="Y1802" t="n">
        <v>456</v>
      </c>
      <c r="Z1802" t="n">
        <v>14</v>
      </c>
      <c r="AA1802" t="n">
        <v>5</v>
      </c>
      <c r="AB1802" t="n">
        <v>9</v>
      </c>
      <c r="AQ1802" t="n">
        <v>2</v>
      </c>
      <c r="AR1802" t="n">
        <v>42</v>
      </c>
      <c r="AS1802" t="inlineStr">
        <is>
          <t>Collection (optional)</t>
        </is>
      </c>
    </row>
    <row r="1803">
      <c r="A1803" t="inlineStr">
        <is>
          <t>Arcane</t>
        </is>
      </c>
      <c r="B1803" t="inlineStr">
        <is>
          <t>Melee Influence</t>
        </is>
      </c>
      <c r="E1803" t="inlineStr">
        <is>
          <t>Melee</t>
        </is>
      </c>
      <c r="F1803" t="n">
        <v>5</v>
      </c>
      <c r="G1803" t="n">
        <v>1</v>
      </c>
      <c r="H1803" t="inlineStr">
        <is>
          <t>Player trade (max rank)</t>
        </is>
      </c>
      <c r="I1803" t="inlineStr">
        <is>
          <t>Yes</t>
        </is>
      </c>
      <c r="K1803" t="inlineStr">
        <is>
          <t>Required (v4.2 weapon/exalted builds)</t>
        </is>
      </c>
      <c r="L1803" t="n">
        <v>59</v>
      </c>
      <c r="M1803" t="n">
        <v>65</v>
      </c>
      <c r="N1803" t="n">
        <v>72</v>
      </c>
      <c r="O1803" t="inlineStr">
        <is>
          <t>2026-10-05 UTC (WFM pull 02:52-04:00)</t>
        </is>
      </c>
      <c r="P1803" t="inlineStr">
        <is>
          <t>OK</t>
        </is>
      </c>
      <c r="R1803" t="inlineStr">
        <is>
          <t>Arcanes share across items like mods (one max-rank copy covers every build).</t>
        </is>
      </c>
      <c r="S1803" t="inlineStr">
        <is>
          <t>melee_influence</t>
        </is>
      </c>
      <c r="T1803" t="n">
        <v>45</v>
      </c>
      <c r="U1803" t="n">
        <v>45</v>
      </c>
      <c r="V1803" t="n">
        <v>63</v>
      </c>
      <c r="W1803" t="n">
        <v>65</v>
      </c>
      <c r="X1803" t="n">
        <v>66.2</v>
      </c>
      <c r="Y1803" t="n">
        <v>12312</v>
      </c>
      <c r="Z1803" t="n">
        <v>323</v>
      </c>
      <c r="AA1803" t="n">
        <v>50</v>
      </c>
      <c r="AB1803" t="n">
        <v>9</v>
      </c>
      <c r="AQ1803" t="n">
        <v>4</v>
      </c>
      <c r="AR1803" t="n">
        <v>84</v>
      </c>
      <c r="AS1803" t="inlineStr">
        <is>
          <t>Yes</t>
        </is>
      </c>
    </row>
    <row r="1804">
      <c r="A1804" t="inlineStr">
        <is>
          <t>Arcane</t>
        </is>
      </c>
      <c r="B1804" t="inlineStr">
        <is>
          <t>Melee Retaliation</t>
        </is>
      </c>
      <c r="E1804" t="inlineStr">
        <is>
          <t>Melee</t>
        </is>
      </c>
      <c r="F1804" t="n">
        <v>5</v>
      </c>
      <c r="G1804" t="n">
        <v>1</v>
      </c>
      <c r="H1804" t="inlineStr">
        <is>
          <t>Player trade (max rank)</t>
        </is>
      </c>
      <c r="I1804" t="inlineStr">
        <is>
          <t>Yes</t>
        </is>
      </c>
      <c r="K1804" t="inlineStr">
        <is>
          <t>Collection (optional)</t>
        </is>
      </c>
      <c r="L1804" t="n">
        <v>19</v>
      </c>
      <c r="M1804" t="n">
        <v>20</v>
      </c>
      <c r="N1804" t="n">
        <v>28</v>
      </c>
      <c r="O1804" t="inlineStr">
        <is>
          <t>2026-10-05 UTC (WFM pull 02:52-04:00)</t>
        </is>
      </c>
      <c r="P1804" t="inlineStr">
        <is>
          <t>OK</t>
        </is>
      </c>
      <c r="R1804" t="inlineStr">
        <is>
          <t>Arcanes share across items like mods (one max-rank copy covers every build).</t>
        </is>
      </c>
      <c r="S1804" t="inlineStr">
        <is>
          <t>melee_retaliation</t>
        </is>
      </c>
      <c r="T1804" t="n">
        <v>17</v>
      </c>
      <c r="U1804" t="n">
        <v>17</v>
      </c>
      <c r="V1804" t="n">
        <v>20</v>
      </c>
      <c r="W1804" t="n">
        <v>23</v>
      </c>
      <c r="X1804" t="n">
        <v>22.5</v>
      </c>
      <c r="Y1804" t="n">
        <v>1375</v>
      </c>
      <c r="Z1804" t="n">
        <v>26</v>
      </c>
      <c r="AA1804" t="n">
        <v>5</v>
      </c>
      <c r="AB1804" t="n">
        <v>14</v>
      </c>
      <c r="AQ1804" t="n">
        <v>2</v>
      </c>
      <c r="AR1804" t="n">
        <v>42</v>
      </c>
      <c r="AS1804" t="inlineStr">
        <is>
          <t>Collection (optional)</t>
        </is>
      </c>
    </row>
    <row r="1805">
      <c r="A1805" t="inlineStr">
        <is>
          <t>Arcane</t>
        </is>
      </c>
      <c r="B1805" t="inlineStr">
        <is>
          <t>Melee Vortex</t>
        </is>
      </c>
      <c r="E1805" t="inlineStr">
        <is>
          <t>Melee</t>
        </is>
      </c>
      <c r="F1805" t="n">
        <v>5</v>
      </c>
      <c r="G1805" t="n">
        <v>1</v>
      </c>
      <c r="H1805" t="inlineStr">
        <is>
          <t>Player trade (max rank)</t>
        </is>
      </c>
      <c r="I1805" t="inlineStr">
        <is>
          <t>Yes</t>
        </is>
      </c>
      <c r="K1805" t="inlineStr">
        <is>
          <t>Collection (optional)</t>
        </is>
      </c>
      <c r="L1805" t="n">
        <v>60</v>
      </c>
      <c r="M1805" t="n">
        <v>65</v>
      </c>
      <c r="N1805" t="n">
        <v>77</v>
      </c>
      <c r="O1805" t="inlineStr">
        <is>
          <t>2026-10-05 UTC (WFM pull 02:52-04:00)</t>
        </is>
      </c>
      <c r="P1805" t="inlineStr">
        <is>
          <t>OK</t>
        </is>
      </c>
      <c r="R1805" t="inlineStr">
        <is>
          <t>Arcanes share across items like mods (one max-rank copy covers every build).</t>
        </is>
      </c>
      <c r="S1805" t="inlineStr">
        <is>
          <t>melee_vortex</t>
        </is>
      </c>
      <c r="T1805" t="n">
        <v>16</v>
      </c>
      <c r="U1805" t="n">
        <v>16</v>
      </c>
      <c r="V1805" t="n">
        <v>60</v>
      </c>
      <c r="W1805" t="n">
        <v>60</v>
      </c>
      <c r="X1805" t="n">
        <v>58.4</v>
      </c>
      <c r="Y1805" t="n">
        <v>2006</v>
      </c>
      <c r="Z1805" t="n">
        <v>54</v>
      </c>
      <c r="AA1805" t="n">
        <v>50</v>
      </c>
      <c r="AB1805" t="n">
        <v>10</v>
      </c>
      <c r="AQ1805" t="n">
        <v>4</v>
      </c>
      <c r="AR1805" t="n">
        <v>84</v>
      </c>
      <c r="AS1805" t="inlineStr">
        <is>
          <t>Collection (optional)</t>
        </is>
      </c>
    </row>
    <row r="1806">
      <c r="A1806" t="inlineStr">
        <is>
          <t>Arcane</t>
        </is>
      </c>
      <c r="B1806" t="inlineStr">
        <is>
          <t>Molt Augmented</t>
        </is>
      </c>
      <c r="E1806" t="inlineStr">
        <is>
          <t>Warframe</t>
        </is>
      </c>
      <c r="F1806" t="n">
        <v>5</v>
      </c>
      <c r="G1806" t="n">
        <v>1</v>
      </c>
      <c r="H1806" t="inlineStr">
        <is>
          <t>Player trade (max rank)</t>
        </is>
      </c>
      <c r="I1806" t="inlineStr">
        <is>
          <t>Yes</t>
        </is>
      </c>
      <c r="K1806" t="inlineStr">
        <is>
          <t>Required (v4.2 frame builds)</t>
        </is>
      </c>
      <c r="L1806" t="n">
        <v>35</v>
      </c>
      <c r="M1806" t="n">
        <v>40</v>
      </c>
      <c r="N1806" t="n">
        <v>44</v>
      </c>
      <c r="O1806" t="inlineStr">
        <is>
          <t>2026-10-05 UTC (WFM pull 02:52-04:00)</t>
        </is>
      </c>
      <c r="P1806" t="inlineStr">
        <is>
          <t>OK</t>
        </is>
      </c>
      <c r="R1806" t="inlineStr">
        <is>
          <t>Arcanes share across items like mods (one max-rank copy covers every build).</t>
        </is>
      </c>
      <c r="S1806" t="inlineStr">
        <is>
          <t>molt_augmented</t>
        </is>
      </c>
      <c r="T1806" t="n">
        <v>67</v>
      </c>
      <c r="U1806" t="n">
        <v>67</v>
      </c>
      <c r="V1806" t="n">
        <v>40</v>
      </c>
      <c r="W1806" t="n">
        <v>49</v>
      </c>
      <c r="X1806" t="n">
        <v>45.2</v>
      </c>
      <c r="Y1806" t="n">
        <v>19940</v>
      </c>
      <c r="Z1806" t="n">
        <v>532</v>
      </c>
      <c r="AA1806" t="n">
        <v>21</v>
      </c>
      <c r="AB1806" t="n">
        <v>14</v>
      </c>
      <c r="AQ1806" t="n">
        <v>3</v>
      </c>
      <c r="AR1806" t="n">
        <v>63</v>
      </c>
      <c r="AS1806" t="inlineStr">
        <is>
          <t>Yes</t>
        </is>
      </c>
    </row>
    <row r="1807">
      <c r="A1807" t="inlineStr">
        <is>
          <t>Arcane</t>
        </is>
      </c>
      <c r="B1807" t="inlineStr">
        <is>
          <t>Molt Efficiency</t>
        </is>
      </c>
      <c r="E1807" t="inlineStr">
        <is>
          <t>Warframe</t>
        </is>
      </c>
      <c r="F1807" t="n">
        <v>5</v>
      </c>
      <c r="G1807" t="n">
        <v>1</v>
      </c>
      <c r="H1807" t="inlineStr">
        <is>
          <t>Player trade (max rank)</t>
        </is>
      </c>
      <c r="I1807" t="inlineStr">
        <is>
          <t>Yes</t>
        </is>
      </c>
      <c r="K1807" t="inlineStr">
        <is>
          <t>Collection (optional)</t>
        </is>
      </c>
      <c r="L1807" t="n">
        <v>28</v>
      </c>
      <c r="M1807" t="n">
        <v>30</v>
      </c>
      <c r="N1807" t="n">
        <v>33</v>
      </c>
      <c r="O1807" t="inlineStr">
        <is>
          <t>2026-10-05 UTC (WFM pull 02:52-04:00)</t>
        </is>
      </c>
      <c r="P1807" t="inlineStr">
        <is>
          <t>OK</t>
        </is>
      </c>
      <c r="R1807" t="inlineStr">
        <is>
          <t>Arcanes share across items like mods (one max-rank copy covers every build).</t>
        </is>
      </c>
      <c r="S1807" t="inlineStr">
        <is>
          <t>molt_efficiency</t>
        </is>
      </c>
      <c r="T1807" t="n">
        <v>26</v>
      </c>
      <c r="U1807" t="n">
        <v>26</v>
      </c>
      <c r="V1807" t="n">
        <v>30</v>
      </c>
      <c r="W1807" t="n">
        <v>30</v>
      </c>
      <c r="X1807" t="n">
        <v>30.2</v>
      </c>
      <c r="Y1807" t="n">
        <v>6315</v>
      </c>
      <c r="Z1807" t="n">
        <v>174</v>
      </c>
      <c r="AA1807" t="n">
        <v>10</v>
      </c>
      <c r="AB1807" t="n">
        <v>18</v>
      </c>
      <c r="AQ1807" t="n">
        <v>3</v>
      </c>
      <c r="AR1807" t="n">
        <v>63</v>
      </c>
      <c r="AS1807" t="inlineStr">
        <is>
          <t>Collection (optional)</t>
        </is>
      </c>
    </row>
    <row r="1808">
      <c r="A1808" t="inlineStr">
        <is>
          <t>Arcane</t>
        </is>
      </c>
      <c r="B1808" t="inlineStr">
        <is>
          <t>Molt Reconstruct</t>
        </is>
      </c>
      <c r="E1808" t="inlineStr">
        <is>
          <t>Warframe</t>
        </is>
      </c>
      <c r="F1808" t="n">
        <v>5</v>
      </c>
      <c r="G1808" t="n">
        <v>1</v>
      </c>
      <c r="H1808" t="inlineStr">
        <is>
          <t>Player trade (max rank)</t>
        </is>
      </c>
      <c r="I1808" t="inlineStr">
        <is>
          <t>Yes</t>
        </is>
      </c>
      <c r="K1808" t="inlineStr">
        <is>
          <t>Collection (optional)</t>
        </is>
      </c>
      <c r="L1808" t="n">
        <v>15</v>
      </c>
      <c r="M1808" t="n">
        <v>20</v>
      </c>
      <c r="N1808" t="n">
        <v>22</v>
      </c>
      <c r="O1808" t="inlineStr">
        <is>
          <t>2026-10-05 UTC (WFM pull 02:52-04:00)</t>
        </is>
      </c>
      <c r="P1808" t="inlineStr">
        <is>
          <t>OK</t>
        </is>
      </c>
      <c r="R1808" t="inlineStr">
        <is>
          <t>Arcanes share across items like mods (one max-rank copy covers every build).</t>
        </is>
      </c>
      <c r="S1808" t="inlineStr">
        <is>
          <t>molt_reconstruct</t>
        </is>
      </c>
      <c r="T1808" t="n">
        <v>27</v>
      </c>
      <c r="U1808" t="n">
        <v>27</v>
      </c>
      <c r="V1808" t="n">
        <v>20</v>
      </c>
      <c r="W1808" t="n">
        <v>20</v>
      </c>
      <c r="X1808" t="n">
        <v>21.5</v>
      </c>
      <c r="Y1808" t="n">
        <v>2756</v>
      </c>
      <c r="Z1808" t="n">
        <v>39</v>
      </c>
      <c r="AQ1808" t="n">
        <v>2</v>
      </c>
      <c r="AR1808" t="n">
        <v>42</v>
      </c>
      <c r="AS1808" t="inlineStr">
        <is>
          <t>Collection (optional)</t>
        </is>
      </c>
    </row>
    <row r="1809">
      <c r="A1809" t="inlineStr">
        <is>
          <t>Arcane</t>
        </is>
      </c>
      <c r="B1809" t="inlineStr">
        <is>
          <t>Molt Vigor</t>
        </is>
      </c>
      <c r="E1809" t="inlineStr">
        <is>
          <t>Warframe</t>
        </is>
      </c>
      <c r="F1809" t="n">
        <v>5</v>
      </c>
      <c r="G1809" t="n">
        <v>1</v>
      </c>
      <c r="H1809" t="inlineStr">
        <is>
          <t>Player trade (max rank)</t>
        </is>
      </c>
      <c r="I1809" t="inlineStr">
        <is>
          <t>Yes</t>
        </is>
      </c>
      <c r="K1809" t="inlineStr">
        <is>
          <t>Collection (optional)</t>
        </is>
      </c>
      <c r="L1809" t="n">
        <v>19</v>
      </c>
      <c r="M1809" t="n">
        <v>23</v>
      </c>
      <c r="N1809" t="n">
        <v>28</v>
      </c>
      <c r="O1809" t="inlineStr">
        <is>
          <t>2026-10-05 UTC (WFM pull 02:52-04:00)</t>
        </is>
      </c>
      <c r="P1809" t="inlineStr">
        <is>
          <t>OK</t>
        </is>
      </c>
      <c r="R1809" t="inlineStr">
        <is>
          <t>Arcanes share across items like mods (one max-rank copy covers every build).</t>
        </is>
      </c>
      <c r="S1809" t="inlineStr">
        <is>
          <t>molt_vigor</t>
        </is>
      </c>
      <c r="T1809" t="n">
        <v>24</v>
      </c>
      <c r="U1809" t="n">
        <v>24</v>
      </c>
      <c r="V1809" t="n">
        <v>23</v>
      </c>
      <c r="W1809" t="n">
        <v>24</v>
      </c>
      <c r="X1809" t="n">
        <v>23.1</v>
      </c>
      <c r="Y1809" t="n">
        <v>3810</v>
      </c>
      <c r="Z1809" t="n">
        <v>72</v>
      </c>
      <c r="AA1809" t="n">
        <v>18</v>
      </c>
      <c r="AB1809" t="n">
        <v>1</v>
      </c>
      <c r="AQ1809" t="n">
        <v>2</v>
      </c>
      <c r="AR1809" t="n">
        <v>42</v>
      </c>
      <c r="AS1809" t="inlineStr">
        <is>
          <t>Collection (optional)</t>
        </is>
      </c>
    </row>
    <row r="1810">
      <c r="A1810" t="inlineStr">
        <is>
          <t>Arcane</t>
        </is>
      </c>
      <c r="B1810" t="inlineStr">
        <is>
          <t>Pax Bolt</t>
        </is>
      </c>
      <c r="E1810" t="inlineStr">
        <is>
          <t>Kitgun</t>
        </is>
      </c>
      <c r="F1810" t="n">
        <v>3</v>
      </c>
      <c r="G1810" t="n">
        <v>1</v>
      </c>
      <c r="H1810" t="inlineStr">
        <is>
          <t>Player trade (max rank)</t>
        </is>
      </c>
      <c r="I1810" t="inlineStr">
        <is>
          <t>Yes</t>
        </is>
      </c>
      <c r="K1810" t="inlineStr">
        <is>
          <t>Collection (optional)</t>
        </is>
      </c>
      <c r="L1810" t="n">
        <v>35</v>
      </c>
      <c r="M1810" t="n">
        <v>50</v>
      </c>
      <c r="N1810" t="n">
        <v>83</v>
      </c>
      <c r="O1810" t="inlineStr">
        <is>
          <t>2026-10-05 UTC (WFM pull 02:52-04:00)</t>
        </is>
      </c>
      <c r="P1810" t="inlineStr">
        <is>
          <t>OK</t>
        </is>
      </c>
      <c r="Q1810" t="inlineStr">
        <is>
          <t>Cheaper via 10x R0 (40p realistic) than buying max rank</t>
        </is>
      </c>
      <c r="R1810" t="inlineStr">
        <is>
          <t>Arcanes share across items like mods (one max-rank copy covers every build).</t>
        </is>
      </c>
      <c r="S1810" t="inlineStr">
        <is>
          <t>pax_bolt</t>
        </is>
      </c>
      <c r="T1810" t="n">
        <v>7</v>
      </c>
      <c r="U1810" t="n">
        <v>7</v>
      </c>
      <c r="V1810" t="n">
        <v>35</v>
      </c>
      <c r="W1810" t="n">
        <v>37.5</v>
      </c>
      <c r="X1810" t="n">
        <v>36.8</v>
      </c>
      <c r="Y1810" t="n">
        <v>133</v>
      </c>
      <c r="Z1810" t="n">
        <v>6</v>
      </c>
      <c r="AA1810" t="n">
        <v>20</v>
      </c>
      <c r="AB1810" t="n">
        <v>15</v>
      </c>
      <c r="AQ1810" t="n">
        <v>4</v>
      </c>
      <c r="AR1810" t="n">
        <v>40</v>
      </c>
      <c r="AS1810" t="inlineStr">
        <is>
          <t>Collection (optional)</t>
        </is>
      </c>
    </row>
    <row r="1811">
      <c r="A1811" t="inlineStr">
        <is>
          <t>Arcane</t>
        </is>
      </c>
      <c r="B1811" t="inlineStr">
        <is>
          <t>Pax Charge</t>
        </is>
      </c>
      <c r="E1811" t="inlineStr">
        <is>
          <t>Kitgun</t>
        </is>
      </c>
      <c r="F1811" t="n">
        <v>3</v>
      </c>
      <c r="G1811" t="n">
        <v>1</v>
      </c>
      <c r="H1811" t="inlineStr">
        <is>
          <t>Player trade (max rank)</t>
        </is>
      </c>
      <c r="I1811" t="inlineStr">
        <is>
          <t>Yes</t>
        </is>
      </c>
      <c r="K1811" t="inlineStr">
        <is>
          <t>Collection (optional)</t>
        </is>
      </c>
      <c r="L1811" t="n">
        <v>49</v>
      </c>
      <c r="M1811" t="n">
        <v>50</v>
      </c>
      <c r="N1811" t="n">
        <v>66</v>
      </c>
      <c r="O1811" t="inlineStr">
        <is>
          <t>2026-10-05 UTC (WFM pull 02:52-04:00)</t>
        </is>
      </c>
      <c r="P1811" t="inlineStr">
        <is>
          <t>OK</t>
        </is>
      </c>
      <c r="R1811" t="inlineStr">
        <is>
          <t>Arcanes share across items like mods (one max-rank copy covers every build).</t>
        </is>
      </c>
      <c r="S1811" t="inlineStr">
        <is>
          <t>pax_charge</t>
        </is>
      </c>
      <c r="T1811" t="n">
        <v>8</v>
      </c>
      <c r="U1811" t="n">
        <v>8</v>
      </c>
      <c r="V1811" t="n">
        <v>40</v>
      </c>
      <c r="W1811" t="n">
        <v>44</v>
      </c>
      <c r="X1811" t="n">
        <v>43.6</v>
      </c>
      <c r="Y1811" t="n">
        <v>1527</v>
      </c>
      <c r="Z1811" t="n">
        <v>43</v>
      </c>
      <c r="AA1811" t="n">
        <v>30</v>
      </c>
      <c r="AB1811" t="n">
        <v>19</v>
      </c>
      <c r="AQ1811" t="n">
        <v>5</v>
      </c>
      <c r="AR1811" t="n">
        <v>50</v>
      </c>
      <c r="AS1811" t="inlineStr">
        <is>
          <t>Collection (optional)</t>
        </is>
      </c>
    </row>
    <row r="1812">
      <c r="A1812" t="inlineStr">
        <is>
          <t>Arcane</t>
        </is>
      </c>
      <c r="B1812" t="inlineStr">
        <is>
          <t>Pax Seeker</t>
        </is>
      </c>
      <c r="E1812" t="inlineStr">
        <is>
          <t>Kitgun</t>
        </is>
      </c>
      <c r="F1812" t="n">
        <v>3</v>
      </c>
      <c r="G1812" t="n">
        <v>1</v>
      </c>
      <c r="H1812" t="inlineStr">
        <is>
          <t>Player trade (max rank)</t>
        </is>
      </c>
      <c r="I1812" t="inlineStr">
        <is>
          <t>Yes</t>
        </is>
      </c>
      <c r="K1812" t="inlineStr">
        <is>
          <t>Collection (optional)</t>
        </is>
      </c>
      <c r="L1812" t="n">
        <v>49</v>
      </c>
      <c r="M1812" t="n">
        <v>69</v>
      </c>
      <c r="N1812" t="n">
        <v>152</v>
      </c>
      <c r="O1812" t="inlineStr">
        <is>
          <t>2026-10-05 UTC (WFM pull 02:52-04:00)</t>
        </is>
      </c>
      <c r="P1812" t="inlineStr">
        <is>
          <t>OK</t>
        </is>
      </c>
      <c r="Q1812" t="inlineStr">
        <is>
          <t>Cheaper via 10x R0 (30p realistic) than buying max rank</t>
        </is>
      </c>
      <c r="R1812" t="inlineStr">
        <is>
          <t>Arcanes share across items like mods (one max-rank copy covers every build).</t>
        </is>
      </c>
      <c r="S1812" t="inlineStr">
        <is>
          <t>pax_seeker</t>
        </is>
      </c>
      <c r="T1812" t="n">
        <v>5</v>
      </c>
      <c r="U1812" t="n">
        <v>5</v>
      </c>
      <c r="V1812" t="n">
        <v>50</v>
      </c>
      <c r="W1812" t="n">
        <v>50</v>
      </c>
      <c r="X1812" t="n">
        <v>52.8</v>
      </c>
      <c r="Y1812" t="n">
        <v>464</v>
      </c>
      <c r="Z1812" t="n">
        <v>13</v>
      </c>
      <c r="AA1812" t="n">
        <v>15</v>
      </c>
      <c r="AB1812" t="n">
        <v>34</v>
      </c>
      <c r="AQ1812" t="n">
        <v>3</v>
      </c>
      <c r="AR1812" t="n">
        <v>30</v>
      </c>
      <c r="AS1812" t="inlineStr">
        <is>
          <t>Collection (optional)</t>
        </is>
      </c>
    </row>
    <row r="1813">
      <c r="A1813" t="inlineStr">
        <is>
          <t>Arcane</t>
        </is>
      </c>
      <c r="B1813" t="inlineStr">
        <is>
          <t>Pax Soar</t>
        </is>
      </c>
      <c r="E1813" t="inlineStr">
        <is>
          <t>Kitgun</t>
        </is>
      </c>
      <c r="F1813" t="n">
        <v>3</v>
      </c>
      <c r="G1813" t="n">
        <v>1</v>
      </c>
      <c r="H1813" t="inlineStr">
        <is>
          <t>Player trade (max rank)</t>
        </is>
      </c>
      <c r="I1813" t="inlineStr">
        <is>
          <t>Yes</t>
        </is>
      </c>
      <c r="K1813" t="inlineStr">
        <is>
          <t>Collection (optional)</t>
        </is>
      </c>
      <c r="L1813" t="n">
        <v>25</v>
      </c>
      <c r="M1813" t="n">
        <v>40</v>
      </c>
      <c r="N1813" t="n">
        <v>88</v>
      </c>
      <c r="O1813" t="inlineStr">
        <is>
          <t>2026-10-05 UTC (WFM pull 02:52-04:00)</t>
        </is>
      </c>
      <c r="P1813" t="inlineStr">
        <is>
          <t>OK</t>
        </is>
      </c>
      <c r="R1813" t="inlineStr">
        <is>
          <t>Arcanes share across items like mods (one max-rank copy covers every build).</t>
        </is>
      </c>
      <c r="S1813" t="inlineStr">
        <is>
          <t>pax_soar</t>
        </is>
      </c>
      <c r="T1813" t="n">
        <v>6</v>
      </c>
      <c r="U1813" t="n">
        <v>6</v>
      </c>
      <c r="V1813" t="n">
        <v>30</v>
      </c>
      <c r="W1813" t="n">
        <v>30</v>
      </c>
      <c r="X1813" t="n">
        <v>33.4</v>
      </c>
      <c r="Y1813" t="n">
        <v>47</v>
      </c>
      <c r="Z1813" t="n">
        <v>6</v>
      </c>
      <c r="AA1813" t="n">
        <v>15</v>
      </c>
      <c r="AB1813" t="n">
        <v>10</v>
      </c>
      <c r="AQ1813" t="n">
        <v>4</v>
      </c>
      <c r="AR1813" t="n">
        <v>40</v>
      </c>
      <c r="AS1813" t="inlineStr">
        <is>
          <t>Collection (optional)</t>
        </is>
      </c>
    </row>
    <row r="1814">
      <c r="A1814" t="inlineStr">
        <is>
          <t>Arcane</t>
        </is>
      </c>
      <c r="B1814" t="inlineStr">
        <is>
          <t>Peculiar Audience</t>
        </is>
      </c>
      <c r="E1814" t="inlineStr">
        <is>
          <t>mod,peculiar,warframe</t>
        </is>
      </c>
      <c r="F1814" t="n">
        <v>5</v>
      </c>
      <c r="G1814" t="n">
        <v>1</v>
      </c>
      <c r="H1814" t="inlineStr">
        <is>
          <t>Player trade (max rank)</t>
        </is>
      </c>
      <c r="I1814" t="inlineStr">
        <is>
          <t>Yes</t>
        </is>
      </c>
      <c r="K1814" t="inlineStr">
        <is>
          <t>Collection (optional)</t>
        </is>
      </c>
      <c r="L1814" t="n">
        <v>44</v>
      </c>
      <c r="M1814" t="n">
        <v>44</v>
      </c>
      <c r="N1814" t="n">
        <v>56</v>
      </c>
      <c r="O1814" t="inlineStr">
        <is>
          <t>2026-10-05 UTC (WFM pull 02:52-04:00)</t>
        </is>
      </c>
      <c r="P1814" t="inlineStr">
        <is>
          <t>OK</t>
        </is>
      </c>
      <c r="R1814" t="inlineStr">
        <is>
          <t>Arcanes share across items like mods (one max-rank copy covers every build).</t>
        </is>
      </c>
      <c r="S1814" t="inlineStr">
        <is>
          <t>peculiar_audience</t>
        </is>
      </c>
      <c r="T1814" t="n">
        <v>3</v>
      </c>
      <c r="U1814" t="n">
        <v>3</v>
      </c>
      <c r="V1814" t="n">
        <v>18</v>
      </c>
      <c r="W1814" t="n">
        <v>20</v>
      </c>
      <c r="X1814" t="n">
        <v>22.6</v>
      </c>
      <c r="Y1814" t="n">
        <v>98</v>
      </c>
      <c r="Z1814" t="n">
        <v>6</v>
      </c>
      <c r="AQ1814" t="n">
        <v>10</v>
      </c>
      <c r="AR1814" t="n">
        <v>210</v>
      </c>
      <c r="AS1814" t="inlineStr">
        <is>
          <t>Collection (optional)</t>
        </is>
      </c>
    </row>
    <row r="1815">
      <c r="A1815" t="inlineStr">
        <is>
          <t>Arcane</t>
        </is>
      </c>
      <c r="B1815" t="inlineStr">
        <is>
          <t>Peculiar Bloom</t>
        </is>
      </c>
      <c r="E1815" t="inlineStr">
        <is>
          <t>mod,peculiar,warframe</t>
        </is>
      </c>
      <c r="F1815" t="n">
        <v>5</v>
      </c>
      <c r="G1815" t="n">
        <v>1</v>
      </c>
      <c r="H1815" t="inlineStr">
        <is>
          <t>Player trade (max rank)</t>
        </is>
      </c>
      <c r="I1815" t="inlineStr">
        <is>
          <t>Yes</t>
        </is>
      </c>
      <c r="K1815" t="inlineStr">
        <is>
          <t>Collection (optional)</t>
        </is>
      </c>
      <c r="L1815" t="n">
        <v>30</v>
      </c>
      <c r="M1815" t="n">
        <v>39</v>
      </c>
      <c r="N1815" t="n">
        <v>86</v>
      </c>
      <c r="O1815" t="inlineStr">
        <is>
          <t>2026-10-05 UTC (WFM pull 02:52-04:00)</t>
        </is>
      </c>
      <c r="P1815" t="inlineStr">
        <is>
          <t>OK</t>
        </is>
      </c>
      <c r="R1815" t="inlineStr">
        <is>
          <t>Arcanes share across items like mods (one max-rank copy covers every build).</t>
        </is>
      </c>
      <c r="S1815" t="inlineStr">
        <is>
          <t>peculiar_bloom</t>
        </is>
      </c>
      <c r="T1815" t="n">
        <v>4</v>
      </c>
      <c r="U1815" t="n">
        <v>4</v>
      </c>
      <c r="V1815" t="n">
        <v>26</v>
      </c>
      <c r="W1815" t="n">
        <v>30</v>
      </c>
      <c r="X1815" t="n">
        <v>32.7</v>
      </c>
      <c r="Y1815" t="n">
        <v>46</v>
      </c>
      <c r="Z1815" t="n">
        <v>1</v>
      </c>
      <c r="AQ1815" t="n">
        <v>20</v>
      </c>
      <c r="AR1815" t="n">
        <v>420</v>
      </c>
      <c r="AS1815" t="inlineStr">
        <is>
          <t>Collection (optional)</t>
        </is>
      </c>
    </row>
    <row r="1816">
      <c r="A1816" t="inlineStr">
        <is>
          <t>Arcane</t>
        </is>
      </c>
      <c r="B1816" t="inlineStr">
        <is>
          <t>Peculiar End</t>
        </is>
      </c>
      <c r="E1816" t="inlineStr">
        <is>
          <t>mod,peculiar,warframe</t>
        </is>
      </c>
      <c r="F1816" t="n">
        <v>5</v>
      </c>
      <c r="G1816" t="n">
        <v>1</v>
      </c>
      <c r="H1816" t="inlineStr">
        <is>
          <t>Player trade (max rank)</t>
        </is>
      </c>
      <c r="I1816" t="inlineStr">
        <is>
          <t>Yes</t>
        </is>
      </c>
      <c r="K1816" t="inlineStr">
        <is>
          <t>Collection (optional)</t>
        </is>
      </c>
      <c r="L1816" t="n">
        <v>40</v>
      </c>
      <c r="M1816" t="n">
        <v>45</v>
      </c>
      <c r="N1816" t="n">
        <v>56</v>
      </c>
      <c r="O1816" t="inlineStr">
        <is>
          <t>2026-10-05 UTC (WFM pull 02:52-04:00)</t>
        </is>
      </c>
      <c r="P1816" t="inlineStr">
        <is>
          <t>OK</t>
        </is>
      </c>
      <c r="R1816" t="inlineStr">
        <is>
          <t>Arcanes share across items like mods (one max-rank copy covers every build).</t>
        </is>
      </c>
      <c r="S1816" t="inlineStr">
        <is>
          <t>peculiar_end</t>
        </is>
      </c>
      <c r="T1816" t="n">
        <v>27</v>
      </c>
      <c r="U1816" t="n">
        <v>2</v>
      </c>
      <c r="V1816" t="n">
        <v>42.5</v>
      </c>
      <c r="W1816" t="n">
        <v>47.5</v>
      </c>
      <c r="X1816" t="n">
        <v>48</v>
      </c>
      <c r="Y1816" t="n">
        <v>47</v>
      </c>
      <c r="Z1816" t="n">
        <v>2</v>
      </c>
      <c r="AQ1816" t="n">
        <v>45</v>
      </c>
      <c r="AR1816" t="n">
        <v>945</v>
      </c>
      <c r="AS1816" t="inlineStr">
        <is>
          <t>Collection (optional)</t>
        </is>
      </c>
    </row>
    <row r="1817">
      <c r="A1817" t="inlineStr">
        <is>
          <t>Arcane</t>
        </is>
      </c>
      <c r="B1817" t="inlineStr">
        <is>
          <t>Peculiar Growth</t>
        </is>
      </c>
      <c r="E1817" t="inlineStr">
        <is>
          <t>mod,peculiar,warframe</t>
        </is>
      </c>
      <c r="F1817" t="n">
        <v>5</v>
      </c>
      <c r="G1817" t="n">
        <v>1</v>
      </c>
      <c r="H1817" t="inlineStr">
        <is>
          <t>Player trade (max rank)</t>
        </is>
      </c>
      <c r="I1817" t="inlineStr">
        <is>
          <t>Yes</t>
        </is>
      </c>
      <c r="K1817" t="inlineStr">
        <is>
          <t>Collection (optional)</t>
        </is>
      </c>
      <c r="L1817" t="n">
        <v>20</v>
      </c>
      <c r="M1817" t="n">
        <v>25</v>
      </c>
      <c r="N1817" t="n">
        <v>33</v>
      </c>
      <c r="O1817" t="inlineStr">
        <is>
          <t>2026-10-05 UTC (WFM pull 02:52-04:00)</t>
        </is>
      </c>
      <c r="P1817" t="inlineStr">
        <is>
          <t>OK</t>
        </is>
      </c>
      <c r="R1817" t="inlineStr">
        <is>
          <t>Arcanes share across items like mods (one max-rank copy covers every build).</t>
        </is>
      </c>
      <c r="S1817" t="inlineStr">
        <is>
          <t>peculiar_growth</t>
        </is>
      </c>
      <c r="T1817" t="n">
        <v>44</v>
      </c>
      <c r="U1817" t="n">
        <v>1</v>
      </c>
      <c r="V1817" t="n">
        <v>25</v>
      </c>
      <c r="W1817" t="n">
        <v>20</v>
      </c>
      <c r="X1817" t="n">
        <v>22.4</v>
      </c>
      <c r="Y1817" t="n">
        <v>52</v>
      </c>
      <c r="Z1817" t="n">
        <v>0</v>
      </c>
      <c r="AQ1817" t="n">
        <v>30</v>
      </c>
      <c r="AR1817" t="n">
        <v>630</v>
      </c>
      <c r="AS1817" t="inlineStr">
        <is>
          <t>Collection (optional)</t>
        </is>
      </c>
    </row>
    <row r="1818">
      <c r="A1818" t="inlineStr">
        <is>
          <t>Arcane</t>
        </is>
      </c>
      <c r="B1818" t="inlineStr">
        <is>
          <t>Primary Blight</t>
        </is>
      </c>
      <c r="E1818" t="inlineStr">
        <is>
          <t>Primary</t>
        </is>
      </c>
      <c r="F1818" t="n">
        <v>5</v>
      </c>
      <c r="G1818" t="n">
        <v>1</v>
      </c>
      <c r="H1818" t="inlineStr">
        <is>
          <t>Player trade (max rank)</t>
        </is>
      </c>
      <c r="I1818" t="inlineStr">
        <is>
          <t>Yes</t>
        </is>
      </c>
      <c r="K1818" t="inlineStr">
        <is>
          <t>Collection (optional)</t>
        </is>
      </c>
      <c r="L1818" t="n">
        <v>59</v>
      </c>
      <c r="M1818" t="n">
        <v>60</v>
      </c>
      <c r="N1818" t="n">
        <v>77</v>
      </c>
      <c r="O1818" t="inlineStr">
        <is>
          <t>2026-10-05 UTC (WFM pull 02:52-04:00)</t>
        </is>
      </c>
      <c r="P1818" t="inlineStr">
        <is>
          <t>OK</t>
        </is>
      </c>
      <c r="R1818" t="inlineStr">
        <is>
          <t>Arcanes share across items like mods (one max-rank copy covers every build).</t>
        </is>
      </c>
      <c r="S1818" t="inlineStr">
        <is>
          <t>primary_blight</t>
        </is>
      </c>
      <c r="T1818" t="n">
        <v>12</v>
      </c>
      <c r="U1818" t="n">
        <v>12</v>
      </c>
      <c r="V1818" t="n">
        <v>50</v>
      </c>
      <c r="W1818" t="n">
        <v>53</v>
      </c>
      <c r="X1818" t="n">
        <v>52.6</v>
      </c>
      <c r="Y1818" t="n">
        <v>6044</v>
      </c>
      <c r="Z1818" t="n">
        <v>129</v>
      </c>
      <c r="AA1818" t="n">
        <v>45</v>
      </c>
      <c r="AB1818" t="n">
        <v>14</v>
      </c>
      <c r="AQ1818" t="n">
        <v>5</v>
      </c>
      <c r="AR1818" t="n">
        <v>105</v>
      </c>
      <c r="AS1818" t="inlineStr">
        <is>
          <t>Collection (optional)</t>
        </is>
      </c>
    </row>
    <row r="1819">
      <c r="A1819" t="inlineStr">
        <is>
          <t>Arcane</t>
        </is>
      </c>
      <c r="B1819" t="inlineStr">
        <is>
          <t>Primary Bulwark</t>
        </is>
      </c>
      <c r="E1819" t="inlineStr">
        <is>
          <t>Primary</t>
        </is>
      </c>
      <c r="F1819" t="n">
        <v>5</v>
      </c>
      <c r="G1819" t="n">
        <v>1</v>
      </c>
      <c r="H1819" t="inlineStr">
        <is>
          <t>Player trade (max rank)</t>
        </is>
      </c>
      <c r="I1819" t="inlineStr">
        <is>
          <t>Yes</t>
        </is>
      </c>
      <c r="K1819" t="inlineStr">
        <is>
          <t>Collection (optional)</t>
        </is>
      </c>
      <c r="L1819" t="n">
        <v>39</v>
      </c>
      <c r="M1819" t="n">
        <v>40</v>
      </c>
      <c r="N1819" t="n">
        <v>44</v>
      </c>
      <c r="O1819" t="inlineStr">
        <is>
          <t>2026-10-05 UTC (WFM pull 02:52-04:00)</t>
        </is>
      </c>
      <c r="P1819" t="inlineStr">
        <is>
          <t>OK</t>
        </is>
      </c>
      <c r="R1819" t="inlineStr">
        <is>
          <t>Arcanes share across items like mods (one max-rank copy covers every build).</t>
        </is>
      </c>
      <c r="S1819" t="inlineStr">
        <is>
          <t>primary_bulwark</t>
        </is>
      </c>
      <c r="T1819" t="n">
        <v>17</v>
      </c>
      <c r="U1819" t="n">
        <v>17</v>
      </c>
      <c r="V1819" t="n">
        <v>35</v>
      </c>
      <c r="W1819" t="n">
        <v>30</v>
      </c>
      <c r="X1819" t="n">
        <v>32.2</v>
      </c>
      <c r="Y1819" t="n">
        <v>3334</v>
      </c>
      <c r="Z1819" t="n">
        <v>75</v>
      </c>
      <c r="AA1819" t="n">
        <v>20</v>
      </c>
      <c r="AB1819" t="n">
        <v>19</v>
      </c>
      <c r="AQ1819" t="n">
        <v>3</v>
      </c>
      <c r="AR1819" t="n">
        <v>63</v>
      </c>
      <c r="AS1819" t="inlineStr">
        <is>
          <t>Collection (optional)</t>
        </is>
      </c>
    </row>
    <row r="1820">
      <c r="A1820" t="inlineStr">
        <is>
          <t>Arcane</t>
        </is>
      </c>
      <c r="B1820" t="inlineStr">
        <is>
          <t>Primary Compression</t>
        </is>
      </c>
      <c r="E1820" t="inlineStr">
        <is>
          <t>Primary</t>
        </is>
      </c>
      <c r="F1820" t="n">
        <v>5</v>
      </c>
      <c r="G1820" t="n">
        <v>1</v>
      </c>
      <c r="H1820" t="inlineStr">
        <is>
          <t>Player trade (max rank)</t>
        </is>
      </c>
      <c r="I1820" t="inlineStr">
        <is>
          <t>Yes</t>
        </is>
      </c>
      <c r="K1820" t="inlineStr">
        <is>
          <t>Collection (optional)</t>
        </is>
      </c>
      <c r="L1820" t="n">
        <v>180</v>
      </c>
      <c r="M1820" t="n">
        <v>190</v>
      </c>
      <c r="N1820" t="n">
        <v>237</v>
      </c>
      <c r="O1820" t="inlineStr">
        <is>
          <t>2026-10-05 UTC (WFM pull 02:52-04:00)</t>
        </is>
      </c>
      <c r="P1820" t="inlineStr">
        <is>
          <t>OK</t>
        </is>
      </c>
      <c r="R1820" t="inlineStr">
        <is>
          <t>Arcanes share across items like mods (one max-rank copy covers every build).</t>
        </is>
      </c>
      <c r="S1820" t="inlineStr">
        <is>
          <t>primary_compression</t>
        </is>
      </c>
      <c r="T1820" t="n">
        <v>17</v>
      </c>
      <c r="U1820" t="n">
        <v>17</v>
      </c>
      <c r="V1820" t="n">
        <v>215</v>
      </c>
      <c r="W1820" t="n">
        <v>170</v>
      </c>
      <c r="X1820" t="n">
        <v>179.9</v>
      </c>
      <c r="Y1820" t="n">
        <v>8089</v>
      </c>
      <c r="Z1820" t="n">
        <v>177</v>
      </c>
      <c r="AA1820" t="n">
        <v>170</v>
      </c>
      <c r="AB1820" t="n">
        <v>10</v>
      </c>
      <c r="AQ1820" t="n">
        <v>10</v>
      </c>
      <c r="AR1820" t="n">
        <v>210</v>
      </c>
      <c r="AS1820" t="inlineStr">
        <is>
          <t>Collection (optional)</t>
        </is>
      </c>
    </row>
    <row r="1821">
      <c r="A1821" t="inlineStr">
        <is>
          <t>Arcane</t>
        </is>
      </c>
      <c r="B1821" t="inlineStr">
        <is>
          <t>Primary Crux</t>
        </is>
      </c>
      <c r="E1821" t="inlineStr">
        <is>
          <t>Primary</t>
        </is>
      </c>
      <c r="F1821" t="n">
        <v>5</v>
      </c>
      <c r="G1821" t="n">
        <v>1</v>
      </c>
      <c r="H1821" t="inlineStr">
        <is>
          <t>Player trade (max rank)</t>
        </is>
      </c>
      <c r="I1821" t="inlineStr">
        <is>
          <t>Yes</t>
        </is>
      </c>
      <c r="K1821" t="inlineStr">
        <is>
          <t>Collection (optional)</t>
        </is>
      </c>
      <c r="L1821" t="n">
        <v>25</v>
      </c>
      <c r="M1821" t="n">
        <v>29</v>
      </c>
      <c r="N1821" t="n">
        <v>33</v>
      </c>
      <c r="O1821" t="inlineStr">
        <is>
          <t>2026-10-05 UTC (WFM pull 02:52-04:00)</t>
        </is>
      </c>
      <c r="P1821" t="inlineStr">
        <is>
          <t>OK</t>
        </is>
      </c>
      <c r="R1821" t="inlineStr">
        <is>
          <t>Arcanes share across items like mods (one max-rank copy covers every build).</t>
        </is>
      </c>
      <c r="S1821" t="inlineStr">
        <is>
          <t>primary_crux</t>
        </is>
      </c>
      <c r="T1821" t="n">
        <v>28</v>
      </c>
      <c r="U1821" t="n">
        <v>28</v>
      </c>
      <c r="V1821" t="n">
        <v>25</v>
      </c>
      <c r="W1821" t="n">
        <v>25</v>
      </c>
      <c r="X1821" t="n">
        <v>25.8</v>
      </c>
      <c r="Y1821" t="n">
        <v>6246</v>
      </c>
      <c r="Z1821" t="n">
        <v>70</v>
      </c>
      <c r="AA1821" t="n">
        <v>8</v>
      </c>
      <c r="AB1821" t="n">
        <v>17</v>
      </c>
      <c r="AQ1821" t="n">
        <v>2</v>
      </c>
      <c r="AR1821" t="n">
        <v>42</v>
      </c>
      <c r="AS1821" t="inlineStr">
        <is>
          <t>Collection (optional)</t>
        </is>
      </c>
    </row>
    <row r="1822">
      <c r="A1822" t="inlineStr">
        <is>
          <t>Arcane</t>
        </is>
      </c>
      <c r="B1822" t="inlineStr">
        <is>
          <t>Primary Deadhead</t>
        </is>
      </c>
      <c r="E1822" t="inlineStr">
        <is>
          <t>Primary</t>
        </is>
      </c>
      <c r="F1822" t="n">
        <v>5</v>
      </c>
      <c r="G1822" t="n">
        <v>1</v>
      </c>
      <c r="H1822" t="inlineStr">
        <is>
          <t>Player trade (max rank)</t>
        </is>
      </c>
      <c r="I1822" t="inlineStr">
        <is>
          <t>Yes</t>
        </is>
      </c>
      <c r="K1822" t="inlineStr">
        <is>
          <t>Required (v4.2 weapon/exalted builds)</t>
        </is>
      </c>
      <c r="L1822" t="n">
        <v>13</v>
      </c>
      <c r="M1822" t="n">
        <v>13</v>
      </c>
      <c r="N1822" t="n">
        <v>17</v>
      </c>
      <c r="O1822" t="inlineStr">
        <is>
          <t>2026-10-05 UTC (WFM pull 02:52-04:00)</t>
        </is>
      </c>
      <c r="P1822" t="inlineStr">
        <is>
          <t>OK</t>
        </is>
      </c>
      <c r="R1822" t="inlineStr">
        <is>
          <t>Arcanes share across items like mods (one max-rank copy covers every build).</t>
        </is>
      </c>
      <c r="S1822" t="inlineStr">
        <is>
          <t>primary_deadhead</t>
        </is>
      </c>
      <c r="T1822" t="n">
        <v>38</v>
      </c>
      <c r="U1822" t="n">
        <v>38</v>
      </c>
      <c r="V1822" t="n">
        <v>15</v>
      </c>
      <c r="W1822" t="n">
        <v>15</v>
      </c>
      <c r="X1822" t="n">
        <v>14.1</v>
      </c>
      <c r="Y1822" t="n">
        <v>7566</v>
      </c>
      <c r="Z1822" t="n">
        <v>174</v>
      </c>
      <c r="AA1822" t="n">
        <v>40</v>
      </c>
      <c r="AB1822" t="n">
        <v>-27</v>
      </c>
      <c r="AQ1822" t="n">
        <v>2</v>
      </c>
      <c r="AR1822" t="n">
        <v>42</v>
      </c>
      <c r="AS1822" t="inlineStr">
        <is>
          <t>Yes</t>
        </is>
      </c>
    </row>
    <row r="1823">
      <c r="A1823" t="inlineStr">
        <is>
          <t>Arcane</t>
        </is>
      </c>
      <c r="B1823" t="inlineStr">
        <is>
          <t>Primary Debilitate</t>
        </is>
      </c>
      <c r="E1823" t="inlineStr">
        <is>
          <t>Primary</t>
        </is>
      </c>
      <c r="F1823" t="n">
        <v>5</v>
      </c>
      <c r="G1823" t="n">
        <v>1</v>
      </c>
      <c r="H1823" t="inlineStr">
        <is>
          <t>Player trade (max rank)</t>
        </is>
      </c>
      <c r="I1823" t="inlineStr">
        <is>
          <t>Yes</t>
        </is>
      </c>
      <c r="K1823" t="inlineStr">
        <is>
          <t>Collection (optional)</t>
        </is>
      </c>
      <c r="L1823" t="n">
        <v>40</v>
      </c>
      <c r="M1823" t="n">
        <v>40</v>
      </c>
      <c r="N1823" t="n">
        <v>54</v>
      </c>
      <c r="O1823" t="inlineStr">
        <is>
          <t>2026-10-05 UTC (WFM pull 02:52-04:00)</t>
        </is>
      </c>
      <c r="P1823" t="inlineStr">
        <is>
          <t>OK</t>
        </is>
      </c>
      <c r="R1823" t="inlineStr">
        <is>
          <t>Arcanes share across items like mods (one max-rank copy covers every build).</t>
        </is>
      </c>
      <c r="S1823" t="inlineStr">
        <is>
          <t>primary_debilitate</t>
        </is>
      </c>
      <c r="T1823" t="n">
        <v>14</v>
      </c>
      <c r="U1823" t="n">
        <v>14</v>
      </c>
      <c r="V1823" t="n">
        <v>34</v>
      </c>
      <c r="W1823" t="n">
        <v>30</v>
      </c>
      <c r="X1823" t="n">
        <v>32.1</v>
      </c>
      <c r="Y1823" t="n">
        <v>3751</v>
      </c>
      <c r="Z1823" t="n">
        <v>99</v>
      </c>
      <c r="AA1823" t="n">
        <v>21</v>
      </c>
      <c r="AB1823" t="n">
        <v>19</v>
      </c>
      <c r="AQ1823" t="n">
        <v>3</v>
      </c>
      <c r="AR1823" t="n">
        <v>63</v>
      </c>
      <c r="AS1823" t="inlineStr">
        <is>
          <t>Collection (optional)</t>
        </is>
      </c>
    </row>
    <row r="1824">
      <c r="A1824" t="inlineStr">
        <is>
          <t>Arcane</t>
        </is>
      </c>
      <c r="B1824" t="inlineStr">
        <is>
          <t>Primary Dexterity</t>
        </is>
      </c>
      <c r="E1824" t="inlineStr">
        <is>
          <t>Primary</t>
        </is>
      </c>
      <c r="F1824" t="n">
        <v>5</v>
      </c>
      <c r="G1824" t="n">
        <v>1</v>
      </c>
      <c r="H1824" t="inlineStr">
        <is>
          <t>Player trade (max rank)</t>
        </is>
      </c>
      <c r="I1824" t="inlineStr">
        <is>
          <t>Yes</t>
        </is>
      </c>
      <c r="K1824" t="inlineStr">
        <is>
          <t>Collection (optional)</t>
        </is>
      </c>
      <c r="L1824" t="n">
        <v>6</v>
      </c>
      <c r="M1824" t="n">
        <v>7</v>
      </c>
      <c r="N1824" t="n">
        <v>9</v>
      </c>
      <c r="O1824" t="inlineStr">
        <is>
          <t>2026-10-05 UTC (WFM pull 02:52-04:00)</t>
        </is>
      </c>
      <c r="P1824" t="inlineStr">
        <is>
          <t>OK</t>
        </is>
      </c>
      <c r="R1824" t="inlineStr">
        <is>
          <t>Arcanes share across items like mods (one max-rank copy covers every build).</t>
        </is>
      </c>
      <c r="S1824" t="inlineStr">
        <is>
          <t>primary_dexterity</t>
        </is>
      </c>
      <c r="T1824" t="n">
        <v>50</v>
      </c>
      <c r="U1824" t="n">
        <v>50</v>
      </c>
      <c r="V1824" t="n">
        <v>8</v>
      </c>
      <c r="W1824" t="n">
        <v>8</v>
      </c>
      <c r="X1824" t="n">
        <v>7.9</v>
      </c>
      <c r="Y1824" t="n">
        <v>3926</v>
      </c>
      <c r="Z1824" t="n">
        <v>88</v>
      </c>
      <c r="AA1824" t="n">
        <v>36</v>
      </c>
      <c r="AB1824" t="n">
        <v>-30</v>
      </c>
      <c r="AQ1824" t="n">
        <v>1</v>
      </c>
      <c r="AR1824" t="n">
        <v>21</v>
      </c>
      <c r="AS1824" t="inlineStr">
        <is>
          <t>Collection (optional)</t>
        </is>
      </c>
    </row>
    <row r="1825">
      <c r="A1825" t="inlineStr">
        <is>
          <t>Arcane</t>
        </is>
      </c>
      <c r="B1825" t="inlineStr">
        <is>
          <t>Primary Exhilarate</t>
        </is>
      </c>
      <c r="E1825" t="inlineStr">
        <is>
          <t>Primary</t>
        </is>
      </c>
      <c r="F1825" t="n">
        <v>5</v>
      </c>
      <c r="G1825" t="n">
        <v>1</v>
      </c>
      <c r="H1825" t="inlineStr">
        <is>
          <t>Player trade (max rank)</t>
        </is>
      </c>
      <c r="I1825" t="inlineStr">
        <is>
          <t>Yes</t>
        </is>
      </c>
      <c r="K1825" t="inlineStr">
        <is>
          <t>Collection (optional)</t>
        </is>
      </c>
      <c r="L1825" t="n">
        <v>30</v>
      </c>
      <c r="M1825" t="n">
        <v>35</v>
      </c>
      <c r="N1825" t="n">
        <v>44</v>
      </c>
      <c r="O1825" t="inlineStr">
        <is>
          <t>2026-10-05 UTC (WFM pull 02:52-04:00)</t>
        </is>
      </c>
      <c r="P1825" t="inlineStr">
        <is>
          <t>OK</t>
        </is>
      </c>
      <c r="R1825" t="inlineStr">
        <is>
          <t>Arcanes share across items like mods (one max-rank copy covers every build).</t>
        </is>
      </c>
      <c r="S1825" t="inlineStr">
        <is>
          <t>primary_exhilarate</t>
        </is>
      </c>
      <c r="T1825" t="n">
        <v>12</v>
      </c>
      <c r="U1825" t="n">
        <v>12</v>
      </c>
      <c r="V1825" t="n">
        <v>35</v>
      </c>
      <c r="W1825" t="n">
        <v>35</v>
      </c>
      <c r="X1825" t="n">
        <v>35.8</v>
      </c>
      <c r="Y1825" t="n">
        <v>505</v>
      </c>
      <c r="Z1825" t="n">
        <v>10</v>
      </c>
      <c r="AA1825" t="n">
        <v>15</v>
      </c>
      <c r="AB1825" t="n">
        <v>15</v>
      </c>
      <c r="AQ1825" t="n">
        <v>4</v>
      </c>
      <c r="AR1825" t="n">
        <v>84</v>
      </c>
      <c r="AS1825" t="inlineStr">
        <is>
          <t>Collection (optional)</t>
        </is>
      </c>
    </row>
    <row r="1826">
      <c r="A1826" t="inlineStr">
        <is>
          <t>Arcane</t>
        </is>
      </c>
      <c r="B1826" t="inlineStr">
        <is>
          <t>Primary Frostbite</t>
        </is>
      </c>
      <c r="E1826" t="inlineStr">
        <is>
          <t>Primary</t>
        </is>
      </c>
      <c r="F1826" t="n">
        <v>5</v>
      </c>
      <c r="G1826" t="n">
        <v>1</v>
      </c>
      <c r="H1826" t="inlineStr">
        <is>
          <t>Player trade (max rank)</t>
        </is>
      </c>
      <c r="I1826" t="inlineStr">
        <is>
          <t>Yes</t>
        </is>
      </c>
      <c r="K1826" t="inlineStr">
        <is>
          <t>Required (v4.2 weapon/exalted builds)</t>
        </is>
      </c>
      <c r="L1826" t="n">
        <v>35</v>
      </c>
      <c r="M1826" t="n">
        <v>40</v>
      </c>
      <c r="N1826" t="n">
        <v>66</v>
      </c>
      <c r="O1826" t="inlineStr">
        <is>
          <t>2026-10-05 UTC (WFM pull 02:52-04:00)</t>
        </is>
      </c>
      <c r="P1826" t="inlineStr">
        <is>
          <t>OK</t>
        </is>
      </c>
      <c r="R1826" t="inlineStr">
        <is>
          <t>Arcanes share across items like mods (one max-rank copy covers every build).</t>
        </is>
      </c>
      <c r="S1826" t="inlineStr">
        <is>
          <t>primary_frostbite</t>
        </is>
      </c>
      <c r="T1826" t="n">
        <v>7</v>
      </c>
      <c r="U1826" t="n">
        <v>7</v>
      </c>
      <c r="V1826" t="n">
        <v>30</v>
      </c>
      <c r="W1826" t="n">
        <v>25</v>
      </c>
      <c r="X1826" t="n">
        <v>26.9</v>
      </c>
      <c r="Y1826" t="n">
        <v>5192</v>
      </c>
      <c r="Z1826" t="n">
        <v>209</v>
      </c>
      <c r="AA1826" t="n">
        <v>10</v>
      </c>
      <c r="AB1826" t="n">
        <v>25</v>
      </c>
      <c r="AQ1826" t="n">
        <v>3</v>
      </c>
      <c r="AR1826" t="n">
        <v>63</v>
      </c>
      <c r="AS1826" t="inlineStr">
        <is>
          <t>Yes</t>
        </is>
      </c>
    </row>
    <row r="1827">
      <c r="A1827" t="inlineStr">
        <is>
          <t>Arcane</t>
        </is>
      </c>
      <c r="B1827" t="inlineStr">
        <is>
          <t>Primary Merciless</t>
        </is>
      </c>
      <c r="E1827" t="inlineStr">
        <is>
          <t>Primary</t>
        </is>
      </c>
      <c r="F1827" t="n">
        <v>5</v>
      </c>
      <c r="G1827" t="n">
        <v>1</v>
      </c>
      <c r="H1827" t="inlineStr">
        <is>
          <t>Player trade (max rank)</t>
        </is>
      </c>
      <c r="I1827" t="inlineStr">
        <is>
          <t>Yes</t>
        </is>
      </c>
      <c r="K1827" t="inlineStr">
        <is>
          <t>Required (v4.2 weapon/exalted builds)</t>
        </is>
      </c>
      <c r="L1827" t="n">
        <v>12</v>
      </c>
      <c r="M1827" t="n">
        <v>15</v>
      </c>
      <c r="N1827" t="n">
        <v>22</v>
      </c>
      <c r="O1827" t="inlineStr">
        <is>
          <t>2026-10-05 UTC (WFM pull 02:52-04:00)</t>
        </is>
      </c>
      <c r="P1827" t="inlineStr">
        <is>
          <t>OK</t>
        </is>
      </c>
      <c r="R1827" t="inlineStr">
        <is>
          <t>Arcanes share across items like mods (one max-rank copy covers every build).</t>
        </is>
      </c>
      <c r="S1827" t="inlineStr">
        <is>
          <t>primary_merciless</t>
        </is>
      </c>
      <c r="T1827" t="n">
        <v>28</v>
      </c>
      <c r="U1827" t="n">
        <v>28</v>
      </c>
      <c r="V1827" t="n">
        <v>15</v>
      </c>
      <c r="W1827" t="n">
        <v>15</v>
      </c>
      <c r="X1827" t="n">
        <v>15.4</v>
      </c>
      <c r="Y1827" t="n">
        <v>9325</v>
      </c>
      <c r="Z1827" t="n">
        <v>283</v>
      </c>
      <c r="AA1827" t="n">
        <v>40</v>
      </c>
      <c r="AB1827" t="n">
        <v>-28</v>
      </c>
      <c r="AQ1827" t="n">
        <v>2</v>
      </c>
      <c r="AR1827" t="n">
        <v>42</v>
      </c>
      <c r="AS1827" t="inlineStr">
        <is>
          <t>Yes</t>
        </is>
      </c>
    </row>
    <row r="1828">
      <c r="A1828" t="inlineStr">
        <is>
          <t>Arcane</t>
        </is>
      </c>
      <c r="B1828" t="inlineStr">
        <is>
          <t>Primary Obstruct</t>
        </is>
      </c>
      <c r="E1828" t="inlineStr">
        <is>
          <t>Primary</t>
        </is>
      </c>
      <c r="F1828" t="n">
        <v>5</v>
      </c>
      <c r="G1828" t="n">
        <v>1</v>
      </c>
      <c r="H1828" t="inlineStr">
        <is>
          <t>Player trade (max rank)</t>
        </is>
      </c>
      <c r="I1828" t="inlineStr">
        <is>
          <t>Yes</t>
        </is>
      </c>
      <c r="K1828" t="inlineStr">
        <is>
          <t>Collection (optional)</t>
        </is>
      </c>
      <c r="L1828" t="n">
        <v>30</v>
      </c>
      <c r="M1828" t="n">
        <v>35</v>
      </c>
      <c r="N1828" t="n">
        <v>44</v>
      </c>
      <c r="O1828" t="inlineStr">
        <is>
          <t>2026-10-05 UTC (WFM pull 02:52-04:00)</t>
        </is>
      </c>
      <c r="P1828" t="inlineStr">
        <is>
          <t>OK</t>
        </is>
      </c>
      <c r="R1828" t="inlineStr">
        <is>
          <t>Arcanes share across items like mods (one max-rank copy covers every build).</t>
        </is>
      </c>
      <c r="S1828" t="inlineStr">
        <is>
          <t>primary_obstruct</t>
        </is>
      </c>
      <c r="T1828" t="n">
        <v>12</v>
      </c>
      <c r="U1828" t="n">
        <v>12</v>
      </c>
      <c r="V1828" t="n">
        <v>35</v>
      </c>
      <c r="W1828" t="n">
        <v>40</v>
      </c>
      <c r="X1828" t="n">
        <v>38.6</v>
      </c>
      <c r="Y1828" t="n">
        <v>503</v>
      </c>
      <c r="Z1828" t="n">
        <v>26</v>
      </c>
      <c r="AA1828" t="n">
        <v>15</v>
      </c>
      <c r="AB1828" t="n">
        <v>15</v>
      </c>
      <c r="AQ1828" t="n">
        <v>3</v>
      </c>
      <c r="AR1828" t="n">
        <v>63</v>
      </c>
      <c r="AS1828" t="inlineStr">
        <is>
          <t>Collection (optional)</t>
        </is>
      </c>
    </row>
    <row r="1829">
      <c r="A1829" t="inlineStr">
        <is>
          <t>Arcane</t>
        </is>
      </c>
      <c r="B1829" t="inlineStr">
        <is>
          <t>Primary Overcharge</t>
        </is>
      </c>
      <c r="E1829" t="inlineStr">
        <is>
          <t>Primary</t>
        </is>
      </c>
      <c r="F1829" t="n">
        <v>5</v>
      </c>
      <c r="G1829" t="n">
        <v>1</v>
      </c>
      <c r="H1829" t="inlineStr">
        <is>
          <t>Player trade (max rank)</t>
        </is>
      </c>
      <c r="I1829" t="inlineStr">
        <is>
          <t>Yes</t>
        </is>
      </c>
      <c r="K1829" t="inlineStr">
        <is>
          <t>Collection (optional)</t>
        </is>
      </c>
      <c r="L1829" t="n">
        <v>40</v>
      </c>
      <c r="M1829" t="n">
        <v>44</v>
      </c>
      <c r="N1829" t="n">
        <v>54</v>
      </c>
      <c r="O1829" t="inlineStr">
        <is>
          <t>2026-10-05 UTC (WFM pull 02:52-04:00)</t>
        </is>
      </c>
      <c r="P1829" t="inlineStr">
        <is>
          <t>OK</t>
        </is>
      </c>
      <c r="R1829" t="inlineStr">
        <is>
          <t>Arcanes share across items like mods (one max-rank copy covers every build).</t>
        </is>
      </c>
      <c r="S1829" t="inlineStr">
        <is>
          <t>primary_overcharge</t>
        </is>
      </c>
      <c r="T1829" t="n">
        <v>14</v>
      </c>
      <c r="U1829" t="n">
        <v>14</v>
      </c>
      <c r="V1829" t="n">
        <v>38</v>
      </c>
      <c r="W1829" t="n">
        <v>35</v>
      </c>
      <c r="X1829" t="n">
        <v>34</v>
      </c>
      <c r="Y1829" t="n">
        <v>4116</v>
      </c>
      <c r="Z1829" t="n">
        <v>92</v>
      </c>
      <c r="AA1829" t="n">
        <v>30</v>
      </c>
      <c r="AB1829" t="n">
        <v>10</v>
      </c>
      <c r="AQ1829" t="n">
        <v>3</v>
      </c>
      <c r="AR1829" t="n">
        <v>63</v>
      </c>
      <c r="AS1829" t="inlineStr">
        <is>
          <t>Collection (optional)</t>
        </is>
      </c>
    </row>
    <row r="1830">
      <c r="A1830" t="inlineStr">
        <is>
          <t>Arcane</t>
        </is>
      </c>
      <c r="B1830" t="inlineStr">
        <is>
          <t>Primary Plated Round</t>
        </is>
      </c>
      <c r="E1830" t="inlineStr">
        <is>
          <t>Primary</t>
        </is>
      </c>
      <c r="F1830" t="n">
        <v>5</v>
      </c>
      <c r="G1830" t="n">
        <v>1</v>
      </c>
      <c r="H1830" t="inlineStr">
        <is>
          <t>Player trade (max rank)</t>
        </is>
      </c>
      <c r="I1830" t="inlineStr">
        <is>
          <t>Yes</t>
        </is>
      </c>
      <c r="K1830" t="inlineStr">
        <is>
          <t>Collection (optional)</t>
        </is>
      </c>
      <c r="L1830" t="n">
        <v>80</v>
      </c>
      <c r="M1830" t="n">
        <v>85</v>
      </c>
      <c r="N1830" t="n">
        <v>109</v>
      </c>
      <c r="O1830" t="inlineStr">
        <is>
          <t>2026-10-05 UTC (WFM pull 02:52-04:00)</t>
        </is>
      </c>
      <c r="P1830" t="inlineStr">
        <is>
          <t>OK</t>
        </is>
      </c>
      <c r="R1830" t="inlineStr">
        <is>
          <t>Arcanes share across items like mods (one max-rank copy covers every build).</t>
        </is>
      </c>
      <c r="S1830" t="inlineStr">
        <is>
          <t>primary_plated_round</t>
        </is>
      </c>
      <c r="T1830" t="n">
        <v>9</v>
      </c>
      <c r="U1830" t="n">
        <v>9</v>
      </c>
      <c r="V1830" t="n">
        <v>87.5</v>
      </c>
      <c r="W1830" t="n">
        <v>70</v>
      </c>
      <c r="X1830" t="n">
        <v>72.90000000000001</v>
      </c>
      <c r="Y1830" t="n">
        <v>562</v>
      </c>
      <c r="Z1830" t="n">
        <v>7</v>
      </c>
      <c r="AA1830" t="n">
        <v>51</v>
      </c>
      <c r="AB1830" t="n">
        <v>29</v>
      </c>
      <c r="AQ1830" t="n">
        <v>6</v>
      </c>
      <c r="AR1830" t="n">
        <v>126</v>
      </c>
      <c r="AS1830" t="inlineStr">
        <is>
          <t>Collection (optional)</t>
        </is>
      </c>
    </row>
    <row r="1831">
      <c r="A1831" t="inlineStr">
        <is>
          <t>Arcane</t>
        </is>
      </c>
      <c r="B1831" t="inlineStr">
        <is>
          <t>Residual Boils</t>
        </is>
      </c>
      <c r="E1831" t="inlineStr">
        <is>
          <t>Kitgun</t>
        </is>
      </c>
      <c r="F1831" t="n">
        <v>3</v>
      </c>
      <c r="G1831" t="n">
        <v>1</v>
      </c>
      <c r="H1831" t="inlineStr">
        <is>
          <t>Player trade (max rank)</t>
        </is>
      </c>
      <c r="I1831" t="inlineStr">
        <is>
          <t>Yes</t>
        </is>
      </c>
      <c r="K1831" t="inlineStr">
        <is>
          <t>Collection (optional)</t>
        </is>
      </c>
      <c r="L1831" t="n">
        <v>23</v>
      </c>
      <c r="M1831" t="n">
        <v>25</v>
      </c>
      <c r="N1831" t="n">
        <v>33</v>
      </c>
      <c r="O1831" t="inlineStr">
        <is>
          <t>2026-10-05 UTC (WFM pull 02:52-04:00)</t>
        </is>
      </c>
      <c r="P1831" t="inlineStr">
        <is>
          <t>OK</t>
        </is>
      </c>
      <c r="R1831" t="inlineStr">
        <is>
          <t>Arcanes share across items like mods (one max-rank copy covers every build).</t>
        </is>
      </c>
      <c r="S1831" t="inlineStr">
        <is>
          <t>residual_boils</t>
        </is>
      </c>
      <c r="T1831" t="n">
        <v>7</v>
      </c>
      <c r="U1831" t="n">
        <v>7</v>
      </c>
      <c r="V1831" t="n">
        <v>20</v>
      </c>
      <c r="W1831" t="n">
        <v>20</v>
      </c>
      <c r="X1831" t="n">
        <v>20.3</v>
      </c>
      <c r="Y1831" t="n">
        <v>168</v>
      </c>
      <c r="Z1831" t="n">
        <v>6</v>
      </c>
      <c r="AQ1831" t="n">
        <v>3</v>
      </c>
      <c r="AR1831" t="n">
        <v>30</v>
      </c>
      <c r="AS1831" t="inlineStr">
        <is>
          <t>Collection (optional)</t>
        </is>
      </c>
    </row>
    <row r="1832">
      <c r="A1832" t="inlineStr">
        <is>
          <t>Arcane</t>
        </is>
      </c>
      <c r="B1832" t="inlineStr">
        <is>
          <t>Residual Malodor</t>
        </is>
      </c>
      <c r="E1832" t="inlineStr">
        <is>
          <t>Kitgun</t>
        </is>
      </c>
      <c r="F1832" t="n">
        <v>3</v>
      </c>
      <c r="G1832" t="n">
        <v>1</v>
      </c>
      <c r="H1832" t="inlineStr">
        <is>
          <t>Player trade (max rank)</t>
        </is>
      </c>
      <c r="I1832" t="inlineStr">
        <is>
          <t>Yes</t>
        </is>
      </c>
      <c r="K1832" t="inlineStr">
        <is>
          <t>Collection (optional)</t>
        </is>
      </c>
      <c r="L1832" t="n">
        <v>15</v>
      </c>
      <c r="M1832" t="n">
        <v>19</v>
      </c>
      <c r="N1832" t="n">
        <v>22</v>
      </c>
      <c r="O1832" t="inlineStr">
        <is>
          <t>2026-10-05 UTC (WFM pull 02:52-04:00)</t>
        </is>
      </c>
      <c r="P1832" t="inlineStr">
        <is>
          <t>OK</t>
        </is>
      </c>
      <c r="R1832" t="inlineStr">
        <is>
          <t>Arcanes share across items like mods (one max-rank copy covers every build).</t>
        </is>
      </c>
      <c r="S1832" t="inlineStr">
        <is>
          <t>residual_malodor</t>
        </is>
      </c>
      <c r="T1832" t="n">
        <v>9</v>
      </c>
      <c r="U1832" t="n">
        <v>9</v>
      </c>
      <c r="V1832" t="n">
        <v>15</v>
      </c>
      <c r="W1832" t="n">
        <v>15</v>
      </c>
      <c r="X1832" t="n">
        <v>15.9</v>
      </c>
      <c r="Y1832" t="n">
        <v>91</v>
      </c>
      <c r="Z1832" t="n">
        <v>3</v>
      </c>
      <c r="AQ1832" t="n">
        <v>3</v>
      </c>
      <c r="AR1832" t="n">
        <v>30</v>
      </c>
      <c r="AS1832" t="inlineStr">
        <is>
          <t>Collection (optional)</t>
        </is>
      </c>
    </row>
    <row r="1833">
      <c r="A1833" t="inlineStr">
        <is>
          <t>Arcane</t>
        </is>
      </c>
      <c r="B1833" t="inlineStr">
        <is>
          <t>Residual Shock</t>
        </is>
      </c>
      <c r="E1833" t="inlineStr">
        <is>
          <t>Kitgun</t>
        </is>
      </c>
      <c r="F1833" t="n">
        <v>3</v>
      </c>
      <c r="G1833" t="n">
        <v>1</v>
      </c>
      <c r="H1833" t="inlineStr">
        <is>
          <t>Player trade (max rank)</t>
        </is>
      </c>
      <c r="I1833" t="inlineStr">
        <is>
          <t>Yes</t>
        </is>
      </c>
      <c r="K1833" t="inlineStr">
        <is>
          <t>Collection (optional)</t>
        </is>
      </c>
      <c r="L1833" t="n">
        <v>20</v>
      </c>
      <c r="M1833" t="n">
        <v>25</v>
      </c>
      <c r="N1833" t="n">
        <v>33</v>
      </c>
      <c r="O1833" t="inlineStr">
        <is>
          <t>2026-10-05 UTC (WFM pull 02:52-04:00)</t>
        </is>
      </c>
      <c r="P1833" t="inlineStr">
        <is>
          <t>OK</t>
        </is>
      </c>
      <c r="R1833" t="inlineStr">
        <is>
          <t>Arcanes share across items like mods (one max-rank copy covers every build).</t>
        </is>
      </c>
      <c r="S1833" t="inlineStr">
        <is>
          <t>residual_shock</t>
        </is>
      </c>
      <c r="T1833" t="n">
        <v>8</v>
      </c>
      <c r="U1833" t="n">
        <v>8</v>
      </c>
      <c r="V1833" t="n">
        <v>22.5</v>
      </c>
      <c r="W1833" t="n">
        <v>25</v>
      </c>
      <c r="X1833" t="n">
        <v>26</v>
      </c>
      <c r="Y1833" t="n">
        <v>156</v>
      </c>
      <c r="Z1833" t="n">
        <v>7</v>
      </c>
      <c r="AQ1833" t="n">
        <v>3</v>
      </c>
      <c r="AR1833" t="n">
        <v>30</v>
      </c>
      <c r="AS1833" t="inlineStr">
        <is>
          <t>Collection (optional)</t>
        </is>
      </c>
    </row>
    <row r="1834">
      <c r="A1834" t="inlineStr">
        <is>
          <t>Arcane</t>
        </is>
      </c>
      <c r="B1834" t="inlineStr">
        <is>
          <t>Residual Viremia</t>
        </is>
      </c>
      <c r="E1834" t="inlineStr">
        <is>
          <t>Kitgun</t>
        </is>
      </c>
      <c r="F1834" t="n">
        <v>3</v>
      </c>
      <c r="G1834" t="n">
        <v>1</v>
      </c>
      <c r="H1834" t="inlineStr">
        <is>
          <t>Player trade (max rank)</t>
        </is>
      </c>
      <c r="I1834" t="inlineStr">
        <is>
          <t>Yes</t>
        </is>
      </c>
      <c r="K1834" t="inlineStr">
        <is>
          <t>Collection (optional)</t>
        </is>
      </c>
      <c r="L1834" t="n">
        <v>20</v>
      </c>
      <c r="M1834" t="n">
        <v>25</v>
      </c>
      <c r="N1834" t="n">
        <v>56</v>
      </c>
      <c r="O1834" t="inlineStr">
        <is>
          <t>2026-10-05 UTC (WFM pull 02:52-04:00)</t>
        </is>
      </c>
      <c r="P1834" t="inlineStr">
        <is>
          <t>OK</t>
        </is>
      </c>
      <c r="Q1834" t="inlineStr">
        <is>
          <t>Cheaper via 10x R0 (20p realistic) than buying max rank</t>
        </is>
      </c>
      <c r="R1834" t="inlineStr">
        <is>
          <t>Arcanes share across items like mods (one max-rank copy covers every build).</t>
        </is>
      </c>
      <c r="S1834" t="inlineStr">
        <is>
          <t>residual_viremia</t>
        </is>
      </c>
      <c r="T1834" t="n">
        <v>6</v>
      </c>
      <c r="U1834" t="n">
        <v>6</v>
      </c>
      <c r="V1834" t="n">
        <v>24</v>
      </c>
      <c r="W1834" t="n">
        <v>25</v>
      </c>
      <c r="X1834" t="n">
        <v>26.5</v>
      </c>
      <c r="Y1834" t="n">
        <v>187</v>
      </c>
      <c r="Z1834" t="n">
        <v>4</v>
      </c>
      <c r="AQ1834" t="n">
        <v>2</v>
      </c>
      <c r="AR1834" t="n">
        <v>20</v>
      </c>
      <c r="AS1834" t="inlineStr">
        <is>
          <t>Collection (optional)</t>
        </is>
      </c>
    </row>
    <row r="1835">
      <c r="A1835" t="inlineStr">
        <is>
          <t>Arcane</t>
        </is>
      </c>
      <c r="B1835" t="inlineStr">
        <is>
          <t>Secondary Cryogenic</t>
        </is>
      </c>
      <c r="E1835" t="inlineStr">
        <is>
          <t>Secondary</t>
        </is>
      </c>
      <c r="F1835" t="n">
        <v>5</v>
      </c>
      <c r="G1835" t="n">
        <v>1</v>
      </c>
      <c r="H1835" t="inlineStr">
        <is>
          <t>Player trade (max rank)</t>
        </is>
      </c>
      <c r="I1835" t="inlineStr">
        <is>
          <t>Yes</t>
        </is>
      </c>
      <c r="K1835" t="inlineStr">
        <is>
          <t>Collection (optional)</t>
        </is>
      </c>
      <c r="L1835" t="n">
        <v>100</v>
      </c>
      <c r="M1835" t="n">
        <v>102</v>
      </c>
      <c r="N1835" t="n">
        <v>221</v>
      </c>
      <c r="O1835" t="inlineStr">
        <is>
          <t>2026-10-05 UTC (WFM pull 02:52-04:00)</t>
        </is>
      </c>
      <c r="P1835" t="inlineStr">
        <is>
          <t>OK</t>
        </is>
      </c>
      <c r="R1835" t="inlineStr">
        <is>
          <t>Arcanes share across items like mods (one max-rank copy covers every build).</t>
        </is>
      </c>
      <c r="S1835" t="inlineStr">
        <is>
          <t>secondary_cryogenic</t>
        </is>
      </c>
      <c r="T1835" t="n">
        <v>7</v>
      </c>
      <c r="U1835" t="n">
        <v>7</v>
      </c>
      <c r="V1835" t="n">
        <v>70</v>
      </c>
      <c r="W1835" t="n">
        <v>44</v>
      </c>
      <c r="X1835" t="n">
        <v>60</v>
      </c>
      <c r="Y1835" t="n">
        <v>981</v>
      </c>
      <c r="Z1835" t="n">
        <v>44</v>
      </c>
      <c r="AA1835" t="n">
        <v>35</v>
      </c>
      <c r="AB1835" t="n">
        <v>65</v>
      </c>
      <c r="AQ1835" t="n">
        <v>5</v>
      </c>
      <c r="AR1835" t="n">
        <v>105</v>
      </c>
      <c r="AS1835" t="inlineStr">
        <is>
          <t>Collection (optional)</t>
        </is>
      </c>
    </row>
    <row r="1836">
      <c r="A1836" t="inlineStr">
        <is>
          <t>Arcane</t>
        </is>
      </c>
      <c r="B1836" t="inlineStr">
        <is>
          <t>Secondary Deadhead</t>
        </is>
      </c>
      <c r="E1836" t="inlineStr">
        <is>
          <t>Secondary</t>
        </is>
      </c>
      <c r="F1836" t="n">
        <v>5</v>
      </c>
      <c r="G1836" t="n">
        <v>1</v>
      </c>
      <c r="H1836" t="inlineStr">
        <is>
          <t>Player trade (max rank)</t>
        </is>
      </c>
      <c r="I1836" t="inlineStr">
        <is>
          <t>Yes</t>
        </is>
      </c>
      <c r="K1836" t="inlineStr">
        <is>
          <t>Required (v4.2 weapon/exalted builds)</t>
        </is>
      </c>
      <c r="L1836" t="n">
        <v>8</v>
      </c>
      <c r="M1836" t="n">
        <v>10</v>
      </c>
      <c r="N1836" t="n">
        <v>11</v>
      </c>
      <c r="O1836" t="inlineStr">
        <is>
          <t>2026-10-05 UTC (WFM pull 02:52-04:00)</t>
        </is>
      </c>
      <c r="P1836" t="inlineStr">
        <is>
          <t>OK</t>
        </is>
      </c>
      <c r="R1836" t="inlineStr">
        <is>
          <t>Arcanes share across items like mods (one max-rank copy covers every build).</t>
        </is>
      </c>
      <c r="S1836" t="inlineStr">
        <is>
          <t>secondary_deadhead</t>
        </is>
      </c>
      <c r="T1836" t="n">
        <v>39</v>
      </c>
      <c r="U1836" t="n">
        <v>39</v>
      </c>
      <c r="V1836" t="n">
        <v>9</v>
      </c>
      <c r="W1836" t="n">
        <v>9</v>
      </c>
      <c r="X1836" t="n">
        <v>8.699999999999999</v>
      </c>
      <c r="Y1836" t="n">
        <v>4517</v>
      </c>
      <c r="Z1836" t="n">
        <v>168</v>
      </c>
      <c r="AA1836" t="n">
        <v>40</v>
      </c>
      <c r="AB1836" t="n">
        <v>-32</v>
      </c>
      <c r="AQ1836" t="n">
        <v>1</v>
      </c>
      <c r="AR1836" t="n">
        <v>21</v>
      </c>
      <c r="AS1836" t="inlineStr">
        <is>
          <t>Yes</t>
        </is>
      </c>
    </row>
    <row r="1837">
      <c r="A1837" t="inlineStr">
        <is>
          <t>Arcane</t>
        </is>
      </c>
      <c r="B1837" t="inlineStr">
        <is>
          <t>Secondary Dexterity</t>
        </is>
      </c>
      <c r="E1837" t="inlineStr">
        <is>
          <t>Secondary</t>
        </is>
      </c>
      <c r="F1837" t="n">
        <v>5</v>
      </c>
      <c r="G1837" t="n">
        <v>1</v>
      </c>
      <c r="H1837" t="inlineStr">
        <is>
          <t>Player trade (max rank)</t>
        </is>
      </c>
      <c r="I1837" t="inlineStr">
        <is>
          <t>Yes</t>
        </is>
      </c>
      <c r="K1837" t="inlineStr">
        <is>
          <t>Collection (optional)</t>
        </is>
      </c>
      <c r="L1837" t="n">
        <v>8</v>
      </c>
      <c r="M1837" t="n">
        <v>9</v>
      </c>
      <c r="N1837" t="n">
        <v>11</v>
      </c>
      <c r="O1837" t="inlineStr">
        <is>
          <t>2026-10-05 UTC (WFM pull 02:52-04:00)</t>
        </is>
      </c>
      <c r="P1837" t="inlineStr">
        <is>
          <t>OK</t>
        </is>
      </c>
      <c r="R1837" t="inlineStr">
        <is>
          <t>Arcanes share across items like mods (one max-rank copy covers every build).</t>
        </is>
      </c>
      <c r="S1837" t="inlineStr">
        <is>
          <t>secondary_dexterity</t>
        </is>
      </c>
      <c r="T1837" t="n">
        <v>50</v>
      </c>
      <c r="U1837" t="n">
        <v>50</v>
      </c>
      <c r="V1837" t="n">
        <v>8</v>
      </c>
      <c r="W1837" t="n">
        <v>8</v>
      </c>
      <c r="X1837" t="n">
        <v>7.8</v>
      </c>
      <c r="Y1837" t="n">
        <v>3454</v>
      </c>
      <c r="Z1837" t="n">
        <v>71</v>
      </c>
      <c r="AA1837" t="n">
        <v>36</v>
      </c>
      <c r="AB1837" t="n">
        <v>-28</v>
      </c>
      <c r="AQ1837" t="n">
        <v>1</v>
      </c>
      <c r="AR1837" t="n">
        <v>21</v>
      </c>
      <c r="AS1837" t="inlineStr">
        <is>
          <t>Collection (optional)</t>
        </is>
      </c>
    </row>
    <row r="1838">
      <c r="A1838" t="inlineStr">
        <is>
          <t>Arcane</t>
        </is>
      </c>
      <c r="B1838" t="inlineStr">
        <is>
          <t>Secondary Encumber</t>
        </is>
      </c>
      <c r="E1838" t="inlineStr">
        <is>
          <t>Secondary</t>
        </is>
      </c>
      <c r="F1838" t="n">
        <v>5</v>
      </c>
      <c r="G1838" t="n">
        <v>1</v>
      </c>
      <c r="H1838" t="inlineStr">
        <is>
          <t>Player trade (max rank)</t>
        </is>
      </c>
      <c r="I1838" t="inlineStr">
        <is>
          <t>Yes</t>
        </is>
      </c>
      <c r="K1838" t="inlineStr">
        <is>
          <t>Required (v4.2 weapon/exalted builds)</t>
        </is>
      </c>
      <c r="L1838" t="n">
        <v>59</v>
      </c>
      <c r="M1838" t="n">
        <v>60</v>
      </c>
      <c r="N1838" t="n">
        <v>85</v>
      </c>
      <c r="O1838" t="inlineStr">
        <is>
          <t>2026-10-05 UTC (WFM pull 02:52-04:00)</t>
        </is>
      </c>
      <c r="P1838" t="inlineStr">
        <is>
          <t>OK</t>
        </is>
      </c>
      <c r="R1838" t="inlineStr">
        <is>
          <t>Arcanes share across items like mods (one max-rank copy covers every build).</t>
        </is>
      </c>
      <c r="S1838" t="inlineStr">
        <is>
          <t>secondary_encumber</t>
        </is>
      </c>
      <c r="T1838" t="n">
        <v>14</v>
      </c>
      <c r="U1838" t="n">
        <v>14</v>
      </c>
      <c r="V1838" t="n">
        <v>55.5</v>
      </c>
      <c r="W1838" t="n">
        <v>54</v>
      </c>
      <c r="X1838" t="n">
        <v>53.5</v>
      </c>
      <c r="Y1838" t="n">
        <v>6884</v>
      </c>
      <c r="Z1838" t="n">
        <v>184</v>
      </c>
      <c r="AA1838" t="n">
        <v>50</v>
      </c>
      <c r="AB1838" t="n">
        <v>9</v>
      </c>
      <c r="AQ1838" t="n">
        <v>4</v>
      </c>
      <c r="AR1838" t="n">
        <v>84</v>
      </c>
      <c r="AS1838" t="inlineStr">
        <is>
          <t>Yes</t>
        </is>
      </c>
    </row>
    <row r="1839">
      <c r="A1839" t="inlineStr">
        <is>
          <t>Arcane</t>
        </is>
      </c>
      <c r="B1839" t="inlineStr">
        <is>
          <t>Secondary Enervate</t>
        </is>
      </c>
      <c r="E1839" t="inlineStr">
        <is>
          <t>Secondary</t>
        </is>
      </c>
      <c r="F1839" t="n">
        <v>5</v>
      </c>
      <c r="G1839" t="n">
        <v>1</v>
      </c>
      <c r="H1839" t="inlineStr">
        <is>
          <t>Player trade (max rank)</t>
        </is>
      </c>
      <c r="I1839" t="inlineStr">
        <is>
          <t>Yes</t>
        </is>
      </c>
      <c r="K1839" t="inlineStr">
        <is>
          <t>Collection (optional)</t>
        </is>
      </c>
      <c r="L1839" t="n">
        <v>23</v>
      </c>
      <c r="M1839" t="n">
        <v>24</v>
      </c>
      <c r="N1839" t="n">
        <v>28</v>
      </c>
      <c r="O1839" t="inlineStr">
        <is>
          <t>2026-10-05 UTC (WFM pull 02:52-04:00)</t>
        </is>
      </c>
      <c r="P1839" t="inlineStr">
        <is>
          <t>OK</t>
        </is>
      </c>
      <c r="R1839" t="inlineStr">
        <is>
          <t>Arcanes share across items like mods (one max-rank copy covers every build).</t>
        </is>
      </c>
      <c r="S1839" t="inlineStr">
        <is>
          <t>secondary_enervate</t>
        </is>
      </c>
      <c r="T1839" t="n">
        <v>47</v>
      </c>
      <c r="U1839" t="n">
        <v>47</v>
      </c>
      <c r="V1839" t="n">
        <v>25</v>
      </c>
      <c r="W1839" t="n">
        <v>27</v>
      </c>
      <c r="X1839" t="n">
        <v>26.7</v>
      </c>
      <c r="Y1839" t="n">
        <v>15398</v>
      </c>
      <c r="Z1839" t="n">
        <v>298</v>
      </c>
      <c r="AA1839" t="n">
        <v>12</v>
      </c>
      <c r="AB1839" t="n">
        <v>11</v>
      </c>
      <c r="AQ1839" t="n">
        <v>2</v>
      </c>
      <c r="AR1839" t="n">
        <v>42</v>
      </c>
      <c r="AS1839" t="inlineStr">
        <is>
          <t>Collection (optional)</t>
        </is>
      </c>
    </row>
    <row r="1840">
      <c r="A1840" t="inlineStr">
        <is>
          <t>Arcane</t>
        </is>
      </c>
      <c r="B1840" t="inlineStr">
        <is>
          <t>Secondary Fortifier</t>
        </is>
      </c>
      <c r="E1840" t="inlineStr">
        <is>
          <t>Secondary</t>
        </is>
      </c>
      <c r="F1840" t="n">
        <v>5</v>
      </c>
      <c r="G1840" t="n">
        <v>1</v>
      </c>
      <c r="H1840" t="inlineStr">
        <is>
          <t>Player trade (max rank)</t>
        </is>
      </c>
      <c r="I1840" t="inlineStr">
        <is>
          <t>Yes</t>
        </is>
      </c>
      <c r="K1840" t="inlineStr">
        <is>
          <t>Collection (optional)</t>
        </is>
      </c>
      <c r="L1840" t="n">
        <v>60</v>
      </c>
      <c r="M1840" t="n">
        <v>60</v>
      </c>
      <c r="N1840" t="n">
        <v>73</v>
      </c>
      <c r="O1840" t="inlineStr">
        <is>
          <t>2026-10-05 UTC (WFM pull 02:52-04:00)</t>
        </is>
      </c>
      <c r="P1840" t="inlineStr">
        <is>
          <t>OK</t>
        </is>
      </c>
      <c r="R1840" t="inlineStr">
        <is>
          <t>Arcanes share across items like mods (one max-rank copy covers every build).</t>
        </is>
      </c>
      <c r="S1840" t="inlineStr">
        <is>
          <t>secondary_fortifier</t>
        </is>
      </c>
      <c r="T1840" t="n">
        <v>12</v>
      </c>
      <c r="U1840" t="n">
        <v>12</v>
      </c>
      <c r="V1840" t="n">
        <v>54.5</v>
      </c>
      <c r="W1840" t="n">
        <v>50</v>
      </c>
      <c r="X1840" t="n">
        <v>52.4</v>
      </c>
      <c r="Y1840" t="n">
        <v>6200</v>
      </c>
      <c r="Z1840" t="n">
        <v>142</v>
      </c>
      <c r="AA1840" t="n">
        <v>41</v>
      </c>
      <c r="AB1840" t="n">
        <v>19</v>
      </c>
      <c r="AQ1840" t="n">
        <v>4</v>
      </c>
      <c r="AR1840" t="n">
        <v>84</v>
      </c>
      <c r="AS1840" t="inlineStr">
        <is>
          <t>Collection (optional)</t>
        </is>
      </c>
    </row>
    <row r="1841">
      <c r="A1841" t="inlineStr">
        <is>
          <t>Arcane</t>
        </is>
      </c>
      <c r="B1841" t="inlineStr">
        <is>
          <t>Secondary Irradiate</t>
        </is>
      </c>
      <c r="E1841" t="inlineStr">
        <is>
          <t>Secondary</t>
        </is>
      </c>
      <c r="F1841" t="n">
        <v>5</v>
      </c>
      <c r="G1841" t="n">
        <v>1</v>
      </c>
      <c r="H1841" t="inlineStr">
        <is>
          <t>Player trade (max rank)</t>
        </is>
      </c>
      <c r="I1841" t="inlineStr">
        <is>
          <t>Yes</t>
        </is>
      </c>
      <c r="K1841" t="inlineStr">
        <is>
          <t>Collection (optional)</t>
        </is>
      </c>
      <c r="L1841" t="n">
        <v>33</v>
      </c>
      <c r="M1841" t="n">
        <v>38</v>
      </c>
      <c r="N1841" t="n">
        <v>43</v>
      </c>
      <c r="O1841" t="inlineStr">
        <is>
          <t>2026-10-05 UTC (WFM pull 02:52-04:00)</t>
        </is>
      </c>
      <c r="P1841" t="inlineStr">
        <is>
          <t>OK</t>
        </is>
      </c>
      <c r="R1841" t="inlineStr">
        <is>
          <t>Arcanes share across items like mods (one max-rank copy covers every build).</t>
        </is>
      </c>
      <c r="S1841" t="inlineStr">
        <is>
          <t>secondary_irradiate</t>
        </is>
      </c>
      <c r="T1841" t="n">
        <v>14</v>
      </c>
      <c r="U1841" t="n">
        <v>14</v>
      </c>
      <c r="V1841" t="n">
        <v>30</v>
      </c>
      <c r="W1841" t="n">
        <v>30</v>
      </c>
      <c r="X1841" t="n">
        <v>30.1</v>
      </c>
      <c r="Y1841" t="n">
        <v>2337</v>
      </c>
      <c r="Z1841" t="n">
        <v>28</v>
      </c>
      <c r="AA1841" t="n">
        <v>10</v>
      </c>
      <c r="AB1841" t="n">
        <v>23</v>
      </c>
      <c r="AQ1841" t="n">
        <v>3</v>
      </c>
      <c r="AR1841" t="n">
        <v>63</v>
      </c>
      <c r="AS1841" t="inlineStr">
        <is>
          <t>Collection (optional)</t>
        </is>
      </c>
    </row>
    <row r="1842">
      <c r="A1842" t="inlineStr">
        <is>
          <t>Arcane</t>
        </is>
      </c>
      <c r="B1842" t="inlineStr">
        <is>
          <t>Secondary Kinship</t>
        </is>
      </c>
      <c r="E1842" t="inlineStr">
        <is>
          <t>Secondary</t>
        </is>
      </c>
      <c r="F1842" t="n">
        <v>5</v>
      </c>
      <c r="G1842" t="n">
        <v>1</v>
      </c>
      <c r="H1842" t="inlineStr">
        <is>
          <t>Player trade (max rank)</t>
        </is>
      </c>
      <c r="I1842" t="inlineStr">
        <is>
          <t>Yes</t>
        </is>
      </c>
      <c r="K1842" t="inlineStr">
        <is>
          <t>Collection (optional)</t>
        </is>
      </c>
      <c r="L1842" t="n">
        <v>39</v>
      </c>
      <c r="M1842" t="n">
        <v>40</v>
      </c>
      <c r="N1842" t="n">
        <v>51</v>
      </c>
      <c r="O1842" t="inlineStr">
        <is>
          <t>2026-10-05 UTC (WFM pull 02:52-04:00)</t>
        </is>
      </c>
      <c r="P1842" t="inlineStr">
        <is>
          <t>OK</t>
        </is>
      </c>
      <c r="R1842" t="inlineStr">
        <is>
          <t>Arcanes share across items like mods (one max-rank copy covers every build).</t>
        </is>
      </c>
      <c r="S1842" t="inlineStr">
        <is>
          <t>secondary_kinship</t>
        </is>
      </c>
      <c r="T1842" t="n">
        <v>11</v>
      </c>
      <c r="U1842" t="n">
        <v>11</v>
      </c>
      <c r="V1842" t="n">
        <v>40</v>
      </c>
      <c r="W1842" t="n">
        <v>40</v>
      </c>
      <c r="X1842" t="n">
        <v>39.2</v>
      </c>
      <c r="Y1842" t="n">
        <v>271</v>
      </c>
      <c r="Z1842" t="n">
        <v>4</v>
      </c>
      <c r="AA1842" t="n">
        <v>10</v>
      </c>
      <c r="AB1842" t="n">
        <v>29</v>
      </c>
      <c r="AQ1842" t="n">
        <v>3</v>
      </c>
      <c r="AR1842" t="n">
        <v>63</v>
      </c>
      <c r="AS1842" t="inlineStr">
        <is>
          <t>Collection (optional)</t>
        </is>
      </c>
    </row>
    <row r="1843">
      <c r="A1843" t="inlineStr">
        <is>
          <t>Arcane</t>
        </is>
      </c>
      <c r="B1843" t="inlineStr">
        <is>
          <t>Secondary Merciless</t>
        </is>
      </c>
      <c r="E1843" t="inlineStr">
        <is>
          <t>Secondary</t>
        </is>
      </c>
      <c r="F1843" t="n">
        <v>5</v>
      </c>
      <c r="G1843" t="n">
        <v>1</v>
      </c>
      <c r="H1843" t="inlineStr">
        <is>
          <t>Player trade (max rank)</t>
        </is>
      </c>
      <c r="I1843" t="inlineStr">
        <is>
          <t>Yes</t>
        </is>
      </c>
      <c r="K1843" t="inlineStr">
        <is>
          <t>Required (v4.2 weapon/exalted builds)</t>
        </is>
      </c>
      <c r="L1843" t="n">
        <v>7</v>
      </c>
      <c r="M1843" t="n">
        <v>8</v>
      </c>
      <c r="N1843" t="n">
        <v>11</v>
      </c>
      <c r="O1843" t="inlineStr">
        <is>
          <t>2026-10-05 UTC (WFM pull 02:52-04:00)</t>
        </is>
      </c>
      <c r="P1843" t="inlineStr">
        <is>
          <t>OK</t>
        </is>
      </c>
      <c r="R1843" t="inlineStr">
        <is>
          <t>Arcanes share across items like mods (one max-rank copy covers every build).</t>
        </is>
      </c>
      <c r="S1843" t="inlineStr">
        <is>
          <t>secondary_merciless</t>
        </is>
      </c>
      <c r="T1843" t="n">
        <v>46</v>
      </c>
      <c r="U1843" t="n">
        <v>46</v>
      </c>
      <c r="V1843" t="n">
        <v>8</v>
      </c>
      <c r="W1843" t="n">
        <v>8</v>
      </c>
      <c r="X1843" t="n">
        <v>8.4</v>
      </c>
      <c r="Y1843" t="n">
        <v>4166</v>
      </c>
      <c r="Z1843" t="n">
        <v>104</v>
      </c>
      <c r="AA1843" t="n">
        <v>40</v>
      </c>
      <c r="AB1843" t="n">
        <v>-33</v>
      </c>
      <c r="AQ1843" t="n">
        <v>1</v>
      </c>
      <c r="AR1843" t="n">
        <v>21</v>
      </c>
      <c r="AS1843" t="inlineStr">
        <is>
          <t>Yes</t>
        </is>
      </c>
    </row>
    <row r="1844">
      <c r="A1844" t="inlineStr">
        <is>
          <t>Arcane</t>
        </is>
      </c>
      <c r="B1844" t="inlineStr">
        <is>
          <t>Secondary Outburst</t>
        </is>
      </c>
      <c r="E1844" t="inlineStr">
        <is>
          <t>Secondary</t>
        </is>
      </c>
      <c r="F1844" t="n">
        <v>5</v>
      </c>
      <c r="G1844" t="n">
        <v>1</v>
      </c>
      <c r="H1844" t="inlineStr">
        <is>
          <t>Player trade (max rank)</t>
        </is>
      </c>
      <c r="I1844" t="inlineStr">
        <is>
          <t>Yes</t>
        </is>
      </c>
      <c r="K1844" t="inlineStr">
        <is>
          <t>Required (v4.2 weapon/exalted builds)</t>
        </is>
      </c>
      <c r="L1844" t="n">
        <v>90</v>
      </c>
      <c r="M1844" t="n">
        <v>90</v>
      </c>
      <c r="N1844" t="n">
        <v>111</v>
      </c>
      <c r="O1844" t="inlineStr">
        <is>
          <t>2026-10-05 UTC (WFM pull 02:52-04:00)</t>
        </is>
      </c>
      <c r="P1844" t="inlineStr">
        <is>
          <t>OK</t>
        </is>
      </c>
      <c r="R1844" t="inlineStr">
        <is>
          <t>Arcanes share across items like mods (one max-rank copy covers every build).</t>
        </is>
      </c>
      <c r="S1844" t="inlineStr">
        <is>
          <t>secondary_outburst</t>
        </is>
      </c>
      <c r="T1844" t="n">
        <v>24</v>
      </c>
      <c r="U1844" t="n">
        <v>24</v>
      </c>
      <c r="V1844" t="n">
        <v>100</v>
      </c>
      <c r="W1844" t="n">
        <v>115</v>
      </c>
      <c r="X1844" t="n">
        <v>115.6</v>
      </c>
      <c r="Y1844" t="n">
        <v>2709</v>
      </c>
      <c r="Z1844" t="n">
        <v>57</v>
      </c>
      <c r="AA1844" t="n">
        <v>51</v>
      </c>
      <c r="AB1844" t="n">
        <v>39</v>
      </c>
      <c r="AQ1844" t="n">
        <v>8</v>
      </c>
      <c r="AR1844" t="n">
        <v>168</v>
      </c>
      <c r="AS1844" t="inlineStr">
        <is>
          <t>Yes</t>
        </is>
      </c>
    </row>
    <row r="1845">
      <c r="A1845" t="inlineStr">
        <is>
          <t>Arcane</t>
        </is>
      </c>
      <c r="B1845" t="inlineStr">
        <is>
          <t>Secondary Shiver</t>
        </is>
      </c>
      <c r="E1845" t="inlineStr">
        <is>
          <t>Secondary</t>
        </is>
      </c>
      <c r="F1845" t="n">
        <v>5</v>
      </c>
      <c r="G1845" t="n">
        <v>1</v>
      </c>
      <c r="H1845" t="inlineStr">
        <is>
          <t>Player trade (max rank)</t>
        </is>
      </c>
      <c r="I1845" t="inlineStr">
        <is>
          <t>Yes</t>
        </is>
      </c>
      <c r="K1845" t="inlineStr">
        <is>
          <t>Required (v4.2 weapon/exalted builds)</t>
        </is>
      </c>
      <c r="L1845" t="n">
        <v>219</v>
      </c>
      <c r="M1845" t="n">
        <v>240</v>
      </c>
      <c r="N1845" t="n">
        <v>281</v>
      </c>
      <c r="O1845" t="inlineStr">
        <is>
          <t>2026-10-05 UTC (WFM pull 02:52-04:00)</t>
        </is>
      </c>
      <c r="P1845" t="inlineStr">
        <is>
          <t>OK</t>
        </is>
      </c>
      <c r="R1845" t="inlineStr">
        <is>
          <t>Arcanes share across items like mods (one max-rank copy covers every build).</t>
        </is>
      </c>
      <c r="S1845" t="inlineStr">
        <is>
          <t>secondary_shiver</t>
        </is>
      </c>
      <c r="T1845" t="n">
        <v>12</v>
      </c>
      <c r="U1845" t="n">
        <v>12</v>
      </c>
      <c r="V1845" t="n">
        <v>255</v>
      </c>
      <c r="W1845" t="n">
        <v>149</v>
      </c>
      <c r="X1845" t="n">
        <v>206.8</v>
      </c>
      <c r="Y1845" t="n">
        <v>769</v>
      </c>
      <c r="Z1845" t="n">
        <v>36</v>
      </c>
      <c r="AA1845" t="n">
        <v>140</v>
      </c>
      <c r="AB1845" t="n">
        <v>79</v>
      </c>
      <c r="AQ1845" t="n">
        <v>13.5</v>
      </c>
      <c r="AR1845" t="n">
        <v>283.5</v>
      </c>
      <c r="AS1845" t="inlineStr">
        <is>
          <t>Yes</t>
        </is>
      </c>
    </row>
    <row r="1846">
      <c r="A1846" t="inlineStr">
        <is>
          <t>Arcane</t>
        </is>
      </c>
      <c r="B1846" t="inlineStr">
        <is>
          <t>Secondary Surge</t>
        </is>
      </c>
      <c r="E1846" t="inlineStr">
        <is>
          <t>Secondary</t>
        </is>
      </c>
      <c r="F1846" t="n">
        <v>5</v>
      </c>
      <c r="G1846" t="n">
        <v>1</v>
      </c>
      <c r="H1846" t="inlineStr">
        <is>
          <t>Player trade (max rank)</t>
        </is>
      </c>
      <c r="I1846" t="inlineStr">
        <is>
          <t>Yes</t>
        </is>
      </c>
      <c r="K1846" t="inlineStr">
        <is>
          <t>Collection (optional)</t>
        </is>
      </c>
      <c r="L1846" t="n">
        <v>25</v>
      </c>
      <c r="M1846" t="n">
        <v>30</v>
      </c>
      <c r="N1846" t="n">
        <v>50</v>
      </c>
      <c r="O1846" t="inlineStr">
        <is>
          <t>2026-10-05 UTC (WFM pull 02:52-04:00)</t>
        </is>
      </c>
      <c r="P1846" t="inlineStr">
        <is>
          <t>OK</t>
        </is>
      </c>
      <c r="R1846" t="inlineStr">
        <is>
          <t>Arcanes share across items like mods (one max-rank copy covers every build).</t>
        </is>
      </c>
      <c r="S1846" t="inlineStr">
        <is>
          <t>secondary_surge</t>
        </is>
      </c>
      <c r="T1846" t="n">
        <v>8</v>
      </c>
      <c r="U1846" t="n">
        <v>8</v>
      </c>
      <c r="V1846" t="n">
        <v>25</v>
      </c>
      <c r="W1846" t="n">
        <v>24</v>
      </c>
      <c r="X1846" t="n">
        <v>24.2</v>
      </c>
      <c r="Y1846" t="n">
        <v>429</v>
      </c>
      <c r="Z1846" t="n">
        <v>14</v>
      </c>
      <c r="AA1846" t="n">
        <v>6</v>
      </c>
      <c r="AB1846" t="n">
        <v>19</v>
      </c>
      <c r="AQ1846" t="n">
        <v>3</v>
      </c>
      <c r="AR1846" t="n">
        <v>63</v>
      </c>
      <c r="AS1846" t="inlineStr">
        <is>
          <t>Collection (optional)</t>
        </is>
      </c>
    </row>
    <row r="1847">
      <c r="A1847" t="inlineStr">
        <is>
          <t>Arcane</t>
        </is>
      </c>
      <c r="B1847" t="inlineStr">
        <is>
          <t>Shotgun Vendetta</t>
        </is>
      </c>
      <c r="E1847" t="inlineStr">
        <is>
          <t>Shotgun</t>
        </is>
      </c>
      <c r="F1847" t="n">
        <v>5</v>
      </c>
      <c r="G1847" t="n">
        <v>1</v>
      </c>
      <c r="H1847" t="inlineStr">
        <is>
          <t>Player trade (max rank)</t>
        </is>
      </c>
      <c r="I1847" t="inlineStr">
        <is>
          <t>Yes</t>
        </is>
      </c>
      <c r="K1847" t="inlineStr">
        <is>
          <t>Required (v4.2 weapon/exalted builds)</t>
        </is>
      </c>
      <c r="L1847" t="n">
        <v>99</v>
      </c>
      <c r="M1847" t="n">
        <v>100</v>
      </c>
      <c r="N1847" t="n">
        <v>176</v>
      </c>
      <c r="O1847" t="inlineStr">
        <is>
          <t>2026-10-05 UTC (WFM pull 02:52-04:00)</t>
        </is>
      </c>
      <c r="P1847" t="inlineStr">
        <is>
          <t>OK</t>
        </is>
      </c>
      <c r="R1847" t="inlineStr">
        <is>
          <t>Arcanes share across items like mods (one max-rank copy covers every build).</t>
        </is>
      </c>
      <c r="S1847" t="inlineStr">
        <is>
          <t>shotgun_vendetta</t>
        </is>
      </c>
      <c r="T1847" t="n">
        <v>19</v>
      </c>
      <c r="U1847" t="n">
        <v>19</v>
      </c>
      <c r="V1847" t="n">
        <v>160</v>
      </c>
      <c r="W1847" t="n">
        <v>110</v>
      </c>
      <c r="X1847" t="n">
        <v>127.4</v>
      </c>
      <c r="Y1847" t="n">
        <v>3374</v>
      </c>
      <c r="Z1847" t="n">
        <v>80</v>
      </c>
      <c r="AA1847" t="n">
        <v>80</v>
      </c>
      <c r="AB1847" t="n">
        <v>19</v>
      </c>
      <c r="AQ1847" t="n">
        <v>7</v>
      </c>
      <c r="AR1847" t="n">
        <v>147</v>
      </c>
      <c r="AS1847" t="inlineStr">
        <is>
          <t>Yes</t>
        </is>
      </c>
    </row>
    <row r="1848">
      <c r="A1848" t="inlineStr">
        <is>
          <t>Arcane</t>
        </is>
      </c>
      <c r="B1848" t="inlineStr">
        <is>
          <t>Theorem Contagion</t>
        </is>
      </c>
      <c r="E1848" t="inlineStr">
        <is>
          <t>Warframe</t>
        </is>
      </c>
      <c r="F1848" t="n">
        <v>5</v>
      </c>
      <c r="G1848" t="n">
        <v>1</v>
      </c>
      <c r="H1848" t="inlineStr">
        <is>
          <t>Player trade (max rank)</t>
        </is>
      </c>
      <c r="I1848" t="inlineStr">
        <is>
          <t>Yes</t>
        </is>
      </c>
      <c r="K1848" t="inlineStr">
        <is>
          <t>Collection (optional)</t>
        </is>
      </c>
      <c r="L1848" t="n">
        <v>30</v>
      </c>
      <c r="M1848" t="n">
        <v>35</v>
      </c>
      <c r="N1848" t="n">
        <v>44</v>
      </c>
      <c r="O1848" t="inlineStr">
        <is>
          <t>2026-10-05 UTC (WFM pull 02:52-04:00)</t>
        </is>
      </c>
      <c r="P1848" t="inlineStr">
        <is>
          <t>OK</t>
        </is>
      </c>
      <c r="R1848" t="inlineStr">
        <is>
          <t>Arcanes share across items like mods (one max-rank copy covers every build).</t>
        </is>
      </c>
      <c r="S1848" t="inlineStr">
        <is>
          <t>theorem_contagion</t>
        </is>
      </c>
      <c r="T1848" t="n">
        <v>16</v>
      </c>
      <c r="U1848" t="n">
        <v>16</v>
      </c>
      <c r="V1848" t="n">
        <v>30</v>
      </c>
      <c r="W1848" t="n">
        <v>36.5</v>
      </c>
      <c r="X1848" t="n">
        <v>34.9</v>
      </c>
      <c r="Y1848" t="n">
        <v>114</v>
      </c>
      <c r="Z1848" t="n">
        <v>1</v>
      </c>
      <c r="AA1848" t="n">
        <v>15</v>
      </c>
      <c r="AB1848" t="n">
        <v>15</v>
      </c>
      <c r="AQ1848" t="n">
        <v>4.5</v>
      </c>
      <c r="AR1848" t="n">
        <v>94.5</v>
      </c>
      <c r="AS1848" t="inlineStr">
        <is>
          <t>Collection (optional)</t>
        </is>
      </c>
    </row>
    <row r="1849">
      <c r="A1849" t="inlineStr">
        <is>
          <t>Arcane</t>
        </is>
      </c>
      <c r="B1849" t="inlineStr">
        <is>
          <t>Theorem Demulcent</t>
        </is>
      </c>
      <c r="E1849" t="inlineStr">
        <is>
          <t>Warframe</t>
        </is>
      </c>
      <c r="F1849" t="n">
        <v>5</v>
      </c>
      <c r="G1849" t="n">
        <v>1</v>
      </c>
      <c r="H1849" t="inlineStr">
        <is>
          <t>Player trade (max rank)</t>
        </is>
      </c>
      <c r="I1849" t="inlineStr">
        <is>
          <t>Yes</t>
        </is>
      </c>
      <c r="K1849" t="inlineStr">
        <is>
          <t>Collection (optional)</t>
        </is>
      </c>
      <c r="L1849" t="n">
        <v>30</v>
      </c>
      <c r="M1849" t="n">
        <v>35</v>
      </c>
      <c r="N1849" t="n">
        <v>43</v>
      </c>
      <c r="O1849" t="inlineStr">
        <is>
          <t>2026-10-05 UTC (WFM pull 02:52-04:00)</t>
        </is>
      </c>
      <c r="P1849" t="inlineStr">
        <is>
          <t>OK</t>
        </is>
      </c>
      <c r="R1849" t="inlineStr">
        <is>
          <t>Arcanes share across items like mods (one max-rank copy covers every build).</t>
        </is>
      </c>
      <c r="S1849" t="inlineStr">
        <is>
          <t>theorem_demulcent</t>
        </is>
      </c>
      <c r="T1849" t="n">
        <v>16</v>
      </c>
      <c r="U1849" t="n">
        <v>16</v>
      </c>
      <c r="V1849" t="n">
        <v>35</v>
      </c>
      <c r="W1849" t="n">
        <v>37</v>
      </c>
      <c r="X1849" t="n">
        <v>36.7</v>
      </c>
      <c r="Y1849" t="n">
        <v>98</v>
      </c>
      <c r="Z1849" t="n">
        <v>1</v>
      </c>
      <c r="AA1849" t="n">
        <v>5</v>
      </c>
      <c r="AB1849" t="n">
        <v>25</v>
      </c>
      <c r="AQ1849" t="n">
        <v>4</v>
      </c>
      <c r="AR1849" t="n">
        <v>84</v>
      </c>
      <c r="AS1849" t="inlineStr">
        <is>
          <t>Collection (optional)</t>
        </is>
      </c>
    </row>
    <row r="1850">
      <c r="A1850" t="inlineStr">
        <is>
          <t>Arcane</t>
        </is>
      </c>
      <c r="B1850" t="inlineStr">
        <is>
          <t>Theorem Infection</t>
        </is>
      </c>
      <c r="E1850" t="inlineStr">
        <is>
          <t>Warframe</t>
        </is>
      </c>
      <c r="F1850" t="n">
        <v>5</v>
      </c>
      <c r="G1850" t="n">
        <v>1</v>
      </c>
      <c r="H1850" t="inlineStr">
        <is>
          <t>Player trade (max rank)</t>
        </is>
      </c>
      <c r="I1850" t="inlineStr">
        <is>
          <t>Yes</t>
        </is>
      </c>
      <c r="K1850" t="inlineStr">
        <is>
          <t>Collection (optional)</t>
        </is>
      </c>
      <c r="L1850" t="n">
        <v>84</v>
      </c>
      <c r="M1850" t="n">
        <v>96</v>
      </c>
      <c r="N1850" t="n">
        <v>109</v>
      </c>
      <c r="O1850" t="inlineStr">
        <is>
          <t>2026-10-05 UTC (WFM pull 02:52-04:00)</t>
        </is>
      </c>
      <c r="P1850" t="inlineStr">
        <is>
          <t>OK</t>
        </is>
      </c>
      <c r="R1850" t="inlineStr">
        <is>
          <t>Arcanes share across items like mods (one max-rank copy covers every build).</t>
        </is>
      </c>
      <c r="S1850" t="inlineStr">
        <is>
          <t>theorem_infection</t>
        </is>
      </c>
      <c r="T1850" t="n">
        <v>14</v>
      </c>
      <c r="U1850" t="n">
        <v>14</v>
      </c>
      <c r="V1850" t="n">
        <v>89</v>
      </c>
      <c r="W1850" t="n">
        <v>87</v>
      </c>
      <c r="X1850" t="n">
        <v>88.7</v>
      </c>
      <c r="Y1850" t="n">
        <v>412</v>
      </c>
      <c r="Z1850" t="n">
        <v>7</v>
      </c>
      <c r="AA1850" t="n">
        <v>30</v>
      </c>
      <c r="AB1850" t="n">
        <v>54</v>
      </c>
      <c r="AQ1850" t="n">
        <v>6.5</v>
      </c>
      <c r="AR1850" t="n">
        <v>136.5</v>
      </c>
      <c r="AS1850" t="inlineStr">
        <is>
          <t>Collection (optional)</t>
        </is>
      </c>
    </row>
    <row r="1851">
      <c r="A1851" t="inlineStr">
        <is>
          <t>Arcane</t>
        </is>
      </c>
      <c r="B1851" t="inlineStr">
        <is>
          <t>Virtuos Forge</t>
        </is>
      </c>
      <c r="E1851" t="inlineStr">
        <is>
          <t>Amp</t>
        </is>
      </c>
      <c r="F1851" t="n">
        <v>3</v>
      </c>
      <c r="G1851" t="n">
        <v>1</v>
      </c>
      <c r="H1851" t="inlineStr">
        <is>
          <t>Player trade (max rank)</t>
        </is>
      </c>
      <c r="I1851" t="inlineStr">
        <is>
          <t>Yes</t>
        </is>
      </c>
      <c r="K1851" t="inlineStr">
        <is>
          <t>Collection (optional)</t>
        </is>
      </c>
      <c r="L1851" t="n">
        <v>54</v>
      </c>
      <c r="M1851" t="n">
        <v>56.2</v>
      </c>
      <c r="N1851" t="n">
        <v>124</v>
      </c>
      <c r="O1851" t="inlineStr">
        <is>
          <t>2026-10-05 UTC (WFM pull 02:52-04:00)</t>
        </is>
      </c>
      <c r="P1851" t="inlineStr">
        <is>
          <t>OK</t>
        </is>
      </c>
      <c r="Q1851" t="inlineStr">
        <is>
          <t>Cheaper via 10x R0 (40p realistic) than buying max rank</t>
        </is>
      </c>
      <c r="R1851" t="inlineStr">
        <is>
          <t>Arcanes share across items like mods (one max-rank copy covers every build).</t>
        </is>
      </c>
      <c r="S1851" t="inlineStr">
        <is>
          <t>virtuos_forge</t>
        </is>
      </c>
      <c r="T1851" t="n">
        <v>5</v>
      </c>
      <c r="U1851" t="n">
        <v>5</v>
      </c>
      <c r="V1851" t="n">
        <v>37.5</v>
      </c>
      <c r="W1851" t="n">
        <v>38.5</v>
      </c>
      <c r="X1851" t="n">
        <v>38.1</v>
      </c>
      <c r="Y1851" t="n">
        <v>161</v>
      </c>
      <c r="Z1851" t="n">
        <v>7</v>
      </c>
      <c r="AA1851" t="n">
        <v>20</v>
      </c>
      <c r="AB1851" t="n">
        <v>34</v>
      </c>
      <c r="AQ1851" t="n">
        <v>4</v>
      </c>
      <c r="AR1851" t="n">
        <v>40</v>
      </c>
      <c r="AS1851" t="inlineStr">
        <is>
          <t>Collection (optional)</t>
        </is>
      </c>
    </row>
    <row r="1852">
      <c r="A1852" t="inlineStr">
        <is>
          <t>Arcane</t>
        </is>
      </c>
      <c r="B1852" t="inlineStr">
        <is>
          <t>Virtuos Fury</t>
        </is>
      </c>
      <c r="E1852" t="inlineStr">
        <is>
          <t>Amp</t>
        </is>
      </c>
      <c r="F1852" t="n">
        <v>3</v>
      </c>
      <c r="G1852" t="n">
        <v>1</v>
      </c>
      <c r="H1852" t="inlineStr">
        <is>
          <t>Player trade (max rank)</t>
        </is>
      </c>
      <c r="I1852" t="inlineStr">
        <is>
          <t>Yes</t>
        </is>
      </c>
      <c r="K1852" t="inlineStr">
        <is>
          <t>Collection (optional)</t>
        </is>
      </c>
      <c r="L1852" t="n">
        <v>30</v>
      </c>
      <c r="M1852" t="n">
        <v>40</v>
      </c>
      <c r="N1852" t="n">
        <v>88</v>
      </c>
      <c r="O1852" t="inlineStr">
        <is>
          <t>2026-10-05 UTC (WFM pull 02:52-04:00)</t>
        </is>
      </c>
      <c r="P1852" t="inlineStr">
        <is>
          <t>OK</t>
        </is>
      </c>
      <c r="R1852" t="inlineStr">
        <is>
          <t>Arcanes share across items like mods (one max-rank copy covers every build).</t>
        </is>
      </c>
      <c r="S1852" t="inlineStr">
        <is>
          <t>virtuos_fury</t>
        </is>
      </c>
      <c r="T1852" t="n">
        <v>5</v>
      </c>
      <c r="U1852" t="n">
        <v>5</v>
      </c>
      <c r="V1852" t="n">
        <v>30</v>
      </c>
      <c r="W1852" t="n">
        <v>30</v>
      </c>
      <c r="X1852" t="n">
        <v>30.1</v>
      </c>
      <c r="Y1852" t="n">
        <v>96</v>
      </c>
      <c r="Z1852" t="n">
        <v>2</v>
      </c>
      <c r="AQ1852" t="n">
        <v>5</v>
      </c>
      <c r="AR1852" t="n">
        <v>50</v>
      </c>
      <c r="AS1852" t="inlineStr">
        <is>
          <t>Collection (optional)</t>
        </is>
      </c>
    </row>
    <row r="1853">
      <c r="A1853" t="inlineStr">
        <is>
          <t>Arcane</t>
        </is>
      </c>
      <c r="B1853" t="inlineStr">
        <is>
          <t>Virtuos Ghost</t>
        </is>
      </c>
      <c r="E1853" t="inlineStr">
        <is>
          <t>Amp</t>
        </is>
      </c>
      <c r="F1853" t="n">
        <v>3</v>
      </c>
      <c r="G1853" t="n">
        <v>1</v>
      </c>
      <c r="H1853" t="inlineStr">
        <is>
          <t>Player trade (max rank)</t>
        </is>
      </c>
      <c r="I1853" t="inlineStr">
        <is>
          <t>Yes</t>
        </is>
      </c>
      <c r="K1853" t="inlineStr">
        <is>
          <t>Collection (optional)</t>
        </is>
      </c>
      <c r="L1853" t="n">
        <v>30</v>
      </c>
      <c r="M1853" t="n">
        <v>32.5</v>
      </c>
      <c r="N1853" t="n">
        <v>72</v>
      </c>
      <c r="O1853" t="inlineStr">
        <is>
          <t>2026-10-05 UTC (WFM pull 02:52-04:00)</t>
        </is>
      </c>
      <c r="P1853" t="inlineStr">
        <is>
          <t>OK</t>
        </is>
      </c>
      <c r="R1853" t="inlineStr">
        <is>
          <t>Arcanes share across items like mods (one max-rank copy covers every build).</t>
        </is>
      </c>
      <c r="S1853" t="inlineStr">
        <is>
          <t>virtuos_ghost</t>
        </is>
      </c>
      <c r="T1853" t="n">
        <v>4</v>
      </c>
      <c r="U1853" t="n">
        <v>4</v>
      </c>
      <c r="V1853" t="n">
        <v>30</v>
      </c>
      <c r="W1853" t="n">
        <v>30</v>
      </c>
      <c r="X1853" t="n">
        <v>33.4</v>
      </c>
      <c r="Y1853" t="n">
        <v>74</v>
      </c>
      <c r="Z1853" t="n">
        <v>1</v>
      </c>
      <c r="AQ1853" t="n">
        <v>4</v>
      </c>
      <c r="AR1853" t="n">
        <v>40</v>
      </c>
      <c r="AS1853" t="inlineStr">
        <is>
          <t>Collection (optional)</t>
        </is>
      </c>
    </row>
    <row r="1854">
      <c r="A1854" t="inlineStr">
        <is>
          <t>Arcane</t>
        </is>
      </c>
      <c r="B1854" t="inlineStr">
        <is>
          <t>Virtuos Null</t>
        </is>
      </c>
      <c r="E1854" t="inlineStr">
        <is>
          <t>Amp</t>
        </is>
      </c>
      <c r="F1854" t="n">
        <v>3</v>
      </c>
      <c r="G1854" t="n">
        <v>1</v>
      </c>
      <c r="H1854" t="inlineStr">
        <is>
          <t>Player trade (max rank)</t>
        </is>
      </c>
      <c r="I1854" t="inlineStr">
        <is>
          <t>Yes</t>
        </is>
      </c>
      <c r="K1854" t="inlineStr">
        <is>
          <t>Collection (optional)</t>
        </is>
      </c>
      <c r="L1854" t="n">
        <v>14</v>
      </c>
      <c r="M1854" t="n">
        <v>15</v>
      </c>
      <c r="N1854" t="n">
        <v>17</v>
      </c>
      <c r="O1854" t="inlineStr">
        <is>
          <t>2026-10-05 UTC (WFM pull 02:52-04:00)</t>
        </is>
      </c>
      <c r="P1854" t="inlineStr">
        <is>
          <t>OK</t>
        </is>
      </c>
      <c r="R1854" t="inlineStr">
        <is>
          <t>Arcanes share across items like mods (one max-rank copy covers every build).</t>
        </is>
      </c>
      <c r="S1854" t="inlineStr">
        <is>
          <t>virtuos_null</t>
        </is>
      </c>
      <c r="T1854" t="n">
        <v>10</v>
      </c>
      <c r="U1854" t="n">
        <v>10</v>
      </c>
      <c r="V1854" t="n">
        <v>14.5</v>
      </c>
      <c r="W1854" t="n">
        <v>14.5</v>
      </c>
      <c r="X1854" t="n">
        <v>14.5</v>
      </c>
      <c r="Y1854" t="n">
        <v>59</v>
      </c>
      <c r="Z1854" t="n">
        <v>0</v>
      </c>
      <c r="AQ1854" t="n">
        <v>4.5</v>
      </c>
      <c r="AR1854" t="n">
        <v>45</v>
      </c>
      <c r="AS1854" t="inlineStr">
        <is>
          <t>Collection (optional)</t>
        </is>
      </c>
    </row>
    <row r="1855">
      <c r="A1855" t="inlineStr">
        <is>
          <t>Arcane</t>
        </is>
      </c>
      <c r="B1855" t="inlineStr">
        <is>
          <t>Virtuos Shadow</t>
        </is>
      </c>
      <c r="E1855" t="inlineStr">
        <is>
          <t>Amp</t>
        </is>
      </c>
      <c r="F1855" t="n">
        <v>3</v>
      </c>
      <c r="G1855" t="n">
        <v>1</v>
      </c>
      <c r="H1855" t="inlineStr">
        <is>
          <t>Player trade (max rank)</t>
        </is>
      </c>
      <c r="I1855" t="inlineStr">
        <is>
          <t>Yes</t>
        </is>
      </c>
      <c r="K1855" t="inlineStr">
        <is>
          <t>Collection (optional)</t>
        </is>
      </c>
      <c r="L1855" t="n">
        <v>25</v>
      </c>
      <c r="M1855" t="n">
        <v>35</v>
      </c>
      <c r="N1855" t="n">
        <v>77</v>
      </c>
      <c r="O1855" t="inlineStr">
        <is>
          <t>2026-10-05 UTC (WFM pull 02:52-04:00)</t>
        </is>
      </c>
      <c r="P1855" t="inlineStr">
        <is>
          <t>OK</t>
        </is>
      </c>
      <c r="R1855" t="inlineStr">
        <is>
          <t>Arcanes share across items like mods (one max-rank copy covers every build).</t>
        </is>
      </c>
      <c r="S1855" t="inlineStr">
        <is>
          <t>virtuos_shadow</t>
        </is>
      </c>
      <c r="T1855" t="n">
        <v>5</v>
      </c>
      <c r="U1855" t="n">
        <v>5</v>
      </c>
      <c r="V1855" t="n">
        <v>25</v>
      </c>
      <c r="W1855" t="n">
        <v>27.5</v>
      </c>
      <c r="X1855" t="n">
        <v>26.4</v>
      </c>
      <c r="Y1855" t="n">
        <v>333</v>
      </c>
      <c r="Z1855" t="n">
        <v>11</v>
      </c>
      <c r="AQ1855" t="n">
        <v>5</v>
      </c>
      <c r="AR1855" t="n">
        <v>50</v>
      </c>
      <c r="AS1855" t="inlineStr">
        <is>
          <t>Collection (optional)</t>
        </is>
      </c>
    </row>
    <row r="1856">
      <c r="A1856" t="inlineStr">
        <is>
          <t>Arcane</t>
        </is>
      </c>
      <c r="B1856" t="inlineStr">
        <is>
          <t>Virtuos Spike</t>
        </is>
      </c>
      <c r="E1856" t="inlineStr">
        <is>
          <t>Amp</t>
        </is>
      </c>
      <c r="F1856" t="n">
        <v>3</v>
      </c>
      <c r="G1856" t="n">
        <v>1</v>
      </c>
      <c r="H1856" t="inlineStr">
        <is>
          <t>Player trade (max rank)</t>
        </is>
      </c>
      <c r="I1856" t="inlineStr">
        <is>
          <t>Yes</t>
        </is>
      </c>
      <c r="K1856" t="inlineStr">
        <is>
          <t>Collection (optional)</t>
        </is>
      </c>
      <c r="L1856" t="n">
        <v>18</v>
      </c>
      <c r="M1856" t="n">
        <v>19</v>
      </c>
      <c r="N1856" t="n">
        <v>33</v>
      </c>
      <c r="O1856" t="inlineStr">
        <is>
          <t>2026-10-05 UTC (WFM pull 02:52-04:00)</t>
        </is>
      </c>
      <c r="P1856" t="inlineStr">
        <is>
          <t>OK</t>
        </is>
      </c>
      <c r="R1856" t="inlineStr">
        <is>
          <t>Arcanes share across items like mods (one max-rank copy covers every build).</t>
        </is>
      </c>
      <c r="S1856" t="inlineStr">
        <is>
          <t>virtuos_spike</t>
        </is>
      </c>
      <c r="T1856" t="n">
        <v>94</v>
      </c>
      <c r="U1856" t="n">
        <v>2</v>
      </c>
      <c r="V1856" t="n">
        <v>30</v>
      </c>
      <c r="W1856" t="n">
        <v>25</v>
      </c>
      <c r="X1856" t="n">
        <v>27.7</v>
      </c>
      <c r="Y1856" t="n">
        <v>48</v>
      </c>
      <c r="Z1856" t="n">
        <v>1</v>
      </c>
      <c r="AQ1856" t="n">
        <v>5</v>
      </c>
      <c r="AR1856" t="n">
        <v>50</v>
      </c>
      <c r="AS1856" t="inlineStr">
        <is>
          <t>Collection (optional)</t>
        </is>
      </c>
    </row>
    <row r="1857">
      <c r="A1857" t="inlineStr">
        <is>
          <t>Arcane</t>
        </is>
      </c>
      <c r="B1857" t="inlineStr">
        <is>
          <t>Virtuos Strike</t>
        </is>
      </c>
      <c r="E1857" t="inlineStr">
        <is>
          <t>Amp</t>
        </is>
      </c>
      <c r="F1857" t="n">
        <v>3</v>
      </c>
      <c r="G1857" t="n">
        <v>1</v>
      </c>
      <c r="H1857" t="inlineStr">
        <is>
          <t>Player trade (max rank)</t>
        </is>
      </c>
      <c r="I1857" t="inlineStr">
        <is>
          <t>Yes</t>
        </is>
      </c>
      <c r="K1857" t="inlineStr">
        <is>
          <t>Collection (optional)</t>
        </is>
      </c>
      <c r="L1857" t="n">
        <v>28</v>
      </c>
      <c r="M1857" t="n">
        <v>30</v>
      </c>
      <c r="N1857" t="n">
        <v>39</v>
      </c>
      <c r="O1857" t="inlineStr">
        <is>
          <t>2026-10-05 UTC (WFM pull 02:52-04:00)</t>
        </is>
      </c>
      <c r="P1857" t="inlineStr">
        <is>
          <t>OK</t>
        </is>
      </c>
      <c r="R1857" t="inlineStr">
        <is>
          <t>Arcanes share across items like mods (one max-rank copy covers every build).</t>
        </is>
      </c>
      <c r="S1857" t="inlineStr">
        <is>
          <t>virtuos_strike</t>
        </is>
      </c>
      <c r="T1857" t="n">
        <v>7</v>
      </c>
      <c r="U1857" t="n">
        <v>7</v>
      </c>
      <c r="V1857" t="n">
        <v>25</v>
      </c>
      <c r="W1857" t="n">
        <v>28</v>
      </c>
      <c r="X1857" t="n">
        <v>27.8</v>
      </c>
      <c r="Y1857" t="n">
        <v>1080</v>
      </c>
      <c r="Z1857" t="n">
        <v>22</v>
      </c>
      <c r="AQ1857" t="n">
        <v>4</v>
      </c>
      <c r="AR1857" t="n">
        <v>40</v>
      </c>
      <c r="AS1857" t="inlineStr">
        <is>
          <t>Collection (optional)</t>
        </is>
      </c>
    </row>
    <row r="1858">
      <c r="A1858" t="inlineStr">
        <is>
          <t>Arcane</t>
        </is>
      </c>
      <c r="B1858" t="inlineStr">
        <is>
          <t>Virtuos Surge</t>
        </is>
      </c>
      <c r="E1858" t="inlineStr">
        <is>
          <t>Amp</t>
        </is>
      </c>
      <c r="F1858" t="n">
        <v>3</v>
      </c>
      <c r="G1858" t="n">
        <v>1</v>
      </c>
      <c r="H1858" t="inlineStr">
        <is>
          <t>Player trade (max rank)</t>
        </is>
      </c>
      <c r="I1858" t="inlineStr">
        <is>
          <t>Yes</t>
        </is>
      </c>
      <c r="K1858" t="inlineStr">
        <is>
          <t>Collection (optional)</t>
        </is>
      </c>
      <c r="L1858" t="n">
        <v>18</v>
      </c>
      <c r="M1858" t="n">
        <v>20</v>
      </c>
      <c r="N1858" t="n">
        <v>33</v>
      </c>
      <c r="O1858" t="inlineStr">
        <is>
          <t>2026-10-05 UTC (WFM pull 02:52-04:00)</t>
        </is>
      </c>
      <c r="P1858" t="inlineStr">
        <is>
          <t>OK</t>
        </is>
      </c>
      <c r="R1858" t="inlineStr">
        <is>
          <t>Arcanes share across items like mods (one max-rank copy covers every build).</t>
        </is>
      </c>
      <c r="S1858" t="inlineStr">
        <is>
          <t>virtuos_surge</t>
        </is>
      </c>
      <c r="T1858" t="n">
        <v>104</v>
      </c>
      <c r="U1858" t="n">
        <v>2</v>
      </c>
      <c r="V1858" t="n">
        <v>30</v>
      </c>
      <c r="W1858" t="n">
        <v>29</v>
      </c>
      <c r="X1858" t="n">
        <v>28.3</v>
      </c>
      <c r="Y1858" t="n">
        <v>64</v>
      </c>
      <c r="Z1858" t="n">
        <v>0</v>
      </c>
      <c r="AQ1858" t="n">
        <v>3</v>
      </c>
      <c r="AR1858" t="n">
        <v>30</v>
      </c>
      <c r="AS1858" t="inlineStr">
        <is>
          <t>Collection (optional)</t>
        </is>
      </c>
    </row>
    <row r="1859">
      <c r="A1859" t="inlineStr">
        <is>
          <t>Arcane</t>
        </is>
      </c>
      <c r="B1859" t="inlineStr">
        <is>
          <t>Virtuos Tempo</t>
        </is>
      </c>
      <c r="E1859" t="inlineStr">
        <is>
          <t>Amp</t>
        </is>
      </c>
      <c r="F1859" t="n">
        <v>3</v>
      </c>
      <c r="G1859" t="n">
        <v>1</v>
      </c>
      <c r="H1859" t="inlineStr">
        <is>
          <t>Player trade (max rank)</t>
        </is>
      </c>
      <c r="I1859" t="inlineStr">
        <is>
          <t>Yes</t>
        </is>
      </c>
      <c r="K1859" t="inlineStr">
        <is>
          <t>Collection (optional)</t>
        </is>
      </c>
      <c r="L1859" t="n">
        <v>21</v>
      </c>
      <c r="M1859" t="n">
        <v>30</v>
      </c>
      <c r="N1859" t="n">
        <v>66</v>
      </c>
      <c r="O1859" t="inlineStr">
        <is>
          <t>2026-10-05 UTC (WFM pull 02:52-04:00)</t>
        </is>
      </c>
      <c r="P1859" t="inlineStr">
        <is>
          <t>OK</t>
        </is>
      </c>
      <c r="R1859" t="inlineStr">
        <is>
          <t>Arcanes share across items like mods (one max-rank copy covers every build).</t>
        </is>
      </c>
      <c r="S1859" t="inlineStr">
        <is>
          <t>virtuos_tempo</t>
        </is>
      </c>
      <c r="T1859" t="n">
        <v>6</v>
      </c>
      <c r="U1859" t="n">
        <v>6</v>
      </c>
      <c r="V1859" t="n">
        <v>23</v>
      </c>
      <c r="W1859" t="n">
        <v>24</v>
      </c>
      <c r="X1859" t="n">
        <v>23.9</v>
      </c>
      <c r="Y1859" t="n">
        <v>475</v>
      </c>
      <c r="Z1859" t="n">
        <v>13</v>
      </c>
      <c r="AQ1859" t="n">
        <v>3</v>
      </c>
      <c r="AR1859" t="n">
        <v>30</v>
      </c>
      <c r="AS1859" t="inlineStr">
        <is>
          <t>Collection (optional)</t>
        </is>
      </c>
    </row>
    <row r="1860">
      <c r="A1860" t="inlineStr">
        <is>
          <t>Arcane</t>
        </is>
      </c>
      <c r="B1860" t="inlineStr">
        <is>
          <t>Virtuos Trojan</t>
        </is>
      </c>
      <c r="E1860" t="inlineStr">
        <is>
          <t>Amp</t>
        </is>
      </c>
      <c r="F1860" t="n">
        <v>3</v>
      </c>
      <c r="G1860" t="n">
        <v>1</v>
      </c>
      <c r="H1860" t="inlineStr">
        <is>
          <t>Player trade (max rank)</t>
        </is>
      </c>
      <c r="I1860" t="inlineStr">
        <is>
          <t>Yes</t>
        </is>
      </c>
      <c r="K1860" t="inlineStr">
        <is>
          <t>Collection (optional)</t>
        </is>
      </c>
      <c r="L1860" t="n">
        <v>54</v>
      </c>
      <c r="M1860" t="n">
        <v>71.2</v>
      </c>
      <c r="N1860" t="n">
        <v>157</v>
      </c>
      <c r="O1860" t="inlineStr">
        <is>
          <t>2026-10-05 UTC (WFM pull 02:52-04:00)</t>
        </is>
      </c>
      <c r="P1860" t="inlineStr">
        <is>
          <t>OK</t>
        </is>
      </c>
      <c r="R1860" t="inlineStr">
        <is>
          <t>Arcanes share across items like mods (one max-rank copy covers every build).</t>
        </is>
      </c>
      <c r="S1860" t="inlineStr">
        <is>
          <t>virtuos_trojan</t>
        </is>
      </c>
      <c r="T1860" t="n">
        <v>3</v>
      </c>
      <c r="U1860" t="n">
        <v>3</v>
      </c>
      <c r="V1860" t="n">
        <v>47.5</v>
      </c>
      <c r="W1860" t="n">
        <v>50</v>
      </c>
      <c r="X1860" t="n">
        <v>51</v>
      </c>
      <c r="Y1860" t="n">
        <v>269</v>
      </c>
      <c r="Z1860" t="n">
        <v>7</v>
      </c>
      <c r="AA1860" t="n">
        <v>25</v>
      </c>
      <c r="AB1860" t="n">
        <v>29</v>
      </c>
      <c r="AQ1860" t="n">
        <v>8.199999999999999</v>
      </c>
      <c r="AR1860" t="n">
        <v>82</v>
      </c>
      <c r="AS1860" t="inlineStr">
        <is>
          <t>Collection (optional)</t>
        </is>
      </c>
    </row>
    <row r="1861">
      <c r="A1861" t="inlineStr">
        <is>
          <t>Arcane</t>
        </is>
      </c>
      <c r="B1861" t="inlineStr">
        <is>
          <t>Zid-an Asheir</t>
        </is>
      </c>
      <c r="E1861" t="inlineStr">
        <is>
          <t>Tektolyst Artifacts</t>
        </is>
      </c>
      <c r="F1861" t="n">
        <v>5</v>
      </c>
      <c r="G1861" t="n">
        <v>1</v>
      </c>
      <c r="H1861" t="inlineStr">
        <is>
          <t>Player trade (max rank)</t>
        </is>
      </c>
      <c r="I1861" t="inlineStr">
        <is>
          <t>Yes</t>
        </is>
      </c>
      <c r="K1861" t="inlineStr">
        <is>
          <t>Collection (optional)</t>
        </is>
      </c>
      <c r="L1861" t="n">
        <v>28</v>
      </c>
      <c r="M1861" t="n">
        <v>40</v>
      </c>
      <c r="N1861" t="n">
        <v>44</v>
      </c>
      <c r="O1861" t="inlineStr">
        <is>
          <t>2026-10-05 UTC (WFM pull 02:52-04:00)</t>
        </is>
      </c>
      <c r="P1861" t="inlineStr">
        <is>
          <t>OK</t>
        </is>
      </c>
      <c r="R1861" t="inlineStr">
        <is>
          <t>Arcanes share across items like mods (one max-rank copy covers every build).</t>
        </is>
      </c>
      <c r="S1861" t="inlineStr">
        <is>
          <t>zid_an_asheir</t>
        </is>
      </c>
      <c r="T1861" t="n">
        <v>9</v>
      </c>
      <c r="U1861" t="n">
        <v>9</v>
      </c>
      <c r="V1861" t="n">
        <v>30</v>
      </c>
      <c r="W1861" t="n">
        <v>32</v>
      </c>
      <c r="X1861" t="n">
        <v>32.4</v>
      </c>
      <c r="Y1861" t="n">
        <v>419</v>
      </c>
      <c r="Z1861" t="n">
        <v>9</v>
      </c>
      <c r="AQ1861" t="n">
        <v>3</v>
      </c>
      <c r="AR1861" t="n">
        <v>63</v>
      </c>
      <c r="AS1861" t="inlineStr">
        <is>
          <t>Collection (optional)</t>
        </is>
      </c>
    </row>
    <row r="1862">
      <c r="A1862" t="inlineStr">
        <is>
          <t>Arcane</t>
        </is>
      </c>
      <c r="B1862" t="inlineStr">
        <is>
          <t>Zid-an Haras</t>
        </is>
      </c>
      <c r="E1862" t="inlineStr">
        <is>
          <t>Tektolyst Artifacts</t>
        </is>
      </c>
      <c r="F1862" t="n">
        <v>5</v>
      </c>
      <c r="G1862" t="n">
        <v>1</v>
      </c>
      <c r="H1862" t="inlineStr">
        <is>
          <t>Player trade (max rank)</t>
        </is>
      </c>
      <c r="I1862" t="inlineStr">
        <is>
          <t>Yes</t>
        </is>
      </c>
      <c r="K1862" t="inlineStr">
        <is>
          <t>Collection (optional)</t>
        </is>
      </c>
      <c r="L1862" t="n">
        <v>50</v>
      </c>
      <c r="M1862" t="n">
        <v>50</v>
      </c>
      <c r="N1862" t="n">
        <v>111</v>
      </c>
      <c r="O1862" t="inlineStr">
        <is>
          <t>2026-10-05 UTC (WFM pull 02:52-04:00)</t>
        </is>
      </c>
      <c r="P1862" t="inlineStr">
        <is>
          <t>OK</t>
        </is>
      </c>
      <c r="R1862" t="inlineStr">
        <is>
          <t>Arcanes share across items like mods (one max-rank copy covers every build).</t>
        </is>
      </c>
      <c r="S1862" t="inlineStr">
        <is>
          <t>zid_an_haras</t>
        </is>
      </c>
      <c r="T1862" t="n">
        <v>9</v>
      </c>
      <c r="U1862" t="n">
        <v>9</v>
      </c>
      <c r="V1862" t="n">
        <v>25</v>
      </c>
      <c r="W1862" t="n">
        <v>25</v>
      </c>
      <c r="X1862" t="n">
        <v>24.7</v>
      </c>
      <c r="Y1862" t="n">
        <v>339</v>
      </c>
      <c r="Z1862" t="n">
        <v>7</v>
      </c>
      <c r="AQ1862" t="n">
        <v>3</v>
      </c>
      <c r="AR1862" t="n">
        <v>63</v>
      </c>
      <c r="AS1862" t="inlineStr">
        <is>
          <t>Collection (optional)</t>
        </is>
      </c>
    </row>
    <row r="1863">
      <c r="A1863" t="inlineStr">
        <is>
          <t>Arcane</t>
        </is>
      </c>
      <c r="B1863" t="inlineStr">
        <is>
          <t>Zid-an Osbok</t>
        </is>
      </c>
      <c r="E1863" t="inlineStr">
        <is>
          <t>Tektolyst Artifacts</t>
        </is>
      </c>
      <c r="F1863" t="n">
        <v>5</v>
      </c>
      <c r="G1863" t="n">
        <v>1</v>
      </c>
      <c r="H1863" t="inlineStr">
        <is>
          <t>Player trade (max rank)</t>
        </is>
      </c>
      <c r="I1863" t="inlineStr">
        <is>
          <t>Yes</t>
        </is>
      </c>
      <c r="K1863" t="inlineStr">
        <is>
          <t>Collection (optional)</t>
        </is>
      </c>
      <c r="L1863" t="n">
        <v>60</v>
      </c>
      <c r="M1863" t="n">
        <v>70</v>
      </c>
      <c r="N1863" t="n">
        <v>88</v>
      </c>
      <c r="O1863" t="inlineStr">
        <is>
          <t>2026-10-05 UTC (WFM pull 02:52-04:00)</t>
        </is>
      </c>
      <c r="P1863" t="inlineStr">
        <is>
          <t>OK</t>
        </is>
      </c>
      <c r="R1863" t="inlineStr">
        <is>
          <t>Arcanes share across items like mods (one max-rank copy covers every build).</t>
        </is>
      </c>
      <c r="S1863" t="inlineStr">
        <is>
          <t>zid_an_osbok</t>
        </is>
      </c>
      <c r="T1863" t="n">
        <v>8</v>
      </c>
      <c r="U1863" t="n">
        <v>8</v>
      </c>
      <c r="V1863" t="n">
        <v>59.5</v>
      </c>
      <c r="W1863" t="n">
        <v>59.5</v>
      </c>
      <c r="X1863" t="n">
        <v>57.6</v>
      </c>
      <c r="Y1863" t="n">
        <v>771</v>
      </c>
      <c r="Z1863" t="n">
        <v>21</v>
      </c>
      <c r="AA1863" t="n">
        <v>35</v>
      </c>
      <c r="AB1863" t="n">
        <v>25</v>
      </c>
      <c r="AQ1863" t="n">
        <v>4</v>
      </c>
      <c r="AR1863" t="n">
        <v>84</v>
      </c>
      <c r="AS1863" t="inlineStr">
        <is>
          <t>Collection (optional)</t>
        </is>
      </c>
    </row>
    <row r="1864">
      <c r="A1864" t="inlineStr">
        <is>
          <t>Arcane</t>
        </is>
      </c>
      <c r="B1864" t="inlineStr">
        <is>
          <t>Zid-an Sek-eel</t>
        </is>
      </c>
      <c r="E1864" t="inlineStr">
        <is>
          <t>Tektolyst Artifacts</t>
        </is>
      </c>
      <c r="F1864" t="n">
        <v>5</v>
      </c>
      <c r="G1864" t="n">
        <v>1</v>
      </c>
      <c r="H1864" t="inlineStr">
        <is>
          <t>Player trade (max rank)</t>
        </is>
      </c>
      <c r="I1864" t="inlineStr">
        <is>
          <t>Yes</t>
        </is>
      </c>
      <c r="K1864" t="inlineStr">
        <is>
          <t>Collection (optional)</t>
        </is>
      </c>
      <c r="L1864" t="n">
        <v>29</v>
      </c>
      <c r="M1864" t="n">
        <v>37.5</v>
      </c>
      <c r="N1864" t="n">
        <v>83</v>
      </c>
      <c r="O1864" t="inlineStr">
        <is>
          <t>2026-10-05 UTC (WFM pull 02:52-04:00)</t>
        </is>
      </c>
      <c r="P1864" t="inlineStr">
        <is>
          <t>OK</t>
        </is>
      </c>
      <c r="R1864" t="inlineStr">
        <is>
          <t>Arcanes share across items like mods (one max-rank copy covers every build).</t>
        </is>
      </c>
      <c r="S1864" t="inlineStr">
        <is>
          <t>zid_an_sek_eel</t>
        </is>
      </c>
      <c r="T1864" t="n">
        <v>10</v>
      </c>
      <c r="U1864" t="n">
        <v>10</v>
      </c>
      <c r="V1864" t="n">
        <v>25</v>
      </c>
      <c r="W1864" t="n">
        <v>29</v>
      </c>
      <c r="X1864" t="n">
        <v>27.9</v>
      </c>
      <c r="Y1864" t="n">
        <v>331</v>
      </c>
      <c r="Z1864" t="n">
        <v>13</v>
      </c>
      <c r="AQ1864" t="n">
        <v>3</v>
      </c>
      <c r="AR1864" t="n">
        <v>63</v>
      </c>
      <c r="AS1864" t="inlineStr">
        <is>
          <t>Collection (optional)</t>
        </is>
      </c>
    </row>
    <row r="1865">
      <c r="A1865" t="inlineStr">
        <is>
          <t>Arcane</t>
        </is>
      </c>
      <c r="B1865" t="inlineStr">
        <is>
          <t>Zid-an Uskos</t>
        </is>
      </c>
      <c r="E1865" t="inlineStr">
        <is>
          <t>Tektolyst Artifacts</t>
        </is>
      </c>
      <c r="F1865" t="n">
        <v>5</v>
      </c>
      <c r="G1865" t="n">
        <v>1</v>
      </c>
      <c r="H1865" t="inlineStr">
        <is>
          <t>Player trade (max rank)</t>
        </is>
      </c>
      <c r="I1865" t="inlineStr">
        <is>
          <t>Yes</t>
        </is>
      </c>
      <c r="K1865" t="inlineStr">
        <is>
          <t>Collection (optional)</t>
        </is>
      </c>
      <c r="L1865" t="n">
        <v>95</v>
      </c>
      <c r="M1865" t="n">
        <v>105</v>
      </c>
      <c r="N1865" t="n">
        <v>232</v>
      </c>
      <c r="O1865" t="inlineStr">
        <is>
          <t>2026-10-05 UTC (WFM pull 02:52-04:00)</t>
        </is>
      </c>
      <c r="P1865" t="inlineStr">
        <is>
          <t>OK</t>
        </is>
      </c>
      <c r="R1865" t="inlineStr">
        <is>
          <t>Arcanes share across items like mods (one max-rank copy covers every build).</t>
        </is>
      </c>
      <c r="S1865" t="inlineStr">
        <is>
          <t>zid_an_uskos</t>
        </is>
      </c>
      <c r="T1865" t="n">
        <v>5</v>
      </c>
      <c r="U1865" t="n">
        <v>5</v>
      </c>
      <c r="V1865" t="n">
        <v>70</v>
      </c>
      <c r="W1865" t="n">
        <v>70</v>
      </c>
      <c r="X1865" t="n">
        <v>73.40000000000001</v>
      </c>
      <c r="Y1865" t="n">
        <v>1370</v>
      </c>
      <c r="Z1865" t="n">
        <v>25</v>
      </c>
      <c r="AA1865" t="n">
        <v>55</v>
      </c>
      <c r="AB1865" t="n">
        <v>40</v>
      </c>
      <c r="AQ1865" t="n">
        <v>7</v>
      </c>
      <c r="AR1865" t="n">
        <v>147</v>
      </c>
      <c r="AS1865" t="inlineStr">
        <is>
          <t>Collection (optional)</t>
        </is>
      </c>
    </row>
  </sheetData>
  <autoFilter ref="A1:AS18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2026-10-05T09:11:49Z</dcterms:created>
  <dcterms:modified xsi:type="dcterms:W3CDTF">2026-10-05T09:11:52Z</dcterms:modified>
</cp:coreProperties>
</file>