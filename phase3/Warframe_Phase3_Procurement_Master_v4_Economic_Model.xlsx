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hase 3 Summary" sheetId="1" state="visible" r:id="rId1"/>
    <sheet name="FRAME BUILDS — FINAL" sheetId="2" state="visible" r:id="rId2"/>
    <sheet name="FRAME MOD CONFIGS" sheetId="3" state="visible" r:id="rId3"/>
    <sheet name="ARCHON SHARDS1" sheetId="4" state="visible" r:id="rId4"/>
    <sheet name="COMPANION ASSIGNMENTS" sheetId="5" state="visible" r:id="rId5"/>
    <sheet name="EXALTED BUILDS" sheetId="6" state="visible" r:id="rId6"/>
    <sheet name="WEAPON CONFIGS" sheetId="7" state="visible" r:id="rId7"/>
    <sheet name="BUILD PROCUREMENT DELTA" sheetId="8" state="visible" r:id="rId8"/>
    <sheet name="BUILD OPEN ITEMS" sheetId="9" state="visible" r:id="rId9"/>
    <sheet name="BUILD COMPLETENESS" sheetId="10" state="visible" r:id="rId10"/>
    <sheet name="Corrections Log" sheetId="11" state="visible" r:id="rId11"/>
    <sheet name="Live Content Reconciliation" sheetId="12" state="visible" r:id="rId12"/>
    <sheet name="Upcoming (Not Live)" sheetId="13" state="visible" r:id="rId13"/>
    <sheet name="Weapon Allocation v4" sheetId="14" state="visible" r:id="rId14"/>
    <sheet name="Roster v4 (live)" sheetId="15" state="visible" r:id="rId15"/>
    <sheet name="Open Items" sheetId="16" state="visible" r:id="rId16"/>
    <sheet name="Frames" sheetId="17" state="visible" r:id="rId17"/>
    <sheet name="Weapons" sheetId="18" state="visible" r:id="rId18"/>
    <sheet name="Adversary" sheetId="19" state="visible" r:id="rId19"/>
    <sheet name="Incarnon Genesis" sheetId="20" state="visible" r:id="rId20"/>
    <sheet name="Arcanes" sheetId="21" state="visible" r:id="rId21"/>
    <sheet name="Mods" sheetId="22" state="visible" r:id="rId22"/>
    <sheet name="Archon Shards" sheetId="23" state="visible" r:id="rId23"/>
    <sheet name="Companions" sheetId="24" state="visible" r:id="rId24"/>
    <sheet name="Account Infrastructure" sheetId="25" state="visible" r:id="rId25"/>
    <sheet name="Sources" sheetId="26" state="visible" r:id="rId26"/>
    <sheet name="Normalization Log" sheetId="27" state="visible" r:id="rId27"/>
    <sheet name="Economic Model" sheetId="28" state="visible" r:id="rId28"/>
    <sheet name="Procurement Master" sheetId="29" state="visible" r:id="rId29"/>
  </sheets>
  <definedNames>
    <definedName name="_xlnm._FilterDatabase" localSheetId="1" hidden="1">'FRAME BUILDS — FINAL'!$A$1:$AM$67</definedName>
    <definedName name="_xlnm._FilterDatabase" localSheetId="2" hidden="1">'FRAME MOD CONFIGS'!$A$1:$I$681</definedName>
    <definedName name="_xlnm._FilterDatabase" localSheetId="3" hidden="1">'ARCHON SHARDS1'!$A$1:$G$331</definedName>
    <definedName name="_xlnm._FilterDatabase" localSheetId="4" hidden="1">'COMPANION ASSIGNMENTS'!$A$1:$D$67</definedName>
    <definedName name="_xlnm._FilterDatabase" localSheetId="5" hidden="1">'EXALTED BUILDS'!$A$1:$H$23</definedName>
    <definedName name="_xlnm._FilterDatabase" localSheetId="6" hidden="1">'WEAPON CONFIGS'!$A$1:$M$185</definedName>
    <definedName name="_xlnm._FilterDatabase" localSheetId="7" hidden="1">'BUILD PROCUREMENT DELTA'!$A$1:$G$58</definedName>
    <definedName name="_xlnm._FilterDatabase" localSheetId="8" hidden="1">'BUILD OPEN ITEMS'!$A$1:$B$8</definedName>
    <definedName name="_xlnm._FilterDatabase" localSheetId="9" hidden="1">'BUILD COMPLETENESS'!$A$1:$B$13</definedName>
    <definedName name="_xlnm._FilterDatabase" localSheetId="10" hidden="1">'Corrections Log'!$A$1:$E$25</definedName>
    <definedName name="_xlnm._FilterDatabase" localSheetId="11" hidden="1">'Live Content Reconciliation'!$A$1:$I$135</definedName>
    <definedName name="_xlnm._FilterDatabase" localSheetId="12" hidden="1">'Upcoming (Not Live)'!$A$1:$E$7</definedName>
    <definedName name="_xlnm._FilterDatabase" localSheetId="13" hidden="1">'Weapon Allocation v4'!$A$1:$H$67</definedName>
    <definedName name="_xlnm._FilterDatabase" localSheetId="14" hidden="1">'Roster v4 (live)'!$A$1:$G$67</definedName>
    <definedName name="_xlnm._FilterDatabase" localSheetId="15" hidden="1">'Open Items'!$A$1:$C$13</definedName>
    <definedName name="_xlnm._FilterDatabase" localSheetId="20" hidden="1">'Arcanes'!$A$1:$J$24</definedName>
    <definedName name="_xlnm._FilterDatabase" localSheetId="22" hidden="1">'Archon Shards'!$A$1:$C$19</definedName>
    <definedName name="_xlnm._FilterDatabase" localSheetId="28" hidden="1">'Procurement Master'!$A$1:$AS$1865</definedName>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0&quot;x&quot;"/>
  </numFmts>
  <fonts count="9">
    <font>
      <name val="Carlito"/>
      <sz val="11"/>
    </font>
    <font>
      <name val="Carlito"/>
      <b val="1"/>
      <color rgb="FFFFFFFF"/>
      <sz val="16"/>
    </font>
    <font>
      <name val="Carlito"/>
      <b val="1"/>
      <sz val="11"/>
    </font>
    <font>
      <name val="Carlito"/>
      <b val="1"/>
      <color rgb="FFFFFFFF"/>
      <sz val="11"/>
    </font>
    <font>
      <b val="1"/>
      <color rgb="FFFFFFFF"/>
    </font>
    <font>
      <name val="Carlito"/>
      <b val="1"/>
      <color rgb="FFFFFFFF"/>
      <sz val="15"/>
    </font>
    <font>
      <b val="1"/>
      <color rgb="00FFFFFF"/>
    </font>
    <font>
      <b val="1"/>
    </font>
    <font>
      <b val="1"/>
      <sz val="14"/>
    </font>
  </fonts>
  <fills count="9">
    <fill>
      <patternFill/>
    </fill>
    <fill>
      <patternFill patternType="gray125"/>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001F3A5F"/>
      </patternFill>
    </fill>
    <fill>
      <patternFill patternType="solid">
        <fgColor rgb="00FFF2CC"/>
      </patternFill>
    </fill>
  </fills>
  <borders count="2">
    <border/>
    <border/>
  </borders>
  <cellStyleXfs count="1">
    <xf numFmtId="0" fontId="0" fillId="0" borderId="1"/>
  </cellStyleXfs>
  <cellXfs count="5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1" fillId="2" borderId="0" applyAlignment="1" pivotButton="0" quotePrefix="0" xfId="0">
      <alignment horizontal="center" wrapText="1"/>
    </xf>
    <xf numFmtId="0" fontId="1" fillId="2" borderId="1" applyAlignment="1" pivotButton="0" quotePrefix="0" xfId="0">
      <alignment horizontal="center" wrapText="1"/>
    </xf>
    <xf numFmtId="0" fontId="3" fillId="2" borderId="0" pivotButton="0" quotePrefix="0" xfId="0"/>
    <xf numFmtId="0" fontId="3" fillId="2" borderId="0" applyAlignment="1" pivotButton="0" quotePrefix="0" xfId="0">
      <alignment horizontal="center"/>
    </xf>
    <xf numFmtId="0" fontId="3" fillId="2" borderId="0" applyAlignment="1" pivotButton="0" quotePrefix="0" xfId="0">
      <alignment horizontal="center" vertical="center"/>
    </xf>
    <xf numFmtId="0" fontId="3" fillId="2" borderId="1" pivotButton="0" quotePrefix="0" xfId="0"/>
    <xf numFmtId="0" fontId="3" fillId="2" borderId="1" applyAlignment="1" pivotButton="0" quotePrefix="0" xfId="0">
      <alignment horizontal="center"/>
    </xf>
    <xf numFmtId="0" fontId="3" fillId="2" borderId="1" applyAlignment="1" pivotButton="0" quotePrefix="0" xfId="0">
      <alignment horizontal="center" vertical="center"/>
    </xf>
    <xf numFmtId="0" fontId="3" fillId="2" borderId="0" applyAlignment="1" pivotButton="0" quotePrefix="0" xfId="0">
      <alignment horizontal="center" vertical="center" wrapText="1"/>
    </xf>
    <xf numFmtId="0" fontId="0"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wrapText="1"/>
    </xf>
    <xf numFmtId="0" fontId="4" fillId="4"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0" fillId="3" borderId="0" pivotButton="0" quotePrefix="0" xfId="0"/>
    <xf numFmtId="0" fontId="2" fillId="3" borderId="0" pivotButton="0" quotePrefix="0" xfId="0"/>
    <xf numFmtId="0" fontId="1" fillId="2" borderId="0" applyAlignment="1" pivotButton="0" quotePrefix="0" xfId="0">
      <alignment horizontal="center" wrapText="1"/>
    </xf>
    <xf numFmtId="0" fontId="3" fillId="2" borderId="0" pivotButton="0" quotePrefix="0" xfId="0"/>
    <xf numFmtId="0" fontId="3" fillId="2" borderId="0" applyAlignment="1" pivotButton="0" quotePrefix="0" xfId="0">
      <alignment horizontal="center"/>
    </xf>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0" fillId="0" borderId="0" applyAlignment="1" pivotButton="0" quotePrefix="0" xfId="0">
      <alignment wrapText="1"/>
    </xf>
    <xf numFmtId="0" fontId="4" fillId="2" borderId="0" applyAlignment="1" pivotButton="0" quotePrefix="0" xfId="0">
      <alignment vertical="top" wrapText="1"/>
    </xf>
    <xf numFmtId="0" fontId="0" fillId="0" borderId="0" applyAlignment="1" pivotButton="0" quotePrefix="0" xfId="0">
      <alignment vertical="top" wrapText="1"/>
    </xf>
    <xf numFmtId="0" fontId="0" fillId="5" borderId="0" pivotButton="0" quotePrefix="0" xfId="0"/>
    <xf numFmtId="0" fontId="5" fillId="5" borderId="0" pivotButton="0" quotePrefix="0" xfId="0"/>
    <xf numFmtId="0" fontId="5" fillId="5" borderId="0" applyAlignment="1" pivotButton="0" quotePrefix="0" xfId="0">
      <alignment horizontal="center"/>
    </xf>
    <xf numFmtId="0" fontId="0" fillId="6" borderId="0" pivotButton="0" quotePrefix="0" xfId="0"/>
    <xf numFmtId="0" fontId="2" fillId="6" borderId="0" pivotButton="0" quotePrefix="0" xfId="0"/>
    <xf numFmtId="0" fontId="5" fillId="5" borderId="0" applyAlignment="1" pivotButton="0" quotePrefix="0" xfId="0">
      <alignment horizontal="center" wrapText="1"/>
    </xf>
    <xf numFmtId="0" fontId="2" fillId="6" borderId="0" applyAlignment="1" pivotButton="0" quotePrefix="0" xfId="0">
      <alignment wrapText="1"/>
    </xf>
    <xf numFmtId="2" fontId="0" fillId="0" borderId="0" applyAlignment="1" pivotButton="0" quotePrefix="0" xfId="0">
      <alignment wrapText="1"/>
    </xf>
    <xf numFmtId="2" fontId="2" fillId="6" borderId="0" applyAlignment="1" pivotButton="0" quotePrefix="0" xfId="0">
      <alignment wrapText="1"/>
    </xf>
    <xf numFmtId="164" fontId="0" fillId="0" borderId="0" applyAlignment="1" pivotButton="0" quotePrefix="0" xfId="0">
      <alignment wrapText="1"/>
    </xf>
    <xf numFmtId="0" fontId="3" fillId="5" borderId="0" pivotButton="0" quotePrefix="0" xfId="0"/>
    <xf numFmtId="0" fontId="6" fillId="7" borderId="0" applyAlignment="1" pivotButton="0" quotePrefix="0" xfId="0">
      <alignment vertical="top" wrapText="1"/>
    </xf>
    <xf numFmtId="0" fontId="0" fillId="8" borderId="0" pivotButton="0" quotePrefix="0" xfId="0"/>
    <xf numFmtId="0" fontId="8" fillId="0" borderId="0" pivotButton="0" quotePrefix="0" xfId="0"/>
    <xf numFmtId="0" fontId="7" fillId="0" borderId="0" pivotButton="0" quotePrefix="0" xfId="0"/>
    <xf numFmtId="3" fontId="0" fillId="0" borderId="0" pivotButton="0" quotePrefix="0" xfId="0"/>
    <xf numFmtId="3" fontId="7" fillId="0" borderId="0" pivotButton="0" quotePrefix="0" xfId="0"/>
    <xf numFmtId="165" fontId="0" fillId="0" borderId="0" pivotButton="0" quotePrefix="0" xfId="0"/>
    <xf numFmtId="166" fontId="0" fillId="0" borderId="0" pivotButton="0" quotePrefix="0" xfId="0"/>
  </cellXfs>
  <cellStyles count="1">
    <cellStyle name="Normal" xfId="0"/>
  </cellStyles>
  <dxfs count="18">
    <dxf>
      <fill>
        <patternFill>
          <bgColor rgb="FFFCE8B2"/>
        </patternFill>
      </fill>
    </dxf>
    <dxf>
      <fill>
        <patternFill>
          <bgColor rgb="FFD9EAD3"/>
        </patternFill>
      </fill>
    </dxf>
    <dxf>
      <fill>
        <patternFill>
          <bgColor rgb="FFFCE8B2"/>
        </patternFill>
      </fill>
    </dxf>
    <dxf>
      <fill>
        <patternFill>
          <bgColor rgb="FFD9EAD3"/>
        </patternFill>
      </fill>
    </dxf>
    <dxf>
      <fill>
        <patternFill>
          <bgColor rgb="FFFCE8B2"/>
        </patternFill>
      </fill>
    </dxf>
    <dxf>
      <fill>
        <patternFill>
          <bgColor rgb="FFD9EAD3"/>
        </patternFill>
      </fill>
    </dxf>
    <dxf>
      <fill>
        <patternFill>
          <bgColor rgb="FFFCE8B2"/>
        </patternFill>
      </fill>
    </dxf>
    <dxf>
      <fill>
        <patternFill>
          <bgColor rgb="FFD9EAD3"/>
        </patternFill>
      </fill>
    </dxf>
    <dxf>
      <fill>
        <patternFill>
          <bgColor rgb="FFFCE8B2"/>
        </patternFill>
      </fill>
    </dxf>
    <dxf>
      <fill>
        <patternFill>
          <bgColor rgb="FFD9EAD3"/>
        </patternFill>
      </fill>
    </dxf>
    <dxf>
      <fill>
        <patternFill>
          <bgColor rgb="FFFCE8B2"/>
        </patternFill>
      </fill>
    </dxf>
    <dxf>
      <fill>
        <patternFill>
          <bgColor rgb="FFD9EAD3"/>
        </patternFill>
      </fill>
    </dxf>
    <dxf>
      <fill>
        <patternFill>
          <bgColor rgb="FFFCE8B2"/>
        </patternFill>
      </fill>
    </dxf>
    <dxf>
      <fill>
        <patternFill>
          <bgColor rgb="FFD9EAD3"/>
        </patternFill>
      </fill>
    </dxf>
    <dxf>
      <fill>
        <patternFill>
          <bgColor rgb="FFFCE8B2"/>
        </patternFill>
      </fill>
    </dxf>
    <dxf>
      <fill>
        <patternFill>
          <bgColor rgb="FFD9EAD3"/>
        </patternFill>
      </fill>
    </dxf>
    <dxf>
      <fill>
        <patternFill>
          <bgColor rgb="FFFCE8B2"/>
        </patternFill>
      </fill>
    </dxf>
    <dxf>
      <fill>
        <patternFill>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4" customWidth="1" style="26" min="1" max="1"/>
    <col width="75" customWidth="1" style="26" min="2" max="2"/>
    <col width="24" customWidth="1" style="26" min="4" max="4"/>
    <col width="24" customWidth="1" style="26" min="5" max="5"/>
    <col width="24" customWidth="1" style="26" min="6" max="6"/>
  </cols>
  <sheetData>
    <row r="1">
      <c r="A1" s="13" t="inlineStr">
        <is>
          <t>WARFRAME PERMANENT ACCOUNT - PHASE 3 PROCUREMENT MASTER v4 (normalized + live-priced)</t>
        </is>
      </c>
      <c r="B1" s="1" t="n"/>
      <c r="C1" s="1" t="n"/>
      <c r="D1" s="1" t="n"/>
      <c r="E1" s="1" t="n"/>
      <c r="F1" s="1" t="n"/>
    </row>
    <row r="3">
      <c r="A3" s="31" t="inlineStr">
        <is>
          <t>Category</t>
        </is>
      </c>
      <c r="B3" s="31" t="inlineStr">
        <is>
          <t>Phase 3 Rule</t>
        </is>
      </c>
      <c r="D3" s="31" t="inlineStr">
        <is>
          <t>Metric</t>
        </is>
      </c>
      <c r="E3" s="31" t="inlineStr">
        <is>
          <t>Count</t>
        </is>
      </c>
      <c r="F3" s="31" t="inlineStr">
        <is>
          <t>Note</t>
        </is>
      </c>
    </row>
    <row r="4">
      <c r="A4" t="inlineStr">
        <is>
          <t>Frames</t>
        </is>
      </c>
      <c r="B4" t="inlineStr">
        <is>
          <t>Prime replaces Normal whenever Prime exists; Excalibur Umbra replaces normal Excalibur; Cyte-09 already owned.</t>
        </is>
      </c>
      <c r="D4" t="inlineStr">
        <is>
          <t>Roster identities</t>
        </is>
      </c>
      <c r="E4" t="n">
        <v>66</v>
      </c>
      <c r="F4" t="inlineStr">
        <is>
          <t>66 Phase-2 identities</t>
        </is>
      </c>
    </row>
    <row r="5">
      <c r="A5" t="inlineStr">
        <is>
          <t>Prime acquisition</t>
        </is>
      </c>
      <c r="B5" t="inlineStr">
        <is>
          <t>Buy/trade blueprint + component sets or farm Relics; crafted Prime items themselves are not player-tradeable.</t>
        </is>
      </c>
      <c r="D5" t="inlineStr">
        <is>
          <t>Named weapon rows</t>
        </is>
      </c>
      <c r="E5" t="n">
        <v>183</v>
      </c>
      <c r="F5" t="inlineStr">
        <is>
          <t>183 slot-taking + 14 Exalted/intrinsic (v4 normalized)</t>
        </is>
      </c>
    </row>
    <row r="6">
      <c r="A6" t="inlineStr">
        <is>
          <t>Mods</t>
        </is>
      </c>
      <c r="B6" t="inlineStr">
        <is>
          <t>Permanent doctrine: acquire EVERY tradeable mod at MAX rank, excluding Rivens. Account-bound/Daily Tribute mods must be earned.</t>
        </is>
      </c>
      <c r="D6" t="inlineStr">
        <is>
          <t>Incarnon adapters</t>
        </is>
      </c>
      <c r="E6" t="n">
        <v>32</v>
      </c>
      <c r="F6" t="inlineStr">
        <is>
          <t>32 Genesis + 7 innate (v4)</t>
        </is>
      </c>
    </row>
    <row r="7">
      <c r="A7" t="inlineStr">
        <is>
          <t>Arcanes</t>
        </is>
      </c>
      <c r="B7" t="inlineStr">
        <is>
          <t>Acquire one max-rank copy of every Arcane required by locked builds; one copy can move between frames unless simultaneous loadouts require duplicates.</t>
        </is>
      </c>
      <c r="D7" t="inlineStr">
        <is>
          <t>Adversary targets</t>
        </is>
      </c>
      <c r="E7" t="n">
        <v>12</v>
      </c>
      <c r="F7" t="inlineStr">
        <is>
          <t>v4</t>
        </is>
      </c>
    </row>
    <row r="8">
      <c r="A8" t="inlineStr">
        <is>
          <t>Adversary</t>
        </is>
      </c>
      <c r="B8" t="inlineStr">
        <is>
          <t>Target 60% Valence on required Kuva/Tenet/Coda weapons; Rank 40; obtain Elemental Vice for element flexibility.</t>
        </is>
      </c>
      <c r="D8" t="inlineStr">
        <is>
          <t>Arcane families</t>
        </is>
      </c>
      <c r="E8" t="n">
        <v>25</v>
      </c>
      <c r="F8" t="inlineStr">
        <is>
          <t>14 v3 + 11 v4 weapon baseline</t>
        </is>
      </c>
    </row>
    <row r="9">
      <c r="A9" t="inlineStr">
        <is>
          <t>Incarnon</t>
        </is>
      </c>
      <c r="B9" t="inlineStr">
        <is>
          <t>Acquire listed Genesis adapters via Steel Path Circuit/Cavalero; install on final weapon variant.</t>
        </is>
      </c>
      <c r="D9" t="inlineStr">
        <is>
          <t>Exact duplicate weapon names</t>
        </is>
      </c>
      <c r="E9" t="n">
        <v>0</v>
      </c>
      <c r="F9" t="inlineStr">
        <is>
          <t>v4 logical audit: 0 exact</t>
        </is>
      </c>
    </row>
    <row r="10">
      <c r="A10" t="inlineStr">
        <is>
          <t>Potatoes</t>
        </is>
      </c>
      <c r="B10" t="inlineStr">
        <is>
          <t>One Reactor per permanent frame; Catalysts for ordinary/exalted/companion weapons that accept them.</t>
        </is>
      </c>
      <c r="D10" t="inlineStr">
        <is>
          <t>Incarnon Genesis targets</t>
        </is>
      </c>
      <c r="E10" t="n">
        <v>32</v>
      </c>
      <c r="F10" t="inlineStr">
        <is>
          <t>v4 live audit</t>
        </is>
      </c>
    </row>
    <row r="11">
      <c r="A11" t="inlineStr">
        <is>
          <t>Forma</t>
        </is>
      </c>
      <c r="B11" t="inlineStr">
        <is>
          <t>Do not bulk-Forma before LIVE TEST flags are cleared. Adversary weapons need 5 Forma each for Rank 40.</t>
        </is>
      </c>
      <c r="D11" t="inlineStr">
        <is>
          <t>Adversary targets</t>
        </is>
      </c>
      <c r="E11" t="n">
        <v>12</v>
      </c>
      <c r="F11" t="inlineStr">
        <is>
          <t>v4</t>
        </is>
      </c>
    </row>
    <row r="12">
      <c r="A12" t="inlineStr">
        <is>
          <t>Shards</t>
        </is>
      </c>
      <c r="B12" t="inlineStr">
        <is>
          <t>Account-bound. Tauforged is final target; use Ascent Fusion where efficient.</t>
        </is>
      </c>
    </row>
    <row r="13">
      <c r="A13" t="inlineStr">
        <is>
          <t>Companions</t>
        </is>
      </c>
      <c r="B13" t="inlineStr">
        <is>
          <t>Acquire listed companion chassis/breeds and their complete tradeable mod packages.</t>
        </is>
      </c>
      <c r="D13" s="44" t="inlineStr">
        <is>
          <t>Economic KPI</t>
        </is>
      </c>
      <c r="E13" s="44" t="inlineStr">
        <is>
          <t>Value</t>
        </is>
      </c>
      <c r="F13" s="44" t="inlineStr">
        <is>
          <t>Interpretation</t>
        </is>
      </c>
    </row>
    <row r="14">
      <c r="A14" t="inlineStr">
        <is>
          <t>Helminth</t>
        </is>
      </c>
      <c r="B14" t="inlineStr">
        <is>
          <t>Unlock Helminth system and subsume every required donor ability; keep spare base frames when needed for subsumption.</t>
        </is>
      </c>
      <c r="D14" t="inlineStr">
        <is>
          <t>Gross storage Pt</t>
        </is>
      </c>
      <c r="E14">
        <f>'Economic Model'!D26</f>
        <v/>
      </c>
      <c r="F14" t="inlineStr">
        <is>
          <t>Gross fixed infrastructure (v4)</t>
        </is>
      </c>
    </row>
    <row r="15">
      <c r="D15" t="inlineStr">
        <is>
          <t>Gross potato shortcut Pt</t>
        </is>
      </c>
      <c r="E15">
        <f>'Economic Model'!D32</f>
        <v/>
      </c>
      <c r="F15" t="inlineStr">
        <is>
          <t>Farmable; optional Platinum shortcut</t>
        </is>
      </c>
    </row>
    <row r="16">
      <c r="D16" t="inlineStr">
        <is>
          <t>Gross fixed shortcut Pt</t>
        </is>
      </c>
      <c r="E16">
        <f>'Economic Model'!D26+'Economic Model'!D32</f>
        <v/>
      </c>
      <c r="F16" t="inlineStr">
        <is>
          <t>Storage + listed potatoes</t>
        </is>
      </c>
    </row>
    <row r="17">
      <c r="D17" t="inlineStr">
        <is>
          <t>$1k official-store benchmark Pt</t>
        </is>
      </c>
      <c r="E17" t="n">
        <v>23000</v>
      </c>
      <c r="F17" t="inlineStr">
        <is>
          <t>Undiscounted benchmark</t>
        </is>
      </c>
    </row>
    <row r="19">
      <c r="D19" t="inlineStr">
        <is>
          <t>Realistic total reconstruction Pt (v4)</t>
        </is>
      </c>
      <c r="E19">
        <f>'Economic Model'!C35</f>
        <v/>
      </c>
      <c r="F19" t="inlineStr">
        <is>
          <t>Trade + net fixed infrastructure</t>
        </is>
      </c>
    </row>
    <row r="21">
      <c r="A21" t="inlineStr"/>
      <c r="B21" t="inlineStr"/>
      <c r="C21" t="inlineStr"/>
      <c r="D21" t="inlineStr">
        <is>
          <t>Frame builds FINAL (v4.2)</t>
        </is>
      </c>
      <c r="E21" t="inlineStr">
        <is>
          <t>66/66</t>
        </is>
      </c>
      <c r="F21" t="inlineStr">
        <is>
          <t>See FRAME BUILDS — FINAL</t>
        </is>
      </c>
    </row>
    <row r="22">
      <c r="A22" t="inlineStr"/>
      <c r="B22" t="inlineStr"/>
      <c r="C22" t="inlineStr"/>
      <c r="D22" t="inlineStr">
        <is>
          <t>Archon Shard positions</t>
        </is>
      </c>
      <c r="E22" t="n">
        <v>330</v>
      </c>
      <c r="F22" t="inlineStr">
        <is>
          <t>80 Tauforged</t>
        </is>
      </c>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M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6" min="1" max="1"/>
    <col width="45" customWidth="1" style="26" min="2" max="2"/>
    <col width="18" customWidth="1" style="26" min="3" max="3"/>
    <col width="10" customWidth="1" style="26" min="4" max="4"/>
    <col width="12" customWidth="1" style="26" min="5" max="5"/>
    <col width="12" customWidth="1" style="26" min="6" max="6"/>
    <col width="10" customWidth="1" style="26" min="7" max="7"/>
    <col width="14" customWidth="1" style="26" min="8" max="8"/>
    <col width="40" customWidth="1" style="26" min="9" max="9"/>
    <col width="40" customWidth="1" style="26" min="10" max="10"/>
    <col width="10" customWidth="1" style="26" min="11" max="11"/>
    <col width="15" customWidth="1" style="26" min="12" max="12"/>
    <col width="10" customWidth="1" style="26" min="13" max="13"/>
    <col width="70" customWidth="1" style="26" min="14" max="14"/>
    <col width="12" customWidth="1" style="26" min="15" max="15"/>
    <col width="40" customWidth="1" style="26" min="16" max="16"/>
    <col width="10" customWidth="1" style="26" min="17" max="17"/>
    <col width="10" customWidth="1" style="26" min="18" max="18"/>
    <col width="10" customWidth="1" style="26" min="19" max="19"/>
    <col width="10" customWidth="1" style="26" min="20" max="20"/>
    <col width="10" customWidth="1" style="26" min="21" max="21"/>
    <col width="10" customWidth="1" style="26" min="22" max="22"/>
    <col width="10" customWidth="1" style="26" min="23" max="23"/>
    <col width="14" customWidth="1" style="26" min="24" max="24"/>
    <col width="11" customWidth="1" style="26" min="25" max="25"/>
    <col width="18" customWidth="1" style="26" min="26" max="26"/>
    <col width="10" customWidth="1" style="26" min="27" max="27"/>
    <col width="11" customWidth="1" style="26" min="28" max="28"/>
    <col width="10" customWidth="1" style="26" min="29" max="29"/>
    <col width="21" customWidth="1" style="26" min="30" max="30"/>
    <col width="15" customWidth="1" style="26" min="31" max="31"/>
    <col width="45" customWidth="1" style="26" min="32" max="32"/>
    <col width="60" customWidth="1" style="26" min="33" max="33"/>
    <col width="60" customWidth="1" style="26" min="34" max="34"/>
    <col width="34" customWidth="1" style="26" min="35" max="35"/>
    <col width="24" customWidth="1" style="26" min="36" max="36"/>
    <col width="50" customWidth="1" style="26" min="37" max="37"/>
    <col width="45" customWidth="1" style="26" min="38" max="38"/>
    <col width="14" customWidth="1" style="26" min="39" max="39"/>
  </cols>
  <sheetData>
    <row r="1">
      <c r="A1" s="51" t="inlineStr">
        <is>
          <t>Frame</t>
        </is>
      </c>
      <c r="B1" s="51" t="inlineStr">
        <is>
          <t>Build identity / gameplay</t>
        </is>
      </c>
      <c r="C1" s="51" t="inlineStr">
        <is>
          <t>Helminth ability</t>
        </is>
      </c>
      <c r="D1" s="51" t="inlineStr">
        <is>
          <t>Replaces</t>
        </is>
      </c>
      <c r="E1" s="51" t="inlineStr">
        <is>
          <t>Strength %</t>
        </is>
      </c>
      <c r="F1" s="51" t="inlineStr">
        <is>
          <t>Duration %</t>
        </is>
      </c>
      <c r="G1" s="51" t="inlineStr">
        <is>
          <t>Range %</t>
        </is>
      </c>
      <c r="H1" s="51" t="inlineStr">
        <is>
          <t>Efficiency %</t>
        </is>
      </c>
      <c r="I1" s="51" t="inlineStr">
        <is>
          <t>Breakpoints / targets</t>
        </is>
      </c>
      <c r="J1" s="51" t="inlineStr">
        <is>
          <t>Conditional stat sources</t>
        </is>
      </c>
      <c r="K1" s="51" t="inlineStr">
        <is>
          <t>Aura</t>
        </is>
      </c>
      <c r="L1" s="51" t="inlineStr">
        <is>
          <t>Aura 2 (Jade)</t>
        </is>
      </c>
      <c r="M1" s="51" t="inlineStr">
        <is>
          <t>Exilus</t>
        </is>
      </c>
      <c r="N1" s="51" t="inlineStr">
        <is>
          <t>Warframe mods (8)</t>
        </is>
      </c>
      <c r="O1" s="51" t="inlineStr">
        <is>
          <t>Augment(s)</t>
        </is>
      </c>
      <c r="P1" s="51" t="inlineStr">
        <is>
          <t>Survivability architecture</t>
        </is>
      </c>
      <c r="Q1" s="51" t="inlineStr">
        <is>
          <t>Arcane 1</t>
        </is>
      </c>
      <c r="R1" s="51" t="inlineStr">
        <is>
          <t>Arcane 2</t>
        </is>
      </c>
      <c r="S1" s="51" t="inlineStr">
        <is>
          <t>Shard 1</t>
        </is>
      </c>
      <c r="T1" s="51" t="inlineStr">
        <is>
          <t>Shard 2</t>
        </is>
      </c>
      <c r="U1" s="51" t="inlineStr">
        <is>
          <t>Shard 3</t>
        </is>
      </c>
      <c r="V1" s="51" t="inlineStr">
        <is>
          <t>Shard 4</t>
        </is>
      </c>
      <c r="W1" s="51" t="inlineStr">
        <is>
          <t>Shard 5</t>
        </is>
      </c>
      <c r="X1" s="51" t="inlineStr">
        <is>
          <t>Focus School</t>
        </is>
      </c>
      <c r="Y1" s="51" t="inlineStr">
        <is>
          <t>Companion</t>
        </is>
      </c>
      <c r="Z1" s="51" t="inlineStr">
        <is>
          <t>Companion weapon</t>
        </is>
      </c>
      <c r="AA1" s="51" t="inlineStr">
        <is>
          <t>Primary</t>
        </is>
      </c>
      <c r="AB1" s="51" t="inlineStr">
        <is>
          <t>Secondary</t>
        </is>
      </c>
      <c r="AC1" s="51" t="inlineStr">
        <is>
          <t>Melee</t>
        </is>
      </c>
      <c r="AD1" s="51" t="inlineStr">
        <is>
          <t>Exalted / intrinsic</t>
        </is>
      </c>
      <c r="AE1" s="51" t="inlineStr">
        <is>
          <t>Exalted build</t>
        </is>
      </c>
      <c r="AF1" s="51" t="inlineStr">
        <is>
          <t>Weapon Arcanes</t>
        </is>
      </c>
      <c r="AG1" s="51" t="inlineStr">
        <is>
          <t>Incarnon evolutions</t>
        </is>
      </c>
      <c r="AH1" s="51" t="inlineStr">
        <is>
          <t>Element / status assumptions</t>
        </is>
      </c>
      <c r="AI1" s="51" t="inlineStr">
        <is>
          <t>Mod capacity (cost/cap, Reactor)</t>
        </is>
      </c>
      <c r="AJ1" s="51" t="inlineStr">
        <is>
          <t>Forma estimate (frame)</t>
        </is>
      </c>
      <c r="AK1" s="51" t="inlineStr">
        <is>
          <t>LIVE TEST REQUIRED</t>
        </is>
      </c>
      <c r="AL1" s="51" t="inlineStr">
        <is>
          <t>Notes</t>
        </is>
      </c>
      <c r="AM1" s="51" t="inlineStr">
        <is>
          <t>Completeness</t>
        </is>
      </c>
    </row>
    <row r="2">
      <c r="A2" s="39" t="inlineStr">
        <is>
          <t>Ash Prime</t>
        </is>
      </c>
      <c r="B2" s="39" t="inlineStr">
        <is>
          <t>Blade Storm finisher assassin; Shadow Clones crit melee scaling via Ability Combo; Melee Crescendo via finishers</t>
        </is>
      </c>
      <c r="C2" s="39" t="inlineStr">
        <is>
          <t>Roar</t>
        </is>
      </c>
      <c r="D2" s="39" t="inlineStr">
        <is>
          <t>Shuriken</t>
        </is>
      </c>
      <c r="E2" s="39" t="n">
        <v>217</v>
      </c>
      <c r="F2" s="39" t="n">
        <v>155</v>
      </c>
      <c r="G2" s="39" t="n">
        <v>100</v>
      </c>
      <c r="H2" s="39" t="n">
        <v>130</v>
      </c>
      <c r="I2" s="39" t="inlineStr">
        <is>
          <t>No hard Str cap; Roar scales with Str. Duration only affects Smoke Screen/Roar uptime.</t>
        </is>
      </c>
      <c r="J2" s="39" t="inlineStr">
        <is>
          <t>Growing Power +25% Str on weapon status; Molt Augmented up to +60% Str; Roar (subsumed) +30% x Str damage</t>
        </is>
      </c>
      <c r="K2" s="39" t="inlineStr">
        <is>
          <t>Growing Power</t>
        </is>
      </c>
      <c r="L2" s="39" t="n"/>
      <c r="M2" s="39" t="inlineStr">
        <is>
          <t>Power Drift</t>
        </is>
      </c>
      <c r="N2" s="39" t="inlineStr">
        <is>
          <t>Umbral Intensify | Umbral Vitality | Umbral Fiber | Primed Continuity | Primed Flow | Streamline | Rolling Guard | Rising Storm</t>
        </is>
      </c>
      <c r="O2" s="39" t="inlineStr">
        <is>
          <t>Rising Storm</t>
        </is>
      </c>
      <c r="P2" s="39" t="inlineStr">
        <is>
          <t>Umbral health+armor set, Rolling Guard status cleanse/i-frames, Smoke Screen invisibility, Teleport repositioning</t>
        </is>
      </c>
      <c r="Q2" s="39" t="inlineStr">
        <is>
          <t>Molt Augmented</t>
        </is>
      </c>
      <c r="R2" s="39" t="inlineStr">
        <is>
          <t>Arcane Avenger</t>
        </is>
      </c>
      <c r="S2" s="39" t="inlineStr">
        <is>
          <t>Tauforged Crimson: Ability Strength +15%</t>
        </is>
      </c>
      <c r="T2" s="39" t="inlineStr">
        <is>
          <t>Crimson: Ability Strength +10%</t>
        </is>
      </c>
      <c r="U2" s="39" t="inlineStr">
        <is>
          <t>Tauforged Crimson: Melee Critical Damage +37.5%</t>
        </is>
      </c>
      <c r="V2" s="39" t="inlineStr">
        <is>
          <t>Azure: Armor +150</t>
        </is>
      </c>
      <c r="W2" s="39" t="inlineStr">
        <is>
          <t>Amber: Casting Speed +25%</t>
        </is>
      </c>
      <c r="X2" s="39" t="inlineStr">
        <is>
          <t>Madurai</t>
        </is>
      </c>
      <c r="Y2" s="39" t="inlineStr">
        <is>
          <t>Adarza Kavat</t>
        </is>
      </c>
      <c r="Z2" s="39" t="inlineStr">
        <is>
          <t>Adarza Claws</t>
        </is>
      </c>
      <c r="AA2" s="39" t="inlineStr">
        <is>
          <t>Vectis Prime</t>
        </is>
      </c>
      <c r="AB2" s="39" t="inlineStr">
        <is>
          <t>Tenet Plinx</t>
        </is>
      </c>
      <c r="AC2" s="39" t="inlineStr">
        <is>
          <t>Innodem</t>
        </is>
      </c>
      <c r="AD2" s="39" t="inlineStr">
        <is>
          <t>Shadow Clones Prime</t>
        </is>
      </c>
      <c r="AE2" s="39" t="inlineStr">
        <is>
          <t>See EXALTED BUILDS</t>
        </is>
      </c>
      <c r="AF2" s="39" t="inlineStr">
        <is>
          <t>P: Primary Deadhead / S: Secondary Outburst / M: Melee Crescendo</t>
        </is>
      </c>
      <c r="AG2" s="39" t="inlineStr">
        <is>
          <t>Vectis Prime: EVO2: Lone Enforcer, EVO3: Rapid Reinforcement, EVO4: Critical Parallel; Innodem: EVO2: Orokin Reach, EVO3: Blade Twister, EVO4: Swooping Lunge, EVO5: Blood Anointed</t>
        </is>
      </c>
      <c r="AH2" s="39" t="inlineStr">
        <is>
          <t>Vectis Prime: crit (Viral + Heat); Tenet Plinx: crit (Adversary innate element); Innodem: crit (Viral + Heat)</t>
        </is>
      </c>
      <c r="AI2" s="39" t="inlineStr">
        <is>
          <t>71/74 (fits)</t>
        </is>
      </c>
      <c r="AJ2" s="39" t="n">
        <v>4</v>
      </c>
      <c r="AK2" s="39" t="inlineStr">
        <is>
          <t>-</t>
        </is>
      </c>
      <c r="AL2" s="39" t="inlineStr">
        <is>
          <t>Rising Storm: Blade Storm adds Melee Combo to sustain Shadow Clones scaling.</t>
        </is>
      </c>
      <c r="AM2" s="39" t="inlineStr">
        <is>
          <t>COMPLETE</t>
        </is>
      </c>
    </row>
    <row r="3">
      <c r="A3" s="39" t="inlineStr">
        <is>
          <t>Atlas Prime</t>
        </is>
      </c>
      <c r="B3" s="39" t="inlineStr">
        <is>
          <t>Petrify/Rumblers tank and Landslide brawler (Ability Combo scaling)</t>
        </is>
      </c>
      <c r="C3" s="39" t="inlineStr">
        <is>
          <t>Nourish</t>
        </is>
      </c>
      <c r="D3" s="39" t="inlineStr">
        <is>
          <t>Tectonics</t>
        </is>
      </c>
      <c r="E3" s="39" t="n">
        <v>217</v>
      </c>
      <c r="F3" s="39" t="n">
        <v>155</v>
      </c>
      <c r="G3" s="39" t="n">
        <v>145</v>
      </c>
      <c r="H3" s="39" t="n">
        <v>130</v>
      </c>
      <c r="I3" s="39" t="inlineStr">
        <is>
          <t>Rubble Heap threshold 1400 Rubble; Petrify/Rumblers scale on Str.</t>
        </is>
      </c>
      <c r="J3" s="39" t="inlineStr">
        <is>
          <t>Nourish (subsumed) energy multiplier and Viral on weapons; Rubble Heap free Landslide above 1400 Rubble</t>
        </is>
      </c>
      <c r="K3" s="39" t="inlineStr">
        <is>
          <t>Growing Power</t>
        </is>
      </c>
      <c r="L3" s="39" t="n"/>
      <c r="M3" s="39" t="inlineStr">
        <is>
          <t>Power Drift</t>
        </is>
      </c>
      <c r="N3" s="39" t="inlineStr">
        <is>
          <t>Umbral Intensify | Umbral Vitality | Umbral Fiber | Primed Continuity | Primed Flow | Streamline | Stretch | Rubble Heap</t>
        </is>
      </c>
      <c r="O3" s="39" t="inlineStr">
        <is>
          <t>Rubble Heap</t>
        </is>
      </c>
      <c r="P3" s="39" t="inlineStr">
        <is>
          <t>Passive rubble armor overguard, Umbral health/armor, Petrify stone CC, Arcane Reaper armor/regen</t>
        </is>
      </c>
      <c r="Q3" s="39" t="inlineStr">
        <is>
          <t>Arcane Reaper</t>
        </is>
      </c>
      <c r="R3" s="39" t="inlineStr">
        <is>
          <t>Molt Augmented</t>
        </is>
      </c>
      <c r="S3" s="39" t="inlineStr">
        <is>
          <t>Tauforged Crimson: Ability Strength +15%</t>
        </is>
      </c>
      <c r="T3" s="39" t="inlineStr">
        <is>
          <t>Crimson: Ability Strength +10%</t>
        </is>
      </c>
      <c r="U3" s="39" t="inlineStr">
        <is>
          <t>Azure: Armor +150</t>
        </is>
      </c>
      <c r="V3" s="39" t="inlineStr">
        <is>
          <t>Azure: Armor +150</t>
        </is>
      </c>
      <c r="W3" s="39" t="inlineStr">
        <is>
          <t>Amber: Casting Speed +25%</t>
        </is>
      </c>
      <c r="X3" s="39" t="inlineStr">
        <is>
          <t>Madurai</t>
        </is>
      </c>
      <c r="Y3" s="39" t="inlineStr">
        <is>
          <t>Panzer Vulpaphyla</t>
        </is>
      </c>
      <c r="Z3" s="39" t="inlineStr">
        <is>
          <t>Panzer Claws</t>
        </is>
      </c>
      <c r="AA3" s="39" t="inlineStr">
        <is>
          <t>Kuva Hek</t>
        </is>
      </c>
      <c r="AB3" s="39" t="inlineStr">
        <is>
          <t>Atomos</t>
        </is>
      </c>
      <c r="AC3" s="39" t="inlineStr">
        <is>
          <t>Tekko Prime</t>
        </is>
      </c>
      <c r="AD3" s="39" t="inlineStr">
        <is>
          <t>Landslide Fists Prime</t>
        </is>
      </c>
      <c r="AE3" s="39" t="inlineStr">
        <is>
          <t>See EXALTED BUILDS</t>
        </is>
      </c>
      <c r="AF3" s="39" t="inlineStr">
        <is>
          <t>P: Shotgun Vendetta / S: Secondary Encumber / M: Melee Duplicate</t>
        </is>
      </c>
      <c r="AG3" s="39" t="inlineStr">
        <is>
          <t>Atomos: EVO2: Paladin Virtue, EVO3: Moonrise Velocity, EVO4: Elemental Balance</t>
        </is>
      </c>
      <c r="AH3" s="39" t="inlineStr">
        <is>
          <t>Kuva Hek: crit (Adversary innate element); Atomos: status (Corrosive + Viral); Tekko Prime: crit (Viral + Heat)</t>
        </is>
      </c>
      <c r="AI3" s="39" t="inlineStr">
        <is>
          <t>74/74 (fits)</t>
        </is>
      </c>
      <c r="AJ3" s="39" t="n">
        <v>3</v>
      </c>
      <c r="AK3" s="39" t="inlineStr">
        <is>
          <t>-</t>
        </is>
      </c>
      <c r="AL3" s="39" t="n"/>
      <c r="AM3" s="39" t="inlineStr">
        <is>
          <t>COMPLETE</t>
        </is>
      </c>
    </row>
    <row r="4">
      <c r="A4" s="39" t="inlineStr">
        <is>
          <t>Banshee Prime</t>
        </is>
      </c>
      <c r="B4" s="39" t="inlineStr">
        <is>
          <t>U44 Banshee: Sonar weak-point damage multiplier support + Sonic Boom armor strip + Sound Quake blast nuke</t>
        </is>
      </c>
      <c r="C4" s="39" t="inlineStr">
        <is>
          <t>Roar</t>
        </is>
      </c>
      <c r="D4" s="39" t="inlineStr">
        <is>
          <t>Silence</t>
        </is>
      </c>
      <c r="E4" s="39" t="n">
        <v>244</v>
      </c>
      <c r="F4" s="39" t="n">
        <v>137.5</v>
      </c>
      <c r="G4" s="39" t="n">
        <v>175</v>
      </c>
      <c r="H4" s="39" t="n">
        <v>130</v>
      </c>
      <c r="I4" s="39" t="inlineStr">
        <is>
          <t>Sonar multiplier 5x base at rank 3, scales with Str; Sonic Boom 70% armor reduction; prioritize Str &gt; Range &gt; Duration.</t>
        </is>
      </c>
      <c r="J4" s="39" t="inlineStr">
        <is>
          <t>Sonar weak points count for Acuity/Incarnon charging; Resonance chains Sonar on weak-spot kills</t>
        </is>
      </c>
      <c r="K4" s="39" t="inlineStr">
        <is>
          <t>Corrosive Projection</t>
        </is>
      </c>
      <c r="L4" s="39" t="n"/>
      <c r="M4" s="39" t="inlineStr">
        <is>
          <t>Power Drift</t>
        </is>
      </c>
      <c r="N4" s="39" t="inlineStr">
        <is>
          <t>Umbral Intensify | Transient Fortitude | Primed Continuity | Stretch | Augur Reach | Primed Flow | Streamline | Resonance</t>
        </is>
      </c>
      <c r="O4" s="39" t="inlineStr">
        <is>
          <t>Resonance</t>
        </is>
      </c>
      <c r="P4" s="39" t="inlineStr">
        <is>
          <t>Low-armor caster: Sound Quake brief invulnerability, Silence replaced (stun aura loss accepted), reliance on Zenurik + Energize and team support</t>
        </is>
      </c>
      <c r="Q4" s="39" t="inlineStr">
        <is>
          <t>Arcane Energize</t>
        </is>
      </c>
      <c r="R4" s="39" t="inlineStr">
        <is>
          <t>Molt Augmented</t>
        </is>
      </c>
      <c r="S4" s="39" t="inlineStr">
        <is>
          <t>Tauforged Crimson: Ability Strength +15%</t>
        </is>
      </c>
      <c r="T4" s="39" t="inlineStr">
        <is>
          <t>Tauforged Crimson: Ability Strength +15%</t>
        </is>
      </c>
      <c r="U4" s="39" t="inlineStr">
        <is>
          <t>Crimson: Ability Duration +10%</t>
        </is>
      </c>
      <c r="V4" s="39" t="inlineStr">
        <is>
          <t>Amber: Casting Speed +25%</t>
        </is>
      </c>
      <c r="W4" s="39" t="inlineStr">
        <is>
          <t>Azure: Health +150</t>
        </is>
      </c>
      <c r="X4" s="39" t="inlineStr">
        <is>
          <t>Zenurik</t>
        </is>
      </c>
      <c r="Y4" s="39" t="inlineStr">
        <is>
          <t>Helios Prime</t>
        </is>
      </c>
      <c r="Z4" s="39" t="inlineStr">
        <is>
          <t>Deconstructor Prime</t>
        </is>
      </c>
      <c r="AA4" s="39" t="inlineStr">
        <is>
          <t>Latron Prime</t>
        </is>
      </c>
      <c r="AB4" s="39" t="inlineStr">
        <is>
          <t>Euphona Prime</t>
        </is>
      </c>
      <c r="AC4" s="39" t="inlineStr">
        <is>
          <t>Kogake Prime</t>
        </is>
      </c>
      <c r="AD4" s="39" t="inlineStr">
        <is>
          <t>-</t>
        </is>
      </c>
      <c r="AE4" s="39" t="inlineStr">
        <is>
          <t>-</t>
        </is>
      </c>
      <c r="AF4" s="39" t="inlineStr">
        <is>
          <t>P: Primary Merciless / S: Secondary Merciless / M: Melee Influence</t>
        </is>
      </c>
      <c r="AG4" s="39" t="inlineStr">
        <is>
          <t>Latron Prime: EVO2: Riddled Target, EVO3: Marksman's Hand, EVO4: Flensing Spikes</t>
        </is>
      </c>
      <c r="AH4" s="39" t="inlineStr">
        <is>
          <t>Latron Prime: status (Corrosive + Viral); Euphona Prime: crit (Viral + Heat); Kogake Prime: status (Corrosive + Viral)</t>
        </is>
      </c>
      <c r="AI4" s="39" t="inlineStr">
        <is>
          <t>65/65 (fits)</t>
        </is>
      </c>
      <c r="AJ4" s="39" t="n">
        <v>3</v>
      </c>
      <c r="AK4" s="39" t="inlineStr">
        <is>
          <t>-</t>
        </is>
      </c>
      <c r="AL4" s="39" t="inlineStr">
        <is>
          <t>Silence subsumed out because Roar stacks with Sonar; Savage Silence therefore unused (collection only).</t>
        </is>
      </c>
      <c r="AM4" s="39" t="inlineStr">
        <is>
          <t>COMPLETE</t>
        </is>
      </c>
    </row>
    <row r="5">
      <c r="A5" s="39" t="inlineStr">
        <is>
          <t>Baruuk Prime</t>
        </is>
      </c>
      <c r="B5" s="39" t="inlineStr">
        <is>
          <t>Desert Wind exalted melee with Serene Storm restraint DR; Reactive Storm status</t>
        </is>
      </c>
      <c r="C5" s="39" t="inlineStr">
        <is>
          <t>Roar</t>
        </is>
      </c>
      <c r="D5" s="39" t="inlineStr">
        <is>
          <t>Elude</t>
        </is>
      </c>
      <c r="E5" s="39" t="n">
        <v>217</v>
      </c>
      <c r="F5" s="39" t="n">
        <v>155</v>
      </c>
      <c r="G5" s="39" t="n">
        <v>145</v>
      </c>
      <c r="H5" s="39" t="n">
        <v>130</v>
      </c>
      <c r="I5" s="39" t="inlineStr">
        <is>
          <t>Range affects Lull and Desert Wind waves; Str drives Desert Wind damage.</t>
        </is>
      </c>
      <c r="J5" s="39" t="inlineStr">
        <is>
          <t>Restraint (passive) damage reduction up to 50%+; Reactive Storm converts Desert Wind to elemental by Desert Wind status</t>
        </is>
      </c>
      <c r="K5" s="39" t="inlineStr">
        <is>
          <t>Growing Power</t>
        </is>
      </c>
      <c r="L5" s="39" t="n"/>
      <c r="M5" s="39" t="inlineStr">
        <is>
          <t>Power Drift</t>
        </is>
      </c>
      <c r="N5" s="39" t="inlineStr">
        <is>
          <t>Umbral Intensify | Umbral Vitality | Umbral Fiber | Primed Continuity | Stretch | Streamline | Rolling Guard | Reactive Storm</t>
        </is>
      </c>
      <c r="O5" s="39" t="inlineStr">
        <is>
          <t>Reactive Storm</t>
        </is>
      </c>
      <c r="P5" s="39" t="inlineStr">
        <is>
          <t>Restraint DR, Umbral set, Lull sleep CC, Rolling Guard</t>
        </is>
      </c>
      <c r="Q5" s="39" t="inlineStr">
        <is>
          <t>Arcane Reaper</t>
        </is>
      </c>
      <c r="R5" s="39" t="inlineStr">
        <is>
          <t>Molt Augmented</t>
        </is>
      </c>
      <c r="S5" s="39" t="inlineStr">
        <is>
          <t>Tauforged Crimson: Ability Strength +15%</t>
        </is>
      </c>
      <c r="T5" s="39" t="inlineStr">
        <is>
          <t>Crimson: Ability Strength +10%</t>
        </is>
      </c>
      <c r="U5" s="39" t="inlineStr">
        <is>
          <t>Tauforged Crimson: Melee Critical Damage +37.5%</t>
        </is>
      </c>
      <c r="V5" s="39" t="inlineStr">
        <is>
          <t>Azure: Armor +150</t>
        </is>
      </c>
      <c r="W5" s="39" t="inlineStr">
        <is>
          <t>Azure: Health +150</t>
        </is>
      </c>
      <c r="X5" s="39" t="inlineStr">
        <is>
          <t>Naramon</t>
        </is>
      </c>
      <c r="Y5" s="39" t="inlineStr">
        <is>
          <t>Panzer Vulpaphyla</t>
        </is>
      </c>
      <c r="Z5" s="39" t="inlineStr">
        <is>
          <t>Panzer Claws</t>
        </is>
      </c>
      <c r="AA5" s="39" t="inlineStr">
        <is>
          <t>Paris Prime</t>
        </is>
      </c>
      <c r="AB5" s="39" t="inlineStr">
        <is>
          <t>Tenet Diplos</t>
        </is>
      </c>
      <c r="AC5" s="39" t="inlineStr">
        <is>
          <t>Desert Wind Prime (Exalted)</t>
        </is>
      </c>
      <c r="AD5" s="39" t="inlineStr">
        <is>
          <t>Desert Wind Prime</t>
        </is>
      </c>
      <c r="AE5" s="39" t="inlineStr">
        <is>
          <t>See EXALTED BUILDS</t>
        </is>
      </c>
      <c r="AF5" s="39" t="inlineStr">
        <is>
          <t>P: Primary Deadhead / S: Secondary Outburst</t>
        </is>
      </c>
      <c r="AG5" s="39" t="inlineStr">
        <is>
          <t>Paris Prime: EVO2: Deadly Pace, EVO3: Ardent Trigger, EVO4: Vicious Promise</t>
        </is>
      </c>
      <c r="AH5" s="39" t="inlineStr">
        <is>
          <t>Paris Prime: crit (Viral + Heat); Tenet Diplos: crit (Adversary innate element)</t>
        </is>
      </c>
      <c r="AI5" s="39" t="inlineStr">
        <is>
          <t>65/65 (fits)</t>
        </is>
      </c>
      <c r="AJ5" s="39" t="n">
        <v>4</v>
      </c>
      <c r="AK5" s="39" t="inlineStr">
        <is>
          <t>-</t>
        </is>
      </c>
      <c r="AL5" s="39" t="n"/>
      <c r="AM5" s="39" t="inlineStr">
        <is>
          <t>COMPLETE</t>
        </is>
      </c>
    </row>
    <row r="6">
      <c r="A6" s="39" t="inlineStr">
        <is>
          <t>Caliban Prime</t>
        </is>
      </c>
      <c r="B6" s="39" t="inlineStr">
        <is>
          <t>Sentient Wrath armor-strip CC + Lethal Progeny summoner</t>
        </is>
      </c>
      <c r="C6" s="39" t="inlineStr">
        <is>
          <t>Molt</t>
        </is>
      </c>
      <c r="D6" s="39" t="inlineStr">
        <is>
          <t>Razor Gyre</t>
        </is>
      </c>
      <c r="E6" s="39" t="n">
        <v>217</v>
      </c>
      <c r="F6" s="39" t="n">
        <v>155</v>
      </c>
      <c r="G6" s="39" t="n">
        <v>175</v>
      </c>
      <c r="H6" s="39" t="n">
        <v>130</v>
      </c>
      <c r="I6" s="39" t="inlineStr">
        <is>
          <t>Sentient Wrath armor strip scales with Str; Range for Wrath radius.</t>
        </is>
      </c>
      <c r="J6" s="39" t="inlineStr">
        <is>
          <t>Arcane Camisado: minion attacks up to +60% Str next cast; Sentient adaptation passive</t>
        </is>
      </c>
      <c r="K6" s="39" t="inlineStr">
        <is>
          <t>Corrosive Projection</t>
        </is>
      </c>
      <c r="L6" s="39" t="n"/>
      <c r="M6" s="39" t="inlineStr">
        <is>
          <t>Power Drift</t>
        </is>
      </c>
      <c r="N6" s="39" t="inlineStr">
        <is>
          <t>Umbral Intensify | Umbral Vitality | Umbral Fiber | Primed Continuity | Stretch | Augur Reach | Streamline | Primed Flow</t>
        </is>
      </c>
      <c r="O6" s="39" t="inlineStr">
        <is>
          <t>-</t>
        </is>
      </c>
      <c r="P6" s="39" t="inlineStr">
        <is>
          <t>Adaptive resistance passive + Adaptation-style Sentient passive, Umbral set, Molt (subsumed) decoy+speed</t>
        </is>
      </c>
      <c r="Q6" s="39" t="inlineStr">
        <is>
          <t>Arcane Camisado</t>
        </is>
      </c>
      <c r="R6" s="39" t="inlineStr">
        <is>
          <t>Molt Augmented</t>
        </is>
      </c>
      <c r="S6" s="39" t="inlineStr">
        <is>
          <t>Tauforged Crimson: Ability Strength +15%</t>
        </is>
      </c>
      <c r="T6" s="39" t="inlineStr">
        <is>
          <t>Crimson: Ability Strength +10%</t>
        </is>
      </c>
      <c r="U6" s="39" t="inlineStr">
        <is>
          <t>Azure: Armor +150</t>
        </is>
      </c>
      <c r="V6" s="39" t="inlineStr">
        <is>
          <t>Azure: Health +150</t>
        </is>
      </c>
      <c r="W6" s="39" t="inlineStr">
        <is>
          <t>Amber: Casting Speed +25%</t>
        </is>
      </c>
      <c r="X6" s="39" t="inlineStr">
        <is>
          <t>Unairu</t>
        </is>
      </c>
      <c r="Y6" s="39" t="inlineStr">
        <is>
          <t>Panzer Vulpaphyla</t>
        </is>
      </c>
      <c r="Z6" s="39" t="inlineStr">
        <is>
          <t>Panzer Claws</t>
        </is>
      </c>
      <c r="AA6" s="39" t="inlineStr">
        <is>
          <t>Vadarya Prime</t>
        </is>
      </c>
      <c r="AB6" s="39" t="inlineStr">
        <is>
          <t>Tenet Detron</t>
        </is>
      </c>
      <c r="AC6" s="39" t="inlineStr">
        <is>
          <t>Venato Prime</t>
        </is>
      </c>
      <c r="AD6" s="39" t="inlineStr">
        <is>
          <t>-</t>
        </is>
      </c>
      <c r="AE6" s="39" t="inlineStr">
        <is>
          <t>-</t>
        </is>
      </c>
      <c r="AF6" s="39" t="inlineStr">
        <is>
          <t>P: Primary Deadhead / S: Secondary Merciless / M: Melee Animosity</t>
        </is>
      </c>
      <c r="AG6" s="39" t="inlineStr">
        <is>
          <t>-</t>
        </is>
      </c>
      <c r="AH6" s="39" t="inlineStr">
        <is>
          <t>Vadarya Prime: crit (Viral + Heat); Tenet Detron: crit (Adversary innate element); Venato Prime: crit (Viral + Heat)</t>
        </is>
      </c>
      <c r="AI6" s="39" t="inlineStr">
        <is>
          <t>72/74 (fits)</t>
        </is>
      </c>
      <c r="AJ6" s="39" t="n">
        <v>4</v>
      </c>
      <c r="AK6" s="39" t="inlineStr">
        <is>
          <t>-</t>
        </is>
      </c>
      <c r="AL6" s="39" t="inlineStr">
        <is>
          <t>Razor Mortar augment not used (Razor Gyre replaced).</t>
        </is>
      </c>
      <c r="AM6" s="39" t="inlineStr">
        <is>
          <t>COMPLETE</t>
        </is>
      </c>
    </row>
    <row r="7">
      <c r="A7" s="39" t="inlineStr">
        <is>
          <t>Chroma Prime</t>
        </is>
      </c>
      <c r="B7" s="39" t="inlineStr">
        <is>
          <t>Vex Armor damage/armor self-buff weapon platform</t>
        </is>
      </c>
      <c r="C7" s="39" t="inlineStr">
        <is>
          <t>Nourish</t>
        </is>
      </c>
      <c r="D7" s="39" t="inlineStr">
        <is>
          <t>Spectral Scream</t>
        </is>
      </c>
      <c r="E7" s="39" t="n">
        <v>222</v>
      </c>
      <c r="F7" s="39" t="n">
        <v>155</v>
      </c>
      <c r="G7" s="39" t="n">
        <v>145</v>
      </c>
      <c r="H7" s="39" t="n">
        <v>130</v>
      </c>
      <c r="I7" s="39" t="inlineStr">
        <is>
          <t>Vex Armor Fury/Scorn cap scale with Str; Duration for uptime.</t>
        </is>
      </c>
      <c r="J7" s="39" t="inlineStr">
        <is>
          <t>Vex Armor Scorn/Fury stacks from damage taken/dealt; Elemental Ward element (Heat=health/armor? set by emissive)</t>
        </is>
      </c>
      <c r="K7" s="39" t="inlineStr">
        <is>
          <t>Growing Power</t>
        </is>
      </c>
      <c r="L7" s="39" t="n"/>
      <c r="M7" s="39" t="inlineStr">
        <is>
          <t>Power Drift</t>
        </is>
      </c>
      <c r="N7" s="39" t="inlineStr">
        <is>
          <t>Umbral Intensify | Umbral Vitality | Umbral Fiber | Primed Continuity | Primed Flow | Streamline | Stretch | Guardian Armor</t>
        </is>
      </c>
      <c r="O7" s="39" t="inlineStr">
        <is>
          <t>Guardian Armor</t>
        </is>
      </c>
      <c r="P7" s="39" t="inlineStr">
        <is>
          <t>Vex Armor armor multiplier, Elemental Ward (choose Heat/Cold), Umbral set</t>
        </is>
      </c>
      <c r="Q7" s="39" t="inlineStr">
        <is>
          <t>Arcane Avenger</t>
        </is>
      </c>
      <c r="R7" s="39" t="inlineStr">
        <is>
          <t>Molt Augmented</t>
        </is>
      </c>
      <c r="S7" s="39" t="inlineStr">
        <is>
          <t>Tauforged Crimson: Ability Strength +15%</t>
        </is>
      </c>
      <c r="T7" s="39" t="inlineStr">
        <is>
          <t>Tauforged Crimson: Ability Strength +15%</t>
        </is>
      </c>
      <c r="U7" s="39" t="inlineStr">
        <is>
          <t>Azure: Armor +150</t>
        </is>
      </c>
      <c r="V7" s="39" t="inlineStr">
        <is>
          <t>Azure: Health +150</t>
        </is>
      </c>
      <c r="W7" s="39" t="inlineStr">
        <is>
          <t>Amber: Casting Speed +25%</t>
        </is>
      </c>
      <c r="X7" s="39" t="inlineStr">
        <is>
          <t>Madurai</t>
        </is>
      </c>
      <c r="Y7" s="39" t="inlineStr">
        <is>
          <t>Adarza Kavat</t>
        </is>
      </c>
      <c r="Z7" s="39" t="inlineStr">
        <is>
          <t>Adarza Claws</t>
        </is>
      </c>
      <c r="AA7" s="39" t="inlineStr">
        <is>
          <t>Opticor Vandal</t>
        </is>
      </c>
      <c r="AB7" s="39" t="inlineStr">
        <is>
          <t>Lato Vandal</t>
        </is>
      </c>
      <c r="AC7" s="39" t="inlineStr">
        <is>
          <t>Gram Prime</t>
        </is>
      </c>
      <c r="AD7" s="39" t="inlineStr">
        <is>
          <t>-</t>
        </is>
      </c>
      <c r="AE7" s="39" t="inlineStr">
        <is>
          <t>-</t>
        </is>
      </c>
      <c r="AF7" s="39" t="inlineStr">
        <is>
          <t>P: Primary Merciless / S: Secondary Merciless / M: Melee Animosity</t>
        </is>
      </c>
      <c r="AG7" s="39" t="inlineStr">
        <is>
          <t>Lato Vandal: EVO2: Haven Foray, EVO3: Void's Guidance, EVO4: Deathtrap Trigger</t>
        </is>
      </c>
      <c r="AH7" s="39" t="inlineStr">
        <is>
          <t>Opticor Vandal: crit (Viral + Heat); Lato Vandal: crit (Viral + Heat); Gram Prime: crit (Viral + Heat)</t>
        </is>
      </c>
      <c r="AI7" s="39" t="inlineStr">
        <is>
          <t>70/74 (fits)</t>
        </is>
      </c>
      <c r="AJ7" s="39" t="n">
        <v>3</v>
      </c>
      <c r="AK7" s="39" t="inlineStr">
        <is>
          <t>-</t>
        </is>
      </c>
      <c r="AL7" s="39" t="n"/>
      <c r="AM7" s="39" t="inlineStr">
        <is>
          <t>COMPLETE</t>
        </is>
      </c>
    </row>
    <row r="8">
      <c r="A8" s="39" t="inlineStr">
        <is>
          <t>Citrine Prime</t>
        </is>
      </c>
      <c r="B8" s="39" t="inlineStr">
        <is>
          <t>Crystallize/Prismatic Gem support and Fractured Blast status farmer</t>
        </is>
      </c>
      <c r="C8" s="39" t="inlineStr">
        <is>
          <t>NO HELMINTH</t>
        </is>
      </c>
      <c r="D8" s="39" t="inlineStr">
        <is>
          <t>NO HELMINTH: Kit complete; all four abilities used</t>
        </is>
      </c>
      <c r="E8" s="39" t="n">
        <v>217</v>
      </c>
      <c r="F8" s="39" t="n">
        <v>165</v>
      </c>
      <c r="G8" s="39" t="n">
        <v>145</v>
      </c>
      <c r="H8" s="39" t="n">
        <v>130</v>
      </c>
      <c r="I8" s="39" t="inlineStr">
        <is>
          <t>Prismatic Gem damage/status scale with Str; Duration for gem uptime.</t>
        </is>
      </c>
      <c r="J8" s="39" t="inlineStr">
        <is>
          <t>Passive health regen grows with health orbs (Amber Health orb shard)</t>
        </is>
      </c>
      <c r="K8" s="39" t="inlineStr">
        <is>
          <t>Growing Power</t>
        </is>
      </c>
      <c r="L8" s="39" t="n"/>
      <c r="M8" s="39" t="inlineStr">
        <is>
          <t>Power Drift</t>
        </is>
      </c>
      <c r="N8" s="39" t="inlineStr">
        <is>
          <t>Umbral Intensify | Umbral Vitality | Umbral Fiber | Primed Continuity | Stretch | Primed Flow | Streamline | Prismatic Companion</t>
        </is>
      </c>
      <c r="O8" s="39" t="inlineStr">
        <is>
          <t>Prismatic Companion</t>
        </is>
      </c>
      <c r="P8" s="39" t="inlineStr">
        <is>
          <t>Passive regen, Preserving Shell, Umbral set</t>
        </is>
      </c>
      <c r="Q8" s="39" t="inlineStr">
        <is>
          <t>Arcane Energize</t>
        </is>
      </c>
      <c r="R8" s="39" t="inlineStr">
        <is>
          <t>Molt Augmented</t>
        </is>
      </c>
      <c r="S8" s="39" t="inlineStr">
        <is>
          <t>Tauforged Crimson: Ability Strength +15%</t>
        </is>
      </c>
      <c r="T8" s="39" t="inlineStr">
        <is>
          <t>Crimson: Ability Strength +10%</t>
        </is>
      </c>
      <c r="U8" s="39" t="inlineStr">
        <is>
          <t>Crimson: Ability Duration +10%</t>
        </is>
      </c>
      <c r="V8" s="39" t="inlineStr">
        <is>
          <t>Azure: Armor +150</t>
        </is>
      </c>
      <c r="W8" s="39" t="inlineStr">
        <is>
          <t>Amber: Health Orb Effectiveness +100%</t>
        </is>
      </c>
      <c r="X8" s="39" t="inlineStr">
        <is>
          <t>Vazarin</t>
        </is>
      </c>
      <c r="Y8" s="39" t="inlineStr">
        <is>
          <t>Panzer Vulpaphyla</t>
        </is>
      </c>
      <c r="Z8" s="39" t="inlineStr">
        <is>
          <t>Panzer Claws</t>
        </is>
      </c>
      <c r="AA8" s="39" t="inlineStr">
        <is>
          <t>Steflos Prime</t>
        </is>
      </c>
      <c r="AB8" s="39" t="inlineStr">
        <is>
          <t>Catabolyst</t>
        </is>
      </c>
      <c r="AC8" s="39" t="inlineStr">
        <is>
          <t>Corufell Prime</t>
        </is>
      </c>
      <c r="AD8" s="39" t="inlineStr">
        <is>
          <t>-</t>
        </is>
      </c>
      <c r="AE8" s="39" t="inlineStr">
        <is>
          <t>-</t>
        </is>
      </c>
      <c r="AF8" s="39" t="inlineStr">
        <is>
          <t>P: Shotgun Vendetta / S: Secondary Encumber / M: Melee Animosity</t>
        </is>
      </c>
      <c r="AG8" s="39" t="inlineStr">
        <is>
          <t>-</t>
        </is>
      </c>
      <c r="AH8" s="39" t="inlineStr">
        <is>
          <t>Steflos Prime: status (Corrosive + Viral); Catabolyst: status (Corrosive + Viral); Corufell Prime: crit (Viral + Heat)</t>
        </is>
      </c>
      <c r="AI8" s="39" t="inlineStr">
        <is>
          <t>62/65 (fits)</t>
        </is>
      </c>
      <c r="AJ8" s="39" t="n">
        <v>6</v>
      </c>
      <c r="AK8" s="39" t="inlineStr">
        <is>
          <t>-</t>
        </is>
      </c>
      <c r="AL8" s="39" t="n"/>
      <c r="AM8" s="39" t="inlineStr">
        <is>
          <t>COMPLETE</t>
        </is>
      </c>
    </row>
    <row r="9">
      <c r="A9" s="39" t="inlineStr">
        <is>
          <t>Cyte-09</t>
        </is>
      </c>
      <c r="B9" s="39" t="inlineStr">
        <is>
          <t>Neutralizer weak-point sniper; Resupply ammo/energy; Evade invisibility</t>
        </is>
      </c>
      <c r="C9" s="39" t="inlineStr">
        <is>
          <t>Roar</t>
        </is>
      </c>
      <c r="D9" s="39" t="inlineStr">
        <is>
          <t>Seek</t>
        </is>
      </c>
      <c r="E9" s="39" t="n">
        <v>217</v>
      </c>
      <c r="F9" s="39" t="n">
        <v>155</v>
      </c>
      <c r="G9" s="39" t="n">
        <v>145</v>
      </c>
      <c r="H9" s="39" t="n">
        <v>130</v>
      </c>
      <c r="I9" s="39" t="inlineStr">
        <is>
          <t>Neutralizer damage is exalted; Str for Roar; no hard cap.</t>
        </is>
      </c>
      <c r="J9" s="39" t="inlineStr">
        <is>
          <t>Passive: weak point kills +1% weak point CC up to 300%; Roar (subsumed)</t>
        </is>
      </c>
      <c r="K9" s="39" t="inlineStr">
        <is>
          <t>Growing Power</t>
        </is>
      </c>
      <c r="L9" s="39" t="n"/>
      <c r="M9" s="39" t="inlineStr">
        <is>
          <t>Power Drift</t>
        </is>
      </c>
      <c r="N9" s="39" t="inlineStr">
        <is>
          <t>Umbral Intensify | Umbral Vitality | Umbral Fiber | Primed Continuity | Primed Flow | Streamline | Stretch | Rolling Guard</t>
        </is>
      </c>
      <c r="O9" s="39" t="inlineStr">
        <is>
          <t>-</t>
        </is>
      </c>
      <c r="P9" s="39" t="inlineStr">
        <is>
          <t>Evade invisibility, Umbral set, Rolling Guard</t>
        </is>
      </c>
      <c r="Q9" s="39" t="inlineStr">
        <is>
          <t>Arcane Avenger</t>
        </is>
      </c>
      <c r="R9" s="39" t="inlineStr">
        <is>
          <t>Molt Augmented</t>
        </is>
      </c>
      <c r="S9" s="39" t="inlineStr">
        <is>
          <t>Tauforged Crimson: Ability Strength +15%</t>
        </is>
      </c>
      <c r="T9" s="39" t="inlineStr">
        <is>
          <t>Crimson: Ability Strength +10%</t>
        </is>
      </c>
      <c r="U9" s="39" t="inlineStr">
        <is>
          <t>Tauforged Crimson: Primary Status Chance +37.5%</t>
        </is>
      </c>
      <c r="V9" s="39" t="inlineStr">
        <is>
          <t>Azure: Armor +150</t>
        </is>
      </c>
      <c r="W9" s="39" t="inlineStr">
        <is>
          <t>Amber: Casting Speed +25%</t>
        </is>
      </c>
      <c r="X9" s="39" t="inlineStr">
        <is>
          <t>Madurai</t>
        </is>
      </c>
      <c r="Y9" s="39" t="inlineStr">
        <is>
          <t>Helios Prime</t>
        </is>
      </c>
      <c r="Z9" s="39" t="inlineStr">
        <is>
          <t>Deconstructor Prime</t>
        </is>
      </c>
      <c r="AA9" s="39" t="inlineStr">
        <is>
          <t>Neutralizer (Exalted)</t>
        </is>
      </c>
      <c r="AB9" s="39" t="inlineStr">
        <is>
          <t>Lex Prime</t>
        </is>
      </c>
      <c r="AC9" s="39" t="inlineStr">
        <is>
          <t>Rakta Dark Dagger</t>
        </is>
      </c>
      <c r="AD9" s="39" t="inlineStr">
        <is>
          <t>Neutralizer</t>
        </is>
      </c>
      <c r="AE9" s="39" t="inlineStr">
        <is>
          <t>See EXALTED BUILDS</t>
        </is>
      </c>
      <c r="AF9" s="39" t="inlineStr">
        <is>
          <t>S: Secondary Merciless / M: Melee Influence</t>
        </is>
      </c>
      <c r="AG9" s="39" t="inlineStr">
        <is>
          <t>Lex Prime: EVO2: Hoplite Virtue, EVO3: Lex Talionis, EVO4: Critical Parallel</t>
        </is>
      </c>
      <c r="AH9" s="39" t="inlineStr">
        <is>
          <t>Lex Prime: crit (Viral + Heat); Rakta Dark Dagger: status (Corrosive + Viral)</t>
        </is>
      </c>
      <c r="AI9" s="39" t="inlineStr">
        <is>
          <t>71/74 (fits)</t>
        </is>
      </c>
      <c r="AJ9" s="39" t="n">
        <v>4</v>
      </c>
      <c r="AK9" s="39" t="inlineStr">
        <is>
          <t>-</t>
        </is>
      </c>
      <c r="AL9" s="39" t="inlineStr">
        <is>
          <t>No live augments for Cyte-09.</t>
        </is>
      </c>
      <c r="AM9" s="39" t="inlineStr">
        <is>
          <t>COMPLETE</t>
        </is>
      </c>
    </row>
    <row r="10">
      <c r="A10" s="39" t="inlineStr">
        <is>
          <t>Dagath</t>
        </is>
      </c>
      <c r="B10" s="39" t="inlineStr">
        <is>
          <t>Wyrd Scythes/Doom slash-status reaper; Rakhali's Cavalry mount</t>
        </is>
      </c>
      <c r="C10" s="39" t="inlineStr">
        <is>
          <t>Roar</t>
        </is>
      </c>
      <c r="D10" s="39" t="inlineStr">
        <is>
          <t>Rakhali's Cavalry</t>
        </is>
      </c>
      <c r="E10" s="39" t="n">
        <v>217</v>
      </c>
      <c r="F10" s="39" t="n">
        <v>165</v>
      </c>
      <c r="G10" s="39" t="n">
        <v>145</v>
      </c>
      <c r="H10" s="39" t="n">
        <v>130</v>
      </c>
      <c r="I10" s="39" t="inlineStr">
        <is>
          <t>Str for Doom/Scythes; Duration for Doom.</t>
        </is>
      </c>
      <c r="J10" s="39" t="inlineStr">
        <is>
          <t>Doom transfers damage; Wyrd Scythes slash procs</t>
        </is>
      </c>
      <c r="K10" s="39" t="inlineStr">
        <is>
          <t>Growing Power</t>
        </is>
      </c>
      <c r="L10" s="39" t="n"/>
      <c r="M10" s="39" t="inlineStr">
        <is>
          <t>Power Drift</t>
        </is>
      </c>
      <c r="N10" s="39" t="inlineStr">
        <is>
          <t>Umbral Intensify | Umbral Vitality | Umbral Fiber | Primed Continuity | Stretch | Primed Flow | Streamline | Spectral Spirit</t>
        </is>
      </c>
      <c r="O10" s="39" t="inlineStr">
        <is>
          <t>Spectral Spirit</t>
        </is>
      </c>
      <c r="P10" s="39" t="inlineStr">
        <is>
          <t>Passive revive, Umbral set</t>
        </is>
      </c>
      <c r="Q10" s="39" t="inlineStr">
        <is>
          <t>Molt Augmented</t>
        </is>
      </c>
      <c r="R10" s="39" t="inlineStr">
        <is>
          <t>Arcane Energize</t>
        </is>
      </c>
      <c r="S10" s="39" t="inlineStr">
        <is>
          <t>Tauforged Crimson: Ability Strength +15%</t>
        </is>
      </c>
      <c r="T10" s="39" t="inlineStr">
        <is>
          <t>Crimson: Ability Strength +10%</t>
        </is>
      </c>
      <c r="U10" s="39" t="inlineStr">
        <is>
          <t>Crimson: Ability Duration +10%</t>
        </is>
      </c>
      <c r="V10" s="39" t="inlineStr">
        <is>
          <t>Azure: Health +150</t>
        </is>
      </c>
      <c r="W10" s="39" t="inlineStr">
        <is>
          <t>Amber: Casting Speed +25%</t>
        </is>
      </c>
      <c r="X10" s="39" t="inlineStr">
        <is>
          <t>Madurai</t>
        </is>
      </c>
      <c r="Y10" s="39" t="inlineStr">
        <is>
          <t>Panzer Vulpaphyla</t>
        </is>
      </c>
      <c r="Z10" s="39" t="inlineStr">
        <is>
          <t>Panzer Claws</t>
        </is>
      </c>
      <c r="AA10" s="39" t="inlineStr">
        <is>
          <t>Cinta</t>
        </is>
      </c>
      <c r="AB10" s="39" t="inlineStr">
        <is>
          <t>Zylok Prime</t>
        </is>
      </c>
      <c r="AC10" s="39" t="inlineStr">
        <is>
          <t>Dorrclave</t>
        </is>
      </c>
      <c r="AD10" s="39" t="inlineStr">
        <is>
          <t>-</t>
        </is>
      </c>
      <c r="AE10" s="39" t="inlineStr">
        <is>
          <t>-</t>
        </is>
      </c>
      <c r="AF10" s="39" t="inlineStr">
        <is>
          <t>P: Primary Deadhead / S: Secondary Encumber / M: Melee Duplicate</t>
        </is>
      </c>
      <c r="AG10" s="39" t="inlineStr">
        <is>
          <t>Zylok Prime: EVO2: Precision's Payoff, EVO3: Extended Volley, EVO4: Fatal Affliction</t>
        </is>
      </c>
      <c r="AH10" s="39" t="inlineStr">
        <is>
          <t>Cinta: status (Corrosive + Viral); Zylok Prime: status (Corrosive + Viral); Dorrclave: crit (Viral + Heat)</t>
        </is>
      </c>
      <c r="AI10" s="39" t="inlineStr">
        <is>
          <t>62/65 (fits)</t>
        </is>
      </c>
      <c r="AJ10" s="39" t="n">
        <v>7</v>
      </c>
      <c r="AK10" s="39" t="inlineStr">
        <is>
          <t>-</t>
        </is>
      </c>
      <c r="AL10" s="39" t="inlineStr">
        <is>
          <t>Roar replaces Rakhali's Cavalry so Grave Spirit (Spectral Spirit augment) is retained.</t>
        </is>
      </c>
      <c r="AM10" s="39" t="inlineStr">
        <is>
          <t>COMPLETE</t>
        </is>
      </c>
    </row>
    <row r="11">
      <c r="A11" s="39" t="inlineStr">
        <is>
          <t>Dante</t>
        </is>
      </c>
      <c r="B11" s="39" t="inlineStr">
        <is>
          <t>Dark/Light Verse tome caster: Tragedy armor strip + Final Verse nukes; Noctua exalted scanner</t>
        </is>
      </c>
      <c r="C11" s="39" t="inlineStr">
        <is>
          <t>Nourish</t>
        </is>
      </c>
      <c r="D11" s="39" t="inlineStr">
        <is>
          <t>Light Verse</t>
        </is>
      </c>
      <c r="E11" s="39" t="n">
        <v>217</v>
      </c>
      <c r="F11" s="39" t="n">
        <v>165</v>
      </c>
      <c r="G11" s="39" t="n">
        <v>145</v>
      </c>
      <c r="H11" s="39" t="n">
        <v>130</v>
      </c>
      <c r="I11" s="39" t="inlineStr">
        <is>
          <t>Tragedy armor strip and Final Verse scale with Str.</t>
        </is>
      </c>
      <c r="J11" s="39" t="inlineStr">
        <is>
          <t>Passive: +50% status chance on fully scanned targets</t>
        </is>
      </c>
      <c r="K11" s="39" t="inlineStr">
        <is>
          <t>Growing Power</t>
        </is>
      </c>
      <c r="L11" s="39" t="n"/>
      <c r="M11" s="39" t="inlineStr">
        <is>
          <t>Power Drift</t>
        </is>
      </c>
      <c r="N11" s="39" t="inlineStr">
        <is>
          <t>Umbral Intensify | Umbral Vitality | Umbral Fiber | Primed Continuity | Stretch | Primed Flow | Streamline | Noctua Swarm</t>
        </is>
      </c>
      <c r="O11" s="39" t="inlineStr">
        <is>
          <t>Noctua Swarm</t>
        </is>
      </c>
      <c r="P11" s="39" t="inlineStr">
        <is>
          <t>Overguard from Verses, Umbral set</t>
        </is>
      </c>
      <c r="Q11" s="39" t="inlineStr">
        <is>
          <t>Arcane Energize</t>
        </is>
      </c>
      <c r="R11" s="39" t="inlineStr">
        <is>
          <t>Molt Augmented</t>
        </is>
      </c>
      <c r="S11" s="39" t="inlineStr">
        <is>
          <t>Tauforged Crimson: Ability Strength +15%</t>
        </is>
      </c>
      <c r="T11" s="39" t="inlineStr">
        <is>
          <t>Crimson: Ability Strength +10%</t>
        </is>
      </c>
      <c r="U11" s="39" t="inlineStr">
        <is>
          <t>Crimson: Ability Duration +10%</t>
        </is>
      </c>
      <c r="V11" s="39" t="inlineStr">
        <is>
          <t>Azure: Armor +150</t>
        </is>
      </c>
      <c r="W11" s="39" t="inlineStr">
        <is>
          <t>Amber: Casting Speed +25%</t>
        </is>
      </c>
      <c r="X11" s="39" t="inlineStr">
        <is>
          <t>Zenurik</t>
        </is>
      </c>
      <c r="Y11" s="39" t="inlineStr">
        <is>
          <t>Helios Prime</t>
        </is>
      </c>
      <c r="Z11" s="39" t="inlineStr">
        <is>
          <t>Deconstructor Prime</t>
        </is>
      </c>
      <c r="AA11" s="39" t="inlineStr">
        <is>
          <t>Phenmor</t>
        </is>
      </c>
      <c r="AB11" s="39" t="inlineStr">
        <is>
          <t>Onos</t>
        </is>
      </c>
      <c r="AC11" s="39" t="inlineStr">
        <is>
          <t>Ruvox</t>
        </is>
      </c>
      <c r="AD11" s="39" t="inlineStr">
        <is>
          <t>Noctua</t>
        </is>
      </c>
      <c r="AE11" s="39" t="inlineStr">
        <is>
          <t>See EXALTED BUILDS</t>
        </is>
      </c>
      <c r="AF11" s="39" t="inlineStr">
        <is>
          <t>P: Primary Merciless / S: Secondary Merciless / M: Melee Duplicate</t>
        </is>
      </c>
      <c r="AG11" s="39" t="inlineStr">
        <is>
          <t>Phenmor: EVO2: Void's Guidance, EVO3: Retribution's Vessel, EVO4: Survivor's Edge, EVO5: Devouring Attrition; Onos: EVO2: Marksman's Hand, EVO3: Extended Volley, EVO4: Elemental Excess, EVO5: Devastation Cascade; Ruvox: EVO2: Orokin Reach, EVO3: Shockwave Synergy, EVO4: Swift Transmute, EVO5: Brutal Efficiency</t>
        </is>
      </c>
      <c r="AH11" s="39" t="inlineStr">
        <is>
          <t>Phenmor: crit (Viral + Heat); Onos: crit (Viral + Heat); Ruvox: crit (Viral + Heat)</t>
        </is>
      </c>
      <c r="AI11" s="39" t="inlineStr">
        <is>
          <t>74/74 (fits)</t>
        </is>
      </c>
      <c r="AJ11" s="39" t="n">
        <v>3</v>
      </c>
      <c r="AK11" s="39" t="inlineStr">
        <is>
          <t>Light Verse replaced by Nourish: confirm Verse combos still reach Tragedy/Wordwarden via Dark Verse + Final Verse -&gt; LIVE TEST REQUIRED; Noctua no-slot-replacement ruling: Noctua is an ability-summoned Exalted Secondary; Onos retained. Practical use (Noctua uptime) -&gt; LIVE TEST REQUIRED to confirm Onos is still used</t>
        </is>
      </c>
      <c r="AL11" s="39" t="inlineStr">
        <is>
          <t>Noctua kept as additional Exalted; no Secondary replacement (ruling unchanged).</t>
        </is>
      </c>
      <c r="AM11" s="39" t="inlineStr">
        <is>
          <t>COMPLETE</t>
        </is>
      </c>
    </row>
    <row r="12">
      <c r="A12" s="39" t="inlineStr">
        <is>
          <t>Ember Prime</t>
        </is>
      </c>
      <c r="B12" s="39" t="inlineStr">
        <is>
          <t>Inferno/Fireball heat CC nuker with Immolation DR</t>
        </is>
      </c>
      <c r="C12" s="39" t="inlineStr">
        <is>
          <t>Roar</t>
        </is>
      </c>
      <c r="D12" s="39" t="inlineStr">
        <is>
          <t>Fire Blast</t>
        </is>
      </c>
      <c r="E12" s="39" t="n">
        <v>207</v>
      </c>
      <c r="F12" s="39" t="n">
        <v>155</v>
      </c>
      <c r="G12" s="39" t="n">
        <v>145</v>
      </c>
      <c r="H12" s="39" t="n">
        <v>130</v>
      </c>
      <c r="I12" s="39" t="inlineStr">
        <is>
          <t>Immolation DR scales with Str; Inferno range.</t>
        </is>
      </c>
      <c r="J12" s="39" t="inlineStr">
        <is>
          <t>Arcane Hot Shot: weapon CC from ability heat procs; Topaz Secondary CC on heat kill x2</t>
        </is>
      </c>
      <c r="K12" s="39" t="inlineStr">
        <is>
          <t>Growing Power</t>
        </is>
      </c>
      <c r="L12" s="39" t="n"/>
      <c r="M12" s="39" t="inlineStr">
        <is>
          <t>Power Drift</t>
        </is>
      </c>
      <c r="N12" s="39" t="inlineStr">
        <is>
          <t>Umbral Intensify | Umbral Vitality | Umbral Fiber | Primed Continuity | Stretch | Primed Flow | Streamline | Exothermic</t>
        </is>
      </c>
      <c r="O12" s="39" t="inlineStr">
        <is>
          <t>Exothermic</t>
        </is>
      </c>
      <c r="P12" s="39" t="inlineStr">
        <is>
          <t>Immolation DR, Umbral set</t>
        </is>
      </c>
      <c r="Q12" s="39" t="inlineStr">
        <is>
          <t>Arcane Hot Shot</t>
        </is>
      </c>
      <c r="R12" s="39" t="inlineStr">
        <is>
          <t>Molt Augmented</t>
        </is>
      </c>
      <c r="S12" s="39" t="inlineStr">
        <is>
          <t>Tauforged Crimson: Ability Strength +15%</t>
        </is>
      </c>
      <c r="T12" s="39" t="inlineStr">
        <is>
          <t>Topaz: Secondary Crit Chance on Heat kill +1%</t>
        </is>
      </c>
      <c r="U12" s="39" t="inlineStr">
        <is>
          <t>Topaz: Secondary Crit Chance on Heat kill +1%</t>
        </is>
      </c>
      <c r="V12" s="39" t="inlineStr">
        <is>
          <t>Azure: Armor +150</t>
        </is>
      </c>
      <c r="W12" s="39" t="inlineStr">
        <is>
          <t>Amber: Casting Speed +25%</t>
        </is>
      </c>
      <c r="X12" s="39" t="inlineStr">
        <is>
          <t>Madurai</t>
        </is>
      </c>
      <c r="Y12" s="39" t="inlineStr">
        <is>
          <t>Dethcube Prime</t>
        </is>
      </c>
      <c r="Z12" s="39" t="inlineStr">
        <is>
          <t>Deth Machine Rifle Prime</t>
        </is>
      </c>
      <c r="AA12" s="39" t="inlineStr">
        <is>
          <t>Ignis Wraith</t>
        </is>
      </c>
      <c r="AB12" s="39" t="inlineStr">
        <is>
          <t>Kuva Nukor</t>
        </is>
      </c>
      <c r="AC12" s="39" t="inlineStr">
        <is>
          <t>Jat Kittag</t>
        </is>
      </c>
      <c r="AD12" s="39" t="inlineStr">
        <is>
          <t>-</t>
        </is>
      </c>
      <c r="AE12" s="39" t="inlineStr">
        <is>
          <t>-</t>
        </is>
      </c>
      <c r="AF12" s="39" t="inlineStr">
        <is>
          <t>P: Primary Merciless / S: Secondary Encumber / M: Melee Influence</t>
        </is>
      </c>
      <c r="AG12" s="39" t="inlineStr">
        <is>
          <t>-</t>
        </is>
      </c>
      <c r="AH12" s="39" t="inlineStr">
        <is>
          <t>Ignis Wraith: status (Corrosive + Viral); Kuva Nukor: status (Adversary innate element); Jat Kittag: status (Corrosive + Viral)</t>
        </is>
      </c>
      <c r="AI12" s="39" t="inlineStr">
        <is>
          <t>74/74 (fits)</t>
        </is>
      </c>
      <c r="AJ12" s="39" t="n">
        <v>4</v>
      </c>
      <c r="AK12" s="39" t="inlineStr">
        <is>
          <t>-</t>
        </is>
      </c>
      <c r="AL12" s="39" t="n"/>
      <c r="AM12" s="39" t="inlineStr">
        <is>
          <t>COMPLETE</t>
        </is>
      </c>
    </row>
    <row r="13">
      <c r="A13" s="39" t="inlineStr">
        <is>
          <t>Equinox Prime</t>
        </is>
      </c>
      <c r="B13" s="39" t="inlineStr">
        <is>
          <t>Maim damage storage nuke / Pacify DR support</t>
        </is>
      </c>
      <c r="C13" s="39" t="inlineStr">
        <is>
          <t>Roar</t>
        </is>
      </c>
      <c r="D13" s="39" t="inlineStr">
        <is>
          <t>Rest &amp; Rage</t>
        </is>
      </c>
      <c r="E13" s="39" t="n">
        <v>265</v>
      </c>
      <c r="F13" s="39" t="n">
        <v>72.5</v>
      </c>
      <c r="G13" s="39" t="n">
        <v>175</v>
      </c>
      <c r="H13" s="39" t="n">
        <v>130</v>
      </c>
      <c r="I13" s="39" t="inlineStr">
        <is>
          <t>Maim stores damage; Str/Range priority.</t>
        </is>
      </c>
      <c r="J13" s="39" t="inlineStr">
        <is>
          <t>Roar (subsumed)</t>
        </is>
      </c>
      <c r="K13" s="39" t="inlineStr">
        <is>
          <t>Growing Power</t>
        </is>
      </c>
      <c r="L13" s="39" t="n"/>
      <c r="M13" s="39" t="inlineStr">
        <is>
          <t>Power Drift</t>
        </is>
      </c>
      <c r="N13" s="39" t="inlineStr">
        <is>
          <t>Umbral Intensify | Transient Fortitude | Stretch | Augur Reach | Primed Flow | Streamline | Umbral Vitality | Peaceful Provocation</t>
        </is>
      </c>
      <c r="O13" s="39" t="inlineStr">
        <is>
          <t>Peaceful Provocation</t>
        </is>
      </c>
      <c r="P13" s="39" t="inlineStr">
        <is>
          <t>Pacify mode DR when needed; Umbral Vitality</t>
        </is>
      </c>
      <c r="Q13" s="39" t="inlineStr">
        <is>
          <t>Arcane Energize</t>
        </is>
      </c>
      <c r="R13" s="39" t="inlineStr">
        <is>
          <t>Molt Augmented</t>
        </is>
      </c>
      <c r="S13" s="39" t="inlineStr">
        <is>
          <t>Tauforged Crimson: Ability Strength +15%</t>
        </is>
      </c>
      <c r="T13" s="39" t="inlineStr">
        <is>
          <t>Tauforged Crimson: Ability Strength +15%</t>
        </is>
      </c>
      <c r="U13" s="39" t="inlineStr">
        <is>
          <t>Crimson: Ability Strength +10%</t>
        </is>
      </c>
      <c r="V13" s="39" t="inlineStr">
        <is>
          <t>Azure: Health +150</t>
        </is>
      </c>
      <c r="W13" s="39" t="inlineStr">
        <is>
          <t>Amber: Casting Speed +25%</t>
        </is>
      </c>
      <c r="X13" s="39" t="inlineStr">
        <is>
          <t>Zenurik</t>
        </is>
      </c>
      <c r="Y13" s="39" t="inlineStr">
        <is>
          <t>Dethcube Prime</t>
        </is>
      </c>
      <c r="Z13" s="39" t="inlineStr">
        <is>
          <t>Deth Machine Rifle Prime</t>
        </is>
      </c>
      <c r="AA13" s="39" t="inlineStr">
        <is>
          <t>Burston Prime</t>
        </is>
      </c>
      <c r="AB13" s="39" t="inlineStr">
        <is>
          <t>Dual Toxocyst</t>
        </is>
      </c>
      <c r="AC13" s="39" t="inlineStr">
        <is>
          <t>Lesion</t>
        </is>
      </c>
      <c r="AD13" s="39" t="inlineStr">
        <is>
          <t>-</t>
        </is>
      </c>
      <c r="AE13" s="39" t="inlineStr">
        <is>
          <t>-</t>
        </is>
      </c>
      <c r="AF13" s="39" t="inlineStr">
        <is>
          <t>P: Primary Merciless / S: Secondary Encumber / M: Melee Influence</t>
        </is>
      </c>
      <c r="AG13" s="39" t="inlineStr">
        <is>
          <t>Burston Prime: EVO2: Forceful Finality, EVO3: Extended Volley, EVO4: Fatal Affliction; Dual Toxocyst: EVO2: Carnage Reign, EVO3: Ready Retaliation, EVO4: Commodore's Fortune</t>
        </is>
      </c>
      <c r="AH13" s="39" t="inlineStr">
        <is>
          <t>Burston Prime: status (Corrosive + Viral); Dual Toxocyst: status (Corrosive + Viral); Lesion: status (Corrosive + Viral)</t>
        </is>
      </c>
      <c r="AI13" s="39" t="inlineStr">
        <is>
          <t>62/65 (fits)</t>
        </is>
      </c>
      <c r="AJ13" s="39" t="n">
        <v>6</v>
      </c>
      <c r="AK13" s="39" t="inlineStr">
        <is>
          <t>-</t>
        </is>
      </c>
      <c r="AL13" s="39" t="inlineStr">
        <is>
          <t>Roar replaces Rest &amp; Rage (Pacify &amp; Provoke covers DR); Metamorphosis retained for form swap.</t>
        </is>
      </c>
      <c r="AM13" s="39" t="inlineStr">
        <is>
          <t>COMPLETE</t>
        </is>
      </c>
    </row>
    <row r="14">
      <c r="A14" s="39" t="inlineStr">
        <is>
          <t>Excalibur Umbra</t>
        </is>
      </c>
      <c r="B14" s="39" t="inlineStr">
        <is>
          <t>Exalted Umbra Blade waves/melee with Radial Howl CC</t>
        </is>
      </c>
      <c r="C14" s="39" t="inlineStr">
        <is>
          <t>Roar</t>
        </is>
      </c>
      <c r="D14" s="39" t="inlineStr">
        <is>
          <t>Radial Howl</t>
        </is>
      </c>
      <c r="E14" s="39" t="n">
        <v>202</v>
      </c>
      <c r="F14" s="39" t="n">
        <v>155</v>
      </c>
      <c r="G14" s="39" t="n">
        <v>145</v>
      </c>
      <c r="H14" s="39" t="n">
        <v>130</v>
      </c>
      <c r="I14" s="39" t="inlineStr">
        <is>
          <t>Exalted Blade waves scale with Str/Range.</t>
        </is>
      </c>
      <c r="J14" s="39" t="inlineStr">
        <is>
          <t>Passive: +10% damage &amp; attack speed with swords; Chromatic Blade: emissive element on Exalted Blade</t>
        </is>
      </c>
      <c r="K14" s="39" t="inlineStr">
        <is>
          <t>Growing Power</t>
        </is>
      </c>
      <c r="L14" s="39" t="n"/>
      <c r="M14" s="39" t="inlineStr">
        <is>
          <t>Warrior's Rest</t>
        </is>
      </c>
      <c r="N14" s="39" t="inlineStr">
        <is>
          <t>Umbral Intensify | Umbral Vitality | Umbral Fiber | Primed Continuity | Primed Flow | Streamline | Stretch | Chromatic Blade</t>
        </is>
      </c>
      <c r="O14" s="39" t="inlineStr">
        <is>
          <t>Warrior's Rest</t>
        </is>
      </c>
      <c r="P14" s="39" t="inlineStr">
        <is>
          <t>Umbral set (native Umbra polarities), Exalted Blade blocking</t>
        </is>
      </c>
      <c r="Q14" s="39" t="inlineStr">
        <is>
          <t>Arcane Reaper</t>
        </is>
      </c>
      <c r="R14" s="39" t="inlineStr">
        <is>
          <t>Molt Augmented</t>
        </is>
      </c>
      <c r="S14" s="39" t="inlineStr">
        <is>
          <t>Tauforged Crimson: Ability Strength +15%</t>
        </is>
      </c>
      <c r="T14" s="39" t="inlineStr">
        <is>
          <t>Crimson: Ability Strength +10%</t>
        </is>
      </c>
      <c r="U14" s="39" t="inlineStr">
        <is>
          <t>Tauforged Crimson: Melee Critical Damage +37.5%</t>
        </is>
      </c>
      <c r="V14" s="39" t="inlineStr">
        <is>
          <t>Azure: Armor +150</t>
        </is>
      </c>
      <c r="W14" s="39" t="inlineStr">
        <is>
          <t>Amber: Casting Speed +25%</t>
        </is>
      </c>
      <c r="X14" s="39" t="inlineStr">
        <is>
          <t>Naramon</t>
        </is>
      </c>
      <c r="Y14" s="39" t="inlineStr">
        <is>
          <t>Adarza Kavat</t>
        </is>
      </c>
      <c r="Z14" s="39" t="inlineStr">
        <is>
          <t>Adarza Claws</t>
        </is>
      </c>
      <c r="AA14" s="39" t="inlineStr">
        <is>
          <t>Braton Prime</t>
        </is>
      </c>
      <c r="AB14" s="39" t="inlineStr">
        <is>
          <t>Vasto Prime</t>
        </is>
      </c>
      <c r="AC14" s="39" t="inlineStr">
        <is>
          <t>Exalted Umbra Blade</t>
        </is>
      </c>
      <c r="AD14" s="39" t="inlineStr">
        <is>
          <t>Exalted Umbra Blade</t>
        </is>
      </c>
      <c r="AE14" s="39" t="inlineStr">
        <is>
          <t>See EXALTED BUILDS</t>
        </is>
      </c>
      <c r="AF14" s="39" t="inlineStr">
        <is>
          <t>P: Primary Merciless / S: Secondary Outburst</t>
        </is>
      </c>
      <c r="AG14" s="39" t="inlineStr">
        <is>
          <t>Braton Prime: EVO2: Munitions Grit, EVO3: Void's Guidance, EVO4: Survivor's Edge; Vasto Prime: EVO2: Deathtrap Trigger, EVO3: Extended Volley, EVO4: Survivor's Edge</t>
        </is>
      </c>
      <c r="AH14" s="39" t="inlineStr">
        <is>
          <t>Braton Prime: status (Corrosive + Viral); Vasto Prime: crit (Viral + Heat)</t>
        </is>
      </c>
      <c r="AI14" s="39" t="inlineStr">
        <is>
          <t>72/74 (fits)</t>
        </is>
      </c>
      <c r="AJ14" s="39" t="n">
        <v>1</v>
      </c>
      <c r="AK14" s="39" t="inlineStr">
        <is>
          <t>-</t>
        </is>
      </c>
      <c r="AL14" s="39" t="inlineStr">
        <is>
          <t>Warrior's Rest is Umbra's Exilus augment (live).</t>
        </is>
      </c>
      <c r="AM14" s="39" t="inlineStr">
        <is>
          <t>COMPLETE</t>
        </is>
      </c>
    </row>
    <row r="15">
      <c r="A15" s="39" t="inlineStr">
        <is>
          <t>Follie</t>
        </is>
      </c>
      <c r="B15" s="39" t="inlineStr">
        <is>
          <t>Shadowgraph/Plein Air ink caster; Enkaus alt-fire Inkblot synergy</t>
        </is>
      </c>
      <c r="C15" s="39" t="inlineStr">
        <is>
          <t>Roar</t>
        </is>
      </c>
      <c r="D15" s="39" t="inlineStr">
        <is>
          <t>Forced Perspective</t>
        </is>
      </c>
      <c r="E15" s="39" t="n">
        <v>241</v>
      </c>
      <c r="F15" s="39" t="n">
        <v>165</v>
      </c>
      <c r="G15" s="39" t="n">
        <v>145</v>
      </c>
      <c r="H15" s="39" t="n">
        <v>130</v>
      </c>
      <c r="I15" s="39" t="inlineStr">
        <is>
          <t>Str for ink damage; no augments exist.</t>
        </is>
      </c>
      <c r="J15" s="39" t="inlineStr">
        <is>
          <t>Inkblot passive: 50% slow, 20% orb drop chance</t>
        </is>
      </c>
      <c r="K15" s="39" t="inlineStr">
        <is>
          <t>Growing Power</t>
        </is>
      </c>
      <c r="L15" s="39" t="n"/>
      <c r="M15" s="39" t="inlineStr">
        <is>
          <t>Power Drift</t>
        </is>
      </c>
      <c r="N15" s="39" t="inlineStr">
        <is>
          <t>Umbral Intensify | Umbral Vitality | Umbral Fiber | Primed Continuity | Stretch | Primed Flow | Streamline | Augur Secrets</t>
        </is>
      </c>
      <c r="O15" s="39" t="inlineStr">
        <is>
          <t>-</t>
        </is>
      </c>
      <c r="P15" s="39" t="inlineStr">
        <is>
          <t>Self Portrait DR (own, uncapped), Umbral set</t>
        </is>
      </c>
      <c r="Q15" s="39" t="inlineStr">
        <is>
          <t>Arcane Energize</t>
        </is>
      </c>
      <c r="R15" s="39" t="inlineStr">
        <is>
          <t>Molt Augmented</t>
        </is>
      </c>
      <c r="S15" s="39" t="inlineStr">
        <is>
          <t>Tauforged Crimson: Ability Strength +15%</t>
        </is>
      </c>
      <c r="T15" s="39" t="inlineStr">
        <is>
          <t>Crimson: Ability Strength +10%</t>
        </is>
      </c>
      <c r="U15" s="39" t="inlineStr">
        <is>
          <t>Crimson: Ability Duration +10%</t>
        </is>
      </c>
      <c r="V15" s="39" t="inlineStr">
        <is>
          <t>Azure: Armor +150</t>
        </is>
      </c>
      <c r="W15" s="39" t="inlineStr">
        <is>
          <t>Amber: Casting Speed +25%</t>
        </is>
      </c>
      <c r="X15" s="39" t="inlineStr">
        <is>
          <t>Zenurik</t>
        </is>
      </c>
      <c r="Y15" s="39" t="inlineStr">
        <is>
          <t>Dethcube Prime</t>
        </is>
      </c>
      <c r="Z15" s="39" t="inlineStr">
        <is>
          <t>Deth Machine Rifle Prime</t>
        </is>
      </c>
      <c r="AA15" s="39" t="inlineStr">
        <is>
          <t>Enkaus</t>
        </is>
      </c>
      <c r="AB15" s="39" t="inlineStr">
        <is>
          <t>Staticor</t>
        </is>
      </c>
      <c r="AC15" s="39" t="inlineStr">
        <is>
          <t>Keratinos</t>
        </is>
      </c>
      <c r="AD15" s="39" t="inlineStr">
        <is>
          <t>-</t>
        </is>
      </c>
      <c r="AE15" s="39" t="inlineStr">
        <is>
          <t>-</t>
        </is>
      </c>
      <c r="AF15" s="39" t="inlineStr">
        <is>
          <t>P: Primary Merciless / S: Secondary Encumber / M: Melee Influence</t>
        </is>
      </c>
      <c r="AG15" s="39" t="inlineStr">
        <is>
          <t>-</t>
        </is>
      </c>
      <c r="AH15" s="39" t="inlineStr">
        <is>
          <t>Enkaus: status (Corrosive + Viral); Staticor: status (Corrosive + Viral); Keratinos: status (Corrosive + Viral)</t>
        </is>
      </c>
      <c r="AI15" s="39" t="inlineStr">
        <is>
          <t>64/65 (fits)</t>
        </is>
      </c>
      <c r="AJ15" s="39" t="n">
        <v>6</v>
      </c>
      <c r="AK15" s="39" t="inlineStr">
        <is>
          <t>-</t>
        </is>
      </c>
      <c r="AL15" s="39" t="inlineStr">
        <is>
          <t>No live Follie augments.</t>
        </is>
      </c>
      <c r="AM15" s="39" t="inlineStr">
        <is>
          <t>COMPLETE</t>
        </is>
      </c>
    </row>
    <row r="16">
      <c r="A16" s="39" t="inlineStr">
        <is>
          <t>Frost Prime</t>
        </is>
      </c>
      <c r="B16" s="39" t="inlineStr">
        <is>
          <t>Snow Globe defense anchor + Freeze/Ice Wave cold CC</t>
        </is>
      </c>
      <c r="C16" s="39" t="inlineStr">
        <is>
          <t>Rebuild Shields</t>
        </is>
      </c>
      <c r="D16" s="39" t="inlineStr">
        <is>
          <t>Freeze</t>
        </is>
      </c>
      <c r="E16" s="39" t="n">
        <v>217</v>
      </c>
      <c r="F16" s="39" t="n">
        <v>155</v>
      </c>
      <c r="G16" s="39" t="n">
        <v>145</v>
      </c>
      <c r="H16" s="39" t="n">
        <v>130</v>
      </c>
      <c r="I16" s="39" t="inlineStr">
        <is>
          <t>Globe health scales with Str.</t>
        </is>
      </c>
      <c r="J16" s="39" t="inlineStr">
        <is>
          <t>Arcane Ice Storm: Str/Dur stacks on freeze</t>
        </is>
      </c>
      <c r="K16" s="39" t="inlineStr">
        <is>
          <t>Growing Power</t>
        </is>
      </c>
      <c r="L16" s="39" t="n"/>
      <c r="M16" s="39" t="inlineStr">
        <is>
          <t>Power Drift</t>
        </is>
      </c>
      <c r="N16" s="39" t="inlineStr">
        <is>
          <t>Umbral Intensify | Umbral Vitality | Umbral Fiber | Primed Continuity | Stretch | Primed Flow | Streamline | Icy Avalanche</t>
        </is>
      </c>
      <c r="O16" s="39" t="inlineStr">
        <is>
          <t>Icy Avalanche</t>
        </is>
      </c>
      <c r="P16" s="39" t="inlineStr">
        <is>
          <t>Snow Globe, Icy Avalanche overguard, Umbral set</t>
        </is>
      </c>
      <c r="Q16" s="39" t="inlineStr">
        <is>
          <t>Arcane Ice Storm</t>
        </is>
      </c>
      <c r="R16" s="39" t="inlineStr">
        <is>
          <t>Molt Augmented</t>
        </is>
      </c>
      <c r="S16" s="39" t="inlineStr">
        <is>
          <t>Tauforged Crimson: Ability Strength +15%</t>
        </is>
      </c>
      <c r="T16" s="39" t="inlineStr">
        <is>
          <t>Crimson: Ability Strength +10%</t>
        </is>
      </c>
      <c r="U16" s="39" t="inlineStr">
        <is>
          <t>Azure: Armor +150</t>
        </is>
      </c>
      <c r="V16" s="39" t="inlineStr">
        <is>
          <t>Azure: Shield Capacity +150</t>
        </is>
      </c>
      <c r="W16" s="39" t="inlineStr">
        <is>
          <t>Amber: Casting Speed +25%</t>
        </is>
      </c>
      <c r="X16" s="39" t="inlineStr">
        <is>
          <t>Vazarin</t>
        </is>
      </c>
      <c r="Y16" s="39" t="inlineStr">
        <is>
          <t>Wyrm Prime</t>
        </is>
      </c>
      <c r="Z16" s="39" t="inlineStr">
        <is>
          <t>Prime Laser Rifle</t>
        </is>
      </c>
      <c r="AA16" s="39" t="inlineStr">
        <is>
          <t>Glaxion Vandal</t>
        </is>
      </c>
      <c r="AB16" s="39" t="inlineStr">
        <is>
          <t>Twin Kohmak</t>
        </is>
      </c>
      <c r="AC16" s="39" t="inlineStr">
        <is>
          <t>Sibear</t>
        </is>
      </c>
      <c r="AD16" s="39" t="inlineStr">
        <is>
          <t>-</t>
        </is>
      </c>
      <c r="AE16" s="39" t="inlineStr">
        <is>
          <t>-</t>
        </is>
      </c>
      <c r="AF16" s="39" t="inlineStr">
        <is>
          <t>P: Primary Merciless / S: Secondary Encumber / M: Melee Influence</t>
        </is>
      </c>
      <c r="AG16" s="39" t="inlineStr">
        <is>
          <t>Sibear: EVO2: Master's Shatter, EVO3: Orokin Reach, EVO4: Red Right Hand</t>
        </is>
      </c>
      <c r="AH16" s="39" t="inlineStr">
        <is>
          <t>Glaxion Vandal: status (Corrosive + Viral); Twin Kohmak: status (Corrosive + Viral); Sibear: status (Corrosive + Viral)</t>
        </is>
      </c>
      <c r="AI16" s="39" t="inlineStr">
        <is>
          <t>62/65 (fits)</t>
        </is>
      </c>
      <c r="AJ16" s="39" t="n">
        <v>7</v>
      </c>
      <c r="AK16" s="39" t="inlineStr">
        <is>
          <t>-</t>
        </is>
      </c>
      <c r="AL16" s="39" t="inlineStr">
        <is>
          <t>Freeze replaced; Freeze Force augment unused.</t>
        </is>
      </c>
      <c r="AM16" s="39" t="inlineStr">
        <is>
          <t>COMPLETE</t>
        </is>
      </c>
    </row>
    <row r="17">
      <c r="A17" s="39" t="inlineStr">
        <is>
          <t>Gara Prime</t>
        </is>
      </c>
      <c r="B17" s="39" t="inlineStr">
        <is>
          <t>Splinter Storm DR + Mass Vitrify; Shattered Lash exalted (Ability Combo)</t>
        </is>
      </c>
      <c r="C17" s="39" t="inlineStr">
        <is>
          <t>Roar</t>
        </is>
      </c>
      <c r="D17" s="39" t="inlineStr">
        <is>
          <t>Spectrorage</t>
        </is>
      </c>
      <c r="E17" s="39" t="n">
        <v>217</v>
      </c>
      <c r="F17" s="39" t="n">
        <v>155</v>
      </c>
      <c r="G17" s="39" t="n">
        <v>145</v>
      </c>
      <c r="H17" s="39" t="n">
        <v>130</v>
      </c>
      <c r="I17" s="39" t="inlineStr">
        <is>
          <t>Splinter Storm DR caps at 90% via Str.</t>
        </is>
      </c>
      <c r="J17" s="39" t="inlineStr">
        <is>
          <t>Splinter Storm DR up to 90%</t>
        </is>
      </c>
      <c r="K17" s="39" t="inlineStr">
        <is>
          <t>Growing Power</t>
        </is>
      </c>
      <c r="L17" s="39" t="n"/>
      <c r="M17" s="39" t="inlineStr">
        <is>
          <t>Power Drift</t>
        </is>
      </c>
      <c r="N17" s="39" t="inlineStr">
        <is>
          <t>Umbral Intensify | Umbral Vitality | Umbral Fiber | Primed Continuity | Stretch | Primed Flow | Streamline | Mending Splinters</t>
        </is>
      </c>
      <c r="O17" s="39" t="inlineStr">
        <is>
          <t>Mending Splinters</t>
        </is>
      </c>
      <c r="P17" s="39" t="inlineStr">
        <is>
          <t>Splinter Storm DR, Mending Splinters heal, Umbral set</t>
        </is>
      </c>
      <c r="Q17" s="39" t="inlineStr">
        <is>
          <t>Molt Augmented</t>
        </is>
      </c>
      <c r="R17" s="39" t="inlineStr">
        <is>
          <t>Arcane Reaper</t>
        </is>
      </c>
      <c r="S17" s="39" t="inlineStr">
        <is>
          <t>Tauforged Crimson: Ability Strength +15%</t>
        </is>
      </c>
      <c r="T17" s="39" t="inlineStr">
        <is>
          <t>Crimson: Ability Strength +10%</t>
        </is>
      </c>
      <c r="U17" s="39" t="inlineStr">
        <is>
          <t>Azure: Armor +150</t>
        </is>
      </c>
      <c r="V17" s="39" t="inlineStr">
        <is>
          <t>Azure: Health +150</t>
        </is>
      </c>
      <c r="W17" s="39" t="inlineStr">
        <is>
          <t>Amber: Casting Speed +25%</t>
        </is>
      </c>
      <c r="X17" s="39" t="inlineStr">
        <is>
          <t>Madurai</t>
        </is>
      </c>
      <c r="Y17" s="39" t="inlineStr">
        <is>
          <t>Panzer Vulpaphyla</t>
        </is>
      </c>
      <c r="Z17" s="39" t="inlineStr">
        <is>
          <t>Panzer Claws</t>
        </is>
      </c>
      <c r="AA17" s="39" t="inlineStr">
        <is>
          <t>Astilla Prime</t>
        </is>
      </c>
      <c r="AB17" s="39" t="inlineStr">
        <is>
          <t>Fusilai</t>
        </is>
      </c>
      <c r="AC17" s="39" t="inlineStr">
        <is>
          <t>Volnus Prime</t>
        </is>
      </c>
      <c r="AD17" s="39" t="inlineStr">
        <is>
          <t>Shattered Lash Prime</t>
        </is>
      </c>
      <c r="AE17" s="39" t="inlineStr">
        <is>
          <t>See EXALTED BUILDS</t>
        </is>
      </c>
      <c r="AF17" s="39" t="inlineStr">
        <is>
          <t>P: Shotgun Vendetta / S: Secondary Encumber / M: Melee Influence</t>
        </is>
      </c>
      <c r="AG17" s="39" t="inlineStr">
        <is>
          <t>-</t>
        </is>
      </c>
      <c r="AH17" s="39" t="inlineStr">
        <is>
          <t>Astilla Prime: status (Corrosive + Viral); Fusilai: status (Corrosive + Viral); Volnus Prime: status (Corrosive + Viral)</t>
        </is>
      </c>
      <c r="AI17" s="39" t="inlineStr">
        <is>
          <t>62/65 (fits)</t>
        </is>
      </c>
      <c r="AJ17" s="39" t="n">
        <v>6</v>
      </c>
      <c r="AK17" s="39" t="inlineStr">
        <is>
          <t>-</t>
        </is>
      </c>
      <c r="AL17" s="39" t="n"/>
      <c r="AM17" s="39" t="inlineStr">
        <is>
          <t>COMPLETE</t>
        </is>
      </c>
    </row>
    <row r="18">
      <c r="A18" s="39" t="inlineStr">
        <is>
          <t>Garuda Prime</t>
        </is>
      </c>
      <c r="B18" s="39" t="inlineStr">
        <is>
          <t>Blood Altar/Bloodletting sustain with Garuda Talons melee</t>
        </is>
      </c>
      <c r="C18" s="39" t="inlineStr">
        <is>
          <t>Roar</t>
        </is>
      </c>
      <c r="D18" s="39" t="inlineStr">
        <is>
          <t>Dread Mirror</t>
        </is>
      </c>
      <c r="E18" s="39" t="n">
        <v>217</v>
      </c>
      <c r="F18" s="39" t="n">
        <v>155</v>
      </c>
      <c r="G18" s="39" t="n">
        <v>145</v>
      </c>
      <c r="H18" s="39" t="n">
        <v>130</v>
      </c>
      <c r="I18" s="39" t="inlineStr">
        <is>
          <t>Str for Altar heal.</t>
        </is>
      </c>
      <c r="J18" s="39" t="inlineStr">
        <is>
          <t>Passive: up to +100% damage from kills</t>
        </is>
      </c>
      <c r="K18" s="39" t="inlineStr">
        <is>
          <t>Growing Power</t>
        </is>
      </c>
      <c r="L18" s="39" t="n"/>
      <c r="M18" s="39" t="inlineStr">
        <is>
          <t>Power Drift</t>
        </is>
      </c>
      <c r="N18" s="39" t="inlineStr">
        <is>
          <t>Umbral Intensify | Umbral Vitality | Umbral Fiber | Primed Continuity | Primed Flow | Streamline | Stretch | Blood Forge</t>
        </is>
      </c>
      <c r="O18" s="39" t="inlineStr">
        <is>
          <t>Blood Forge</t>
        </is>
      </c>
      <c r="P18" s="39" t="inlineStr">
        <is>
          <t>Blood Altar lifesteal, Bloodletting energy, Umbral set</t>
        </is>
      </c>
      <c r="Q18" s="39" t="inlineStr">
        <is>
          <t>Arcane Reaper</t>
        </is>
      </c>
      <c r="R18" s="39" t="inlineStr">
        <is>
          <t>Molt Augmented</t>
        </is>
      </c>
      <c r="S18" s="39" t="inlineStr">
        <is>
          <t>Tauforged Crimson: Ability Strength +15%</t>
        </is>
      </c>
      <c r="T18" s="39" t="inlineStr">
        <is>
          <t>Crimson: Ability Strength +10%</t>
        </is>
      </c>
      <c r="U18" s="39" t="inlineStr">
        <is>
          <t>Tauforged Crimson: Melee Critical Damage +37.5%</t>
        </is>
      </c>
      <c r="V18" s="39" t="inlineStr">
        <is>
          <t>Azure: Health +150</t>
        </is>
      </c>
      <c r="W18" s="39" t="inlineStr">
        <is>
          <t>Amber: Health Orb Effectiveness +100%</t>
        </is>
      </c>
      <c r="X18" s="39" t="inlineStr">
        <is>
          <t>Naramon</t>
        </is>
      </c>
      <c r="Y18" s="39" t="inlineStr">
        <is>
          <t>Panzer Vulpaphyla</t>
        </is>
      </c>
      <c r="Z18" s="39" t="inlineStr">
        <is>
          <t>Panzer Claws</t>
        </is>
      </c>
      <c r="AA18" s="39" t="inlineStr">
        <is>
          <t>Nagantaka Prime</t>
        </is>
      </c>
      <c r="AB18" s="39" t="inlineStr">
        <is>
          <t>Despair</t>
        </is>
      </c>
      <c r="AC18" s="39" t="inlineStr">
        <is>
          <t>Garuda Prime Talons</t>
        </is>
      </c>
      <c r="AD18" s="39" t="inlineStr">
        <is>
          <t>Garuda Prime Talons</t>
        </is>
      </c>
      <c r="AE18" s="39" t="inlineStr">
        <is>
          <t>See EXALTED BUILDS</t>
        </is>
      </c>
      <c r="AF18" s="39" t="inlineStr">
        <is>
          <t>P: Primary Deadhead / S: Secondary Outburst</t>
        </is>
      </c>
      <c r="AG18" s="39" t="inlineStr">
        <is>
          <t>Despair: EVO2: Stalker's Vendetta, EVO3: Marksman's Focus, EVO4: Critical Parallel</t>
        </is>
      </c>
      <c r="AH18" s="39" t="inlineStr">
        <is>
          <t>Nagantaka Prime: crit (Viral + Heat); Despair: crit (Viral + Heat)</t>
        </is>
      </c>
      <c r="AI18" s="39" t="inlineStr">
        <is>
          <t>74/74 (fits)</t>
        </is>
      </c>
      <c r="AJ18" s="39" t="n">
        <v>3</v>
      </c>
      <c r="AK18" s="39" t="inlineStr">
        <is>
          <t>-</t>
        </is>
      </c>
      <c r="AL18" s="39" t="inlineStr">
        <is>
          <t>Blood Forge augments Bloodletting (kept). Dread Mirror replaced; Dread Ward unused.</t>
        </is>
      </c>
      <c r="AM18" s="39" t="inlineStr">
        <is>
          <t>COMPLETE</t>
        </is>
      </c>
    </row>
    <row r="19">
      <c r="A19" s="39" t="inlineStr">
        <is>
          <t>Gauss Prime</t>
        </is>
      </c>
      <c r="B19" s="39" t="inlineStr">
        <is>
          <t>Redline battery speed/fire-rate; Thermal Sunder cold/heat; Acceltra/Akarius sprint reload bonus</t>
        </is>
      </c>
      <c r="C19" s="39" t="inlineStr">
        <is>
          <t>Roar</t>
        </is>
      </c>
      <c r="D19" s="39" t="inlineStr">
        <is>
          <t>Kinetic Plating</t>
        </is>
      </c>
      <c r="E19" s="39" t="n">
        <v>217</v>
      </c>
      <c r="F19" s="39" t="n">
        <v>155</v>
      </c>
      <c r="G19" s="39" t="n">
        <v>145</v>
      </c>
      <c r="H19" s="39" t="n">
        <v>130</v>
      </c>
      <c r="I19" s="39" t="inlineStr">
        <is>
          <t>Str for Redline fire-rate; Kinetic Plating dropped.</t>
        </is>
      </c>
      <c r="J19" s="39" t="inlineStr">
        <is>
          <t>Battery level drives Redline and shield recharge</t>
        </is>
      </c>
      <c r="K19" s="39" t="inlineStr">
        <is>
          <t>Growing Power</t>
        </is>
      </c>
      <c r="L19" s="39" t="n"/>
      <c r="M19" s="39" t="inlineStr">
        <is>
          <t>Power Drift</t>
        </is>
      </c>
      <c r="N19" s="39" t="inlineStr">
        <is>
          <t>Umbral Intensify | Umbral Vitality | Umbral Fiber | Primed Continuity | Stretch | Primed Flow | Streamline | Thermal Transfer</t>
        </is>
      </c>
      <c r="O19" s="39" t="inlineStr">
        <is>
          <t>Thermal Transfer</t>
        </is>
      </c>
      <c r="P19" s="39" t="inlineStr">
        <is>
          <t>Shield recharge passive, Umbral set</t>
        </is>
      </c>
      <c r="Q19" s="39" t="inlineStr">
        <is>
          <t>Arcane Avenger</t>
        </is>
      </c>
      <c r="R19" s="39" t="inlineStr">
        <is>
          <t>Molt Augmented</t>
        </is>
      </c>
      <c r="S19" s="39" t="inlineStr">
        <is>
          <t>Tauforged Crimson: Ability Strength +15%</t>
        </is>
      </c>
      <c r="T19" s="39" t="inlineStr">
        <is>
          <t>Crimson: Ability Strength +10%</t>
        </is>
      </c>
      <c r="U19" s="39" t="inlineStr">
        <is>
          <t>Azure: Armor +150</t>
        </is>
      </c>
      <c r="V19" s="39" t="inlineStr">
        <is>
          <t>Azure: Shield Capacity +150</t>
        </is>
      </c>
      <c r="W19" s="39" t="inlineStr">
        <is>
          <t>Amber: Casting Speed +25%</t>
        </is>
      </c>
      <c r="X19" s="39" t="inlineStr">
        <is>
          <t>Madurai</t>
        </is>
      </c>
      <c r="Y19" s="39" t="inlineStr">
        <is>
          <t>Adarza Kavat</t>
        </is>
      </c>
      <c r="Z19" s="39" t="inlineStr">
        <is>
          <t>Adarza Claws</t>
        </is>
      </c>
      <c r="AA19" s="39" t="inlineStr">
        <is>
          <t>Acceltra Prime</t>
        </is>
      </c>
      <c r="AB19" s="39" t="inlineStr">
        <is>
          <t>Akarius Prime</t>
        </is>
      </c>
      <c r="AC19" s="39" t="inlineStr">
        <is>
          <t>Praedos</t>
        </is>
      </c>
      <c r="AD19" s="39" t="inlineStr">
        <is>
          <t>-</t>
        </is>
      </c>
      <c r="AE19" s="39" t="inlineStr">
        <is>
          <t>-</t>
        </is>
      </c>
      <c r="AF19" s="39" t="inlineStr">
        <is>
          <t>P: Primary Merciless / S: Secondary Encumber / M: Melee Duplicate</t>
        </is>
      </c>
      <c r="AG19" s="39" t="inlineStr">
        <is>
          <t>Praedos: EVO2: Seismic Slam, EVO3: Shockwave Synergy, EVO4: Swift Transmute, EVO5: Transfigured Momentum</t>
        </is>
      </c>
      <c r="AH19" s="39" t="inlineStr">
        <is>
          <t>Acceltra Prime: crit (Viral + Heat); Akarius Prime: status (Corrosive + Viral); Praedos: crit (Viral + Heat)</t>
        </is>
      </c>
      <c r="AI19" s="39" t="inlineStr">
        <is>
          <t>62/65 (fits)</t>
        </is>
      </c>
      <c r="AJ19" s="39" t="n">
        <v>6</v>
      </c>
      <c r="AK19" s="39" t="inlineStr">
        <is>
          <t>-</t>
        </is>
      </c>
      <c r="AL19" s="39" t="n"/>
      <c r="AM19" s="39" t="inlineStr">
        <is>
          <t>COMPLETE</t>
        </is>
      </c>
    </row>
    <row r="20">
      <c r="A20" s="39" t="inlineStr">
        <is>
          <t>Grendel Prime</t>
        </is>
      </c>
      <c r="B20" s="39" t="inlineStr">
        <is>
          <t>Feast/Nourish support; Pulverize ball DR; Regurgitate</t>
        </is>
      </c>
      <c r="C20" s="39" t="inlineStr">
        <is>
          <t>Rebuild Shields</t>
        </is>
      </c>
      <c r="D20" s="39" t="inlineStr">
        <is>
          <t>Regurgitate</t>
        </is>
      </c>
      <c r="E20" s="39" t="n">
        <v>217</v>
      </c>
      <c r="F20" s="39" t="n">
        <v>155</v>
      </c>
      <c r="G20" s="39" t="n">
        <v>145</v>
      </c>
      <c r="H20" s="39" t="n">
        <v>130</v>
      </c>
      <c r="I20" s="39" t="inlineStr">
        <is>
          <t>Nourish multiplier scales with Str.</t>
        </is>
      </c>
      <c r="J20" s="39" t="inlineStr">
        <is>
          <t>Nourish energy multiplier (native, full strength)</t>
        </is>
      </c>
      <c r="K20" s="39" t="inlineStr">
        <is>
          <t>Growing Power</t>
        </is>
      </c>
      <c r="L20" s="39" t="n"/>
      <c r="M20" s="39" t="inlineStr">
        <is>
          <t>Power Drift</t>
        </is>
      </c>
      <c r="N20" s="39" t="inlineStr">
        <is>
          <t>Umbral Intensify | Umbral Vitality | Umbral Fiber | Primed Continuity | Stretch | Primed Flow | Streamline | Hearty Nourishment</t>
        </is>
      </c>
      <c r="O20" s="39" t="inlineStr">
        <is>
          <t>Hearty Nourishment</t>
        </is>
      </c>
      <c r="P20" s="39" t="inlineStr">
        <is>
          <t>Huge health pool, Hearty Nourishment overguard, Umbral set</t>
        </is>
      </c>
      <c r="Q20" s="39" t="inlineStr">
        <is>
          <t>Arcane Energize</t>
        </is>
      </c>
      <c r="R20" s="39" t="inlineStr">
        <is>
          <t>Molt Augmented</t>
        </is>
      </c>
      <c r="S20" s="39" t="inlineStr">
        <is>
          <t>Tauforged Crimson: Ability Strength +15%</t>
        </is>
      </c>
      <c r="T20" s="39" t="inlineStr">
        <is>
          <t>Crimson: Ability Strength +10%</t>
        </is>
      </c>
      <c r="U20" s="39" t="inlineStr">
        <is>
          <t>Azure: Armor +150</t>
        </is>
      </c>
      <c r="V20" s="39" t="inlineStr">
        <is>
          <t>Azure: Health +150</t>
        </is>
      </c>
      <c r="W20" s="39" t="inlineStr">
        <is>
          <t>Amber: Casting Speed +25%</t>
        </is>
      </c>
      <c r="X20" s="39" t="inlineStr">
        <is>
          <t>Vazarin</t>
        </is>
      </c>
      <c r="Y20" s="39" t="inlineStr">
        <is>
          <t>Panzer Vulpaphyla</t>
        </is>
      </c>
      <c r="Z20" s="39" t="inlineStr">
        <is>
          <t>Panzer Claws</t>
        </is>
      </c>
      <c r="AA20" s="39" t="inlineStr">
        <is>
          <t>Trumna</t>
        </is>
      </c>
      <c r="AB20" s="39" t="inlineStr">
        <is>
          <t>Sepulcrum</t>
        </is>
      </c>
      <c r="AC20" s="39" t="inlineStr">
        <is>
          <t>Masseter Prime</t>
        </is>
      </c>
      <c r="AD20" s="39" t="inlineStr">
        <is>
          <t>-</t>
        </is>
      </c>
      <c r="AE20" s="39" t="inlineStr">
        <is>
          <t>-</t>
        </is>
      </c>
      <c r="AF20" s="39" t="inlineStr">
        <is>
          <t>P: Primary Merciless / S: Secondary Merciless / M: Melee Animosity</t>
        </is>
      </c>
      <c r="AG20" s="39" t="inlineStr">
        <is>
          <t>-</t>
        </is>
      </c>
      <c r="AH20" s="39" t="inlineStr">
        <is>
          <t>Trumna: crit (Viral + Heat); Sepulcrum: crit (Viral + Heat); Masseter Prime: crit (Viral + Heat)</t>
        </is>
      </c>
      <c r="AI20" s="39" t="inlineStr">
        <is>
          <t>62/65 (fits)</t>
        </is>
      </c>
      <c r="AJ20" s="39" t="n">
        <v>6</v>
      </c>
      <c r="AK20" s="39" t="inlineStr">
        <is>
          <t>-</t>
        </is>
      </c>
      <c r="AL20" s="39" t="n"/>
      <c r="AM20" s="39" t="inlineStr">
        <is>
          <t>COMPLETE</t>
        </is>
      </c>
    </row>
    <row r="21">
      <c r="A21" s="39" t="inlineStr">
        <is>
          <t>Gyre Prime</t>
        </is>
      </c>
      <c r="B21" s="39" t="inlineStr">
        <is>
          <t>Rotorswell crit-boost electric caster; Cathode Grace</t>
        </is>
      </c>
      <c r="C21" s="39" t="inlineStr">
        <is>
          <t>Roar</t>
        </is>
      </c>
      <c r="D21" s="39" t="inlineStr">
        <is>
          <t>Arcsphere</t>
        </is>
      </c>
      <c r="E21" s="39" t="n">
        <v>207</v>
      </c>
      <c r="F21" s="39" t="n">
        <v>155</v>
      </c>
      <c r="G21" s="39" t="n">
        <v>145</v>
      </c>
      <c r="H21" s="39" t="n">
        <v>130</v>
      </c>
      <c r="I21" s="39" t="inlineStr">
        <is>
          <t>Str for Rotorswell crit.</t>
        </is>
      </c>
      <c r="J21" s="39" t="inlineStr">
        <is>
          <t>Passive electric crit chance; Violet electricity ability dmg x2</t>
        </is>
      </c>
      <c r="K21" s="39" t="inlineStr">
        <is>
          <t>Growing Power</t>
        </is>
      </c>
      <c r="L21" s="39" t="n"/>
      <c r="M21" s="39" t="inlineStr">
        <is>
          <t>Power Drift</t>
        </is>
      </c>
      <c r="N21" s="39" t="inlineStr">
        <is>
          <t>Umbral Intensify | Umbral Vitality | Umbral Fiber | Primed Continuity | Stretch | Primed Flow | Streamline | Coil Recharge</t>
        </is>
      </c>
      <c r="O21" s="39" t="inlineStr">
        <is>
          <t>Coil Recharge</t>
        </is>
      </c>
      <c r="P21" s="39" t="inlineStr">
        <is>
          <t>Shield gating + Umbral set</t>
        </is>
      </c>
      <c r="Q21" s="39" t="inlineStr">
        <is>
          <t>Arcane Energize</t>
        </is>
      </c>
      <c r="R21" s="39" t="inlineStr">
        <is>
          <t>Molt Augmented</t>
        </is>
      </c>
      <c r="S21" s="39" t="inlineStr">
        <is>
          <t>Tauforged Crimson: Ability Strength +15%</t>
        </is>
      </c>
      <c r="T21" s="39" t="inlineStr">
        <is>
          <t>Violet: Ability Damage vs Electricity +10%</t>
        </is>
      </c>
      <c r="U21" s="39" t="inlineStr">
        <is>
          <t>Violet: Ability Damage vs Electricity +10%</t>
        </is>
      </c>
      <c r="V21" s="39" t="inlineStr">
        <is>
          <t>Azure: Shield Capacity +150</t>
        </is>
      </c>
      <c r="W21" s="39" t="inlineStr">
        <is>
          <t>Amber: Casting Speed +25%</t>
        </is>
      </c>
      <c r="X21" s="39" t="inlineStr">
        <is>
          <t>Zenurik</t>
        </is>
      </c>
      <c r="Y21" s="39" t="inlineStr">
        <is>
          <t>Diriga</t>
        </is>
      </c>
      <c r="Z21" s="39" t="inlineStr">
        <is>
          <t>Vulklok</t>
        </is>
      </c>
      <c r="AA21" s="39" t="inlineStr">
        <is>
          <t>Alternox Prime</t>
        </is>
      </c>
      <c r="AB21" s="39" t="inlineStr">
        <is>
          <t>Prisma Angstrum</t>
        </is>
      </c>
      <c r="AC21" s="39" t="inlineStr">
        <is>
          <t>Kestrel Prime</t>
        </is>
      </c>
      <c r="AD21" s="39" t="inlineStr">
        <is>
          <t>-</t>
        </is>
      </c>
      <c r="AE21" s="39" t="inlineStr">
        <is>
          <t>-</t>
        </is>
      </c>
      <c r="AF21" s="39" t="inlineStr">
        <is>
          <t>P: Primary Merciless / S: Secondary Encumber / M: Melee Influence</t>
        </is>
      </c>
      <c r="AG21" s="39" t="inlineStr">
        <is>
          <t>Prisma Angstrum: EVO2: Haven Foray, EVO3: Swift Deliverance, EVO4: Fatal Affliction</t>
        </is>
      </c>
      <c r="AH21" s="39" t="inlineStr">
        <is>
          <t>Alternox Prime: status (Corrosive + Viral); Prisma Angstrum: status (Corrosive + Viral); Kestrel Prime: status (Corrosive + Viral)</t>
        </is>
      </c>
      <c r="AI21" s="39" t="inlineStr">
        <is>
          <t>62/65 (fits)</t>
        </is>
      </c>
      <c r="AJ21" s="39" t="n">
        <v>7</v>
      </c>
      <c r="AK21" s="39" t="inlineStr">
        <is>
          <t>-</t>
        </is>
      </c>
      <c r="AL21" s="39" t="n"/>
      <c r="AM21" s="39" t="inlineStr">
        <is>
          <t>COMPLETE</t>
        </is>
      </c>
    </row>
    <row r="22">
      <c r="A22" s="39" t="inlineStr">
        <is>
          <t>Harrow Prime</t>
        </is>
      </c>
      <c r="B22" s="39" t="inlineStr">
        <is>
          <t>Thurible energy support + Covenant crit buff</t>
        </is>
      </c>
      <c r="C22" s="39" t="inlineStr">
        <is>
          <t>NO HELMINTH</t>
        </is>
      </c>
      <c r="D22" s="39" t="inlineStr">
        <is>
          <t>NO HELMINTH: All four abilities core to support loop</t>
        </is>
      </c>
      <c r="E22" s="39" t="n">
        <v>217</v>
      </c>
      <c r="F22" s="39" t="n">
        <v>165</v>
      </c>
      <c r="G22" s="39" t="n">
        <v>145</v>
      </c>
      <c r="H22" s="39" t="n">
        <v>130</v>
      </c>
      <c r="I22" s="39" t="inlineStr">
        <is>
          <t>Covenant crit scales with Str.</t>
        </is>
      </c>
      <c r="J22" s="39" t="inlineStr">
        <is>
          <t>Thurible headshot energy</t>
        </is>
      </c>
      <c r="K22" s="39" t="inlineStr">
        <is>
          <t>Growing Power</t>
        </is>
      </c>
      <c r="L22" s="39" t="n"/>
      <c r="M22" s="39" t="inlineStr">
        <is>
          <t>Power Drift</t>
        </is>
      </c>
      <c r="N22" s="39" t="inlineStr">
        <is>
          <t>Umbral Intensify | Umbral Vitality | Umbral Fiber | Primed Continuity | Stretch | Primed Flow | Streamline | Warding Thurible</t>
        </is>
      </c>
      <c r="O22" s="39" t="inlineStr">
        <is>
          <t>Warding Thurible</t>
        </is>
      </c>
      <c r="P22" s="39" t="inlineStr">
        <is>
          <t>Penance lifesteal, Covenant, Warding Thurible</t>
        </is>
      </c>
      <c r="Q22" s="39" t="inlineStr">
        <is>
          <t>Arcane Energize</t>
        </is>
      </c>
      <c r="R22" s="39" t="inlineStr">
        <is>
          <t>Molt Augmented</t>
        </is>
      </c>
      <c r="S22" s="39" t="inlineStr">
        <is>
          <t>Tauforged Crimson: Ability Strength +15%</t>
        </is>
      </c>
      <c r="T22" s="39" t="inlineStr">
        <is>
          <t>Crimson: Ability Strength +10%</t>
        </is>
      </c>
      <c r="U22" s="39" t="inlineStr">
        <is>
          <t>Crimson: Ability Duration +10%</t>
        </is>
      </c>
      <c r="V22" s="39" t="inlineStr">
        <is>
          <t>Azure: Shield Capacity +150</t>
        </is>
      </c>
      <c r="W22" s="39" t="inlineStr">
        <is>
          <t>Amber: Casting Speed +25%</t>
        </is>
      </c>
      <c r="X22" s="39" t="inlineStr">
        <is>
          <t>Vazarin</t>
        </is>
      </c>
      <c r="Y22" s="39" t="inlineStr">
        <is>
          <t>Helios Prime</t>
        </is>
      </c>
      <c r="Z22" s="39" t="inlineStr">
        <is>
          <t>Deconstructor Prime</t>
        </is>
      </c>
      <c r="AA22" s="39" t="inlineStr">
        <is>
          <t>Scourge Prime</t>
        </is>
      </c>
      <c r="AB22" s="39" t="inlineStr">
        <is>
          <t>Knell Prime</t>
        </is>
      </c>
      <c r="AC22" s="39" t="inlineStr">
        <is>
          <t>Dual Keres</t>
        </is>
      </c>
      <c r="AD22" s="39" t="inlineStr">
        <is>
          <t>-</t>
        </is>
      </c>
      <c r="AE22" s="39" t="inlineStr">
        <is>
          <t>-</t>
        </is>
      </c>
      <c r="AF22" s="39" t="inlineStr">
        <is>
          <t>P: Primary Merciless / S: Secondary Merciless / M: Melee Duplicate</t>
        </is>
      </c>
      <c r="AG22" s="39" t="inlineStr">
        <is>
          <t>-</t>
        </is>
      </c>
      <c r="AH22" s="39" t="inlineStr">
        <is>
          <t>Scourge Prime: status (Corrosive + Viral); Knell Prime: crit (Viral + Heat); Dual Keres: crit (Viral + Heat)</t>
        </is>
      </c>
      <c r="AI22" s="39" t="inlineStr">
        <is>
          <t>62/65 (fits)</t>
        </is>
      </c>
      <c r="AJ22" s="39" t="n">
        <v>6</v>
      </c>
      <c r="AK22" s="39" t="inlineStr">
        <is>
          <t>-</t>
        </is>
      </c>
      <c r="AL22" s="39" t="n"/>
      <c r="AM22" s="39" t="inlineStr">
        <is>
          <t>COMPLETE</t>
        </is>
      </c>
    </row>
    <row r="23">
      <c r="A23" s="39" t="inlineStr">
        <is>
          <t>Hildryn Prime</t>
        </is>
      </c>
      <c r="B23" s="39" t="inlineStr">
        <is>
          <t>Shield-tank: Haven/Pillage/Aegis Storm; Balefire Charger</t>
        </is>
      </c>
      <c r="C23" s="39" t="inlineStr">
        <is>
          <t>Roar</t>
        </is>
      </c>
      <c r="D23" s="39" t="inlineStr">
        <is>
          <t>Aegis Storm</t>
        </is>
      </c>
      <c r="E23" s="39" t="n">
        <v>195</v>
      </c>
      <c r="F23" s="39" t="n">
        <v>155</v>
      </c>
      <c r="G23" s="39" t="n">
        <v>175</v>
      </c>
      <c r="H23" s="39" t="n">
        <v>100</v>
      </c>
      <c r="I23" s="39" t="inlineStr">
        <is>
          <t>Shields = energy; no Efficiency/Flow (no energy).</t>
        </is>
      </c>
      <c r="J23" s="39" t="inlineStr">
        <is>
          <t>Arcane Expertise: Str applies to max shields</t>
        </is>
      </c>
      <c r="K23" s="39" t="inlineStr">
        <is>
          <t>Growing Power</t>
        </is>
      </c>
      <c r="L23" s="39" t="n"/>
      <c r="M23" s="39" t="inlineStr">
        <is>
          <t>Power Drift</t>
        </is>
      </c>
      <c r="N23" s="39" t="inlineStr">
        <is>
          <t>Umbral Intensify | Primed Redirection | Augur Accord | Primed Continuity | Stretch | Augur Reach | Umbral Vitality | Blazing Pillage</t>
        </is>
      </c>
      <c r="O23" s="39" t="inlineStr">
        <is>
          <t>Blazing Pillage</t>
        </is>
      </c>
      <c r="P23" s="39" t="inlineStr">
        <is>
          <t>Massive shields, Pillage shield restore, Haven</t>
        </is>
      </c>
      <c r="Q23" s="39" t="inlineStr">
        <is>
          <t>Arcane Expertise</t>
        </is>
      </c>
      <c r="R23" s="39" t="inlineStr">
        <is>
          <t>Molt Augmented</t>
        </is>
      </c>
      <c r="S23" s="39" t="inlineStr">
        <is>
          <t>Tauforged Crimson: Ability Strength +15%</t>
        </is>
      </c>
      <c r="T23" s="39" t="inlineStr">
        <is>
          <t>Crimson: Ability Strength +10%</t>
        </is>
      </c>
      <c r="U23" s="39" t="inlineStr">
        <is>
          <t>Azure: Shield Capacity +150</t>
        </is>
      </c>
      <c r="V23" s="39" t="inlineStr">
        <is>
          <t>Azure: Shield Capacity +150</t>
        </is>
      </c>
      <c r="W23" s="39" t="inlineStr">
        <is>
          <t>Azure: Shield Capacity +150</t>
        </is>
      </c>
      <c r="X23" s="39" t="inlineStr">
        <is>
          <t>Vazarin</t>
        </is>
      </c>
      <c r="Y23" s="39" t="inlineStr">
        <is>
          <t>Wyrm Prime</t>
        </is>
      </c>
      <c r="Z23" s="39" t="inlineStr">
        <is>
          <t>Prime Laser Rifle</t>
        </is>
      </c>
      <c r="AA23" s="39" t="inlineStr">
        <is>
          <t>Gorgon Wraith</t>
        </is>
      </c>
      <c r="AB23" s="39" t="inlineStr">
        <is>
          <t>Balefire Charger Prime (Exalted)</t>
        </is>
      </c>
      <c r="AC23" s="39" t="inlineStr">
        <is>
          <t>Hirudo</t>
        </is>
      </c>
      <c r="AD23" s="39" t="inlineStr">
        <is>
          <t>Balefire Charger Prime</t>
        </is>
      </c>
      <c r="AE23" s="39" t="inlineStr">
        <is>
          <t>See EXALTED BUILDS</t>
        </is>
      </c>
      <c r="AF23" s="39" t="inlineStr">
        <is>
          <t>P: Primary Merciless / M: Melee Duplicate</t>
        </is>
      </c>
      <c r="AG23" s="39" t="inlineStr">
        <is>
          <t>Gorgon Wraith: EVO2: Hunter's Mantra, EVO3: Resonant Restore, EVO4: Survivor's Edge</t>
        </is>
      </c>
      <c r="AH23" s="39" t="inlineStr">
        <is>
          <t>Gorgon Wraith: status (Corrosive + Viral); Hirudo: crit (Viral + Heat)</t>
        </is>
      </c>
      <c r="AI23" s="39" t="inlineStr">
        <is>
          <t>65/65 (fits)</t>
        </is>
      </c>
      <c r="AJ23" s="39" t="n">
        <v>3</v>
      </c>
      <c r="AK23" s="39" t="inlineStr">
        <is>
          <t>-</t>
        </is>
      </c>
      <c r="AL23" s="39" t="n"/>
      <c r="AM23" s="39" t="inlineStr">
        <is>
          <t>COMPLETE</t>
        </is>
      </c>
    </row>
    <row r="24">
      <c r="A24" s="39" t="inlineStr">
        <is>
          <t>Hydroid Prime</t>
        </is>
      </c>
      <c r="B24" s="39" t="inlineStr">
        <is>
          <t>Tentacle Swarm CC + Plunder corrosive armor strip</t>
        </is>
      </c>
      <c r="C24" s="39" t="inlineStr">
        <is>
          <t>Roar</t>
        </is>
      </c>
      <c r="D24" s="39" t="inlineStr">
        <is>
          <t>Tidal Surge</t>
        </is>
      </c>
      <c r="E24" s="39" t="n">
        <v>217</v>
      </c>
      <c r="F24" s="39" t="n">
        <v>155</v>
      </c>
      <c r="G24" s="39" t="n">
        <v>145</v>
      </c>
      <c r="H24" s="39" t="n">
        <v>130</v>
      </c>
      <c r="I24" s="39" t="inlineStr">
        <is>
          <t>Str for Tentacle damage/Plunder.</t>
        </is>
      </c>
      <c r="J24" s="39" t="inlineStr">
        <is>
          <t>Plunder corrosive procs (Emerald corrosion ability dmg)</t>
        </is>
      </c>
      <c r="K24" s="39" t="inlineStr">
        <is>
          <t>Growing Power</t>
        </is>
      </c>
      <c r="L24" s="39" t="n"/>
      <c r="M24" s="39" t="inlineStr">
        <is>
          <t>Power Drift</t>
        </is>
      </c>
      <c r="N24" s="39" t="inlineStr">
        <is>
          <t>Umbral Intensify | Umbral Vitality | Umbral Fiber | Primed Continuity | Stretch | Primed Flow | Streamline | Pilfering Swarm</t>
        </is>
      </c>
      <c r="O24" s="39" t="inlineStr">
        <is>
          <t>Pilfering Swarm</t>
        </is>
      </c>
      <c r="P24" s="39" t="inlineStr">
        <is>
          <t>Umbral set, Plunder armor gain</t>
        </is>
      </c>
      <c r="Q24" s="39" t="inlineStr">
        <is>
          <t>Arcane Energize</t>
        </is>
      </c>
      <c r="R24" s="39" t="inlineStr">
        <is>
          <t>Molt Augmented</t>
        </is>
      </c>
      <c r="S24" s="39" t="inlineStr">
        <is>
          <t>Tauforged Crimson: Ability Strength +15%</t>
        </is>
      </c>
      <c r="T24" s="39" t="inlineStr">
        <is>
          <t>Crimson: Ability Strength +10%</t>
        </is>
      </c>
      <c r="U24" s="39" t="inlineStr">
        <is>
          <t>Emerald: Ability Damage vs Corrosion +10%</t>
        </is>
      </c>
      <c r="V24" s="39" t="inlineStr">
        <is>
          <t>Azure: Armor +150</t>
        </is>
      </c>
      <c r="W24" s="39" t="inlineStr">
        <is>
          <t>Amber: Casting Speed +25%</t>
        </is>
      </c>
      <c r="X24" s="39" t="inlineStr">
        <is>
          <t>Zenurik</t>
        </is>
      </c>
      <c r="Y24" s="39" t="inlineStr">
        <is>
          <t>Smeeta Kavat</t>
        </is>
      </c>
      <c r="Z24" s="39" t="inlineStr">
        <is>
          <t>Smeeta Claws</t>
        </is>
      </c>
      <c r="AA24" s="39" t="inlineStr">
        <is>
          <t>Kuva Sobek</t>
        </is>
      </c>
      <c r="AB24" s="39" t="inlineStr">
        <is>
          <t>Pox</t>
        </is>
      </c>
      <c r="AC24" s="39" t="inlineStr">
        <is>
          <t>Nami Skyla Prime</t>
        </is>
      </c>
      <c r="AD24" s="39" t="inlineStr">
        <is>
          <t>-</t>
        </is>
      </c>
      <c r="AE24" s="39" t="inlineStr">
        <is>
          <t>-</t>
        </is>
      </c>
      <c r="AF24" s="39" t="inlineStr">
        <is>
          <t>P: Shotgun Vendetta / S: Secondary Encumber / M: Melee Influence</t>
        </is>
      </c>
      <c r="AG24" s="39" t="inlineStr">
        <is>
          <t>-</t>
        </is>
      </c>
      <c r="AH24" s="39" t="inlineStr">
        <is>
          <t>Kuva Sobek: crit (Adversary innate element); Pox: status (Corrosive + Viral); Nami Skyla Prime: status (Corrosive + Viral)</t>
        </is>
      </c>
      <c r="AI24" s="39" t="inlineStr">
        <is>
          <t>62/65 (fits)</t>
        </is>
      </c>
      <c r="AJ24" s="39" t="n">
        <v>5</v>
      </c>
      <c r="AK24" s="39" t="inlineStr">
        <is>
          <t>-</t>
        </is>
      </c>
      <c r="AL24" s="39" t="n"/>
      <c r="AM24" s="39" t="inlineStr">
        <is>
          <t>COMPLETE</t>
        </is>
      </c>
    </row>
    <row r="25">
      <c r="A25" s="39" t="inlineStr">
        <is>
          <t>Inaros Prime</t>
        </is>
      </c>
      <c r="B25" s="39" t="inlineStr">
        <is>
          <t>Scarab Shell/health tank; Desiccation lifesteal</t>
        </is>
      </c>
      <c r="C25" s="39" t="inlineStr">
        <is>
          <t>Roar</t>
        </is>
      </c>
      <c r="D25" s="39" t="inlineStr">
        <is>
          <t>Sandstorm</t>
        </is>
      </c>
      <c r="E25" s="39" t="n">
        <v>207</v>
      </c>
      <c r="F25" s="39" t="n">
        <v>155</v>
      </c>
      <c r="G25" s="39" t="n">
        <v>145</v>
      </c>
      <c r="H25" s="39" t="n">
        <v>130</v>
      </c>
      <c r="I25" s="39" t="inlineStr">
        <is>
          <t>Bellicose cap at 3000 max health.</t>
        </is>
      </c>
      <c r="J25" s="39" t="inlineStr">
        <is>
          <t>Arcane Bellicose: +6% Str per 250 max health (cap 72%)</t>
        </is>
      </c>
      <c r="K25" s="39" t="inlineStr">
        <is>
          <t>Growing Power</t>
        </is>
      </c>
      <c r="L25" s="39" t="n"/>
      <c r="M25" s="39" t="inlineStr">
        <is>
          <t>Power Drift</t>
        </is>
      </c>
      <c r="N25" s="39" t="inlineStr">
        <is>
          <t>Umbral Intensify | Umbral Vitality | Umbral Fiber | Primed Continuity | Primed Flow | Streamline | Stretch | Negation Armor</t>
        </is>
      </c>
      <c r="O25" s="39" t="inlineStr">
        <is>
          <t>Negation Armor</t>
        </is>
      </c>
      <c r="P25" s="39" t="inlineStr">
        <is>
          <t>No shields; huge health, Scarab Shell armor, Negation Armor</t>
        </is>
      </c>
      <c r="Q25" s="39" t="inlineStr">
        <is>
          <t>Arcane Reaper</t>
        </is>
      </c>
      <c r="R25" s="39" t="inlineStr">
        <is>
          <t>Arcane Bellicose</t>
        </is>
      </c>
      <c r="S25" s="39" t="inlineStr">
        <is>
          <t>Tauforged Crimson: Ability Strength +15%</t>
        </is>
      </c>
      <c r="T25" s="39" t="inlineStr">
        <is>
          <t>Azure: Health +150</t>
        </is>
      </c>
      <c r="U25" s="39" t="inlineStr">
        <is>
          <t>Azure: Health +150</t>
        </is>
      </c>
      <c r="V25" s="39" t="inlineStr">
        <is>
          <t>Azure: Armor +150</t>
        </is>
      </c>
      <c r="W25" s="39" t="inlineStr">
        <is>
          <t>Azure: Armor +150</t>
        </is>
      </c>
      <c r="X25" s="39" t="inlineStr">
        <is>
          <t>Vazarin</t>
        </is>
      </c>
      <c r="Y25" s="39" t="inlineStr">
        <is>
          <t>Panzer Vulpaphyla</t>
        </is>
      </c>
      <c r="Z25" s="39" t="inlineStr">
        <is>
          <t>Panzer Claws</t>
        </is>
      </c>
      <c r="AA25" s="39" t="inlineStr">
        <is>
          <t>Panthera Prime</t>
        </is>
      </c>
      <c r="AB25" s="39" t="inlineStr">
        <is>
          <t>Zymos</t>
        </is>
      </c>
      <c r="AC25" s="39" t="inlineStr">
        <is>
          <t>Karyst Prime</t>
        </is>
      </c>
      <c r="AD25" s="39" t="inlineStr">
        <is>
          <t>-</t>
        </is>
      </c>
      <c r="AE25" s="39" t="inlineStr">
        <is>
          <t>-</t>
        </is>
      </c>
      <c r="AF25" s="39" t="inlineStr">
        <is>
          <t>P: Primary Merciless / S: Secondary Encumber / M: Melee Duplicate</t>
        </is>
      </c>
      <c r="AG25" s="39" t="inlineStr">
        <is>
          <t>-</t>
        </is>
      </c>
      <c r="AH25" s="39" t="inlineStr">
        <is>
          <t>Panthera Prime: status (Corrosive + Viral); Zymos: status (Corrosive + Viral); Karyst Prime: crit (Viral + Heat)</t>
        </is>
      </c>
      <c r="AI25" s="39" t="inlineStr">
        <is>
          <t>62/65 (fits)</t>
        </is>
      </c>
      <c r="AJ25" s="39" t="n">
        <v>7</v>
      </c>
      <c r="AK25" s="39" t="inlineStr">
        <is>
          <t>-</t>
        </is>
      </c>
      <c r="AL25" s="39" t="n"/>
      <c r="AM25" s="39" t="inlineStr">
        <is>
          <t>COMPLETE</t>
        </is>
      </c>
    </row>
    <row r="26">
      <c r="A26" s="39" t="inlineStr">
        <is>
          <t>Ivara Prime</t>
        </is>
      </c>
      <c r="B26" s="39" t="inlineStr">
        <is>
          <t>Prowl stealth / Artemis Bow exalted; Navigator</t>
        </is>
      </c>
      <c r="C26" s="39" t="inlineStr">
        <is>
          <t>Roar</t>
        </is>
      </c>
      <c r="D26" s="39" t="inlineStr">
        <is>
          <t>Navigator</t>
        </is>
      </c>
      <c r="E26" s="39" t="n">
        <v>217</v>
      </c>
      <c r="F26" s="39" t="n">
        <v>165</v>
      </c>
      <c r="G26" s="39" t="n">
        <v>145</v>
      </c>
      <c r="H26" s="39" t="n">
        <v>130</v>
      </c>
      <c r="I26" s="39" t="inlineStr">
        <is>
          <t>Str for Artemis Bow damage.</t>
        </is>
      </c>
      <c r="J26" s="39" t="inlineStr">
        <is>
          <t>Arcane Crepuscular +30% Str / x3 final CD while invisible</t>
        </is>
      </c>
      <c r="K26" s="39" t="inlineStr">
        <is>
          <t>Growing Power</t>
        </is>
      </c>
      <c r="L26" s="39" t="n"/>
      <c r="M26" s="39" t="inlineStr">
        <is>
          <t>Power Drift</t>
        </is>
      </c>
      <c r="N26" s="39" t="inlineStr">
        <is>
          <t>Umbral Intensify | Umbral Vitality | Umbral Fiber | Primed Continuity | Primed Flow | Streamline | Stretch | Infiltrate</t>
        </is>
      </c>
      <c r="O26" s="39" t="inlineStr">
        <is>
          <t>Infiltrate</t>
        </is>
      </c>
      <c r="P26" s="39" t="inlineStr">
        <is>
          <t>Prowl invisibility, Umbral set</t>
        </is>
      </c>
      <c r="Q26" s="39" t="inlineStr">
        <is>
          <t>Arcane Crepuscular</t>
        </is>
      </c>
      <c r="R26" s="39" t="inlineStr">
        <is>
          <t>Arcane Avenger</t>
        </is>
      </c>
      <c r="S26" s="39" t="inlineStr">
        <is>
          <t>Tauforged Crimson: Ability Strength +15%</t>
        </is>
      </c>
      <c r="T26" s="39" t="inlineStr">
        <is>
          <t>Crimson: Ability Strength +10%</t>
        </is>
      </c>
      <c r="U26" s="39" t="inlineStr">
        <is>
          <t>Crimson: Ability Duration +10%</t>
        </is>
      </c>
      <c r="V26" s="39" t="inlineStr">
        <is>
          <t>Azure: Armor +150</t>
        </is>
      </c>
      <c r="W26" s="39" t="inlineStr">
        <is>
          <t>Amber: Casting Speed +25%</t>
        </is>
      </c>
      <c r="X26" s="39" t="inlineStr">
        <is>
          <t>Madurai</t>
        </is>
      </c>
      <c r="Y26" s="39" t="inlineStr">
        <is>
          <t>Adarza Kavat</t>
        </is>
      </c>
      <c r="Z26" s="39" t="inlineStr">
        <is>
          <t>Adarza Claws</t>
        </is>
      </c>
      <c r="AA26" s="39" t="inlineStr">
        <is>
          <t>Artemis Bow Prime (Exalted)</t>
        </is>
      </c>
      <c r="AB26" s="39" t="inlineStr">
        <is>
          <t>Akstiletto Prime</t>
        </is>
      </c>
      <c r="AC26" s="39" t="inlineStr">
        <is>
          <t>Cerata</t>
        </is>
      </c>
      <c r="AD26" s="39" t="inlineStr">
        <is>
          <t>Artemis Bow Prime</t>
        </is>
      </c>
      <c r="AE26" s="39" t="inlineStr">
        <is>
          <t>See EXALTED BUILDS</t>
        </is>
      </c>
      <c r="AF26" s="39" t="inlineStr">
        <is>
          <t>S: Secondary Encumber / M: Melee Influence</t>
        </is>
      </c>
      <c r="AG26" s="39" t="inlineStr">
        <is>
          <t>-</t>
        </is>
      </c>
      <c r="AH26" s="39" t="inlineStr">
        <is>
          <t>Akstiletto Prime: status (Corrosive + Viral); Cerata: status (Corrosive + Viral)</t>
        </is>
      </c>
      <c r="AI26" s="39" t="inlineStr">
        <is>
          <t>62/65 (fits)</t>
        </is>
      </c>
      <c r="AJ26" s="39" t="n">
        <v>6</v>
      </c>
      <c r="AK26" s="39" t="inlineStr">
        <is>
          <t>-</t>
        </is>
      </c>
      <c r="AL26" s="39" t="n"/>
      <c r="AM26" s="39" t="inlineStr">
        <is>
          <t>COMPLETE</t>
        </is>
      </c>
    </row>
    <row r="27">
      <c r="A27" s="39" t="inlineStr">
        <is>
          <t>Jade</t>
        </is>
      </c>
      <c r="B27" s="39" t="inlineStr">
        <is>
          <t>Light's Judgment/Ophanim Eyes judgment debuff caster; Glory exalted; two Aura slots</t>
        </is>
      </c>
      <c r="C27" s="39" t="inlineStr">
        <is>
          <t>Roar</t>
        </is>
      </c>
      <c r="D27" s="39" t="inlineStr">
        <is>
          <t>Symphony of Mercy</t>
        </is>
      </c>
      <c r="E27" s="39" t="n">
        <v>217</v>
      </c>
      <c r="F27" s="39" t="n">
        <v>165</v>
      </c>
      <c r="G27" s="39" t="n">
        <v>145</v>
      </c>
      <c r="H27" s="39" t="n">
        <v>130</v>
      </c>
      <c r="I27" s="39" t="inlineStr">
        <is>
          <t>Str for judgment/Glory.</t>
        </is>
      </c>
      <c r="J27" s="39" t="inlineStr">
        <is>
          <t>Judgments +50% enemy damage vulnerability</t>
        </is>
      </c>
      <c r="K27" s="39" t="inlineStr">
        <is>
          <t>Growing Power</t>
        </is>
      </c>
      <c r="L27" s="39" t="inlineStr">
        <is>
          <t>Corrosive Projection</t>
        </is>
      </c>
      <c r="M27" s="39" t="inlineStr">
        <is>
          <t>Power Drift</t>
        </is>
      </c>
      <c r="N27" s="39" t="inlineStr">
        <is>
          <t>Umbral Intensify | Umbral Vitality | Umbral Fiber | Primed Continuity | Stretch | Primed Flow | Streamline | Jade's Judgment</t>
        </is>
      </c>
      <c r="O27" s="39" t="inlineStr">
        <is>
          <t>Jade's Judgment</t>
        </is>
      </c>
      <c r="P27" s="39" t="inlineStr">
        <is>
          <t>Umbral set, flight</t>
        </is>
      </c>
      <c r="Q27" s="39" t="inlineStr">
        <is>
          <t>Arcane Energize</t>
        </is>
      </c>
      <c r="R27" s="39" t="inlineStr">
        <is>
          <t>Molt Augmented</t>
        </is>
      </c>
      <c r="S27" s="39" t="inlineStr">
        <is>
          <t>Tauforged Crimson: Ability Strength +15%</t>
        </is>
      </c>
      <c r="T27" s="39" t="inlineStr">
        <is>
          <t>Crimson: Ability Strength +10%</t>
        </is>
      </c>
      <c r="U27" s="39" t="inlineStr">
        <is>
          <t>Crimson: Ability Duration +10%</t>
        </is>
      </c>
      <c r="V27" s="39" t="inlineStr">
        <is>
          <t>Azure: Armor +150</t>
        </is>
      </c>
      <c r="W27" s="39" t="inlineStr">
        <is>
          <t>Amber: Casting Speed +25%</t>
        </is>
      </c>
      <c r="X27" s="39" t="inlineStr">
        <is>
          <t>Zenurik</t>
        </is>
      </c>
      <c r="Y27" s="39" t="inlineStr">
        <is>
          <t>Helios Prime</t>
        </is>
      </c>
      <c r="Z27" s="39" t="inlineStr">
        <is>
          <t>Deconstructor Prime</t>
        </is>
      </c>
      <c r="AA27" s="39" t="inlineStr">
        <is>
          <t>Evensong</t>
        </is>
      </c>
      <c r="AB27" s="39" t="inlineStr">
        <is>
          <t>Cantare</t>
        </is>
      </c>
      <c r="AC27" s="39" t="inlineStr">
        <is>
          <t>Harmony</t>
        </is>
      </c>
      <c r="AD27" s="39" t="inlineStr">
        <is>
          <t>Glory</t>
        </is>
      </c>
      <c r="AE27" s="39" t="inlineStr">
        <is>
          <t>See EXALTED BUILDS</t>
        </is>
      </c>
      <c r="AF27" s="39" t="inlineStr">
        <is>
          <t>P: Primary Deadhead / S: Secondary Encumber / M: Melee Influence</t>
        </is>
      </c>
      <c r="AG27" s="39" t="inlineStr">
        <is>
          <t>-</t>
        </is>
      </c>
      <c r="AH27" s="39" t="inlineStr">
        <is>
          <t>Evensong: crit (Viral + Heat); Cantare: status (Corrosive + Viral); Harmony: status (Corrosive + Viral)</t>
        </is>
      </c>
      <c r="AI27" s="39" t="inlineStr">
        <is>
          <t>74/74 (fits)</t>
        </is>
      </c>
      <c r="AJ27" s="39" t="n">
        <v>4</v>
      </c>
      <c r="AK27" s="39" t="inlineStr">
        <is>
          <t>-</t>
        </is>
      </c>
      <c r="AL27" s="39" t="n"/>
      <c r="AM27" s="39" t="inlineStr">
        <is>
          <t>COMPLETE</t>
        </is>
      </c>
    </row>
    <row r="28">
      <c r="A28" s="39" t="inlineStr">
        <is>
          <t>Khora Prime</t>
        </is>
      </c>
      <c r="B28" s="39" t="inlineStr">
        <is>
          <t>Strangledome CC + Whipclaw exalted (Ability Combo); Venari exalted companion</t>
        </is>
      </c>
      <c r="C28" s="39" t="inlineStr">
        <is>
          <t>Roar</t>
        </is>
      </c>
      <c r="D28" s="39" t="inlineStr">
        <is>
          <t>Ensnare</t>
        </is>
      </c>
      <c r="E28" s="39" t="n">
        <v>217</v>
      </c>
      <c r="F28" s="39" t="n">
        <v>155</v>
      </c>
      <c r="G28" s="39" t="n">
        <v>145</v>
      </c>
      <c r="H28" s="39" t="n">
        <v>130</v>
      </c>
      <c r="I28" s="39" t="inlineStr">
        <is>
          <t>Str for Whipclaw.</t>
        </is>
      </c>
      <c r="J28" s="39" t="inlineStr">
        <is>
          <t>Accumulating Whipclaw stacking damage</t>
        </is>
      </c>
      <c r="K28" s="39" t="inlineStr">
        <is>
          <t>Growing Power</t>
        </is>
      </c>
      <c r="L28" s="39" t="n"/>
      <c r="M28" s="39" t="inlineStr">
        <is>
          <t>Power Drift</t>
        </is>
      </c>
      <c r="N28" s="39" t="inlineStr">
        <is>
          <t>Umbral Intensify | Umbral Vitality | Umbral Fiber | Primed Continuity | Stretch | Primed Flow | Streamline | Accumulating Whipclaw</t>
        </is>
      </c>
      <c r="O28" s="39" t="inlineStr">
        <is>
          <t>Accumulating Whipclaw</t>
        </is>
      </c>
      <c r="P28" s="39" t="inlineStr">
        <is>
          <t>Venari heal mode, Umbral set</t>
        </is>
      </c>
      <c r="Q28" s="39" t="inlineStr">
        <is>
          <t>Arcane Energize</t>
        </is>
      </c>
      <c r="R28" s="39" t="inlineStr">
        <is>
          <t>Molt Augmented</t>
        </is>
      </c>
      <c r="S28" s="39" t="inlineStr">
        <is>
          <t>Tauforged Crimson: Ability Strength +15%</t>
        </is>
      </c>
      <c r="T28" s="39" t="inlineStr">
        <is>
          <t>Crimson: Ability Strength +10%</t>
        </is>
      </c>
      <c r="U28" s="39" t="inlineStr">
        <is>
          <t>Crimson: Melee Critical Damage +25%</t>
        </is>
      </c>
      <c r="V28" s="39" t="inlineStr">
        <is>
          <t>Azure: Armor +150</t>
        </is>
      </c>
      <c r="W28" s="39" t="inlineStr">
        <is>
          <t>Amber: Casting Speed +25%</t>
        </is>
      </c>
      <c r="X28" s="39" t="inlineStr">
        <is>
          <t>Madurai</t>
        </is>
      </c>
      <c r="Y28" s="39" t="inlineStr">
        <is>
          <t>Smeeta Kavat</t>
        </is>
      </c>
      <c r="Z28" s="39" t="inlineStr">
        <is>
          <t>Smeeta Claws</t>
        </is>
      </c>
      <c r="AA28" s="39" t="inlineStr">
        <is>
          <t>Corinth Prime</t>
        </is>
      </c>
      <c r="AB28" s="39" t="inlineStr">
        <is>
          <t>Hystrix Prime</t>
        </is>
      </c>
      <c r="AC28" s="39" t="inlineStr">
        <is>
          <t>Dual Keres Prime</t>
        </is>
      </c>
      <c r="AD28" s="39" t="inlineStr">
        <is>
          <t>Whipclaw Prime, Venari Prime (exalted companion)</t>
        </is>
      </c>
      <c r="AE28" s="39" t="inlineStr">
        <is>
          <t>See EXALTED BUILDS</t>
        </is>
      </c>
      <c r="AF28" s="39" t="inlineStr">
        <is>
          <t>P: Shotgun Vendetta / S: Secondary Merciless / M: Melee Duplicate</t>
        </is>
      </c>
      <c r="AG28" s="39" t="inlineStr">
        <is>
          <t>-</t>
        </is>
      </c>
      <c r="AH28" s="39" t="inlineStr">
        <is>
          <t>Corinth Prime: crit (Viral + Heat); Hystrix Prime: crit (Viral + Heat); Dual Keres Prime: crit (Viral + Heat)</t>
        </is>
      </c>
      <c r="AI28" s="39" t="inlineStr">
        <is>
          <t>62/65 (fits)</t>
        </is>
      </c>
      <c r="AJ28" s="39" t="n">
        <v>6</v>
      </c>
      <c r="AK28" s="39" t="inlineStr">
        <is>
          <t>-</t>
        </is>
      </c>
      <c r="AL28" s="39" t="n"/>
      <c r="AM28" s="39" t="inlineStr">
        <is>
          <t>COMPLETE</t>
        </is>
      </c>
    </row>
    <row r="29">
      <c r="A29" s="39" t="inlineStr">
        <is>
          <t>Koumei</t>
        </is>
      </c>
      <c r="B29" s="39" t="inlineStr">
        <is>
          <t>Omikuji luck dice / Bunraku status caster</t>
        </is>
      </c>
      <c r="C29" s="39" t="inlineStr">
        <is>
          <t>Roar</t>
        </is>
      </c>
      <c r="D29" s="39" t="inlineStr">
        <is>
          <t>Kumihimo</t>
        </is>
      </c>
      <c r="E29" s="39" t="n">
        <v>217</v>
      </c>
      <c r="F29" s="39" t="n">
        <v>165</v>
      </c>
      <c r="G29" s="39" t="n">
        <v>145</v>
      </c>
      <c r="H29" s="39" t="n">
        <v>130</v>
      </c>
      <c r="I29" s="39" t="inlineStr">
        <is>
          <t>Str for Bunraku.</t>
        </is>
      </c>
      <c r="J29" s="39" t="inlineStr">
        <is>
          <t>Passive weapon random status 60s cycle</t>
        </is>
      </c>
      <c r="K29" s="39" t="inlineStr">
        <is>
          <t>Growing Power</t>
        </is>
      </c>
      <c r="L29" s="39" t="n"/>
      <c r="M29" s="39" t="inlineStr">
        <is>
          <t>Power Drift</t>
        </is>
      </c>
      <c r="N29" s="39" t="inlineStr">
        <is>
          <t>Umbral Intensify | Umbral Vitality | Umbral Fiber | Primed Continuity | Stretch | Primed Flow | Streamline | Omikuji's Fortune</t>
        </is>
      </c>
      <c r="O29" s="39" t="inlineStr">
        <is>
          <t>Omikuji's Fortune</t>
        </is>
      </c>
      <c r="P29" s="39" t="inlineStr">
        <is>
          <t>Omamori charms, Umbral set</t>
        </is>
      </c>
      <c r="Q29" s="39" t="inlineStr">
        <is>
          <t>Arcane Energize</t>
        </is>
      </c>
      <c r="R29" s="39" t="inlineStr">
        <is>
          <t>Molt Augmented</t>
        </is>
      </c>
      <c r="S29" s="39" t="inlineStr">
        <is>
          <t>Tauforged Crimson: Ability Strength +15%</t>
        </is>
      </c>
      <c r="T29" s="39" t="inlineStr">
        <is>
          <t>Crimson: Ability Strength +10%</t>
        </is>
      </c>
      <c r="U29" s="39" t="inlineStr">
        <is>
          <t>Crimson: Ability Duration +10%</t>
        </is>
      </c>
      <c r="V29" s="39" t="inlineStr">
        <is>
          <t>Azure: Armor +150</t>
        </is>
      </c>
      <c r="W29" s="39" t="inlineStr">
        <is>
          <t>Amber: Casting Speed +25%</t>
        </is>
      </c>
      <c r="X29" s="39" t="inlineStr">
        <is>
          <t>Zenurik</t>
        </is>
      </c>
      <c r="Y29" s="39" t="inlineStr">
        <is>
          <t>Smeeta Kavat</t>
        </is>
      </c>
      <c r="Z29" s="39" t="inlineStr">
        <is>
          <t>Smeeta Claws</t>
        </is>
      </c>
      <c r="AA29" s="39" t="inlineStr">
        <is>
          <t>Higasa</t>
        </is>
      </c>
      <c r="AB29" s="39" t="inlineStr">
        <is>
          <t>Kunai</t>
        </is>
      </c>
      <c r="AC29" s="39" t="inlineStr">
        <is>
          <t>Amanata</t>
        </is>
      </c>
      <c r="AD29" s="39" t="inlineStr">
        <is>
          <t>-</t>
        </is>
      </c>
      <c r="AE29" s="39" t="inlineStr">
        <is>
          <t>-</t>
        </is>
      </c>
      <c r="AF29" s="39" t="inlineStr">
        <is>
          <t>P: Primary Merciless / S: Secondary Merciless / M: Melee Duplicate</t>
        </is>
      </c>
      <c r="AG29" s="39" t="inlineStr">
        <is>
          <t>Kunai: EVO2: Sage's Resolve, EVO3: Swift Deliverance, EVO4: Deathtrap Trigger</t>
        </is>
      </c>
      <c r="AH29" s="39" t="inlineStr">
        <is>
          <t>Higasa: crit (Viral + Heat); Kunai: crit (Viral + Heat); Amanata: crit (Viral + Heat)</t>
        </is>
      </c>
      <c r="AI29" s="39" t="inlineStr">
        <is>
          <t>74/74 (fits)</t>
        </is>
      </c>
      <c r="AJ29" s="39" t="n">
        <v>3</v>
      </c>
      <c r="AK29" s="39" t="inlineStr">
        <is>
          <t>-</t>
        </is>
      </c>
      <c r="AL29" s="39" t="inlineStr">
        <is>
          <t>Kumihimo replaced; Kumihimo Loading unused.</t>
        </is>
      </c>
      <c r="AM29" s="39" t="inlineStr">
        <is>
          <t>COMPLETE</t>
        </is>
      </c>
    </row>
    <row r="30">
      <c r="A30" s="39" t="inlineStr">
        <is>
          <t>Kullervo</t>
        </is>
      </c>
      <c r="B30" s="39" t="inlineStr">
        <is>
          <t>Wrathful Advance crit melee teleport; Storm of Ukko</t>
        </is>
      </c>
      <c r="C30" s="39" t="inlineStr">
        <is>
          <t>Roar</t>
        </is>
      </c>
      <c r="D30" s="39" t="inlineStr">
        <is>
          <t>Collective Curse</t>
        </is>
      </c>
      <c r="E30" s="39" t="n">
        <v>207</v>
      </c>
      <c r="F30" s="39" t="n">
        <v>155</v>
      </c>
      <c r="G30" s="39" t="n">
        <v>145</v>
      </c>
      <c r="H30" s="39" t="n">
        <v>130</v>
      </c>
      <c r="I30" s="39" t="inlineStr">
        <is>
          <t>Str for Wrathful Advance crit.</t>
        </is>
      </c>
      <c r="J30" s="39" t="inlineStr">
        <is>
          <t>Passive heavy attack efficiency/wind-up</t>
        </is>
      </c>
      <c r="K30" s="39" t="inlineStr">
        <is>
          <t>Growing Power</t>
        </is>
      </c>
      <c r="L30" s="39" t="n"/>
      <c r="M30" s="39" t="inlineStr">
        <is>
          <t>Power Drift</t>
        </is>
      </c>
      <c r="N30" s="39" t="inlineStr">
        <is>
          <t>Umbral Intensify | Umbral Vitality | Umbral Fiber | Primed Continuity | Stretch | Primed Flow | Streamline | Wrath of Ukko</t>
        </is>
      </c>
      <c r="O30" s="39" t="inlineStr">
        <is>
          <t>Wrath of Ukko</t>
        </is>
      </c>
      <c r="P30" s="39" t="inlineStr">
        <is>
          <t>No shields; health/armor, Recompense heal</t>
        </is>
      </c>
      <c r="Q30" s="39" t="inlineStr">
        <is>
          <t>Arcane Reaper</t>
        </is>
      </c>
      <c r="R30" s="39" t="inlineStr">
        <is>
          <t>Arcane Fury</t>
        </is>
      </c>
      <c r="S30" s="39" t="inlineStr">
        <is>
          <t>Tauforged Crimson: Ability Strength +15%</t>
        </is>
      </c>
      <c r="T30" s="39" t="inlineStr">
        <is>
          <t>Tauforged Crimson: Melee Critical Damage +37.5%</t>
        </is>
      </c>
      <c r="U30" s="39" t="inlineStr">
        <is>
          <t>Crimson: Melee Critical Damage +25%</t>
        </is>
      </c>
      <c r="V30" s="39" t="inlineStr">
        <is>
          <t>Azure: Health +150</t>
        </is>
      </c>
      <c r="W30" s="39" t="inlineStr">
        <is>
          <t>Azure: Armor +150</t>
        </is>
      </c>
      <c r="X30" s="39" t="inlineStr">
        <is>
          <t>Naramon</t>
        </is>
      </c>
      <c r="Y30" s="39" t="inlineStr">
        <is>
          <t>Adarza Kavat</t>
        </is>
      </c>
      <c r="Z30" s="39" t="inlineStr">
        <is>
          <t>Adarza Claws</t>
        </is>
      </c>
      <c r="AA30" s="39" t="inlineStr">
        <is>
          <t>Rauta</t>
        </is>
      </c>
      <c r="AB30" s="39" t="inlineStr">
        <is>
          <t>Epitaph</t>
        </is>
      </c>
      <c r="AC30" s="39" t="inlineStr">
        <is>
          <t>Azothane</t>
        </is>
      </c>
      <c r="AD30" s="39" t="inlineStr">
        <is>
          <t>-</t>
        </is>
      </c>
      <c r="AE30" s="39" t="inlineStr">
        <is>
          <t>-</t>
        </is>
      </c>
      <c r="AF30" s="39" t="inlineStr">
        <is>
          <t>P: Shotgun Vendetta / S: Secondary Outburst / M: Melee Duplicate</t>
        </is>
      </c>
      <c r="AG30" s="39" t="inlineStr">
        <is>
          <t>-</t>
        </is>
      </c>
      <c r="AH30" s="39" t="inlineStr">
        <is>
          <t>Rauta: status (Corrosive + Viral); Epitaph: crit (Viral + Heat); Azothane: crit (Viral + Heat)</t>
        </is>
      </c>
      <c r="AI30" s="39" t="inlineStr">
        <is>
          <t>62/65 (fits)</t>
        </is>
      </c>
      <c r="AJ30" s="39" t="n">
        <v>7</v>
      </c>
      <c r="AK30" s="39" t="inlineStr">
        <is>
          <t>-</t>
        </is>
      </c>
      <c r="AL30" s="39" t="n"/>
      <c r="AM30" s="39" t="inlineStr">
        <is>
          <t>COMPLETE</t>
        </is>
      </c>
    </row>
    <row r="31">
      <c r="A31" s="39" t="inlineStr">
        <is>
          <t>Lavos Prime</t>
        </is>
      </c>
      <c r="B31" s="39" t="inlineStr">
        <is>
          <t>Cooldown elemental alchemist; Catalyze/Vial Rush</t>
        </is>
      </c>
      <c r="C31" s="39" t="inlineStr">
        <is>
          <t>Roar</t>
        </is>
      </c>
      <c r="D31" s="39" t="inlineStr">
        <is>
          <t>Ophidian Bite</t>
        </is>
      </c>
      <c r="E31" s="39" t="n">
        <v>272</v>
      </c>
      <c r="F31" s="39" t="n">
        <v>127.5</v>
      </c>
      <c r="G31" s="39" t="n">
        <v>175</v>
      </c>
      <c r="H31" s="39" t="n">
        <v>100</v>
      </c>
      <c r="I31" s="39" t="inlineStr">
        <is>
          <t>Str for Catalyze/Vial; no Efficiency mods (no energy).</t>
        </is>
      </c>
      <c r="J31" s="39" t="inlineStr">
        <is>
          <t>No energy: cooldown based; Efficiency irrelevant</t>
        </is>
      </c>
      <c r="K31" s="39" t="inlineStr">
        <is>
          <t>Growing Power</t>
        </is>
      </c>
      <c r="L31" s="39" t="n"/>
      <c r="M31" s="39" t="inlineStr">
        <is>
          <t>Power Drift</t>
        </is>
      </c>
      <c r="N31" s="39" t="inlineStr">
        <is>
          <t>Umbral Intensify | Umbral Vitality | Umbral Fiber | Primed Continuity | Stretch | Augur Reach | Transient Fortitude | Valence Formation</t>
        </is>
      </c>
      <c r="O31" s="39" t="inlineStr">
        <is>
          <t>Valence Formation</t>
        </is>
      </c>
      <c r="P31" s="39" t="inlineStr">
        <is>
          <t>Passive status immunity on cast, Umbral set</t>
        </is>
      </c>
      <c r="Q31" s="39" t="inlineStr">
        <is>
          <t>Arcane Reaper</t>
        </is>
      </c>
      <c r="R31" s="39" t="inlineStr">
        <is>
          <t>Molt Augmented</t>
        </is>
      </c>
      <c r="S31" s="39" t="inlineStr">
        <is>
          <t>Tauforged Crimson: Ability Strength +15%</t>
        </is>
      </c>
      <c r="T31" s="39" t="inlineStr">
        <is>
          <t>Crimson: Ability Strength +10%</t>
        </is>
      </c>
      <c r="U31" s="39" t="inlineStr">
        <is>
          <t>Azure: Armor +150</t>
        </is>
      </c>
      <c r="V31" s="39" t="inlineStr">
        <is>
          <t>Azure: Health +150</t>
        </is>
      </c>
      <c r="W31" s="39" t="inlineStr">
        <is>
          <t>Azure: Health +150</t>
        </is>
      </c>
      <c r="X31" s="39" t="inlineStr">
        <is>
          <t>Madurai</t>
        </is>
      </c>
      <c r="Y31" s="39" t="inlineStr">
        <is>
          <t>Panzer Vulpaphyla</t>
        </is>
      </c>
      <c r="Z31" s="39" t="inlineStr">
        <is>
          <t>Panzer Claws</t>
        </is>
      </c>
      <c r="AA31" s="39" t="inlineStr">
        <is>
          <t>Cedo Prime</t>
        </is>
      </c>
      <c r="AB31" s="39" t="inlineStr">
        <is>
          <t>Cyanex</t>
        </is>
      </c>
      <c r="AC31" s="39" t="inlineStr">
        <is>
          <t>Dual Zoren Prime</t>
        </is>
      </c>
      <c r="AD31" s="39" t="inlineStr">
        <is>
          <t>-</t>
        </is>
      </c>
      <c r="AE31" s="39" t="inlineStr">
        <is>
          <t>-</t>
        </is>
      </c>
      <c r="AF31" s="39" t="inlineStr">
        <is>
          <t>P: Shotgun Vendetta / S: Secondary Encumber / M: Melee Duplicate</t>
        </is>
      </c>
      <c r="AG31" s="39" t="inlineStr">
        <is>
          <t>-</t>
        </is>
      </c>
      <c r="AH31" s="39" t="inlineStr">
        <is>
          <t>Cedo Prime: crit (Viral + Heat); Cyanex: status (Corrosive + Viral); Dual Zoren Prime: crit (Viral + Heat)</t>
        </is>
      </c>
      <c r="AI31" s="39" t="inlineStr">
        <is>
          <t>62/65 (fits)</t>
        </is>
      </c>
      <c r="AJ31" s="39" t="n">
        <v>6</v>
      </c>
      <c r="AK31" s="39" t="inlineStr">
        <is>
          <t>-</t>
        </is>
      </c>
      <c r="AL31" s="39" t="n"/>
      <c r="AM31" s="39" t="inlineStr">
        <is>
          <t>COMPLETE</t>
        </is>
      </c>
    </row>
    <row r="32">
      <c r="A32" s="39" t="inlineStr">
        <is>
          <t>Limbo Prime</t>
        </is>
      </c>
      <c r="B32" s="39" t="inlineStr">
        <is>
          <t>Cataclysm/Stasis rift control</t>
        </is>
      </c>
      <c r="C32" s="39" t="inlineStr">
        <is>
          <t>Roar</t>
        </is>
      </c>
      <c r="D32" s="39" t="inlineStr">
        <is>
          <t>Banish</t>
        </is>
      </c>
      <c r="E32" s="39" t="n">
        <v>195</v>
      </c>
      <c r="F32" s="39" t="n">
        <v>175</v>
      </c>
      <c r="G32" s="39" t="n">
        <v>175</v>
      </c>
      <c r="H32" s="39" t="n">
        <v>130</v>
      </c>
      <c r="I32" s="39" t="inlineStr">
        <is>
          <t>Cataclysm range/duration.</t>
        </is>
      </c>
      <c r="J32" s="39" t="inlineStr">
        <is>
          <t>Rift plane immunity</t>
        </is>
      </c>
      <c r="K32" s="39" t="inlineStr">
        <is>
          <t>Growing Power</t>
        </is>
      </c>
      <c r="L32" s="39" t="n"/>
      <c r="M32" s="39" t="inlineStr">
        <is>
          <t>Power Drift</t>
        </is>
      </c>
      <c r="N32" s="39" t="inlineStr">
        <is>
          <t>Umbral Intensify | Primed Continuity | Stretch | Augur Reach | Primed Flow | Streamline | Umbral Vitality | Cataclysmic Continuum</t>
        </is>
      </c>
      <c r="O32" s="39" t="inlineStr">
        <is>
          <t>Cataclysmic Continuum</t>
        </is>
      </c>
      <c r="P32" s="39" t="inlineStr">
        <is>
          <t>Rift plane invulnerability</t>
        </is>
      </c>
      <c r="Q32" s="39" t="inlineStr">
        <is>
          <t>Arcane Energize</t>
        </is>
      </c>
      <c r="R32" s="39" t="inlineStr">
        <is>
          <t>Molt Augmented</t>
        </is>
      </c>
      <c r="S32" s="39" t="inlineStr">
        <is>
          <t>Tauforged Crimson: Ability Strength +15%</t>
        </is>
      </c>
      <c r="T32" s="39" t="inlineStr">
        <is>
          <t>Crimson: Ability Strength +10%</t>
        </is>
      </c>
      <c r="U32" s="39" t="inlineStr">
        <is>
          <t>Crimson: Ability Duration +10%</t>
        </is>
      </c>
      <c r="V32" s="39" t="inlineStr">
        <is>
          <t>Crimson: Ability Duration +10%</t>
        </is>
      </c>
      <c r="W32" s="39" t="inlineStr">
        <is>
          <t>Amber: Casting Speed +25%</t>
        </is>
      </c>
      <c r="X32" s="39" t="inlineStr">
        <is>
          <t>Zenurik</t>
        </is>
      </c>
      <c r="Y32" s="39" t="inlineStr">
        <is>
          <t>Dethcube Prime</t>
        </is>
      </c>
      <c r="Z32" s="39" t="inlineStr">
        <is>
          <t>Deth Machine Rifle Prime</t>
        </is>
      </c>
      <c r="AA32" s="39" t="inlineStr">
        <is>
          <t>Vectis</t>
        </is>
      </c>
      <c r="AB32" s="39" t="inlineStr">
        <is>
          <t>Pyrana Prime</t>
        </is>
      </c>
      <c r="AC32" s="39" t="inlineStr">
        <is>
          <t>Destreza Prime</t>
        </is>
      </c>
      <c r="AD32" s="39" t="inlineStr">
        <is>
          <t>-</t>
        </is>
      </c>
      <c r="AE32" s="39" t="inlineStr">
        <is>
          <t>-</t>
        </is>
      </c>
      <c r="AF32" s="39" t="inlineStr">
        <is>
          <t>P: Primary Deadhead / S: Secondary Merciless / M: Melee Duplicate</t>
        </is>
      </c>
      <c r="AG32" s="39" t="inlineStr">
        <is>
          <t>Vectis: EVO2: Lone Enforcer, EVO3: Rapid Reinforcement, EVO4: Critical Parallel; Destreza Prime: EVO2: Weighted Impetus, EVO3: Orokin Reach, EVO4: Critical Forte</t>
        </is>
      </c>
      <c r="AH32" s="39" t="inlineStr">
        <is>
          <t>Vectis: crit (Viral + Heat); Pyrana Prime: crit (Viral + Heat); Destreza Prime: crit (Viral + Heat)</t>
        </is>
      </c>
      <c r="AI32" s="39" t="inlineStr">
        <is>
          <t>65/65 (fits)</t>
        </is>
      </c>
      <c r="AJ32" s="39" t="n">
        <v>4</v>
      </c>
      <c r="AK32" s="39" t="inlineStr">
        <is>
          <t>-</t>
        </is>
      </c>
      <c r="AL32" s="39" t="n"/>
      <c r="AM32" s="39" t="inlineStr">
        <is>
          <t>COMPLETE</t>
        </is>
      </c>
    </row>
    <row r="33">
      <c r="A33" s="39" t="inlineStr">
        <is>
          <t>Loki Prime</t>
        </is>
      </c>
      <c r="B33" s="39" t="inlineStr">
        <is>
          <t>Invisibility/Radial Disarm stealth support</t>
        </is>
      </c>
      <c r="C33" s="39" t="inlineStr">
        <is>
          <t>Roar</t>
        </is>
      </c>
      <c r="D33" s="39" t="inlineStr">
        <is>
          <t>Switch Teleport</t>
        </is>
      </c>
      <c r="E33" s="39" t="n">
        <v>195</v>
      </c>
      <c r="F33" s="39" t="n">
        <v>165</v>
      </c>
      <c r="G33" s="39" t="n">
        <v>175</v>
      </c>
      <c r="H33" s="39" t="n">
        <v>130</v>
      </c>
      <c r="I33" s="39" t="inlineStr">
        <is>
          <t>Range for Radial Disarm.</t>
        </is>
      </c>
      <c r="J33" s="39" t="inlineStr">
        <is>
          <t>Arcane Crepuscular while invisible</t>
        </is>
      </c>
      <c r="K33" s="39" t="inlineStr">
        <is>
          <t>Growing Power</t>
        </is>
      </c>
      <c r="L33" s="39" t="n"/>
      <c r="M33" s="39" t="inlineStr">
        <is>
          <t>Power Drift</t>
        </is>
      </c>
      <c r="N33" s="39" t="inlineStr">
        <is>
          <t>Umbral Intensify | Primed Continuity | Stretch | Augur Reach | Primed Flow | Streamline | Umbral Vitality | Irradiating Disarm</t>
        </is>
      </c>
      <c r="O33" s="39" t="inlineStr">
        <is>
          <t>Irradiating Disarm</t>
        </is>
      </c>
      <c r="P33" s="39" t="inlineStr">
        <is>
          <t>Invisibility, Disarm</t>
        </is>
      </c>
      <c r="Q33" s="39" t="inlineStr">
        <is>
          <t>Arcane Crepuscular</t>
        </is>
      </c>
      <c r="R33" s="39" t="inlineStr">
        <is>
          <t>Arcane Energize</t>
        </is>
      </c>
      <c r="S33" s="39" t="inlineStr">
        <is>
          <t>Tauforged Crimson: Ability Strength +15%</t>
        </is>
      </c>
      <c r="T33" s="39" t="inlineStr">
        <is>
          <t>Crimson: Ability Strength +10%</t>
        </is>
      </c>
      <c r="U33" s="39" t="inlineStr">
        <is>
          <t>Crimson: Ability Duration +10%</t>
        </is>
      </c>
      <c r="V33" s="39" t="inlineStr">
        <is>
          <t>Azure: Health +150</t>
        </is>
      </c>
      <c r="W33" s="39" t="inlineStr">
        <is>
          <t>Amber: Casting Speed +25%</t>
        </is>
      </c>
      <c r="X33" s="39" t="inlineStr">
        <is>
          <t>Zenurik</t>
        </is>
      </c>
      <c r="Y33" s="39" t="inlineStr">
        <is>
          <t>Huras Kubrow</t>
        </is>
      </c>
      <c r="Z33" s="39" t="inlineStr">
        <is>
          <t>Huras Claws</t>
        </is>
      </c>
      <c r="AA33" s="39" t="inlineStr">
        <is>
          <t>Baza Prime</t>
        </is>
      </c>
      <c r="AB33" s="39" t="inlineStr">
        <is>
          <t>Spira Prime</t>
        </is>
      </c>
      <c r="AC33" s="39" t="inlineStr">
        <is>
          <t>Nikana Prime</t>
        </is>
      </c>
      <c r="AD33" s="39" t="inlineStr">
        <is>
          <t>-</t>
        </is>
      </c>
      <c r="AE33" s="39" t="inlineStr">
        <is>
          <t>-</t>
        </is>
      </c>
      <c r="AF33" s="39" t="inlineStr">
        <is>
          <t>P: Primary Merciless / S: Secondary Merciless / M: Melee Duplicate</t>
        </is>
      </c>
      <c r="AG33" s="39" t="inlineStr">
        <is>
          <t>-</t>
        </is>
      </c>
      <c r="AH33" s="39" t="inlineStr">
        <is>
          <t>Baza Prime: crit (Viral + Heat); Spira Prime: crit (Viral + Heat); Nikana Prime: crit (Viral + Heat)</t>
        </is>
      </c>
      <c r="AI33" s="39" t="inlineStr">
        <is>
          <t>65/65 (fits)</t>
        </is>
      </c>
      <c r="AJ33" s="39" t="n">
        <v>4</v>
      </c>
      <c r="AK33" s="39" t="inlineStr">
        <is>
          <t>-</t>
        </is>
      </c>
      <c r="AL33" s="39" t="n"/>
      <c r="AM33" s="39" t="inlineStr">
        <is>
          <t>COMPLETE</t>
        </is>
      </c>
    </row>
    <row r="34">
      <c r="A34" s="39" t="inlineStr">
        <is>
          <t>Mag Prime</t>
        </is>
      </c>
      <c r="B34" s="39" t="inlineStr">
        <is>
          <t>Magnetize/Polarize shield strip and Crush; Fracturing Crush armor strip</t>
        </is>
      </c>
      <c r="C34" s="39" t="inlineStr">
        <is>
          <t>Roar</t>
        </is>
      </c>
      <c r="D34" s="39" t="inlineStr">
        <is>
          <t>Pull</t>
        </is>
      </c>
      <c r="E34" s="39" t="n">
        <v>265</v>
      </c>
      <c r="F34" s="39" t="n">
        <v>127.5</v>
      </c>
      <c r="G34" s="39" t="n">
        <v>145</v>
      </c>
      <c r="H34" s="39" t="n">
        <v>130</v>
      </c>
      <c r="I34" s="39" t="inlineStr">
        <is>
          <t>Fracturing Crush armor strip scales with Str.</t>
        </is>
      </c>
      <c r="J34" s="39" t="inlineStr">
        <is>
          <t>Polarize shields</t>
        </is>
      </c>
      <c r="K34" s="39" t="inlineStr">
        <is>
          <t>Growing Power</t>
        </is>
      </c>
      <c r="L34" s="39" t="n"/>
      <c r="M34" s="39" t="inlineStr">
        <is>
          <t>Power Drift</t>
        </is>
      </c>
      <c r="N34" s="39" t="inlineStr">
        <is>
          <t>Umbral Intensify | Transient Fortitude | Primed Continuity | Stretch | Primed Flow | Streamline | Umbral Vitality | Fracturing Crush</t>
        </is>
      </c>
      <c r="O34" s="39" t="inlineStr">
        <is>
          <t>Fracturing Crush</t>
        </is>
      </c>
      <c r="P34" s="39" t="inlineStr">
        <is>
          <t>Polarize overshield regen, shield gating</t>
        </is>
      </c>
      <c r="Q34" s="39" t="inlineStr">
        <is>
          <t>Arcane Energize</t>
        </is>
      </c>
      <c r="R34" s="39" t="inlineStr">
        <is>
          <t>Molt Augmented</t>
        </is>
      </c>
      <c r="S34" s="39" t="inlineStr">
        <is>
          <t>Tauforged Crimson: Ability Strength +15%</t>
        </is>
      </c>
      <c r="T34" s="39" t="inlineStr">
        <is>
          <t>Tauforged Crimson: Ability Strength +15%</t>
        </is>
      </c>
      <c r="U34" s="39" t="inlineStr">
        <is>
          <t>Crimson: Ability Strength +10%</t>
        </is>
      </c>
      <c r="V34" s="39" t="inlineStr">
        <is>
          <t>Azure: Shield Capacity +150</t>
        </is>
      </c>
      <c r="W34" s="39" t="inlineStr">
        <is>
          <t>Amber: Casting Speed +25%</t>
        </is>
      </c>
      <c r="X34" s="39" t="inlineStr">
        <is>
          <t>Zenurik</t>
        </is>
      </c>
      <c r="Y34" s="39" t="inlineStr">
        <is>
          <t>Diriga</t>
        </is>
      </c>
      <c r="Z34" s="39" t="inlineStr">
        <is>
          <t>Vulklok</t>
        </is>
      </c>
      <c r="AA34" s="39" t="inlineStr">
        <is>
          <t>Tenet Arca Plasmor</t>
        </is>
      </c>
      <c r="AB34" s="39" t="inlineStr">
        <is>
          <t>Mara Detron</t>
        </is>
      </c>
      <c r="AC34" s="39" t="inlineStr">
        <is>
          <t>Dakra Prime</t>
        </is>
      </c>
      <c r="AD34" s="39" t="inlineStr">
        <is>
          <t>-</t>
        </is>
      </c>
      <c r="AE34" s="39" t="inlineStr">
        <is>
          <t>-</t>
        </is>
      </c>
      <c r="AF34" s="39" t="inlineStr">
        <is>
          <t>P: Shotgun Vendetta / S: Secondary Encumber / M: Melee Duplicate</t>
        </is>
      </c>
      <c r="AG34" s="39" t="inlineStr">
        <is>
          <t>-</t>
        </is>
      </c>
      <c r="AH34" s="39" t="inlineStr">
        <is>
          <t>Tenet Arca Plasmor: status (Adversary innate element); Mara Detron: status (Corrosive + Viral); Dakra Prime: crit (Viral + Heat)</t>
        </is>
      </c>
      <c r="AI34" s="39" t="inlineStr">
        <is>
          <t>70/74 (fits)</t>
        </is>
      </c>
      <c r="AJ34" s="39" t="n">
        <v>3</v>
      </c>
      <c r="AK34" s="39" t="inlineStr">
        <is>
          <t>-</t>
        </is>
      </c>
      <c r="AL34" s="39" t="n"/>
      <c r="AM34" s="39" t="inlineStr">
        <is>
          <t>COMPLETE</t>
        </is>
      </c>
    </row>
    <row r="35">
      <c r="A35" s="39" t="inlineStr">
        <is>
          <t>Mesa Prime</t>
        </is>
      </c>
      <c r="B35" s="39" t="inlineStr">
        <is>
          <t>Peacemaker (Regulators) exalted gunslinger; Shatter Shield DR</t>
        </is>
      </c>
      <c r="C35" s="39" t="inlineStr">
        <is>
          <t>Roar</t>
        </is>
      </c>
      <c r="D35" s="39" t="inlineStr">
        <is>
          <t>Ballistic Battery</t>
        </is>
      </c>
      <c r="E35" s="39" t="n">
        <v>202</v>
      </c>
      <c r="F35" s="39" t="n">
        <v>155</v>
      </c>
      <c r="G35" s="39" t="n">
        <v>145</v>
      </c>
      <c r="H35" s="39" t="n">
        <v>130</v>
      </c>
      <c r="I35" s="39" t="inlineStr">
        <is>
          <t>Shatter Shield DR cap; Str for Peacemaker.</t>
        </is>
      </c>
      <c r="J35" s="39" t="inlineStr">
        <is>
          <t>Shooting Gallery damage buff</t>
        </is>
      </c>
      <c r="K35" s="39" t="inlineStr">
        <is>
          <t>Growing Power</t>
        </is>
      </c>
      <c r="L35" s="39" t="n"/>
      <c r="M35" s="39" t="inlineStr">
        <is>
          <t>Mesa's Waltz</t>
        </is>
      </c>
      <c r="N35" s="39" t="inlineStr">
        <is>
          <t>Umbral Intensify | Umbral Vitality | Umbral Fiber | Primed Continuity | Stretch | Primed Flow | Streamline | Rolling Guard</t>
        </is>
      </c>
      <c r="O35" s="39" t="inlineStr">
        <is>
          <t>Mesa's Waltz</t>
        </is>
      </c>
      <c r="P35" s="39" t="inlineStr">
        <is>
          <t>Shatter Shield 95% ranged DR, Umbral set</t>
        </is>
      </c>
      <c r="Q35" s="39" t="inlineStr">
        <is>
          <t>Arcane Avenger</t>
        </is>
      </c>
      <c r="R35" s="39" t="inlineStr">
        <is>
          <t>Molt Augmented</t>
        </is>
      </c>
      <c r="S35" s="39" t="inlineStr">
        <is>
          <t>Tauforged Crimson: Ability Strength +15%</t>
        </is>
      </c>
      <c r="T35" s="39" t="inlineStr">
        <is>
          <t>Crimson: Ability Strength +10%</t>
        </is>
      </c>
      <c r="U35" s="39" t="inlineStr">
        <is>
          <t>Tauforged Crimson: Secondary Critical Chance +37.5%</t>
        </is>
      </c>
      <c r="V35" s="39" t="inlineStr">
        <is>
          <t>Azure: Armor +150</t>
        </is>
      </c>
      <c r="W35" s="39" t="inlineStr">
        <is>
          <t>Amber: Casting Speed +25%</t>
        </is>
      </c>
      <c r="X35" s="39" t="inlineStr">
        <is>
          <t>Madurai</t>
        </is>
      </c>
      <c r="Y35" s="39" t="inlineStr">
        <is>
          <t>Adarza Kavat</t>
        </is>
      </c>
      <c r="Z35" s="39" t="inlineStr">
        <is>
          <t>Adarza Claws</t>
        </is>
      </c>
      <c r="AA35" s="39" t="inlineStr">
        <is>
          <t>Cedo</t>
        </is>
      </c>
      <c r="AB35" s="39" t="inlineStr">
        <is>
          <t>Akjagara Prime</t>
        </is>
      </c>
      <c r="AC35" s="39" t="inlineStr">
        <is>
          <t>Regulators Prime (project Melee credit)</t>
        </is>
      </c>
      <c r="AD35" s="39" t="inlineStr">
        <is>
          <t>Regulators Prime</t>
        </is>
      </c>
      <c r="AE35" s="39" t="inlineStr">
        <is>
          <t>See EXALTED BUILDS</t>
        </is>
      </c>
      <c r="AF35" s="39" t="inlineStr">
        <is>
          <t>P: Shotgun Vendetta / S: Secondary Encumber</t>
        </is>
      </c>
      <c r="AG35" s="39" t="inlineStr">
        <is>
          <t>-</t>
        </is>
      </c>
      <c r="AH35" s="39" t="inlineStr">
        <is>
          <t>Cedo: crit (Viral + Heat); Akjagara Prime: status (Corrosive + Viral)</t>
        </is>
      </c>
      <c r="AI35" s="39" t="inlineStr">
        <is>
          <t>67/74 (fits)</t>
        </is>
      </c>
      <c r="AJ35" s="39" t="n">
        <v>3</v>
      </c>
      <c r="AK35" s="39" t="inlineStr">
        <is>
          <t>-</t>
        </is>
      </c>
      <c r="AL35" s="39" t="n"/>
      <c r="AM35" s="39" t="inlineStr">
        <is>
          <t>COMPLETE</t>
        </is>
      </c>
    </row>
    <row r="36">
      <c r="A36" s="39" t="inlineStr">
        <is>
          <t>Mirage Prime</t>
        </is>
      </c>
      <c r="B36" s="39" t="inlineStr">
        <is>
          <t>Eclipse damage + Hall of Mirrors clones</t>
        </is>
      </c>
      <c r="C36" s="39" t="inlineStr">
        <is>
          <t>Nourish</t>
        </is>
      </c>
      <c r="D36" s="39" t="inlineStr">
        <is>
          <t>Sleight of Hand</t>
        </is>
      </c>
      <c r="E36" s="39" t="n">
        <v>217</v>
      </c>
      <c r="F36" s="39" t="n">
        <v>165</v>
      </c>
      <c r="G36" s="39" t="n">
        <v>145</v>
      </c>
      <c r="H36" s="39" t="n">
        <v>130</v>
      </c>
      <c r="I36" s="39" t="inlineStr">
        <is>
          <t>Eclipse damage/DR scale with Str.</t>
        </is>
      </c>
      <c r="J36" s="39" t="inlineStr">
        <is>
          <t>Eclipse light/dark mode; Nourish (subsumed) energy + Viral</t>
        </is>
      </c>
      <c r="K36" s="39" t="inlineStr">
        <is>
          <t>Growing Power</t>
        </is>
      </c>
      <c r="L36" s="39" t="n"/>
      <c r="M36" s="39" t="inlineStr">
        <is>
          <t>Power Drift</t>
        </is>
      </c>
      <c r="N36" s="39" t="inlineStr">
        <is>
          <t>Umbral Intensify | Umbral Vitality | Umbral Fiber | Primed Continuity | Primed Flow | Streamline | Stretch | Total Eclipse</t>
        </is>
      </c>
      <c r="O36" s="39" t="inlineStr">
        <is>
          <t>Total Eclipse</t>
        </is>
      </c>
      <c r="P36" s="39" t="inlineStr">
        <is>
          <t>Eclipse DR (dark), Umbral set</t>
        </is>
      </c>
      <c r="Q36" s="39" t="inlineStr">
        <is>
          <t>Arcane Avenger</t>
        </is>
      </c>
      <c r="R36" s="39" t="inlineStr">
        <is>
          <t>Molt Augmented</t>
        </is>
      </c>
      <c r="S36" s="39" t="inlineStr">
        <is>
          <t>Tauforged Crimson: Ability Strength +15%</t>
        </is>
      </c>
      <c r="T36" s="39" t="inlineStr">
        <is>
          <t>Crimson: Ability Strength +10%</t>
        </is>
      </c>
      <c r="U36" s="39" t="inlineStr">
        <is>
          <t>Crimson: Ability Duration +10%</t>
        </is>
      </c>
      <c r="V36" s="39" t="inlineStr">
        <is>
          <t>Azure: Armor +150</t>
        </is>
      </c>
      <c r="W36" s="39" t="inlineStr">
        <is>
          <t>Amber: Casting Speed +25%</t>
        </is>
      </c>
      <c r="X36" s="39" t="inlineStr">
        <is>
          <t>Madurai</t>
        </is>
      </c>
      <c r="Y36" s="39" t="inlineStr">
        <is>
          <t>Adarza Kavat</t>
        </is>
      </c>
      <c r="Z36" s="39" t="inlineStr">
        <is>
          <t>Adarza Claws</t>
        </is>
      </c>
      <c r="AA36" s="39" t="inlineStr">
        <is>
          <t>Kuva Bramma</t>
        </is>
      </c>
      <c r="AB36" s="39" t="inlineStr">
        <is>
          <t>Akzani</t>
        </is>
      </c>
      <c r="AC36" s="39" t="inlineStr">
        <is>
          <t>Glaive Prime</t>
        </is>
      </c>
      <c r="AD36" s="39" t="inlineStr">
        <is>
          <t>-</t>
        </is>
      </c>
      <c r="AE36" s="39" t="inlineStr">
        <is>
          <t>-</t>
        </is>
      </c>
      <c r="AF36" s="39" t="inlineStr">
        <is>
          <t>P: Primary Deadhead / S: Secondary Merciless / M: Melee Influence</t>
        </is>
      </c>
      <c r="AG36" s="39" t="inlineStr">
        <is>
          <t>-</t>
        </is>
      </c>
      <c r="AH36" s="39" t="inlineStr">
        <is>
          <t>Kuva Bramma: crit (Adversary innate element); Akzani: crit (Viral + Heat); Glaive Prime: status (Corrosive + Viral)</t>
        </is>
      </c>
      <c r="AI36" s="39" t="inlineStr">
        <is>
          <t>62/65 (fits)</t>
        </is>
      </c>
      <c r="AJ36" s="39" t="n">
        <v>6</v>
      </c>
      <c r="AK36" s="39" t="inlineStr">
        <is>
          <t>-</t>
        </is>
      </c>
      <c r="AL36" s="39" t="inlineStr">
        <is>
          <t>Nourish chosen over Roar: subsumed damage buffs (Roar/Eclipse/Chyrinka Pillar) carry a 1-damage-buff-per-Warframe limit; Mirage already has native Eclipse.</t>
        </is>
      </c>
      <c r="AM36" s="39" t="inlineStr">
        <is>
          <t>COMPLETE</t>
        </is>
      </c>
    </row>
    <row r="37">
      <c r="A37" s="39" t="inlineStr">
        <is>
          <t>Narin</t>
        </is>
      </c>
      <c r="B37" s="39" t="inlineStr">
        <is>
          <t>Ice-blade caster: Neote/Naraemagi Ice generation into Nurinarim sword dance</t>
        </is>
      </c>
      <c r="C37" s="39" t="inlineStr">
        <is>
          <t>Roar</t>
        </is>
      </c>
      <c r="D37" s="39" t="inlineStr">
        <is>
          <t>Hakchum</t>
        </is>
      </c>
      <c r="E37" s="39" t="n">
        <v>241</v>
      </c>
      <c r="F37" s="39" t="n">
        <v>165</v>
      </c>
      <c r="G37" s="39" t="n">
        <v>145</v>
      </c>
      <c r="H37" s="39" t="n">
        <v>130</v>
      </c>
      <c r="I37" s="39" t="inlineStr">
        <is>
          <t>Nurinarim slash 20k at max Str scaling.</t>
        </is>
      </c>
      <c r="J37" s="39" t="inlineStr">
        <is>
          <t>Passive: Sangodae cold pickups add Cold to primary/secondary</t>
        </is>
      </c>
      <c r="K37" s="39" t="inlineStr">
        <is>
          <t>Growing Power</t>
        </is>
      </c>
      <c r="L37" s="39" t="n"/>
      <c r="M37" s="39" t="inlineStr">
        <is>
          <t>Power Drift</t>
        </is>
      </c>
      <c r="N37" s="39" t="inlineStr">
        <is>
          <t>Umbral Intensify | Umbral Vitality | Umbral Fiber | Primed Continuity | Stretch | Primed Flow | Streamline | Augur Secrets</t>
        </is>
      </c>
      <c r="O37" s="39" t="inlineStr">
        <is>
          <t>-</t>
        </is>
      </c>
      <c r="P37" s="39" t="inlineStr">
        <is>
          <t>Umbral set, mobility during dance</t>
        </is>
      </c>
      <c r="Q37" s="39" t="inlineStr">
        <is>
          <t>Arcane Energize</t>
        </is>
      </c>
      <c r="R37" s="39" t="inlineStr">
        <is>
          <t>Molt Augmented</t>
        </is>
      </c>
      <c r="S37" s="39" t="inlineStr">
        <is>
          <t>Tauforged Crimson: Ability Strength +15%</t>
        </is>
      </c>
      <c r="T37" s="39" t="inlineStr">
        <is>
          <t>Crimson: Ability Strength +10%</t>
        </is>
      </c>
      <c r="U37" s="39" t="inlineStr">
        <is>
          <t>Crimson: Ability Duration +10%</t>
        </is>
      </c>
      <c r="V37" s="39" t="inlineStr">
        <is>
          <t>Azure: Shield Capacity +150</t>
        </is>
      </c>
      <c r="W37" s="39" t="inlineStr">
        <is>
          <t>Amber: Casting Speed +25%</t>
        </is>
      </c>
      <c r="X37" s="39" t="inlineStr">
        <is>
          <t>Zenurik</t>
        </is>
      </c>
      <c r="Y37" s="39" t="inlineStr">
        <is>
          <t>Dethcube Prime</t>
        </is>
      </c>
      <c r="Z37" s="39" t="inlineStr">
        <is>
          <t>Deth Machine Rifle Prime</t>
        </is>
      </c>
      <c r="AA37" s="39" t="inlineStr">
        <is>
          <t>Nunchasa</t>
        </is>
      </c>
      <c r="AB37" s="39" t="inlineStr">
        <is>
          <t>Aksondol</t>
        </is>
      </c>
      <c r="AC37" s="39" t="inlineStr">
        <is>
          <t>Prisma Skana</t>
        </is>
      </c>
      <c r="AD37" s="39" t="inlineStr">
        <is>
          <t>-</t>
        </is>
      </c>
      <c r="AE37" s="39" t="inlineStr">
        <is>
          <t>-</t>
        </is>
      </c>
      <c r="AF37" s="39" t="inlineStr">
        <is>
          <t>P: Primary Deadhead / S: Secondary Merciless / M: Melee Duplicate</t>
        </is>
      </c>
      <c r="AG37" s="39" t="inlineStr">
        <is>
          <t>Prisma Skana: EVO2: Guardian's Promise, EVO3: Orokin Reach, EVO4: Survivor's Edge</t>
        </is>
      </c>
      <c r="AH37" s="39" t="inlineStr">
        <is>
          <t>Nunchasa: crit (Viral + Heat); Aksondol: crit (Viral + Heat); Prisma Skana: crit (Viral + Heat)</t>
        </is>
      </c>
      <c r="AI37" s="39" t="inlineStr">
        <is>
          <t>64/65 (fits)</t>
        </is>
      </c>
      <c r="AJ37" s="39" t="n">
        <v>6</v>
      </c>
      <c r="AK37" s="39" t="inlineStr">
        <is>
          <t>Hakchum replaced: Hakchum is a listed Ice source but Nurinarim cannot gain Ice during the dance; confirm Neote+Naraemagi alone sustain Ice -&gt; LIVE TEST REQUIRED</t>
        </is>
      </c>
      <c r="AL37" s="39" t="inlineStr">
        <is>
          <t>Nurinarim ruling: cast ability, no Melee replacement (Prisma Skana retained). No live Narin augments.</t>
        </is>
      </c>
      <c r="AM37" s="39" t="inlineStr">
        <is>
          <t>COMPLETE</t>
        </is>
      </c>
    </row>
    <row r="38">
      <c r="A38" s="39" t="inlineStr">
        <is>
          <t>Nekros Prime</t>
        </is>
      </c>
      <c r="B38" s="39" t="inlineStr">
        <is>
          <t>Desecrate loot + Shadows of the Dead army</t>
        </is>
      </c>
      <c r="C38" s="39" t="inlineStr">
        <is>
          <t>Roar</t>
        </is>
      </c>
      <c r="D38" s="39" t="inlineStr">
        <is>
          <t>Soul Punch</t>
        </is>
      </c>
      <c r="E38" s="39" t="n">
        <v>217</v>
      </c>
      <c r="F38" s="39" t="n">
        <v>165</v>
      </c>
      <c r="G38" s="39" t="n">
        <v>145</v>
      </c>
      <c r="H38" s="39" t="n">
        <v>130</v>
      </c>
      <c r="I38" s="39" t="inlineStr">
        <is>
          <t>Shadows damage scales with Str.</t>
        </is>
      </c>
      <c r="J38" s="39" t="inlineStr">
        <is>
          <t>Shield of Shadows DR per shadow</t>
        </is>
      </c>
      <c r="K38" s="39" t="inlineStr">
        <is>
          <t>Growing Power</t>
        </is>
      </c>
      <c r="L38" s="39" t="n"/>
      <c r="M38" s="39" t="inlineStr">
        <is>
          <t>Power Drift</t>
        </is>
      </c>
      <c r="N38" s="39" t="inlineStr">
        <is>
          <t>Umbral Intensify | Umbral Vitality | Umbral Fiber | Primed Continuity | Stretch | Primed Flow | Streamline | Shield of Shadows</t>
        </is>
      </c>
      <c r="O38" s="39" t="inlineStr">
        <is>
          <t>Shield of Shadows</t>
        </is>
      </c>
      <c r="P38" s="39" t="inlineStr">
        <is>
          <t>Shield of Shadows, Umbral set</t>
        </is>
      </c>
      <c r="Q38" s="39" t="inlineStr">
        <is>
          <t>Arcane Energize</t>
        </is>
      </c>
      <c r="R38" s="39" t="inlineStr">
        <is>
          <t>Molt Augmented</t>
        </is>
      </c>
      <c r="S38" s="39" t="inlineStr">
        <is>
          <t>Tauforged Crimson: Ability Strength +15%</t>
        </is>
      </c>
      <c r="T38" s="39" t="inlineStr">
        <is>
          <t>Crimson: Ability Strength +10%</t>
        </is>
      </c>
      <c r="U38" s="39" t="inlineStr">
        <is>
          <t>Crimson: Ability Duration +10%</t>
        </is>
      </c>
      <c r="V38" s="39" t="inlineStr">
        <is>
          <t>Azure: Armor +150</t>
        </is>
      </c>
      <c r="W38" s="39" t="inlineStr">
        <is>
          <t>Amber: Casting Speed +25%</t>
        </is>
      </c>
      <c r="X38" s="39" t="inlineStr">
        <is>
          <t>Vazarin</t>
        </is>
      </c>
      <c r="Y38" s="39" t="inlineStr">
        <is>
          <t>Smeeta Kavat</t>
        </is>
      </c>
      <c r="Z38" s="39" t="inlineStr">
        <is>
          <t>Smeeta Claws</t>
        </is>
      </c>
      <c r="AA38" s="39" t="inlineStr">
        <is>
          <t>Tigris Prime</t>
        </is>
      </c>
      <c r="AB38" s="39" t="inlineStr">
        <is>
          <t>Twin Grakatas</t>
        </is>
      </c>
      <c r="AC38" s="39" t="inlineStr">
        <is>
          <t>Galatine Prime</t>
        </is>
      </c>
      <c r="AD38" s="39" t="inlineStr">
        <is>
          <t>-</t>
        </is>
      </c>
      <c r="AE38" s="39" t="inlineStr">
        <is>
          <t>-</t>
        </is>
      </c>
      <c r="AF38" s="39" t="inlineStr">
        <is>
          <t>P: Shotgun Vendetta / S: Secondary Merciless / M: Melee Animosity</t>
        </is>
      </c>
      <c r="AG38" s="39" t="inlineStr">
        <is>
          <t>-</t>
        </is>
      </c>
      <c r="AH38" s="39" t="inlineStr">
        <is>
          <t>Tigris Prime: status (Corrosive + Viral); Twin Grakatas: crit (Viral + Heat); Galatine Prime: crit (Viral + Heat)</t>
        </is>
      </c>
      <c r="AI38" s="39" t="inlineStr">
        <is>
          <t>66/67 (fits)</t>
        </is>
      </c>
      <c r="AJ38" s="39" t="n">
        <v>5</v>
      </c>
      <c r="AK38" s="39" t="inlineStr">
        <is>
          <t>-</t>
        </is>
      </c>
      <c r="AL38" s="39" t="n"/>
      <c r="AM38" s="39" t="inlineStr">
        <is>
          <t>COMPLETE</t>
        </is>
      </c>
    </row>
    <row r="39">
      <c r="A39" s="39" t="inlineStr">
        <is>
          <t>Nezha Prime</t>
        </is>
      </c>
      <c r="B39" s="39" t="inlineStr">
        <is>
          <t>Warding Halo invulnerability + Divine Spears CC</t>
        </is>
      </c>
      <c r="C39" s="39" t="inlineStr">
        <is>
          <t>Roar</t>
        </is>
      </c>
      <c r="D39" s="39" t="inlineStr">
        <is>
          <t>Fire Walker</t>
        </is>
      </c>
      <c r="E39" s="39" t="n">
        <v>217</v>
      </c>
      <c r="F39" s="39" t="n">
        <v>155</v>
      </c>
      <c r="G39" s="39" t="n">
        <v>145</v>
      </c>
      <c r="H39" s="39" t="n">
        <v>130</v>
      </c>
      <c r="I39" s="39" t="inlineStr">
        <is>
          <t>Halo scales with armor+Str.</t>
        </is>
      </c>
      <c r="J39" s="39" t="inlineStr">
        <is>
          <t>Warding Halo health scales with armor</t>
        </is>
      </c>
      <c r="K39" s="39" t="inlineStr">
        <is>
          <t>Growing Power</t>
        </is>
      </c>
      <c r="L39" s="39" t="n"/>
      <c r="M39" s="39" t="inlineStr">
        <is>
          <t>Power Drift</t>
        </is>
      </c>
      <c r="N39" s="39" t="inlineStr">
        <is>
          <t>Umbral Intensify | Umbral Vitality | Umbral Fiber | Primed Continuity | Stretch | Primed Flow | Streamline | Divine Retribution</t>
        </is>
      </c>
      <c r="O39" s="39" t="inlineStr">
        <is>
          <t>Divine Retribution</t>
        </is>
      </c>
      <c r="P39" s="39" t="inlineStr">
        <is>
          <t>Warding Halo, Umbral set</t>
        </is>
      </c>
      <c r="Q39" s="39" t="inlineStr">
        <is>
          <t>Arcane Energize</t>
        </is>
      </c>
      <c r="R39" s="39" t="inlineStr">
        <is>
          <t>Molt Augmented</t>
        </is>
      </c>
      <c r="S39" s="39" t="inlineStr">
        <is>
          <t>Tauforged Crimson: Ability Strength +15%</t>
        </is>
      </c>
      <c r="T39" s="39" t="inlineStr">
        <is>
          <t>Crimson: Ability Strength +10%</t>
        </is>
      </c>
      <c r="U39" s="39" t="inlineStr">
        <is>
          <t>Azure: Armor +150</t>
        </is>
      </c>
      <c r="V39" s="39" t="inlineStr">
        <is>
          <t>Azure: Armor +150</t>
        </is>
      </c>
      <c r="W39" s="39" t="inlineStr">
        <is>
          <t>Amber: Casting Speed +25%</t>
        </is>
      </c>
      <c r="X39" s="39" t="inlineStr">
        <is>
          <t>Madurai</t>
        </is>
      </c>
      <c r="Y39" s="39" t="inlineStr">
        <is>
          <t>Panzer Vulpaphyla</t>
        </is>
      </c>
      <c r="Z39" s="39" t="inlineStr">
        <is>
          <t>Panzer Claws</t>
        </is>
      </c>
      <c r="AA39" s="39" t="inlineStr">
        <is>
          <t>Proboscis Cernos</t>
        </is>
      </c>
      <c r="AB39" s="39" t="inlineStr">
        <is>
          <t>Zakti Prime</t>
        </is>
      </c>
      <c r="AC39" s="39" t="inlineStr">
        <is>
          <t>Guandao Prime</t>
        </is>
      </c>
      <c r="AD39" s="39" t="inlineStr">
        <is>
          <t>-</t>
        </is>
      </c>
      <c r="AE39" s="39" t="inlineStr">
        <is>
          <t>-</t>
        </is>
      </c>
      <c r="AF39" s="39" t="inlineStr">
        <is>
          <t>P: Primary Deadhead / S: Secondary Encumber / M: Melee Duplicate</t>
        </is>
      </c>
      <c r="AG39" s="39" t="inlineStr">
        <is>
          <t>-</t>
        </is>
      </c>
      <c r="AH39" s="39" t="inlineStr">
        <is>
          <t>Proboscis Cernos: status (Corrosive + Viral); Zakti Prime: status (Corrosive + Viral); Guandao Prime: crit (Viral + Heat)</t>
        </is>
      </c>
      <c r="AI39" s="39" t="inlineStr">
        <is>
          <t>62/65 (fits)</t>
        </is>
      </c>
      <c r="AJ39" s="39" t="n">
        <v>6</v>
      </c>
      <c r="AK39" s="39" t="inlineStr">
        <is>
          <t>-</t>
        </is>
      </c>
      <c r="AL39" s="39" t="n"/>
      <c r="AM39" s="39" t="inlineStr">
        <is>
          <t>COMPLETE</t>
        </is>
      </c>
    </row>
    <row r="40">
      <c r="A40" s="39" t="inlineStr">
        <is>
          <t>Nidus Prime</t>
        </is>
      </c>
      <c r="B40" s="39" t="inlineStr">
        <is>
          <t>Virulence/Larva mutation stack infested caster</t>
        </is>
      </c>
      <c r="C40" s="39" t="inlineStr">
        <is>
          <t>Roar</t>
        </is>
      </c>
      <c r="D40" s="39" t="inlineStr">
        <is>
          <t>Parasitic Link</t>
        </is>
      </c>
      <c r="E40" s="39" t="n">
        <v>217</v>
      </c>
      <c r="F40" s="39" t="n">
        <v>155</v>
      </c>
      <c r="G40" s="39" t="n">
        <v>145</v>
      </c>
      <c r="H40" s="39" t="n">
        <v>130</v>
      </c>
      <c r="I40" s="39" t="inlineStr">
        <is>
          <t>Virulence/Larva Str/Range.</t>
        </is>
      </c>
      <c r="J40" s="39" t="inlineStr">
        <is>
          <t>Mutation stacks</t>
        </is>
      </c>
      <c r="K40" s="39" t="inlineStr">
        <is>
          <t>Growing Power</t>
        </is>
      </c>
      <c r="L40" s="39" t="n"/>
      <c r="M40" s="39" t="inlineStr">
        <is>
          <t>Power Drift</t>
        </is>
      </c>
      <c r="N40" s="39" t="inlineStr">
        <is>
          <t>Umbral Intensify | Umbral Vitality | Umbral Fiber | Primed Continuity | Stretch | Primed Flow | Streamline | Larva Burst</t>
        </is>
      </c>
      <c r="O40" s="39" t="inlineStr">
        <is>
          <t>Larva Burst</t>
        </is>
      </c>
      <c r="P40" s="39" t="inlineStr">
        <is>
          <t>No shields; Undying passive, Ravenous</t>
        </is>
      </c>
      <c r="Q40" s="39" t="inlineStr">
        <is>
          <t>Arcane Reaper</t>
        </is>
      </c>
      <c r="R40" s="39" t="inlineStr">
        <is>
          <t>Molt Augmented</t>
        </is>
      </c>
      <c r="S40" s="39" t="inlineStr">
        <is>
          <t>Tauforged Crimson: Ability Strength +15%</t>
        </is>
      </c>
      <c r="T40" s="39" t="inlineStr">
        <is>
          <t>Crimson: Ability Strength +10%</t>
        </is>
      </c>
      <c r="U40" s="39" t="inlineStr">
        <is>
          <t>Azure: Health +150</t>
        </is>
      </c>
      <c r="V40" s="39" t="inlineStr">
        <is>
          <t>Azure: Armor +150</t>
        </is>
      </c>
      <c r="W40" s="39" t="inlineStr">
        <is>
          <t>Amber: Casting Speed +25%</t>
        </is>
      </c>
      <c r="X40" s="39" t="inlineStr">
        <is>
          <t>Madurai</t>
        </is>
      </c>
      <c r="Y40" s="39" t="inlineStr">
        <is>
          <t>Panzer Vulpaphyla</t>
        </is>
      </c>
      <c r="Z40" s="39" t="inlineStr">
        <is>
          <t>Panzer Claws</t>
        </is>
      </c>
      <c r="AA40" s="39" t="inlineStr">
        <is>
          <t>Strun Prime</t>
        </is>
      </c>
      <c r="AB40" s="39" t="inlineStr">
        <is>
          <t>Magnus Prime</t>
        </is>
      </c>
      <c r="AC40" s="39" t="inlineStr">
        <is>
          <t>Pathocyst</t>
        </is>
      </c>
      <c r="AD40" s="39" t="inlineStr">
        <is>
          <t>-</t>
        </is>
      </c>
      <c r="AE40" s="39" t="inlineStr">
        <is>
          <t>-</t>
        </is>
      </c>
      <c r="AF40" s="39" t="inlineStr">
        <is>
          <t>P: Shotgun Vendetta / S: Secondary Merciless / M: Melee Influence</t>
        </is>
      </c>
      <c r="AG40" s="39" t="inlineStr">
        <is>
          <t>Strun Prime: EVO2: Blazing Barrel, EVO3: Rapid Reinforcement, EVO4: Commodore's Fortune</t>
        </is>
      </c>
      <c r="AH40" s="39" t="inlineStr">
        <is>
          <t>Strun Prime: crit (Viral + Heat); Magnus Prime: crit (Viral + Heat); Pathocyst: status (Corrosive + Viral)</t>
        </is>
      </c>
      <c r="AI40" s="39" t="inlineStr">
        <is>
          <t>74/74 (fits)</t>
        </is>
      </c>
      <c r="AJ40" s="39" t="n">
        <v>3</v>
      </c>
      <c r="AK40" s="39" t="inlineStr">
        <is>
          <t>-</t>
        </is>
      </c>
      <c r="AL40" s="39" t="n"/>
      <c r="AM40" s="39" t="inlineStr">
        <is>
          <t>COMPLETE</t>
        </is>
      </c>
    </row>
    <row r="41">
      <c r="A41" s="39" t="inlineStr">
        <is>
          <t>Nokko</t>
        </is>
      </c>
      <c r="B41" s="39" t="inlineStr">
        <is>
          <t>Mushroom caster: Stinkbrain/Brightbonnet pulses, Reroot</t>
        </is>
      </c>
      <c r="C41" s="39" t="inlineStr">
        <is>
          <t>Roar</t>
        </is>
      </c>
      <c r="D41" s="39" t="inlineStr">
        <is>
          <t>Sporespring</t>
        </is>
      </c>
      <c r="E41" s="39" t="n">
        <v>217</v>
      </c>
      <c r="F41" s="39" t="n">
        <v>165</v>
      </c>
      <c r="G41" s="39" t="n">
        <v>145</v>
      </c>
      <c r="H41" s="39" t="n">
        <v>130</v>
      </c>
      <c r="I41" s="39" t="inlineStr">
        <is>
          <t>Str for mushroom pulses.</t>
        </is>
      </c>
      <c r="J41" s="39" t="inlineStr">
        <is>
          <t>Arbucep shots empower Stinkbrain/Brightbonnet</t>
        </is>
      </c>
      <c r="K41" s="39" t="inlineStr">
        <is>
          <t>Growing Power</t>
        </is>
      </c>
      <c r="L41" s="39" t="n"/>
      <c r="M41" s="39" t="inlineStr">
        <is>
          <t>Power Drift</t>
        </is>
      </c>
      <c r="N41" s="39" t="inlineStr">
        <is>
          <t>Umbral Intensify | Umbral Vitality | Umbral Fiber | Primed Continuity | Stretch | Primed Flow | Streamline | Reroot Rampage</t>
        </is>
      </c>
      <c r="O41" s="39" t="inlineStr">
        <is>
          <t>Reroot Rampage</t>
        </is>
      </c>
      <c r="P41" s="39" t="inlineStr">
        <is>
          <t>Sprodling revive passive, Umbral set</t>
        </is>
      </c>
      <c r="Q41" s="39" t="inlineStr">
        <is>
          <t>Arcane Energize</t>
        </is>
      </c>
      <c r="R41" s="39" t="inlineStr">
        <is>
          <t>Molt Augmented</t>
        </is>
      </c>
      <c r="S41" s="39" t="inlineStr">
        <is>
          <t>Tauforged Crimson: Ability Strength +15%</t>
        </is>
      </c>
      <c r="T41" s="39" t="inlineStr">
        <is>
          <t>Crimson: Ability Strength +10%</t>
        </is>
      </c>
      <c r="U41" s="39" t="inlineStr">
        <is>
          <t>Crimson: Ability Duration +10%</t>
        </is>
      </c>
      <c r="V41" s="39" t="inlineStr">
        <is>
          <t>Azure: Shield Capacity +150</t>
        </is>
      </c>
      <c r="W41" s="39" t="inlineStr">
        <is>
          <t>Amber: Casting Speed +25%</t>
        </is>
      </c>
      <c r="X41" s="39" t="inlineStr">
        <is>
          <t>Zenurik</t>
        </is>
      </c>
      <c r="Y41" s="39" t="inlineStr">
        <is>
          <t>Dethcube Prime</t>
        </is>
      </c>
      <c r="Z41" s="39" t="inlineStr">
        <is>
          <t>Deth Machine Rifle Prime</t>
        </is>
      </c>
      <c r="AA41" s="39" t="inlineStr">
        <is>
          <t>Sporothrix</t>
        </is>
      </c>
      <c r="AB41" s="39" t="inlineStr">
        <is>
          <t>Ocucor</t>
        </is>
      </c>
      <c r="AC41" s="39" t="inlineStr">
        <is>
          <t>Mios</t>
        </is>
      </c>
      <c r="AD41" s="39" t="inlineStr">
        <is>
          <t>-</t>
        </is>
      </c>
      <c r="AE41" s="39" t="inlineStr">
        <is>
          <t>-</t>
        </is>
      </c>
      <c r="AF41" s="39" t="inlineStr">
        <is>
          <t>P: Primary Deadhead / S: Secondary Encumber / M: Melee Influence</t>
        </is>
      </c>
      <c r="AG41" s="39" t="inlineStr">
        <is>
          <t>-</t>
        </is>
      </c>
      <c r="AH41" s="39" t="inlineStr">
        <is>
          <t>Sporothrix: status (Corrosive + Viral); Ocucor: status (Corrosive + Viral); Mios: status (Corrosive + Viral)</t>
        </is>
      </c>
      <c r="AI41" s="39" t="inlineStr">
        <is>
          <t>74/74 (fits)</t>
        </is>
      </c>
      <c r="AJ41" s="39" t="n">
        <v>3</v>
      </c>
      <c r="AK41" s="39" t="inlineStr">
        <is>
          <t>-</t>
        </is>
      </c>
      <c r="AL41" s="39" t="n"/>
      <c r="AM41" s="39" t="inlineStr">
        <is>
          <t>COMPLETE</t>
        </is>
      </c>
    </row>
    <row r="42">
      <c r="A42" s="39" t="inlineStr">
        <is>
          <t>Nova Prime</t>
        </is>
      </c>
      <c r="B42" s="39" t="inlineStr">
        <is>
          <t>Molecular Prime slow/speed + Antimatter Drop</t>
        </is>
      </c>
      <c r="C42" s="39" t="inlineStr">
        <is>
          <t>Roar</t>
        </is>
      </c>
      <c r="D42" s="39" t="inlineStr">
        <is>
          <t>Null Star</t>
        </is>
      </c>
      <c r="E42" s="39" t="n">
        <v>195</v>
      </c>
      <c r="F42" s="39" t="n">
        <v>165</v>
      </c>
      <c r="G42" s="39" t="n">
        <v>175</v>
      </c>
      <c r="H42" s="39" t="n">
        <v>130</v>
      </c>
      <c r="I42" s="39" t="inlineStr">
        <is>
          <t>Str: slow (negative Str = speed); this build is slow/damage.</t>
        </is>
      </c>
      <c r="J42" s="39" t="inlineStr">
        <is>
          <t>Molecular Prime damage doubling</t>
        </is>
      </c>
      <c r="K42" s="39" t="inlineStr">
        <is>
          <t>Growing Power</t>
        </is>
      </c>
      <c r="L42" s="39" t="n"/>
      <c r="M42" s="39" t="inlineStr">
        <is>
          <t>Power Drift</t>
        </is>
      </c>
      <c r="N42" s="39" t="inlineStr">
        <is>
          <t>Umbral Intensify | Primed Continuity | Stretch | Augur Reach | Primed Flow | Streamline | Umbral Vitality | Molecular Fission</t>
        </is>
      </c>
      <c r="O42" s="39" t="inlineStr">
        <is>
          <t>Molecular Fission</t>
        </is>
      </c>
      <c r="P42" s="39" t="inlineStr">
        <is>
          <t>Shield gating, Wormhole escape</t>
        </is>
      </c>
      <c r="Q42" s="39" t="inlineStr">
        <is>
          <t>Arcane Energize</t>
        </is>
      </c>
      <c r="R42" s="39" t="inlineStr">
        <is>
          <t>Molt Augmented</t>
        </is>
      </c>
      <c r="S42" s="39" t="inlineStr">
        <is>
          <t>Tauforged Crimson: Ability Strength +15%</t>
        </is>
      </c>
      <c r="T42" s="39" t="inlineStr">
        <is>
          <t>Crimson: Ability Strength +10%</t>
        </is>
      </c>
      <c r="U42" s="39" t="inlineStr">
        <is>
          <t>Crimson: Ability Duration +10%</t>
        </is>
      </c>
      <c r="V42" s="39" t="inlineStr">
        <is>
          <t>Azure: Health +150</t>
        </is>
      </c>
      <c r="W42" s="39" t="inlineStr">
        <is>
          <t>Amber: Casting Speed +25%</t>
        </is>
      </c>
      <c r="X42" s="39" t="inlineStr">
        <is>
          <t>Zenurik</t>
        </is>
      </c>
      <c r="Y42" s="39" t="inlineStr">
        <is>
          <t>Dethcube Prime</t>
        </is>
      </c>
      <c r="Z42" s="39" t="inlineStr">
        <is>
          <t>Deth Machine Rifle Prime</t>
        </is>
      </c>
      <c r="AA42" s="39" t="inlineStr">
        <is>
          <t>Soma Prime</t>
        </is>
      </c>
      <c r="AB42" s="39" t="inlineStr">
        <is>
          <t>Aksomati Prime</t>
        </is>
      </c>
      <c r="AC42" s="39" t="inlineStr">
        <is>
          <t>Gunsen Prime</t>
        </is>
      </c>
      <c r="AD42" s="39" t="inlineStr">
        <is>
          <t>-</t>
        </is>
      </c>
      <c r="AE42" s="39" t="inlineStr">
        <is>
          <t>-</t>
        </is>
      </c>
      <c r="AF42" s="39" t="inlineStr">
        <is>
          <t>P: Primary Merciless / S: Secondary Merciless / M: Melee Influence</t>
        </is>
      </c>
      <c r="AG42" s="39" t="inlineStr">
        <is>
          <t>Soma Prime: EVO2: Fortress Salvo, EVO3: Kinetic Battle, EVO4: Zeroed In</t>
        </is>
      </c>
      <c r="AH42" s="39" t="inlineStr">
        <is>
          <t>Soma Prime: crit (Viral + Heat); Aksomati Prime: crit (Viral + Heat); Gunsen Prime: status (Corrosive + Viral)</t>
        </is>
      </c>
      <c r="AI42" s="39" t="inlineStr">
        <is>
          <t>65/65 (fits)</t>
        </is>
      </c>
      <c r="AJ42" s="39" t="n">
        <v>5</v>
      </c>
      <c r="AK42" s="39" t="inlineStr">
        <is>
          <t>-</t>
        </is>
      </c>
      <c r="AL42" s="39" t="n"/>
      <c r="AM42" s="39" t="inlineStr">
        <is>
          <t>COMPLETE</t>
        </is>
      </c>
    </row>
    <row r="43">
      <c r="A43" s="39" t="inlineStr">
        <is>
          <t>Nyx Prime</t>
        </is>
      </c>
      <c r="B43" s="39" t="inlineStr">
        <is>
          <t>Current Nyx: Psychic Bolts defense strip, Chaos radiation, Absorb weapon buff</t>
        </is>
      </c>
      <c r="C43" s="39" t="inlineStr">
        <is>
          <t>Roar</t>
        </is>
      </c>
      <c r="D43" s="39" t="inlineStr">
        <is>
          <t>Mind Control</t>
        </is>
      </c>
      <c r="E43" s="39" t="n">
        <v>217</v>
      </c>
      <c r="F43" s="39" t="n">
        <v>155</v>
      </c>
      <c r="G43" s="39" t="n">
        <v>145</v>
      </c>
      <c r="H43" s="39" t="n">
        <v>130</v>
      </c>
      <c r="I43" s="39" t="inlineStr">
        <is>
          <t>Psychic Bolts 100% defense strip at 125% Str (met).</t>
        </is>
      </c>
      <c r="J43" s="39" t="inlineStr">
        <is>
          <t>Chaos applies 10 Radiation statuses (Topaz radiation ability dmg)</t>
        </is>
      </c>
      <c r="K43" s="39" t="inlineStr">
        <is>
          <t>Growing Power</t>
        </is>
      </c>
      <c r="L43" s="39" t="n"/>
      <c r="M43" s="39" t="inlineStr">
        <is>
          <t>Power Drift</t>
        </is>
      </c>
      <c r="N43" s="39" t="inlineStr">
        <is>
          <t>Umbral Intensify | Umbral Vitality | Umbral Fiber | Primed Continuity | Stretch | Primed Flow | Streamline | Pacifying Bolts</t>
        </is>
      </c>
      <c r="O43" s="39" t="inlineStr">
        <is>
          <t>Pacifying Bolts</t>
        </is>
      </c>
      <c r="P43" s="39" t="inlineStr">
        <is>
          <t>Absorb invulnerability, armor steal from Bolts, Umbral set</t>
        </is>
      </c>
      <c r="Q43" s="39" t="inlineStr">
        <is>
          <t>Arcane Energize</t>
        </is>
      </c>
      <c r="R43" s="39" t="inlineStr">
        <is>
          <t>Molt Augmented</t>
        </is>
      </c>
      <c r="S43" s="39" t="inlineStr">
        <is>
          <t>Tauforged Crimson: Ability Strength +15%</t>
        </is>
      </c>
      <c r="T43" s="39" t="inlineStr">
        <is>
          <t>Crimson: Ability Strength +10%</t>
        </is>
      </c>
      <c r="U43" s="39" t="inlineStr">
        <is>
          <t>Topaz: Ability Damage vs Radiation +10%</t>
        </is>
      </c>
      <c r="V43" s="39" t="inlineStr">
        <is>
          <t>Azure: Armor +150</t>
        </is>
      </c>
      <c r="W43" s="39" t="inlineStr">
        <is>
          <t>Amber: Casting Speed +25%</t>
        </is>
      </c>
      <c r="X43" s="39" t="inlineStr">
        <is>
          <t>Zenurik</t>
        </is>
      </c>
      <c r="Y43" s="39" t="inlineStr">
        <is>
          <t>Helios Prime</t>
        </is>
      </c>
      <c r="Z43" s="39" t="inlineStr">
        <is>
          <t>Deconstructor Prime</t>
        </is>
      </c>
      <c r="AA43" s="39" t="inlineStr">
        <is>
          <t>Synapse</t>
        </is>
      </c>
      <c r="AB43" s="39" t="inlineStr">
        <is>
          <t>Hikou Prime</t>
        </is>
      </c>
      <c r="AC43" s="39" t="inlineStr">
        <is>
          <t>Scindo Prime</t>
        </is>
      </c>
      <c r="AD43" s="39" t="inlineStr">
        <is>
          <t>-</t>
        </is>
      </c>
      <c r="AE43" s="39" t="inlineStr">
        <is>
          <t>-</t>
        </is>
      </c>
      <c r="AF43" s="39" t="inlineStr">
        <is>
          <t>P: Primary Merciless / S: Secondary Encumber / M: Melee Animosity</t>
        </is>
      </c>
      <c r="AG43" s="39" t="inlineStr">
        <is>
          <t>-</t>
        </is>
      </c>
      <c r="AH43" s="39" t="inlineStr">
        <is>
          <t>Synapse: crit (Viral + Heat); Hikou Prime: status (Corrosive + Viral); Scindo Prime: crit (Viral + Heat)</t>
        </is>
      </c>
      <c r="AI43" s="39" t="inlineStr">
        <is>
          <t>62/65 (fits)</t>
        </is>
      </c>
      <c r="AJ43" s="39" t="n">
        <v>6</v>
      </c>
      <c r="AK43" s="39" t="inlineStr">
        <is>
          <t>-</t>
        </is>
      </c>
      <c r="AL43" s="39" t="n"/>
      <c r="AM43" s="39" t="inlineStr">
        <is>
          <t>COMPLETE</t>
        </is>
      </c>
    </row>
    <row r="44">
      <c r="A44" s="39" t="inlineStr">
        <is>
          <t>Oberon Prime</t>
        </is>
      </c>
      <c r="B44" s="39" t="inlineStr">
        <is>
          <t>Reworked Oberon: Smite/Reckoning armor strip, Renewal armor buff, Hallowed Ground</t>
        </is>
      </c>
      <c r="C44" s="39" t="inlineStr">
        <is>
          <t>NO HELMINTH</t>
        </is>
      </c>
      <c r="D44" s="39" t="inlineStr">
        <is>
          <t>NO HELMINTH: All four reworked abilities synergize (Hallowed Ground radiation feeds Reckoning)</t>
        </is>
      </c>
      <c r="E44" s="39" t="n">
        <v>217</v>
      </c>
      <c r="F44" s="39" t="n">
        <v>155</v>
      </c>
      <c r="G44" s="39" t="n">
        <v>145</v>
      </c>
      <c r="H44" s="39" t="n">
        <v>130</v>
      </c>
      <c r="I44" s="39" t="inlineStr">
        <is>
          <t>Reckoning removes enemy armor fully at 167% Str; Renewal armor buff caps at 200% Str.</t>
        </is>
      </c>
      <c r="J44" s="39" t="inlineStr">
        <is>
          <t>Reckoning armor gain up to +1000; Righteous Negation charges from health orbs</t>
        </is>
      </c>
      <c r="K44" s="39" t="inlineStr">
        <is>
          <t>Growing Power</t>
        </is>
      </c>
      <c r="L44" s="39" t="n"/>
      <c r="M44" s="39" t="inlineStr">
        <is>
          <t>Power Drift</t>
        </is>
      </c>
      <c r="N44" s="39" t="inlineStr">
        <is>
          <t>Umbral Intensify | Umbral Vitality | Umbral Fiber | Primed Continuity | Stretch | Primed Flow | Streamline | Hallowed Reckoning</t>
        </is>
      </c>
      <c r="O44" s="39" t="inlineStr">
        <is>
          <t>Hallowed Reckoning</t>
        </is>
      </c>
      <c r="P44" s="39" t="inlineStr">
        <is>
          <t>Renewal armor (x2 to allies), Reckoning armor, Umbral set</t>
        </is>
      </c>
      <c r="Q44" s="39" t="inlineStr">
        <is>
          <t>Arcane Energize</t>
        </is>
      </c>
      <c r="R44" s="39" t="inlineStr">
        <is>
          <t>Molt Augmented</t>
        </is>
      </c>
      <c r="S44" s="39" t="inlineStr">
        <is>
          <t>Tauforged Crimson: Ability Strength +15%</t>
        </is>
      </c>
      <c r="T44" s="39" t="inlineStr">
        <is>
          <t>Crimson: Ability Strength +10%</t>
        </is>
      </c>
      <c r="U44" s="39" t="inlineStr">
        <is>
          <t>Azure: Armor +150</t>
        </is>
      </c>
      <c r="V44" s="39" t="inlineStr">
        <is>
          <t>Azure: Armor +150</t>
        </is>
      </c>
      <c r="W44" s="39" t="inlineStr">
        <is>
          <t>Amber: Casting Speed +25%</t>
        </is>
      </c>
      <c r="X44" s="39" t="inlineStr">
        <is>
          <t>Vazarin</t>
        </is>
      </c>
      <c r="Y44" s="39" t="inlineStr">
        <is>
          <t>Panzer Vulpaphyla</t>
        </is>
      </c>
      <c r="Z44" s="39" t="inlineStr">
        <is>
          <t>Panzer Claws</t>
        </is>
      </c>
      <c r="AA44" s="39" t="inlineStr">
        <is>
          <t>Sybaris Prime</t>
        </is>
      </c>
      <c r="AB44" s="39" t="inlineStr">
        <is>
          <t>Sicarus Prime</t>
        </is>
      </c>
      <c r="AC44" s="39" t="inlineStr">
        <is>
          <t>Silva &amp; Aegis Prime</t>
        </is>
      </c>
      <c r="AD44" s="39" t="inlineStr">
        <is>
          <t>-</t>
        </is>
      </c>
      <c r="AE44" s="39" t="inlineStr">
        <is>
          <t>-</t>
        </is>
      </c>
      <c r="AF44" s="39" t="inlineStr">
        <is>
          <t>P: Primary Merciless / S: Secondary Merciless / M: Melee Duplicate</t>
        </is>
      </c>
      <c r="AG44" s="39" t="inlineStr">
        <is>
          <t>Sybaris Prime: EVO2: Blazing Barrel, EVO3: Extended Volley, EVO4: Survivor's Edge; Sicarus Prime: EVO2: King's Gambit, EVO3: Void's Guidance, EVO4: Commodore's Fortune</t>
        </is>
      </c>
      <c r="AH44" s="39" t="inlineStr">
        <is>
          <t>Sybaris Prime: crit (Viral + Heat); Sicarus Prime: crit (Viral + Heat); Silva &amp; Aegis Prime: crit (Viral + Heat)</t>
        </is>
      </c>
      <c r="AI44" s="39" t="inlineStr">
        <is>
          <t>70/74 (fits)</t>
        </is>
      </c>
      <c r="AJ44" s="39" t="n">
        <v>3</v>
      </c>
      <c r="AK44" s="39" t="inlineStr">
        <is>
          <t>-</t>
        </is>
      </c>
      <c r="AL44" s="39" t="n"/>
      <c r="AM44" s="39" t="inlineStr">
        <is>
          <t>COMPLETE</t>
        </is>
      </c>
    </row>
    <row r="45">
      <c r="A45" s="39" t="inlineStr">
        <is>
          <t>Octavia Prime</t>
        </is>
      </c>
      <c r="B45" s="39" t="inlineStr">
        <is>
          <t>Mallet/Resonator damage + Metronome/Amp buffs; Helminth: Resonator is her donated ability (not Mallet)</t>
        </is>
      </c>
      <c r="C45" s="39" t="inlineStr">
        <is>
          <t>NO HELMINTH</t>
        </is>
      </c>
      <c r="D45" s="39" t="inlineStr">
        <is>
          <t>NO HELMINTH: Kit loop requires all four</t>
        </is>
      </c>
      <c r="E45" s="39" t="n">
        <v>180</v>
      </c>
      <c r="F45" s="39" t="n">
        <v>165</v>
      </c>
      <c r="G45" s="39" t="n">
        <v>175</v>
      </c>
      <c r="H45" s="39" t="n">
        <v>130</v>
      </c>
      <c r="I45" s="39" t="inlineStr">
        <is>
          <t>Duration for Mallet/Resonator.</t>
        </is>
      </c>
      <c r="J45" s="39" t="inlineStr">
        <is>
          <t>Amp energy passive</t>
        </is>
      </c>
      <c r="K45" s="39" t="inlineStr">
        <is>
          <t>Growing Power</t>
        </is>
      </c>
      <c r="L45" s="39" t="n"/>
      <c r="M45" s="39" t="inlineStr">
        <is>
          <t>Conductor</t>
        </is>
      </c>
      <c r="N45" s="39" t="inlineStr">
        <is>
          <t>Umbral Intensify | Primed Continuity | Stretch | Augur Reach | Primed Flow | Streamline | Umbral Vitality | Partitioned Mallet</t>
        </is>
      </c>
      <c r="O45" s="39" t="inlineStr">
        <is>
          <t>Partitioned Mallet, Conductor</t>
        </is>
      </c>
      <c r="P45" s="39" t="inlineStr">
        <is>
          <t>Metronome invisibility/armor, Umbral Vitality</t>
        </is>
      </c>
      <c r="Q45" s="39" t="inlineStr">
        <is>
          <t>Arcane Energize</t>
        </is>
      </c>
      <c r="R45" s="39" t="inlineStr">
        <is>
          <t>Molt Augmented</t>
        </is>
      </c>
      <c r="S45" s="39" t="inlineStr">
        <is>
          <t>Tauforged Crimson: Ability Strength +15%</t>
        </is>
      </c>
      <c r="T45" s="39" t="inlineStr">
        <is>
          <t>Crimson: Ability Strength +10%</t>
        </is>
      </c>
      <c r="U45" s="39" t="inlineStr">
        <is>
          <t>Crimson: Ability Duration +10%</t>
        </is>
      </c>
      <c r="V45" s="39" t="inlineStr">
        <is>
          <t>Azure: Health +150</t>
        </is>
      </c>
      <c r="W45" s="39" t="inlineStr">
        <is>
          <t>Amber: Casting Speed +25%</t>
        </is>
      </c>
      <c r="X45" s="39" t="inlineStr">
        <is>
          <t>Zenurik</t>
        </is>
      </c>
      <c r="Y45" s="39" t="inlineStr">
        <is>
          <t>Dethcube Prime</t>
        </is>
      </c>
      <c r="Z45" s="39" t="inlineStr">
        <is>
          <t>Deth Machine Rifle Prime</t>
        </is>
      </c>
      <c r="AA45" s="39" t="inlineStr">
        <is>
          <t>Tenora Prime</t>
        </is>
      </c>
      <c r="AB45" s="39" t="inlineStr">
        <is>
          <t>Pandero Prime</t>
        </is>
      </c>
      <c r="AC45" s="39" t="inlineStr">
        <is>
          <t>Stropha</t>
        </is>
      </c>
      <c r="AD45" s="39" t="inlineStr">
        <is>
          <t>-</t>
        </is>
      </c>
      <c r="AE45" s="39" t="inlineStr">
        <is>
          <t>-</t>
        </is>
      </c>
      <c r="AF45" s="39" t="inlineStr">
        <is>
          <t>P: Primary Merciless / S: Secondary Merciless / M: Melee Duplicate</t>
        </is>
      </c>
      <c r="AG45" s="39" t="inlineStr">
        <is>
          <t>-</t>
        </is>
      </c>
      <c r="AH45" s="39" t="inlineStr">
        <is>
          <t>Tenora Prime: crit (Viral + Heat); Pandero Prime: crit (Viral + Heat); Stropha: crit (Viral + Heat)</t>
        </is>
      </c>
      <c r="AI45" s="39" t="inlineStr">
        <is>
          <t>65/65 (fits)</t>
        </is>
      </c>
      <c r="AJ45" s="39" t="n">
        <v>4</v>
      </c>
      <c r="AK45" s="39" t="inlineStr">
        <is>
          <t>-</t>
        </is>
      </c>
      <c r="AL45" s="39" t="n"/>
      <c r="AM45" s="39" t="inlineStr">
        <is>
          <t>COMPLETE</t>
        </is>
      </c>
    </row>
    <row r="46">
      <c r="A46" s="39" t="inlineStr">
        <is>
          <t>Oraxia</t>
        </is>
      </c>
      <c r="B46" s="39" t="inlineStr">
        <is>
          <t>Webbed Embrace / Widow's Brood spider caster; Silken Stride</t>
        </is>
      </c>
      <c r="C46" s="39" t="inlineStr">
        <is>
          <t>Roar</t>
        </is>
      </c>
      <c r="D46" s="39" t="inlineStr">
        <is>
          <t>Mercy's Kiss</t>
        </is>
      </c>
      <c r="E46" s="39" t="n">
        <v>217</v>
      </c>
      <c r="F46" s="39" t="n">
        <v>165</v>
      </c>
      <c r="G46" s="39" t="n">
        <v>145</v>
      </c>
      <c r="H46" s="39" t="n">
        <v>130</v>
      </c>
      <c r="I46" s="39" t="inlineStr">
        <is>
          <t>Str for Brood.</t>
        </is>
      </c>
      <c r="J46" s="39" t="inlineStr">
        <is>
          <t>Predator's Lurk invisibility on wall latch</t>
        </is>
      </c>
      <c r="K46" s="39" t="inlineStr">
        <is>
          <t>Growing Power</t>
        </is>
      </c>
      <c r="L46" s="39" t="n"/>
      <c r="M46" s="39" t="inlineStr">
        <is>
          <t>Power Drift</t>
        </is>
      </c>
      <c r="N46" s="39" t="inlineStr">
        <is>
          <t>Umbral Intensify | Umbral Vitality | Umbral Fiber | Primed Continuity | Stretch | Primed Flow | Streamline | Brood's Oversurge</t>
        </is>
      </c>
      <c r="O46" s="39" t="inlineStr">
        <is>
          <t>Brood's Oversurge</t>
        </is>
      </c>
      <c r="P46" s="39" t="inlineStr">
        <is>
          <t>Invisibility passive, Umbral set</t>
        </is>
      </c>
      <c r="Q46" s="39" t="inlineStr">
        <is>
          <t>Arcane Energize</t>
        </is>
      </c>
      <c r="R46" s="39" t="inlineStr">
        <is>
          <t>Molt Augmented</t>
        </is>
      </c>
      <c r="S46" s="39" t="inlineStr">
        <is>
          <t>Tauforged Crimson: Ability Strength +15%</t>
        </is>
      </c>
      <c r="T46" s="39" t="inlineStr">
        <is>
          <t>Crimson: Ability Strength +10%</t>
        </is>
      </c>
      <c r="U46" s="39" t="inlineStr">
        <is>
          <t>Crimson: Ability Duration +10%</t>
        </is>
      </c>
      <c r="V46" s="39" t="inlineStr">
        <is>
          <t>Azure: Armor +150</t>
        </is>
      </c>
      <c r="W46" s="39" t="inlineStr">
        <is>
          <t>Amber: Casting Speed +25%</t>
        </is>
      </c>
      <c r="X46" s="39" t="inlineStr">
        <is>
          <t>Zenurik</t>
        </is>
      </c>
      <c r="Y46" s="39" t="inlineStr">
        <is>
          <t>Panzer Vulpaphyla</t>
        </is>
      </c>
      <c r="Z46" s="39" t="inlineStr">
        <is>
          <t>Panzer Claws</t>
        </is>
      </c>
      <c r="AA46" s="39" t="inlineStr">
        <is>
          <t>Torid</t>
        </is>
      </c>
      <c r="AB46" s="39" t="inlineStr">
        <is>
          <t>Scyotid</t>
        </is>
      </c>
      <c r="AC46" s="39" t="inlineStr">
        <is>
          <t>Spinnerex</t>
        </is>
      </c>
      <c r="AD46" s="39" t="inlineStr">
        <is>
          <t>-</t>
        </is>
      </c>
      <c r="AE46" s="39" t="inlineStr">
        <is>
          <t>-</t>
        </is>
      </c>
      <c r="AF46" s="39" t="inlineStr">
        <is>
          <t>P: Primary Merciless / S: Secondary Merciless / M: Melee Influence</t>
        </is>
      </c>
      <c r="AG46" s="39" t="inlineStr">
        <is>
          <t>Torid: EVO2: Final Fusillade, EVO3: Renewed Horror, EVO4: Survivor's Edge</t>
        </is>
      </c>
      <c r="AH46" s="39" t="inlineStr">
        <is>
          <t>Torid: status (Corrosive + Viral); Scyotid: crit (Viral + Heat); Spinnerex: status (Corrosive + Viral)</t>
        </is>
      </c>
      <c r="AI46" s="39" t="inlineStr">
        <is>
          <t>74/74 (fits)</t>
        </is>
      </c>
      <c r="AJ46" s="39" t="n">
        <v>3</v>
      </c>
      <c r="AK46" s="39" t="inlineStr">
        <is>
          <t>-</t>
        </is>
      </c>
      <c r="AL46" s="39" t="n"/>
      <c r="AM46" s="39" t="inlineStr">
        <is>
          <t>COMPLETE</t>
        </is>
      </c>
    </row>
    <row r="47">
      <c r="A47" s="39" t="inlineStr">
        <is>
          <t>Protea Prime</t>
        </is>
      </c>
      <c r="B47" s="39" t="inlineStr">
        <is>
          <t>Dispensary/Blaze Artillery support with Temporal Anchor rewind; RESOLVED: Roar replaces Grenade Fan</t>
        </is>
      </c>
      <c r="C47" s="39" t="inlineStr">
        <is>
          <t>Roar</t>
        </is>
      </c>
      <c r="D47" s="39" t="inlineStr">
        <is>
          <t>Grenade Fan</t>
        </is>
      </c>
      <c r="E47" s="39" t="n">
        <v>217</v>
      </c>
      <c r="F47" s="39" t="n">
        <v>165</v>
      </c>
      <c r="G47" s="39" t="n">
        <v>145</v>
      </c>
      <c r="H47" s="39" t="n">
        <v>130</v>
      </c>
      <c r="I47" s="39" t="inlineStr">
        <is>
          <t>Temporal Artillery requires Temporal Anchor (kept) and Blaze Artillery (kept).</t>
        </is>
      </c>
      <c r="J47" s="39" t="inlineStr">
        <is>
          <t>Passive: every 4th cast +100% Str</t>
        </is>
      </c>
      <c r="K47" s="39" t="inlineStr">
        <is>
          <t>Growing Power</t>
        </is>
      </c>
      <c r="L47" s="39" t="n"/>
      <c r="M47" s="39" t="inlineStr">
        <is>
          <t>Power Drift</t>
        </is>
      </c>
      <c r="N47" s="39" t="inlineStr">
        <is>
          <t>Umbral Intensify | Umbral Vitality | Umbral Fiber | Primed Continuity | Stretch | Primed Flow | Streamline | Temporal Artillery</t>
        </is>
      </c>
      <c r="O47" s="39" t="inlineStr">
        <is>
          <t>Temporal Artillery</t>
        </is>
      </c>
      <c r="P47" s="39" t="inlineStr">
        <is>
          <t>Temporal Anchor rewind, Dispensary, Umbral set</t>
        </is>
      </c>
      <c r="Q47" s="39" t="inlineStr">
        <is>
          <t>Arcane Energize</t>
        </is>
      </c>
      <c r="R47" s="39" t="inlineStr">
        <is>
          <t>Molt Augmented</t>
        </is>
      </c>
      <c r="S47" s="39" t="inlineStr">
        <is>
          <t>Tauforged Crimson: Ability Strength +15%</t>
        </is>
      </c>
      <c r="T47" s="39" t="inlineStr">
        <is>
          <t>Crimson: Ability Strength +10%</t>
        </is>
      </c>
      <c r="U47" s="39" t="inlineStr">
        <is>
          <t>Crimson: Ability Duration +10%</t>
        </is>
      </c>
      <c r="V47" s="39" t="inlineStr">
        <is>
          <t>Azure: Shield Capacity +150</t>
        </is>
      </c>
      <c r="W47" s="39" t="inlineStr">
        <is>
          <t>Amber: Casting Speed +25%</t>
        </is>
      </c>
      <c r="X47" s="39" t="inlineStr">
        <is>
          <t>Zenurik</t>
        </is>
      </c>
      <c r="Y47" s="39" t="inlineStr">
        <is>
          <t>Dethcube Prime</t>
        </is>
      </c>
      <c r="Z47" s="39" t="inlineStr">
        <is>
          <t>Deth Machine Rifle Prime</t>
        </is>
      </c>
      <c r="AA47" s="39" t="inlineStr">
        <is>
          <t>Stahlta</t>
        </is>
      </c>
      <c r="AB47" s="39" t="inlineStr">
        <is>
          <t>Velox Prime</t>
        </is>
      </c>
      <c r="AC47" s="39" t="inlineStr">
        <is>
          <t>Okina Prime</t>
        </is>
      </c>
      <c r="AD47" s="39" t="inlineStr">
        <is>
          <t>-</t>
        </is>
      </c>
      <c r="AE47" s="39" t="inlineStr">
        <is>
          <t>-</t>
        </is>
      </c>
      <c r="AF47" s="39" t="inlineStr">
        <is>
          <t>P: Primary Merciless / S: Secondary Encumber / M: Melee Duplicate</t>
        </is>
      </c>
      <c r="AG47" s="39" t="inlineStr">
        <is>
          <t>Okina Prime: EVO2: Synergist Surety, EVO3: Orokin Reach, EVO4: Commodore's Fortune</t>
        </is>
      </c>
      <c r="AH47" s="39" t="inlineStr">
        <is>
          <t>Stahlta: crit (Viral + Heat); Velox Prime: status (Corrosive + Viral); Okina Prime: crit (Viral + Heat)</t>
        </is>
      </c>
      <c r="AI47" s="39" t="inlineStr">
        <is>
          <t>70/74 (fits)</t>
        </is>
      </c>
      <c r="AJ47" s="39" t="n">
        <v>3</v>
      </c>
      <c r="AK47" s="39" t="inlineStr">
        <is>
          <t>-</t>
        </is>
      </c>
      <c r="AL47" s="39" t="inlineStr">
        <is>
          <t>v4 resolution: Roar moved from Temporal Anchor to Grenade Fan; Temporal Artillery now valid.</t>
        </is>
      </c>
      <c r="AM47" s="39" t="inlineStr">
        <is>
          <t>COMPLETE</t>
        </is>
      </c>
    </row>
    <row r="48">
      <c r="A48" s="39" t="inlineStr">
        <is>
          <t>Qorvex</t>
        </is>
      </c>
      <c r="B48" s="39" t="inlineStr">
        <is>
          <t>Radiation pillar/wall tank: Chyrinka Pillar, Containment Wall, Crucible Blast</t>
        </is>
      </c>
      <c r="C48" s="39" t="inlineStr">
        <is>
          <t>Roar</t>
        </is>
      </c>
      <c r="D48" s="39" t="inlineStr">
        <is>
          <t>Disometric Guard</t>
        </is>
      </c>
      <c r="E48" s="39" t="n">
        <v>207</v>
      </c>
      <c r="F48" s="39" t="n">
        <v>155</v>
      </c>
      <c r="G48" s="39" t="n">
        <v>145</v>
      </c>
      <c r="H48" s="39" t="n">
        <v>130</v>
      </c>
      <c r="I48" s="39" t="inlineStr">
        <is>
          <t>Str for Crucible/Pillar.</t>
        </is>
      </c>
      <c r="J48" s="39" t="inlineStr">
        <is>
          <t>Passive +3 weapon Punch Through; Radiation ability damage (Topaz x2)</t>
        </is>
      </c>
      <c r="K48" s="39" t="inlineStr">
        <is>
          <t>Growing Power</t>
        </is>
      </c>
      <c r="L48" s="39" t="n"/>
      <c r="M48" s="39" t="inlineStr">
        <is>
          <t>Power Drift</t>
        </is>
      </c>
      <c r="N48" s="39" t="inlineStr">
        <is>
          <t>Umbral Intensify | Umbral Vitality | Umbral Fiber | Primed Continuity | Stretch | Primed Flow | Streamline | Wrecking Wall</t>
        </is>
      </c>
      <c r="O48" s="39" t="inlineStr">
        <is>
          <t>Wrecking Wall</t>
        </is>
      </c>
      <c r="P48" s="39" t="inlineStr">
        <is>
          <t>875 armor, Umbral Fiber, walls</t>
        </is>
      </c>
      <c r="Q48" s="39" t="inlineStr">
        <is>
          <t>Arcane Universal Fallout</t>
        </is>
      </c>
      <c r="R48" s="39" t="inlineStr">
        <is>
          <t>Molt Augmented</t>
        </is>
      </c>
      <c r="S48" s="39" t="inlineStr">
        <is>
          <t>Tauforged Crimson: Ability Strength +15%</t>
        </is>
      </c>
      <c r="T48" s="39" t="inlineStr">
        <is>
          <t>Topaz: Ability Damage vs Radiation +10%</t>
        </is>
      </c>
      <c r="U48" s="39" t="inlineStr">
        <is>
          <t>Topaz: Ability Damage vs Radiation +10%</t>
        </is>
      </c>
      <c r="V48" s="39" t="inlineStr">
        <is>
          <t>Azure: Armor +150</t>
        </is>
      </c>
      <c r="W48" s="39" t="inlineStr">
        <is>
          <t>Amber: Casting Speed +25%</t>
        </is>
      </c>
      <c r="X48" s="39" t="inlineStr">
        <is>
          <t>Vazarin</t>
        </is>
      </c>
      <c r="Y48" s="39" t="inlineStr">
        <is>
          <t>Panzer Vulpaphyla</t>
        </is>
      </c>
      <c r="Z48" s="39" t="inlineStr">
        <is>
          <t>Panzer Claws</t>
        </is>
      </c>
      <c r="AA48" s="39" t="inlineStr">
        <is>
          <t>Felarx</t>
        </is>
      </c>
      <c r="AB48" s="39" t="inlineStr">
        <is>
          <t>Bronco Prime</t>
        </is>
      </c>
      <c r="AC48" s="39" t="inlineStr">
        <is>
          <t>Hate</t>
        </is>
      </c>
      <c r="AD48" s="39" t="inlineStr">
        <is>
          <t>-</t>
        </is>
      </c>
      <c r="AE48" s="39" t="inlineStr">
        <is>
          <t>-</t>
        </is>
      </c>
      <c r="AF48" s="39" t="inlineStr">
        <is>
          <t>P: Shotgun Vendetta / S: Secondary Encumber / M: Melee Animosity</t>
        </is>
      </c>
      <c r="AG48" s="39" t="inlineStr">
        <is>
          <t>Felarx: EVO2: Attuned Accuracy, EVO3: Dual-Mode, EVO4: Brutal Edge, EVO5: Devastating Attrition; Bronco Prime: EVO2: Speeding Bullet, EVO3: Kinetic Battle, EVO4: Rain of Lead; Hate: EVO2: Swordsman's Flourish, EVO3: Orokin Reach, EVO4: Absolute Valor</t>
        </is>
      </c>
      <c r="AH48" s="39" t="inlineStr">
        <is>
          <t>Felarx: crit (Viral + Heat); Bronco Prime: status (Corrosive + Viral); Hate: crit (Viral + Heat)</t>
        </is>
      </c>
      <c r="AI48" s="39" t="inlineStr">
        <is>
          <t>62/65 (fits)</t>
        </is>
      </c>
      <c r="AJ48" s="39" t="n">
        <v>7</v>
      </c>
      <c r="AK48" s="39" t="inlineStr">
        <is>
          <t>-</t>
        </is>
      </c>
      <c r="AL48" s="39" t="n"/>
      <c r="AM48" s="39" t="inlineStr">
        <is>
          <t>COMPLETE</t>
        </is>
      </c>
    </row>
    <row r="49">
      <c r="A49" s="39" t="inlineStr">
        <is>
          <t>Revenant Prime</t>
        </is>
      </c>
      <c r="B49" s="39" t="inlineStr">
        <is>
          <t>Mesmer Skin invulnerability + Reave/Danse Macabre</t>
        </is>
      </c>
      <c r="C49" s="39" t="inlineStr">
        <is>
          <t>Roar</t>
        </is>
      </c>
      <c r="D49" s="39" t="inlineStr">
        <is>
          <t>Enthrall</t>
        </is>
      </c>
      <c r="E49" s="39" t="n">
        <v>217</v>
      </c>
      <c r="F49" s="39" t="n">
        <v>165</v>
      </c>
      <c r="G49" s="39" t="n">
        <v>145</v>
      </c>
      <c r="H49" s="39" t="n">
        <v>130</v>
      </c>
      <c r="I49" s="39" t="inlineStr">
        <is>
          <t>Mesmer charges scale with Str.</t>
        </is>
      </c>
      <c r="J49" s="39" t="inlineStr">
        <is>
          <t>Mesmer Skin charges</t>
        </is>
      </c>
      <c r="K49" s="39" t="inlineStr">
        <is>
          <t>Growing Power</t>
        </is>
      </c>
      <c r="L49" s="39" t="n"/>
      <c r="M49" s="39" t="inlineStr">
        <is>
          <t>Power Drift</t>
        </is>
      </c>
      <c r="N49" s="39" t="inlineStr">
        <is>
          <t>Umbral Intensify | Umbral Vitality | Umbral Fiber | Primed Continuity | Stretch | Primed Flow | Streamline | Mesmer Shield</t>
        </is>
      </c>
      <c r="O49" s="39" t="inlineStr">
        <is>
          <t>Mesmer Shield</t>
        </is>
      </c>
      <c r="P49" s="39" t="inlineStr">
        <is>
          <t>Mesmer Skin charges, Reave shield gain</t>
        </is>
      </c>
      <c r="Q49" s="39" t="inlineStr">
        <is>
          <t>Arcane Energize</t>
        </is>
      </c>
      <c r="R49" s="39" t="inlineStr">
        <is>
          <t>Molt Augmented</t>
        </is>
      </c>
      <c r="S49" s="39" t="inlineStr">
        <is>
          <t>Tauforged Crimson: Ability Strength +15%</t>
        </is>
      </c>
      <c r="T49" s="39" t="inlineStr">
        <is>
          <t>Crimson: Ability Strength +10%</t>
        </is>
      </c>
      <c r="U49" s="39" t="inlineStr">
        <is>
          <t>Crimson: Ability Duration +10%</t>
        </is>
      </c>
      <c r="V49" s="39" t="inlineStr">
        <is>
          <t>Azure: Shield Capacity +150</t>
        </is>
      </c>
      <c r="W49" s="39" t="inlineStr">
        <is>
          <t>Amber: Casting Speed +25%</t>
        </is>
      </c>
      <c r="X49" s="39" t="inlineStr">
        <is>
          <t>Zenurik</t>
        </is>
      </c>
      <c r="Y49" s="39" t="inlineStr">
        <is>
          <t>Dethcube Prime</t>
        </is>
      </c>
      <c r="Z49" s="39" t="inlineStr">
        <is>
          <t>Deth Machine Rifle Prime</t>
        </is>
      </c>
      <c r="AA49" s="39" t="inlineStr">
        <is>
          <t>Phantasma Prime</t>
        </is>
      </c>
      <c r="AB49" s="39" t="inlineStr">
        <is>
          <t>Tenet Cycron</t>
        </is>
      </c>
      <c r="AC49" s="39" t="inlineStr">
        <is>
          <t>Tatsu Prime</t>
        </is>
      </c>
      <c r="AD49" s="39" t="inlineStr">
        <is>
          <t>-</t>
        </is>
      </c>
      <c r="AE49" s="39" t="inlineStr">
        <is>
          <t>-</t>
        </is>
      </c>
      <c r="AF49" s="39" t="inlineStr">
        <is>
          <t>P: Shotgun Vendetta / S: Secondary Encumber / M: Melee Influence</t>
        </is>
      </c>
      <c r="AG49" s="39" t="inlineStr">
        <is>
          <t>-</t>
        </is>
      </c>
      <c r="AH49" s="39" t="inlineStr">
        <is>
          <t>Phantasma Prime: status (Corrosive + Viral); Tenet Cycron: status (Adversary innate element); Tatsu Prime: status (Corrosive + Viral)</t>
        </is>
      </c>
      <c r="AI49" s="39" t="inlineStr">
        <is>
          <t>62/65 (fits)</t>
        </is>
      </c>
      <c r="AJ49" s="39" t="n">
        <v>6</v>
      </c>
      <c r="AK49" s="39" t="inlineStr">
        <is>
          <t>-</t>
        </is>
      </c>
      <c r="AL49" s="39" t="n"/>
      <c r="AM49" s="39" t="inlineStr">
        <is>
          <t>COMPLETE</t>
        </is>
      </c>
    </row>
    <row r="50">
      <c r="A50" s="39" t="inlineStr">
        <is>
          <t>Rhino Prime</t>
        </is>
      </c>
      <c r="B50" s="39" t="inlineStr">
        <is>
          <t>Iron Skin tank + native Roar damage buff</t>
        </is>
      </c>
      <c r="C50" s="39" t="inlineStr">
        <is>
          <t>Nourish</t>
        </is>
      </c>
      <c r="D50" s="39" t="inlineStr">
        <is>
          <t>Rhino Charge</t>
        </is>
      </c>
      <c r="E50" s="39" t="n">
        <v>217</v>
      </c>
      <c r="F50" s="39" t="n">
        <v>155</v>
      </c>
      <c r="G50" s="39" t="n">
        <v>145</v>
      </c>
      <c r="H50" s="39" t="n">
        <v>130</v>
      </c>
      <c r="I50" s="39" t="inlineStr">
        <is>
          <t>Iron Skin Str/armor.</t>
        </is>
      </c>
      <c r="J50" s="39" t="inlineStr">
        <is>
          <t>Native Roar (full strength); Nourish energy multiplier (subsumed)</t>
        </is>
      </c>
      <c r="K50" s="39" t="inlineStr">
        <is>
          <t>Growing Power</t>
        </is>
      </c>
      <c r="L50" s="39" t="n"/>
      <c r="M50" s="39" t="inlineStr">
        <is>
          <t>Power Drift</t>
        </is>
      </c>
      <c r="N50" s="39" t="inlineStr">
        <is>
          <t>Umbral Intensify | Umbral Vitality | Umbral Fiber | Primed Continuity | Stretch | Primed Flow | Streamline | Reinforcing Stomp</t>
        </is>
      </c>
      <c r="O50" s="39" t="inlineStr">
        <is>
          <t>Reinforcing Stomp</t>
        </is>
      </c>
      <c r="P50" s="39" t="inlineStr">
        <is>
          <t>Iron Skin scales with armor, Umbral set</t>
        </is>
      </c>
      <c r="Q50" s="39" t="inlineStr">
        <is>
          <t>Arcane Reaper</t>
        </is>
      </c>
      <c r="R50" s="39" t="inlineStr">
        <is>
          <t>Molt Augmented</t>
        </is>
      </c>
      <c r="S50" s="39" t="inlineStr">
        <is>
          <t>Tauforged Crimson: Ability Strength +15%</t>
        </is>
      </c>
      <c r="T50" s="39" t="inlineStr">
        <is>
          <t>Crimson: Ability Strength +10%</t>
        </is>
      </c>
      <c r="U50" s="39" t="inlineStr">
        <is>
          <t>Azure: Armor +150</t>
        </is>
      </c>
      <c r="V50" s="39" t="inlineStr">
        <is>
          <t>Azure: Armor +150</t>
        </is>
      </c>
      <c r="W50" s="39" t="inlineStr">
        <is>
          <t>Amber: Casting Speed +25%</t>
        </is>
      </c>
      <c r="X50" s="39" t="inlineStr">
        <is>
          <t>Madurai</t>
        </is>
      </c>
      <c r="Y50" s="39" t="inlineStr">
        <is>
          <t>Panzer Vulpaphyla</t>
        </is>
      </c>
      <c r="Z50" s="39" t="inlineStr">
        <is>
          <t>Panzer Claws</t>
        </is>
      </c>
      <c r="AA50" s="39" t="inlineStr">
        <is>
          <t>Boltor Prime</t>
        </is>
      </c>
      <c r="AB50" s="39" t="inlineStr">
        <is>
          <t>Viper Wraith</t>
        </is>
      </c>
      <c r="AC50" s="39" t="inlineStr">
        <is>
          <t>Ankyros Prime</t>
        </is>
      </c>
      <c r="AD50" s="39" t="inlineStr">
        <is>
          <t>-</t>
        </is>
      </c>
      <c r="AE50" s="39" t="inlineStr">
        <is>
          <t>-</t>
        </is>
      </c>
      <c r="AF50" s="39" t="inlineStr">
        <is>
          <t>P: Primary Merciless / S: Secondary Merciless / M: Melee Duplicate</t>
        </is>
      </c>
      <c r="AG50" s="39" t="inlineStr">
        <is>
          <t>Boltor Prime: EVO2: Hunter's Mantra, EVO3: Swift Deliverance, EVO4: Elemental Balance</t>
        </is>
      </c>
      <c r="AH50" s="39" t="inlineStr">
        <is>
          <t>Boltor Prime: status (Corrosive + Viral); Viper Wraith: crit (Viral + Heat); Ankyros Prime: crit (Viral + Heat)</t>
        </is>
      </c>
      <c r="AI50" s="39" t="inlineStr">
        <is>
          <t>74/74 (fits)</t>
        </is>
      </c>
      <c r="AJ50" s="39" t="n">
        <v>4</v>
      </c>
      <c r="AK50" s="39" t="inlineStr">
        <is>
          <t>-</t>
        </is>
      </c>
      <c r="AL50" s="39" t="n"/>
      <c r="AM50" s="39" t="inlineStr">
        <is>
          <t>COMPLETE</t>
        </is>
      </c>
    </row>
    <row r="51">
      <c r="A51" s="39" t="inlineStr">
        <is>
          <t>Saryn Prime</t>
        </is>
      </c>
      <c r="B51" s="39" t="inlineStr">
        <is>
          <t>Spores/Miasma status nuker; Molt</t>
        </is>
      </c>
      <c r="C51" s="39" t="inlineStr">
        <is>
          <t>Roar</t>
        </is>
      </c>
      <c r="D51" s="39" t="inlineStr">
        <is>
          <t>Toxic Lash</t>
        </is>
      </c>
      <c r="E51" s="39" t="n">
        <v>207</v>
      </c>
      <c r="F51" s="39" t="n">
        <v>155</v>
      </c>
      <c r="G51" s="39" t="n">
        <v>145</v>
      </c>
      <c r="H51" s="39" t="n">
        <v>130</v>
      </c>
      <c r="I51" s="39" t="inlineStr">
        <is>
          <t>Spores damage growth with Str.</t>
        </is>
      </c>
      <c r="J51" s="39" t="inlineStr">
        <is>
          <t>Toxin/Corrosive procs (Emerald)</t>
        </is>
      </c>
      <c r="K51" s="39" t="inlineStr">
        <is>
          <t>Growing Power</t>
        </is>
      </c>
      <c r="L51" s="39" t="n"/>
      <c r="M51" s="39" t="inlineStr">
        <is>
          <t>Power Drift</t>
        </is>
      </c>
      <c r="N51" s="39" t="inlineStr">
        <is>
          <t>Umbral Intensify | Umbral Vitality | Umbral Fiber | Primed Continuity | Stretch | Primed Flow | Streamline | Venom Dose</t>
        </is>
      </c>
      <c r="O51" s="39" t="inlineStr">
        <is>
          <t>Venom Dose</t>
        </is>
      </c>
      <c r="P51" s="39" t="inlineStr">
        <is>
          <t>Molt decoy/speed, Umbral set</t>
        </is>
      </c>
      <c r="Q51" s="39" t="inlineStr">
        <is>
          <t>Arcane Energize</t>
        </is>
      </c>
      <c r="R51" s="39" t="inlineStr">
        <is>
          <t>Molt Augmented</t>
        </is>
      </c>
      <c r="S51" s="39" t="inlineStr">
        <is>
          <t>Tauforged Crimson: Ability Strength +15%</t>
        </is>
      </c>
      <c r="T51" s="39" t="inlineStr">
        <is>
          <t>Emerald: Toxin Status Damage +30%</t>
        </is>
      </c>
      <c r="U51" s="39" t="inlineStr">
        <is>
          <t>Emerald: Ability Damage vs Corrosion +10%</t>
        </is>
      </c>
      <c r="V51" s="39" t="inlineStr">
        <is>
          <t>Azure: Armor +150</t>
        </is>
      </c>
      <c r="W51" s="39" t="inlineStr">
        <is>
          <t>Amber: Casting Speed +25%</t>
        </is>
      </c>
      <c r="X51" s="39" t="inlineStr">
        <is>
          <t>Madurai</t>
        </is>
      </c>
      <c r="Y51" s="39" t="inlineStr">
        <is>
          <t>Panzer Vulpaphyla</t>
        </is>
      </c>
      <c r="Z51" s="39" t="inlineStr">
        <is>
          <t>Panzer Claws</t>
        </is>
      </c>
      <c r="AA51" s="39" t="inlineStr">
        <is>
          <t>Kuva Ogris</t>
        </is>
      </c>
      <c r="AB51" s="39" t="inlineStr">
        <is>
          <t>Pyrana</t>
        </is>
      </c>
      <c r="AC51" s="39" t="inlineStr">
        <is>
          <t>Dual Ichor</t>
        </is>
      </c>
      <c r="AD51" s="39" t="inlineStr">
        <is>
          <t>-</t>
        </is>
      </c>
      <c r="AE51" s="39" t="inlineStr">
        <is>
          <t>-</t>
        </is>
      </c>
      <c r="AF51" s="39" t="inlineStr">
        <is>
          <t>P: Primary Merciless / S: Secondary Merciless / M: Melee Duplicate</t>
        </is>
      </c>
      <c r="AG51" s="39" t="inlineStr">
        <is>
          <t>Dual Ichor: EVO2: Alchemist's Wrath, EVO3: Orokin Reach, EVO4: Poison Parasite</t>
        </is>
      </c>
      <c r="AH51" s="39" t="inlineStr">
        <is>
          <t>Kuva Ogris: status (Adversary innate element); Pyrana: crit (Viral + Heat); Dual Ichor: crit (Viral + Heat)</t>
        </is>
      </c>
      <c r="AI51" s="39" t="inlineStr">
        <is>
          <t>62/65 (fits)</t>
        </is>
      </c>
      <c r="AJ51" s="39" t="n">
        <v>6</v>
      </c>
      <c r="AK51" s="39" t="inlineStr">
        <is>
          <t>-</t>
        </is>
      </c>
      <c r="AL51" s="39" t="n"/>
      <c r="AM51" s="39" t="inlineStr">
        <is>
          <t>COMPLETE</t>
        </is>
      </c>
    </row>
    <row r="52">
      <c r="A52" s="39" t="inlineStr">
        <is>
          <t>Sevagoth Prime</t>
        </is>
      </c>
      <c r="B52" s="39" t="inlineStr">
        <is>
          <t>Reap/Sow death harvest; Gloom slow/lifesteal; Exalted Shadow form</t>
        </is>
      </c>
      <c r="C52" s="39" t="inlineStr">
        <is>
          <t>Roar</t>
        </is>
      </c>
      <c r="D52" s="39" t="inlineStr">
        <is>
          <t>Sow</t>
        </is>
      </c>
      <c r="E52" s="39" t="n">
        <v>217</v>
      </c>
      <c r="F52" s="39" t="n">
        <v>165</v>
      </c>
      <c r="G52" s="39" t="n">
        <v>145</v>
      </c>
      <c r="H52" s="39" t="n">
        <v>130</v>
      </c>
      <c r="I52" s="39" t="inlineStr">
        <is>
          <t>Gloom slow/lifesteal Str.</t>
        </is>
      </c>
      <c r="J52" s="39" t="inlineStr">
        <is>
          <t>Death Harvest gauge fills Exalted Shadow</t>
        </is>
      </c>
      <c r="K52" s="39" t="inlineStr">
        <is>
          <t>Growing Power</t>
        </is>
      </c>
      <c r="L52" s="39" t="n"/>
      <c r="M52" s="39" t="inlineStr">
        <is>
          <t>Power Drift</t>
        </is>
      </c>
      <c r="N52" s="39" t="inlineStr">
        <is>
          <t>Umbral Intensify | Umbral Vitality | Umbral Fiber | Primed Continuity | Stretch | Primed Flow | Streamline | Shadow Haze</t>
        </is>
      </c>
      <c r="O52" s="39" t="inlineStr">
        <is>
          <t>Shadow Haze</t>
        </is>
      </c>
      <c r="P52" s="39" t="inlineStr">
        <is>
          <t>Gloom lifesteal, shadow revive, Umbral set</t>
        </is>
      </c>
      <c r="Q52" s="39" t="inlineStr">
        <is>
          <t>Arcane Energize</t>
        </is>
      </c>
      <c r="R52" s="39" t="inlineStr">
        <is>
          <t>Molt Augmented</t>
        </is>
      </c>
      <c r="S52" s="39" t="inlineStr">
        <is>
          <t>Tauforged Crimson: Ability Strength +15%</t>
        </is>
      </c>
      <c r="T52" s="39" t="inlineStr">
        <is>
          <t>Crimson: Ability Strength +10%</t>
        </is>
      </c>
      <c r="U52" s="39" t="inlineStr">
        <is>
          <t>Crimson: Ability Duration +10%</t>
        </is>
      </c>
      <c r="V52" s="39" t="inlineStr">
        <is>
          <t>Azure: Armor +150</t>
        </is>
      </c>
      <c r="W52" s="39" t="inlineStr">
        <is>
          <t>Amber: Casting Speed +25%</t>
        </is>
      </c>
      <c r="X52" s="39" t="inlineStr">
        <is>
          <t>Madurai</t>
        </is>
      </c>
      <c r="Y52" s="39" t="inlineStr">
        <is>
          <t>Panzer Vulpaphyla</t>
        </is>
      </c>
      <c r="Z52" s="39" t="inlineStr">
        <is>
          <t>Panzer Claws</t>
        </is>
      </c>
      <c r="AA52" s="39" t="inlineStr">
        <is>
          <t>Bubonico</t>
        </is>
      </c>
      <c r="AB52" s="39" t="inlineStr">
        <is>
          <t>Epitaph Prime</t>
        </is>
      </c>
      <c r="AC52" s="39" t="inlineStr">
        <is>
          <t>Shadow Claws Prime</t>
        </is>
      </c>
      <c r="AD52" s="39" t="inlineStr">
        <is>
          <t>Shadow Claws Prime, Sevagoth Prime's Shadow (exalted frame)</t>
        </is>
      </c>
      <c r="AE52" s="39" t="inlineStr">
        <is>
          <t>See EXALTED BUILDS</t>
        </is>
      </c>
      <c r="AF52" s="39" t="inlineStr">
        <is>
          <t>P: Shotgun Vendetta / S: Secondary Merciless</t>
        </is>
      </c>
      <c r="AG52" s="39" t="inlineStr">
        <is>
          <t>-</t>
        </is>
      </c>
      <c r="AH52" s="39" t="inlineStr">
        <is>
          <t>Bubonico: crit (Viral + Heat); Epitaph Prime: crit (Viral + Heat)</t>
        </is>
      </c>
      <c r="AI52" s="39" t="inlineStr">
        <is>
          <t>66/67 (fits)</t>
        </is>
      </c>
      <c r="AJ52" s="39" t="n">
        <v>5</v>
      </c>
      <c r="AK52" s="39" t="inlineStr">
        <is>
          <t>-</t>
        </is>
      </c>
      <c r="AL52" s="39" t="n"/>
      <c r="AM52" s="39" t="inlineStr">
        <is>
          <t>COMPLETE</t>
        </is>
      </c>
    </row>
    <row r="53">
      <c r="A53" s="39" t="inlineStr">
        <is>
          <t>Sirius &amp; Orion</t>
        </is>
      </c>
      <c r="B53" s="39" t="inlineStr">
        <is>
          <t>Twin constellation frames (one inventory item, two separately modded bodies); Sirius config here</t>
        </is>
      </c>
      <c r="C53" s="39" t="inlineStr">
        <is>
          <t>Roar</t>
        </is>
      </c>
      <c r="D53" s="39" t="inlineStr">
        <is>
          <t>Coronal Ejection</t>
        </is>
      </c>
      <c r="E53" s="39" t="n">
        <v>241</v>
      </c>
      <c r="F53" s="39" t="n">
        <v>165</v>
      </c>
      <c r="G53" s="39" t="n">
        <v>145</v>
      </c>
      <c r="H53" s="39" t="n">
        <v>130</v>
      </c>
      <c r="I53" s="39" t="inlineStr">
        <is>
          <t>Str for Jade Stars/Astral Shell.</t>
        </is>
      </c>
      <c r="J53" s="39" t="inlineStr">
        <is>
          <t>Swap grants +45% efficiency next 2 casts</t>
        </is>
      </c>
      <c r="K53" s="39" t="inlineStr">
        <is>
          <t>Growing Power</t>
        </is>
      </c>
      <c r="L53" s="39" t="n"/>
      <c r="M53" s="39" t="inlineStr">
        <is>
          <t>Power Drift</t>
        </is>
      </c>
      <c r="N53" s="39" t="inlineStr">
        <is>
          <t>Umbral Intensify | Umbral Vitality | Umbral Fiber | Primed Continuity | Stretch | Primed Flow | Streamline | Augur Secrets</t>
        </is>
      </c>
      <c r="O53" s="39" t="inlineStr">
        <is>
          <t>-</t>
        </is>
      </c>
      <c r="P53" s="39" t="inlineStr">
        <is>
          <t>Secondary Son invulnerable ally, Umbral set</t>
        </is>
      </c>
      <c r="Q53" s="39" t="inlineStr">
        <is>
          <t>Arcane Energize</t>
        </is>
      </c>
      <c r="R53" s="39" t="inlineStr">
        <is>
          <t>Molt Augmented</t>
        </is>
      </c>
      <c r="S53" s="39" t="inlineStr">
        <is>
          <t>Tauforged Crimson: Ability Strength +15%</t>
        </is>
      </c>
      <c r="T53" s="39" t="inlineStr">
        <is>
          <t>Crimson: Ability Strength +10%</t>
        </is>
      </c>
      <c r="U53" s="39" t="inlineStr">
        <is>
          <t>Crimson: Ability Duration +10%</t>
        </is>
      </c>
      <c r="V53" s="39" t="inlineStr">
        <is>
          <t>Azure: Armor +150</t>
        </is>
      </c>
      <c r="W53" s="39" t="inlineStr">
        <is>
          <t>Amber: Casting Speed +25%</t>
        </is>
      </c>
      <c r="X53" s="39" t="inlineStr">
        <is>
          <t>Zenurik</t>
        </is>
      </c>
      <c r="Y53" s="39" t="inlineStr">
        <is>
          <t>Adarza Kavat</t>
        </is>
      </c>
      <c r="Z53" s="39" t="inlineStr">
        <is>
          <t>Adarza Claws</t>
        </is>
      </c>
      <c r="AA53" s="39" t="inlineStr">
        <is>
          <t>Battacor</t>
        </is>
      </c>
      <c r="AB53" s="39" t="inlineStr">
        <is>
          <t>Spectra Vandal</t>
        </is>
      </c>
      <c r="AC53" s="39" t="inlineStr">
        <is>
          <t>Pride</t>
        </is>
      </c>
      <c r="AD53" s="39" t="inlineStr">
        <is>
          <t>Orion (exalted frame config)</t>
        </is>
      </c>
      <c r="AE53" s="39" t="inlineStr">
        <is>
          <t>See EXALTED BUILDS</t>
        </is>
      </c>
      <c r="AF53" s="39" t="inlineStr">
        <is>
          <t>P: Primary Merciless / S: Secondary Encumber / M: Melee Influence</t>
        </is>
      </c>
      <c r="AG53" s="39" t="inlineStr">
        <is>
          <t>-</t>
        </is>
      </c>
      <c r="AH53" s="39" t="inlineStr">
        <is>
          <t>Battacor: crit (Viral + Heat); Spectra Vandal: status (Corrosive + Viral); Pride: status (Corrosive + Viral)</t>
        </is>
      </c>
      <c r="AI53" s="39" t="inlineStr">
        <is>
          <t>64/65 (fits)</t>
        </is>
      </c>
      <c r="AJ53" s="39" t="n">
        <v>4</v>
      </c>
      <c r="AK53" s="39" t="inlineStr">
        <is>
          <t>Helminth: only Primary Son can receive the cyst; confirm Coronal Ejection replacement -&gt; LIVE TEST REQUIRED; Reactor: Orion is an Exalted Warframe; one Reactor assumed -&gt; LIVE TEST REQUIRED</t>
        </is>
      </c>
      <c r="AL53" s="39" t="inlineStr">
        <is>
          <t>No live S&amp;O augments.</t>
        </is>
      </c>
      <c r="AM53" s="39" t="inlineStr">
        <is>
          <t>COMPLETE</t>
        </is>
      </c>
    </row>
    <row r="54">
      <c r="A54" s="39" t="inlineStr">
        <is>
          <t>Styanax Prime</t>
        </is>
      </c>
      <c r="B54" s="39" t="inlineStr">
        <is>
          <t>Axios Javelin/Final Stand nuker; Tharros Strike shield/armor strip; Afentis Prime signature</t>
        </is>
      </c>
      <c r="C54" s="39" t="inlineStr">
        <is>
          <t>Roar</t>
        </is>
      </c>
      <c r="D54" s="39" t="inlineStr">
        <is>
          <t>Rally Point</t>
        </is>
      </c>
      <c r="E54" s="39" t="n">
        <v>217</v>
      </c>
      <c r="F54" s="39" t="n">
        <v>155</v>
      </c>
      <c r="G54" s="39" t="n">
        <v>145</v>
      </c>
      <c r="H54" s="39" t="n">
        <v>130</v>
      </c>
      <c r="I54" s="39" t="inlineStr">
        <is>
          <t>Str for Final Stand.</t>
        </is>
      </c>
      <c r="J54" s="39" t="inlineStr">
        <is>
          <t>Passive crit chance from shields, doubled for spearguns</t>
        </is>
      </c>
      <c r="K54" s="39" t="inlineStr">
        <is>
          <t>Growing Power</t>
        </is>
      </c>
      <c r="L54" s="39" t="n"/>
      <c r="M54" s="39" t="inlineStr">
        <is>
          <t>Power Drift</t>
        </is>
      </c>
      <c r="N54" s="39" t="inlineStr">
        <is>
          <t>Umbral Intensify | Umbral Vitality | Umbral Fiber | Primed Continuity | Stretch | Primed Flow | Streamline | Tharros Lethality</t>
        </is>
      </c>
      <c r="O54" s="39" t="inlineStr">
        <is>
          <t>Tharros Lethality</t>
        </is>
      </c>
      <c r="P54" s="39" t="inlineStr">
        <is>
          <t>Large shields, Umbral set</t>
        </is>
      </c>
      <c r="Q54" s="39" t="inlineStr">
        <is>
          <t>Arcane Energize</t>
        </is>
      </c>
      <c r="R54" s="39" t="inlineStr">
        <is>
          <t>Molt Augmented</t>
        </is>
      </c>
      <c r="S54" s="39" t="inlineStr">
        <is>
          <t>Tauforged Crimson: Ability Strength +15%</t>
        </is>
      </c>
      <c r="T54" s="39" t="inlineStr">
        <is>
          <t>Crimson: Ability Strength +10%</t>
        </is>
      </c>
      <c r="U54" s="39" t="inlineStr">
        <is>
          <t>Azure: Shield Capacity +150</t>
        </is>
      </c>
      <c r="V54" s="39" t="inlineStr">
        <is>
          <t>Azure: Armor +150</t>
        </is>
      </c>
      <c r="W54" s="39" t="inlineStr">
        <is>
          <t>Amber: Casting Speed +25%</t>
        </is>
      </c>
      <c r="X54" s="39" t="inlineStr">
        <is>
          <t>Madurai</t>
        </is>
      </c>
      <c r="Y54" s="39" t="inlineStr">
        <is>
          <t>Adarza Kavat</t>
        </is>
      </c>
      <c r="Z54" s="39" t="inlineStr">
        <is>
          <t>Adarza Claws</t>
        </is>
      </c>
      <c r="AA54" s="39" t="inlineStr">
        <is>
          <t>Afentis Prime</t>
        </is>
      </c>
      <c r="AB54" s="39" t="inlineStr">
        <is>
          <t>Aegrit</t>
        </is>
      </c>
      <c r="AC54" s="39" t="inlineStr">
        <is>
          <t>Slaytra</t>
        </is>
      </c>
      <c r="AD54" s="39" t="inlineStr">
        <is>
          <t>-</t>
        </is>
      </c>
      <c r="AE54" s="39" t="inlineStr">
        <is>
          <t>-</t>
        </is>
      </c>
      <c r="AF54" s="39" t="inlineStr">
        <is>
          <t>P: Primary Merciless / S: Secondary Merciless / M: Melee Influence</t>
        </is>
      </c>
      <c r="AG54" s="39" t="inlineStr">
        <is>
          <t>-</t>
        </is>
      </c>
      <c r="AH54" s="39" t="inlineStr">
        <is>
          <t>Afentis Prime: crit (Viral + Heat); Aegrit: crit (Viral + Heat); Slaytra: status (Corrosive + Viral)</t>
        </is>
      </c>
      <c r="AI54" s="39" t="inlineStr">
        <is>
          <t>62/65 (fits)</t>
        </is>
      </c>
      <c r="AJ54" s="39" t="n">
        <v>6</v>
      </c>
      <c r="AK54" s="39" t="inlineStr">
        <is>
          <t>-</t>
        </is>
      </c>
      <c r="AL54" s="39" t="n"/>
      <c r="AM54" s="39" t="inlineStr">
        <is>
          <t>COMPLETE</t>
        </is>
      </c>
    </row>
    <row r="55">
      <c r="A55" s="39" t="inlineStr">
        <is>
          <t>Temple</t>
        </is>
      </c>
      <c r="B55" s="39" t="inlineStr">
        <is>
          <t>Backbeat rhythm caster: Pyrotechnics/Overdrive/Ripper's Wail; Lizzie exalted guitar (Primary replacement)</t>
        </is>
      </c>
      <c r="C55" s="39" t="inlineStr">
        <is>
          <t>NO HELMINTH</t>
        </is>
      </c>
      <c r="D55" s="39" t="inlineStr">
        <is>
          <t>NO HELMINTH: Backbeat synergy requires native kit</t>
        </is>
      </c>
      <c r="E55" s="39" t="n">
        <v>217</v>
      </c>
      <c r="F55" s="39" t="n">
        <v>165</v>
      </c>
      <c r="G55" s="39" t="n">
        <v>145</v>
      </c>
      <c r="H55" s="39" t="n">
        <v>130</v>
      </c>
      <c r="I55" s="39" t="inlineStr">
        <is>
          <t>Str for Lizzie/Pyrotechnics.</t>
        </is>
      </c>
      <c r="J55" s="39" t="inlineStr">
        <is>
          <t>Backbeat +50% efficiency when on-beat</t>
        </is>
      </c>
      <c r="K55" s="39" t="inlineStr">
        <is>
          <t>Growing Power</t>
        </is>
      </c>
      <c r="L55" s="39" t="n"/>
      <c r="M55" s="39" t="inlineStr">
        <is>
          <t>Power Drift</t>
        </is>
      </c>
      <c r="N55" s="39" t="inlineStr">
        <is>
          <t>Umbral Intensify | Umbral Vitality | Umbral Fiber | Primed Continuity | Stretch | Primed Flow | Streamline | Rhythm Guard</t>
        </is>
      </c>
      <c r="O55" s="39" t="inlineStr">
        <is>
          <t>Rhythm Guard</t>
        </is>
      </c>
      <c r="P55" s="39" t="inlineStr">
        <is>
          <t>Rhythm Guard, Umbral set</t>
        </is>
      </c>
      <c r="Q55" s="39" t="inlineStr">
        <is>
          <t>Arcane Energize</t>
        </is>
      </c>
      <c r="R55" s="39" t="inlineStr">
        <is>
          <t>Molt Augmented</t>
        </is>
      </c>
      <c r="S55" s="39" t="inlineStr">
        <is>
          <t>Tauforged Crimson: Ability Strength +15%</t>
        </is>
      </c>
      <c r="T55" s="39" t="inlineStr">
        <is>
          <t>Crimson: Ability Strength +10%</t>
        </is>
      </c>
      <c r="U55" s="39" t="inlineStr">
        <is>
          <t>Crimson: Ability Duration +10%</t>
        </is>
      </c>
      <c r="V55" s="39" t="inlineStr">
        <is>
          <t>Azure: Armor +150</t>
        </is>
      </c>
      <c r="W55" s="39" t="inlineStr">
        <is>
          <t>Amber: Casting Speed +25%</t>
        </is>
      </c>
      <c r="X55" s="39" t="inlineStr">
        <is>
          <t>Madurai</t>
        </is>
      </c>
      <c r="Y55" s="39" t="inlineStr">
        <is>
          <t>Dethcube Prime</t>
        </is>
      </c>
      <c r="Z55" s="39" t="inlineStr">
        <is>
          <t>Deth Machine Rifle Prime</t>
        </is>
      </c>
      <c r="AA55" s="39" t="inlineStr">
        <is>
          <t>Lizzie (Exalted)</t>
        </is>
      </c>
      <c r="AB55" s="39" t="inlineStr">
        <is>
          <t>Riot-848</t>
        </is>
      </c>
      <c r="AC55" s="39" t="inlineStr">
        <is>
          <t>Prisma Ohma</t>
        </is>
      </c>
      <c r="AD55" s="39" t="inlineStr">
        <is>
          <t>Lizzie</t>
        </is>
      </c>
      <c r="AE55" s="39" t="inlineStr">
        <is>
          <t>See EXALTED BUILDS</t>
        </is>
      </c>
      <c r="AF55" s="39" t="inlineStr">
        <is>
          <t>S: Secondary Merciless / M: Melee Duplicate</t>
        </is>
      </c>
      <c r="AG55" s="39" t="inlineStr">
        <is>
          <t>-</t>
        </is>
      </c>
      <c r="AH55" s="39" t="inlineStr">
        <is>
          <t>Riot-848: crit (Viral + Heat); Prisma Ohma: crit (Viral + Heat)</t>
        </is>
      </c>
      <c r="AI55" s="39" t="inlineStr">
        <is>
          <t>62/65 (fits)</t>
        </is>
      </c>
      <c r="AJ55" s="39" t="n">
        <v>7</v>
      </c>
      <c r="AK55" s="39" t="inlineStr">
        <is>
          <t>-</t>
        </is>
      </c>
      <c r="AL55" s="39" t="n"/>
      <c r="AM55" s="39" t="inlineStr">
        <is>
          <t>COMPLETE</t>
        </is>
      </c>
    </row>
    <row r="56">
      <c r="A56" s="39" t="inlineStr">
        <is>
          <t>Titania Prime</t>
        </is>
      </c>
      <c r="B56" s="39" t="inlineStr">
        <is>
          <t>Permanent Razorwing: Dex Pixia + Diwata exalted; Tribute buffs</t>
        </is>
      </c>
      <c r="C56" s="39" t="inlineStr">
        <is>
          <t>Roar</t>
        </is>
      </c>
      <c r="D56" s="39" t="inlineStr">
        <is>
          <t>Spellbind</t>
        </is>
      </c>
      <c r="E56" s="39" t="n">
        <v>217</v>
      </c>
      <c r="F56" s="39" t="n">
        <v>165</v>
      </c>
      <c r="G56" s="39" t="n">
        <v>145</v>
      </c>
      <c r="H56" s="39" t="n">
        <v>130</v>
      </c>
      <c r="I56" s="39" t="inlineStr">
        <is>
          <t>Duration/Efficiency for Razorwing drain; Str for Razorflies.</t>
        </is>
      </c>
      <c r="J56" s="39" t="inlineStr">
        <is>
          <t>Tribute buffs; Razorflies</t>
        </is>
      </c>
      <c r="K56" s="39" t="inlineStr">
        <is>
          <t>Growing Power</t>
        </is>
      </c>
      <c r="L56" s="39" t="n"/>
      <c r="M56" s="39" t="inlineStr">
        <is>
          <t>Power Drift</t>
        </is>
      </c>
      <c r="N56" s="39" t="inlineStr">
        <is>
          <t>Umbral Intensify | Umbral Vitality | Umbral Fiber | Primed Continuity | Primed Flow | Streamline | Stretch | Razorwing Blitz</t>
        </is>
      </c>
      <c r="O56" s="39" t="inlineStr">
        <is>
          <t>Razorwing Blitz</t>
        </is>
      </c>
      <c r="P56" s="39" t="inlineStr">
        <is>
          <t>Small hitbox in Razorwing, Umbral set</t>
        </is>
      </c>
      <c r="Q56" s="39" t="inlineStr">
        <is>
          <t>Arcane Avenger</t>
        </is>
      </c>
      <c r="R56" s="39" t="inlineStr">
        <is>
          <t>Molt Augmented</t>
        </is>
      </c>
      <c r="S56" s="39" t="inlineStr">
        <is>
          <t>Tauforged Crimson: Ability Strength +15%</t>
        </is>
      </c>
      <c r="T56" s="39" t="inlineStr">
        <is>
          <t>Crimson: Ability Strength +10%</t>
        </is>
      </c>
      <c r="U56" s="39" t="inlineStr">
        <is>
          <t>Crimson: Ability Duration +10%</t>
        </is>
      </c>
      <c r="V56" s="39" t="inlineStr">
        <is>
          <t>Azure: Armor +150</t>
        </is>
      </c>
      <c r="W56" s="39" t="inlineStr">
        <is>
          <t>Azure: Armor +150</t>
        </is>
      </c>
      <c r="X56" s="39" t="inlineStr">
        <is>
          <t>Madurai</t>
        </is>
      </c>
      <c r="Y56" s="39" t="inlineStr">
        <is>
          <t>Adarza Kavat</t>
        </is>
      </c>
      <c r="Z56" s="39" t="inlineStr">
        <is>
          <t>Adarza Claws</t>
        </is>
      </c>
      <c r="AA56" s="39" t="inlineStr">
        <is>
          <t>Razorwing: Dex Pixia Prime</t>
        </is>
      </c>
      <c r="AB56" s="39" t="inlineStr">
        <is>
          <t>-</t>
        </is>
      </c>
      <c r="AC56" s="39" t="inlineStr">
        <is>
          <t>Diwata Prime</t>
        </is>
      </c>
      <c r="AD56" s="39" t="inlineStr">
        <is>
          <t>Dex Pixia Prime, Diwata Prime</t>
        </is>
      </c>
      <c r="AE56" s="39" t="inlineStr">
        <is>
          <t>See EXALTED BUILDS</t>
        </is>
      </c>
      <c r="AF56" s="39" t="inlineStr"/>
      <c r="AG56" s="39" t="inlineStr">
        <is>
          <t>-</t>
        </is>
      </c>
      <c r="AH56" s="39" t="inlineStr"/>
      <c r="AI56" s="39" t="inlineStr">
        <is>
          <t>74/74 (fits)</t>
        </is>
      </c>
      <c r="AJ56" s="39" t="n">
        <v>3</v>
      </c>
      <c r="AK56" s="39" t="inlineStr">
        <is>
          <t>-</t>
        </is>
      </c>
      <c r="AL56" s="39" t="n"/>
      <c r="AM56" s="39" t="inlineStr">
        <is>
          <t>COMPLETE</t>
        </is>
      </c>
    </row>
    <row r="57">
      <c r="A57" s="39" t="inlineStr">
        <is>
          <t>Trinity Prime</t>
        </is>
      </c>
      <c r="B57" s="39" t="inlineStr">
        <is>
          <t>Energy Vampire/Blessing support</t>
        </is>
      </c>
      <c r="C57" s="39" t="inlineStr">
        <is>
          <t>Roar</t>
        </is>
      </c>
      <c r="D57" s="39" t="inlineStr">
        <is>
          <t>Well of Life</t>
        </is>
      </c>
      <c r="E57" s="39" t="n">
        <v>217</v>
      </c>
      <c r="F57" s="39" t="n">
        <v>165</v>
      </c>
      <c r="G57" s="39" t="n">
        <v>145</v>
      </c>
      <c r="H57" s="39" t="n">
        <v>130</v>
      </c>
      <c r="I57" s="39" t="inlineStr">
        <is>
          <t>Blessing DR cap with Str.</t>
        </is>
      </c>
      <c r="J57" s="39" t="inlineStr">
        <is>
          <t>Blessing DR</t>
        </is>
      </c>
      <c r="K57" s="39" t="inlineStr">
        <is>
          <t>Growing Power</t>
        </is>
      </c>
      <c r="L57" s="39" t="n"/>
      <c r="M57" s="39" t="inlineStr">
        <is>
          <t>Power Drift</t>
        </is>
      </c>
      <c r="N57" s="39" t="inlineStr">
        <is>
          <t>Umbral Intensify | Umbral Vitality | Umbral Fiber | Primed Continuity | Stretch | Primed Flow | Streamline | Champion's Blessing</t>
        </is>
      </c>
      <c r="O57" s="39" t="inlineStr">
        <is>
          <t>Champion's Blessing</t>
        </is>
      </c>
      <c r="P57" s="39" t="inlineStr">
        <is>
          <t>Blessing DR, Link</t>
        </is>
      </c>
      <c r="Q57" s="39" t="inlineStr">
        <is>
          <t>Arcane Energize</t>
        </is>
      </c>
      <c r="R57" s="39" t="inlineStr">
        <is>
          <t>Molt Augmented</t>
        </is>
      </c>
      <c r="S57" s="39" t="inlineStr">
        <is>
          <t>Tauforged Crimson: Ability Strength +15%</t>
        </is>
      </c>
      <c r="T57" s="39" t="inlineStr">
        <is>
          <t>Crimson: Ability Strength +10%</t>
        </is>
      </c>
      <c r="U57" s="39" t="inlineStr">
        <is>
          <t>Crimson: Ability Duration +10%</t>
        </is>
      </c>
      <c r="V57" s="39" t="inlineStr">
        <is>
          <t>Azure: Health +150</t>
        </is>
      </c>
      <c r="W57" s="39" t="inlineStr">
        <is>
          <t>Amber: Casting Speed +25%</t>
        </is>
      </c>
      <c r="X57" s="39" t="inlineStr">
        <is>
          <t>Vazarin</t>
        </is>
      </c>
      <c r="Y57" s="39" t="inlineStr">
        <is>
          <t>Helios Prime</t>
        </is>
      </c>
      <c r="Z57" s="39" t="inlineStr">
        <is>
          <t>Deconstructor Prime</t>
        </is>
      </c>
      <c r="AA57" s="39" t="inlineStr">
        <is>
          <t>Boar Prime</t>
        </is>
      </c>
      <c r="AB57" s="39" t="inlineStr">
        <is>
          <t>Akbronco Prime</t>
        </is>
      </c>
      <c r="AC57" s="39" t="inlineStr">
        <is>
          <t>Dual Kamas Prime</t>
        </is>
      </c>
      <c r="AD57" s="39" t="inlineStr">
        <is>
          <t>-</t>
        </is>
      </c>
      <c r="AE57" s="39" t="inlineStr">
        <is>
          <t>-</t>
        </is>
      </c>
      <c r="AF57" s="39" t="inlineStr">
        <is>
          <t>P: Shotgun Vendetta / S: Secondary Encumber / M: Melee Influence</t>
        </is>
      </c>
      <c r="AG57" s="39" t="inlineStr">
        <is>
          <t>Boar Prime: EVO2: Fortress Salvo, EVO3: Ready Retaliation, EVO4: Critical Parallel</t>
        </is>
      </c>
      <c r="AH57" s="39" t="inlineStr">
        <is>
          <t>Boar Prime: crit (Viral + Heat); Akbronco Prime: status (Corrosive + Viral); Dual Kamas Prime: status (Corrosive + Viral)</t>
        </is>
      </c>
      <c r="AI57" s="39" t="inlineStr">
        <is>
          <t>62/65 (fits)</t>
        </is>
      </c>
      <c r="AJ57" s="39" t="n">
        <v>6</v>
      </c>
      <c r="AK57" s="39" t="inlineStr">
        <is>
          <t>-</t>
        </is>
      </c>
      <c r="AL57" s="39" t="n"/>
      <c r="AM57" s="39" t="inlineStr">
        <is>
          <t>COMPLETE</t>
        </is>
      </c>
    </row>
    <row r="58">
      <c r="A58" s="39" t="inlineStr">
        <is>
          <t>Uriel</t>
        </is>
      </c>
      <c r="B58" s="39" t="inlineStr">
        <is>
          <t>Demon summoner: Infernalis/Remedium/Demonium, Brimstone</t>
        </is>
      </c>
      <c r="C58" s="39" t="inlineStr">
        <is>
          <t>NO HELMINTH</t>
        </is>
      </c>
      <c r="D58" s="39" t="inlineStr">
        <is>
          <t>NO HELMINTH: Demon kit requires all abilities</t>
        </is>
      </c>
      <c r="E58" s="39" t="n">
        <v>217</v>
      </c>
      <c r="F58" s="39" t="n">
        <v>165</v>
      </c>
      <c r="G58" s="39" t="n">
        <v>145</v>
      </c>
      <c r="H58" s="39" t="n">
        <v>130</v>
      </c>
      <c r="I58" s="39" t="inlineStr">
        <is>
          <t>Str for demons.</t>
        </is>
      </c>
      <c r="J58" s="39" t="inlineStr">
        <is>
          <t>Arcane Camisado minion Str stacks</t>
        </is>
      </c>
      <c r="K58" s="39" t="inlineStr">
        <is>
          <t>Growing Power</t>
        </is>
      </c>
      <c r="L58" s="39" t="n"/>
      <c r="M58" s="39" t="inlineStr">
        <is>
          <t>Power Drift</t>
        </is>
      </c>
      <c r="N58" s="39" t="inlineStr">
        <is>
          <t>Umbral Intensify | Umbral Vitality | Umbral Fiber | Primed Continuity | Stretch | Primed Flow | Streamline | Infernum</t>
        </is>
      </c>
      <c r="O58" s="39" t="inlineStr">
        <is>
          <t>Infernum</t>
        </is>
      </c>
      <c r="P58" s="39" t="inlineStr">
        <is>
          <t>Remedium heal, Umbral set</t>
        </is>
      </c>
      <c r="Q58" s="39" t="inlineStr">
        <is>
          <t>Arcane Camisado</t>
        </is>
      </c>
      <c r="R58" s="39" t="inlineStr">
        <is>
          <t>Molt Augmented</t>
        </is>
      </c>
      <c r="S58" s="39" t="inlineStr">
        <is>
          <t>Tauforged Crimson: Ability Strength +15%</t>
        </is>
      </c>
      <c r="T58" s="39" t="inlineStr">
        <is>
          <t>Crimson: Ability Strength +10%</t>
        </is>
      </c>
      <c r="U58" s="39" t="inlineStr">
        <is>
          <t>Crimson: Ability Duration +10%</t>
        </is>
      </c>
      <c r="V58" s="39" t="inlineStr">
        <is>
          <t>Azure: Shield Capacity +150</t>
        </is>
      </c>
      <c r="W58" s="39" t="inlineStr">
        <is>
          <t>Amber: Casting Speed +25%</t>
        </is>
      </c>
      <c r="X58" s="39" t="inlineStr">
        <is>
          <t>Madurai</t>
        </is>
      </c>
      <c r="Y58" s="39" t="inlineStr">
        <is>
          <t>Panzer Vulpaphyla</t>
        </is>
      </c>
      <c r="Z58" s="39" t="inlineStr">
        <is>
          <t>Panzer Claws</t>
        </is>
      </c>
      <c r="AA58" s="39" t="inlineStr">
        <is>
          <t>Vinquibus (Primary)</t>
        </is>
      </c>
      <c r="AB58" s="39" t="inlineStr">
        <is>
          <t>Kuva Twin Stubbas</t>
        </is>
      </c>
      <c r="AC58" s="39" t="inlineStr">
        <is>
          <t>Vinquibus (Melee)</t>
        </is>
      </c>
      <c r="AD58" s="39" t="inlineStr">
        <is>
          <t>-</t>
        </is>
      </c>
      <c r="AE58" s="39" t="inlineStr">
        <is>
          <t>-</t>
        </is>
      </c>
      <c r="AF58" s="39" t="inlineStr">
        <is>
          <t>P: Primary Merciless / S: Secondary Encumber / M: Melee Duplicate</t>
        </is>
      </c>
      <c r="AG58" s="39" t="inlineStr">
        <is>
          <t>-</t>
        </is>
      </c>
      <c r="AH58" s="39" t="inlineStr">
        <is>
          <t>Vinquibus (Primary): crit (Viral + Heat); Kuva Twin Stubbas: status (Adversary innate element); Vinquibus (Melee): crit (Viral + Heat)</t>
        </is>
      </c>
      <c r="AI58" s="39" t="inlineStr">
        <is>
          <t>74/74 (fits)</t>
        </is>
      </c>
      <c r="AJ58" s="39" t="n">
        <v>4</v>
      </c>
      <c r="AK58" s="39" t="inlineStr">
        <is>
          <t>-</t>
        </is>
      </c>
      <c r="AL58" s="39" t="n"/>
      <c r="AM58" s="39" t="inlineStr">
        <is>
          <t>COMPLETE</t>
        </is>
      </c>
    </row>
    <row r="59">
      <c r="A59" s="39" t="inlineStr">
        <is>
          <t>Valkyr Prime</t>
        </is>
      </c>
      <c r="B59" s="39" t="inlineStr">
        <is>
          <t>Hysteria invulnerable Talons melee; Warcry</t>
        </is>
      </c>
      <c r="C59" s="39" t="inlineStr">
        <is>
          <t>Roar</t>
        </is>
      </c>
      <c r="D59" s="39" t="inlineStr">
        <is>
          <t>Paralysis</t>
        </is>
      </c>
      <c r="E59" s="39" t="n">
        <v>207</v>
      </c>
      <c r="F59" s="39" t="n">
        <v>155</v>
      </c>
      <c r="G59" s="39" t="n">
        <v>145</v>
      </c>
      <c r="H59" s="39" t="n">
        <v>130</v>
      </c>
      <c r="I59" s="39" t="inlineStr">
        <is>
          <t>Hysteria drain: Efficiency/Duration.</t>
        </is>
      </c>
      <c r="J59" s="39" t="inlineStr">
        <is>
          <t>Warcry attack speed + armor</t>
        </is>
      </c>
      <c r="K59" s="39" t="inlineStr">
        <is>
          <t>Growing Power</t>
        </is>
      </c>
      <c r="L59" s="39" t="n"/>
      <c r="M59" s="39" t="inlineStr">
        <is>
          <t>Power Drift</t>
        </is>
      </c>
      <c r="N59" s="39" t="inlineStr">
        <is>
          <t>Umbral Intensify | Umbral Vitality | Umbral Fiber | Primed Continuity | Primed Flow | Streamline | Stretch | Eternal War</t>
        </is>
      </c>
      <c r="O59" s="39" t="inlineStr">
        <is>
          <t>Eternal War</t>
        </is>
      </c>
      <c r="P59" s="39" t="inlineStr">
        <is>
          <t>Hysteria invulnerability, 1000 armor, Umbral set</t>
        </is>
      </c>
      <c r="Q59" s="39" t="inlineStr">
        <is>
          <t>Arcane Reaper</t>
        </is>
      </c>
      <c r="R59" s="39" t="inlineStr">
        <is>
          <t>Arcane Fury</t>
        </is>
      </c>
      <c r="S59" s="39" t="inlineStr">
        <is>
          <t>Tauforged Crimson: Ability Strength +15%</t>
        </is>
      </c>
      <c r="T59" s="39" t="inlineStr">
        <is>
          <t>Tauforged Crimson: Melee Critical Damage +37.5%</t>
        </is>
      </c>
      <c r="U59" s="39" t="inlineStr">
        <is>
          <t>Crimson: Melee Critical Damage +25%</t>
        </is>
      </c>
      <c r="V59" s="39" t="inlineStr">
        <is>
          <t>Azure: Armor +150</t>
        </is>
      </c>
      <c r="W59" s="39" t="inlineStr">
        <is>
          <t>Azure: Armor +150</t>
        </is>
      </c>
      <c r="X59" s="39" t="inlineStr">
        <is>
          <t>Naramon</t>
        </is>
      </c>
      <c r="Y59" s="39" t="inlineStr">
        <is>
          <t>Adarza Kavat</t>
        </is>
      </c>
      <c r="Z59" s="39" t="inlineStr">
        <is>
          <t>Adarza Claws</t>
        </is>
      </c>
      <c r="AA59" s="39" t="inlineStr">
        <is>
          <t>Cernos Prime</t>
        </is>
      </c>
      <c r="AB59" s="39" t="inlineStr">
        <is>
          <t>Twin Vipers Wraith</t>
        </is>
      </c>
      <c r="AC59" s="39" t="inlineStr">
        <is>
          <t>Valkyr Prime Talons</t>
        </is>
      </c>
      <c r="AD59" s="39" t="inlineStr">
        <is>
          <t>Valkyr Prime Talons</t>
        </is>
      </c>
      <c r="AE59" s="39" t="inlineStr">
        <is>
          <t>See EXALTED BUILDS</t>
        </is>
      </c>
      <c r="AF59" s="39" t="inlineStr">
        <is>
          <t>P: Primary Deadhead / S: Secondary Outburst</t>
        </is>
      </c>
      <c r="AG59" s="39" t="inlineStr">
        <is>
          <t>-</t>
        </is>
      </c>
      <c r="AH59" s="39" t="inlineStr">
        <is>
          <t>Cernos Prime: crit (Viral + Heat); Twin Vipers Wraith: crit (Viral + Heat)</t>
        </is>
      </c>
      <c r="AI59" s="39" t="inlineStr">
        <is>
          <t>74/74 (fits)</t>
        </is>
      </c>
      <c r="AJ59" s="39" t="n">
        <v>4</v>
      </c>
      <c r="AK59" s="39" t="inlineStr">
        <is>
          <t>-</t>
        </is>
      </c>
      <c r="AL59" s="39" t="n"/>
      <c r="AM59" s="39" t="inlineStr">
        <is>
          <t>COMPLETE</t>
        </is>
      </c>
    </row>
    <row r="60">
      <c r="A60" s="39" t="inlineStr">
        <is>
          <t>Vauban Prime</t>
        </is>
      </c>
      <c r="B60" s="39" t="inlineStr">
        <is>
          <t>Bastille/Vortex CC + Photon Strike</t>
        </is>
      </c>
      <c r="C60" s="39" t="inlineStr">
        <is>
          <t>Roar</t>
        </is>
      </c>
      <c r="D60" s="39" t="inlineStr">
        <is>
          <t>Tesla Nervos</t>
        </is>
      </c>
      <c r="E60" s="39" t="n">
        <v>195</v>
      </c>
      <c r="F60" s="39" t="n">
        <v>165</v>
      </c>
      <c r="G60" s="39" t="n">
        <v>175</v>
      </c>
      <c r="H60" s="39" t="n">
        <v>130</v>
      </c>
      <c r="I60" s="39" t="inlineStr">
        <is>
          <t>Bastille armor strip per second scales with Str.</t>
        </is>
      </c>
      <c r="J60" s="39" t="inlineStr">
        <is>
          <t>Bastille armor strip</t>
        </is>
      </c>
      <c r="K60" s="39" t="inlineStr">
        <is>
          <t>Growing Power</t>
        </is>
      </c>
      <c r="L60" s="39" t="n"/>
      <c r="M60" s="39" t="inlineStr">
        <is>
          <t>Power Drift</t>
        </is>
      </c>
      <c r="N60" s="39" t="inlineStr">
        <is>
          <t>Umbral Intensify | Primed Continuity | Stretch | Augur Reach | Primed Flow | Streamline | Umbral Vitality | Enduring Bastille</t>
        </is>
      </c>
      <c r="O60" s="39" t="inlineStr">
        <is>
          <t>Enduring Bastille</t>
        </is>
      </c>
      <c r="P60" s="39" t="inlineStr">
        <is>
          <t>CC-based</t>
        </is>
      </c>
      <c r="Q60" s="39" t="inlineStr">
        <is>
          <t>Arcane Energize</t>
        </is>
      </c>
      <c r="R60" s="39" t="inlineStr">
        <is>
          <t>Molt Augmented</t>
        </is>
      </c>
      <c r="S60" s="39" t="inlineStr">
        <is>
          <t>Tauforged Crimson: Ability Strength +15%</t>
        </is>
      </c>
      <c r="T60" s="39" t="inlineStr">
        <is>
          <t>Crimson: Ability Strength +10%</t>
        </is>
      </c>
      <c r="U60" s="39" t="inlineStr">
        <is>
          <t>Crimson: Ability Duration +10%</t>
        </is>
      </c>
      <c r="V60" s="39" t="inlineStr">
        <is>
          <t>Azure: Health +150</t>
        </is>
      </c>
      <c r="W60" s="39" t="inlineStr">
        <is>
          <t>Amber: Casting Speed +25%</t>
        </is>
      </c>
      <c r="X60" s="39" t="inlineStr">
        <is>
          <t>Zenurik</t>
        </is>
      </c>
      <c r="Y60" s="39" t="inlineStr">
        <is>
          <t>Dethcube Prime</t>
        </is>
      </c>
      <c r="Z60" s="39" t="inlineStr">
        <is>
          <t>Deth Machine Rifle Prime</t>
        </is>
      </c>
      <c r="AA60" s="39" t="inlineStr">
        <is>
          <t>Ferrox</t>
        </is>
      </c>
      <c r="AB60" s="39" t="inlineStr">
        <is>
          <t>Kulstar</t>
        </is>
      </c>
      <c r="AC60" s="39" t="inlineStr">
        <is>
          <t>Fragor Prime</t>
        </is>
      </c>
      <c r="AD60" s="39" t="inlineStr">
        <is>
          <t>-</t>
        </is>
      </c>
      <c r="AE60" s="39" t="inlineStr">
        <is>
          <t>-</t>
        </is>
      </c>
      <c r="AF60" s="39" t="inlineStr">
        <is>
          <t>P: Primary Merciless / S: Secondary Encumber / M: Melee Animosity</t>
        </is>
      </c>
      <c r="AG60" s="39" t="inlineStr">
        <is>
          <t>-</t>
        </is>
      </c>
      <c r="AH60" s="39" t="inlineStr">
        <is>
          <t>Ferrox: crit (Viral + Heat); Kulstar: status (Corrosive + Viral); Fragor Prime: crit (Viral + Heat)</t>
        </is>
      </c>
      <c r="AI60" s="39" t="inlineStr">
        <is>
          <t>65/65 (fits)</t>
        </is>
      </c>
      <c r="AJ60" s="39" t="n">
        <v>4</v>
      </c>
      <c r="AK60" s="39" t="inlineStr">
        <is>
          <t>-</t>
        </is>
      </c>
      <c r="AL60" s="39" t="n"/>
      <c r="AM60" s="39" t="inlineStr">
        <is>
          <t>COMPLETE</t>
        </is>
      </c>
    </row>
    <row r="61">
      <c r="A61" s="39" t="inlineStr">
        <is>
          <t>Volt Prime</t>
        </is>
      </c>
      <c r="B61" s="39" t="inlineStr">
        <is>
          <t>Discharge/Electric Shield caster + Speed</t>
        </is>
      </c>
      <c r="C61" s="39" t="inlineStr">
        <is>
          <t>Roar</t>
        </is>
      </c>
      <c r="D61" s="39" t="inlineStr">
        <is>
          <t>Shock</t>
        </is>
      </c>
      <c r="E61" s="39" t="n">
        <v>185</v>
      </c>
      <c r="F61" s="39" t="n">
        <v>155</v>
      </c>
      <c r="G61" s="39" t="n">
        <v>175</v>
      </c>
      <c r="H61" s="39" t="n">
        <v>130</v>
      </c>
      <c r="I61" s="39" t="inlineStr">
        <is>
          <t>Str for Discharge.</t>
        </is>
      </c>
      <c r="J61" s="39" t="inlineStr">
        <is>
          <t>Static Discharge passive; Electricity ability dmg (Violet x2)</t>
        </is>
      </c>
      <c r="K61" s="39" t="inlineStr">
        <is>
          <t>Growing Power</t>
        </is>
      </c>
      <c r="L61" s="39" t="n"/>
      <c r="M61" s="39" t="inlineStr">
        <is>
          <t>Power Drift</t>
        </is>
      </c>
      <c r="N61" s="39" t="inlineStr">
        <is>
          <t>Umbral Intensify | Primed Continuity | Stretch | Augur Reach | Primed Flow | Streamline | Umbral Vitality | Capacitance</t>
        </is>
      </c>
      <c r="O61" s="39" t="inlineStr">
        <is>
          <t>Capacitance</t>
        </is>
      </c>
      <c r="P61" s="39" t="inlineStr">
        <is>
          <t>Capacitance shields, Electric Shield</t>
        </is>
      </c>
      <c r="Q61" s="39" t="inlineStr">
        <is>
          <t>Arcane Energize</t>
        </is>
      </c>
      <c r="R61" s="39" t="inlineStr">
        <is>
          <t>Molt Augmented</t>
        </is>
      </c>
      <c r="S61" s="39" t="inlineStr">
        <is>
          <t>Tauforged Crimson: Ability Strength +15%</t>
        </is>
      </c>
      <c r="T61" s="39" t="inlineStr">
        <is>
          <t>Violet: Ability Damage vs Electricity +10%</t>
        </is>
      </c>
      <c r="U61" s="39" t="inlineStr">
        <is>
          <t>Violet: Ability Damage vs Electricity +10%</t>
        </is>
      </c>
      <c r="V61" s="39" t="inlineStr">
        <is>
          <t>Azure: Shield Capacity +150</t>
        </is>
      </c>
      <c r="W61" s="39" t="inlineStr">
        <is>
          <t>Amber: Casting Speed +25%</t>
        </is>
      </c>
      <c r="X61" s="39" t="inlineStr">
        <is>
          <t>Zenurik</t>
        </is>
      </c>
      <c r="Y61" s="39" t="inlineStr">
        <is>
          <t>Diriga</t>
        </is>
      </c>
      <c r="Z61" s="39" t="inlineStr">
        <is>
          <t>Vulklok</t>
        </is>
      </c>
      <c r="AA61" s="39" t="inlineStr">
        <is>
          <t>Rubico Prime</t>
        </is>
      </c>
      <c r="AB61" s="39" t="inlineStr">
        <is>
          <t>Tenet Spirex</t>
        </is>
      </c>
      <c r="AC61" s="39" t="inlineStr">
        <is>
          <t>Ohma</t>
        </is>
      </c>
      <c r="AD61" s="39" t="inlineStr">
        <is>
          <t>-</t>
        </is>
      </c>
      <c r="AE61" s="39" t="inlineStr">
        <is>
          <t>-</t>
        </is>
      </c>
      <c r="AF61" s="39" t="inlineStr">
        <is>
          <t>P: Primary Deadhead / S: Secondary Merciless / M: Melee Influence</t>
        </is>
      </c>
      <c r="AG61" s="39" t="inlineStr">
        <is>
          <t>-</t>
        </is>
      </c>
      <c r="AH61" s="39" t="inlineStr">
        <is>
          <t>Rubico Prime: crit (Viral + Heat); Tenet Spirex: crit (Adversary innate element); Ohma: status (Corrosive + Viral)</t>
        </is>
      </c>
      <c r="AI61" s="39" t="inlineStr">
        <is>
          <t>73/74 (fits)</t>
        </is>
      </c>
      <c r="AJ61" s="39" t="n">
        <v>2</v>
      </c>
      <c r="AK61" s="39" t="inlineStr">
        <is>
          <t>-</t>
        </is>
      </c>
      <c r="AL61" s="39" t="n"/>
      <c r="AM61" s="39" t="inlineStr">
        <is>
          <t>COMPLETE</t>
        </is>
      </c>
    </row>
    <row r="62">
      <c r="A62" s="39" t="inlineStr">
        <is>
          <t>Voruna Prime</t>
        </is>
      </c>
      <c r="B62" s="39" t="inlineStr">
        <is>
          <t>Lycath's Hunt/Fangs of Raksh hunter; Perigale/Sarofang signatures</t>
        </is>
      </c>
      <c r="C62" s="39" t="inlineStr">
        <is>
          <t>Roar</t>
        </is>
      </c>
      <c r="D62" s="39" t="inlineStr">
        <is>
          <t>Shroud of Dynar</t>
        </is>
      </c>
      <c r="E62" s="39" t="n">
        <v>217</v>
      </c>
      <c r="F62" s="39" t="n">
        <v>155</v>
      </c>
      <c r="G62" s="39" t="n">
        <v>145</v>
      </c>
      <c r="H62" s="39" t="n">
        <v>130</v>
      </c>
      <c r="I62" s="39" t="inlineStr">
        <is>
          <t>Str for Fangs.</t>
        </is>
      </c>
      <c r="J62" s="39" t="inlineStr">
        <is>
          <t>Passive orb drops</t>
        </is>
      </c>
      <c r="K62" s="39" t="inlineStr">
        <is>
          <t>Growing Power</t>
        </is>
      </c>
      <c r="L62" s="39" t="n"/>
      <c r="M62" s="39" t="inlineStr">
        <is>
          <t>Power Drift</t>
        </is>
      </c>
      <c r="N62" s="39" t="inlineStr">
        <is>
          <t>Umbral Intensify | Umbral Vitality | Umbral Fiber | Primed Continuity | Stretch | Primed Flow | Streamline | Ulfrun's Endurance</t>
        </is>
      </c>
      <c r="O62" s="39" t="inlineStr">
        <is>
          <t>Ulfrun's Endurance</t>
        </is>
      </c>
      <c r="P62" s="39" t="inlineStr">
        <is>
          <t>Ulfrun health, Umbral set</t>
        </is>
      </c>
      <c r="Q62" s="39" t="inlineStr">
        <is>
          <t>Arcane Reaper</t>
        </is>
      </c>
      <c r="R62" s="39" t="inlineStr">
        <is>
          <t>Molt Augmented</t>
        </is>
      </c>
      <c r="S62" s="39" t="inlineStr">
        <is>
          <t>Tauforged Crimson: Ability Strength +15%</t>
        </is>
      </c>
      <c r="T62" s="39" t="inlineStr">
        <is>
          <t>Crimson: Ability Strength +10%</t>
        </is>
      </c>
      <c r="U62" s="39" t="inlineStr">
        <is>
          <t>Tauforged Crimson: Melee Critical Damage +37.5%</t>
        </is>
      </c>
      <c r="V62" s="39" t="inlineStr">
        <is>
          <t>Azure: Armor +150</t>
        </is>
      </c>
      <c r="W62" s="39" t="inlineStr">
        <is>
          <t>Amber: Casting Speed +25%</t>
        </is>
      </c>
      <c r="X62" s="39" t="inlineStr">
        <is>
          <t>Naramon</t>
        </is>
      </c>
      <c r="Y62" s="39" t="inlineStr">
        <is>
          <t>Adarza Kavat</t>
        </is>
      </c>
      <c r="Z62" s="39" t="inlineStr">
        <is>
          <t>Adarza Claws</t>
        </is>
      </c>
      <c r="AA62" s="39" t="inlineStr">
        <is>
          <t>Perigale Prime</t>
        </is>
      </c>
      <c r="AB62" s="39" t="inlineStr">
        <is>
          <t>Grimoire</t>
        </is>
      </c>
      <c r="AC62" s="39" t="inlineStr">
        <is>
          <t>Sarofang Prime</t>
        </is>
      </c>
      <c r="AD62" s="39" t="inlineStr">
        <is>
          <t>-</t>
        </is>
      </c>
      <c r="AE62" s="39" t="inlineStr">
        <is>
          <t>-</t>
        </is>
      </c>
      <c r="AF62" s="39" t="inlineStr">
        <is>
          <t>P: Primary Deadhead / S: Secondary Outburst / M: Melee Animosity</t>
        </is>
      </c>
      <c r="AG62" s="39" t="inlineStr">
        <is>
          <t>-</t>
        </is>
      </c>
      <c r="AH62" s="39" t="inlineStr">
        <is>
          <t>Perigale Prime: crit (Viral + Heat); Grimoire: status (Corrosive + Viral); Sarofang Prime: crit (Viral + Heat)</t>
        </is>
      </c>
      <c r="AI62" s="39" t="inlineStr">
        <is>
          <t>62/65 (fits)</t>
        </is>
      </c>
      <c r="AJ62" s="39" t="n">
        <v>7</v>
      </c>
      <c r="AK62" s="39" t="inlineStr">
        <is>
          <t>-</t>
        </is>
      </c>
      <c r="AL62" s="39" t="inlineStr">
        <is>
          <t>Prey of Dynar unused (Shroud replaced).</t>
        </is>
      </c>
      <c r="AM62" s="39" t="inlineStr">
        <is>
          <t>COMPLETE</t>
        </is>
      </c>
    </row>
    <row r="63">
      <c r="A63" s="39" t="inlineStr">
        <is>
          <t>Wisp Prime</t>
        </is>
      </c>
      <c r="B63" s="39" t="inlineStr">
        <is>
          <t>Reservoir support + Breach Surge/Sol Gate</t>
        </is>
      </c>
      <c r="C63" s="39" t="inlineStr">
        <is>
          <t>Roar</t>
        </is>
      </c>
      <c r="D63" s="39" t="inlineStr">
        <is>
          <t>Wil-O-Wisp</t>
        </is>
      </c>
      <c r="E63" s="39" t="n">
        <v>202</v>
      </c>
      <c r="F63" s="39" t="n">
        <v>165</v>
      </c>
      <c r="G63" s="39" t="n">
        <v>145</v>
      </c>
      <c r="H63" s="39" t="n">
        <v>130</v>
      </c>
      <c r="I63" s="39" t="inlineStr">
        <is>
          <t>Breach Surge sparks scale with Str.</t>
        </is>
      </c>
      <c r="J63" s="39" t="inlineStr">
        <is>
          <t>Reservoir motes</t>
        </is>
      </c>
      <c r="K63" s="39" t="inlineStr">
        <is>
          <t>Growing Power</t>
        </is>
      </c>
      <c r="L63" s="39" t="n"/>
      <c r="M63" s="39" t="inlineStr">
        <is>
          <t>Fused Reservoir</t>
        </is>
      </c>
      <c r="N63" s="39" t="inlineStr">
        <is>
          <t>Umbral Intensify | Umbral Vitality | Umbral Fiber | Primed Continuity | Stretch | Primed Flow | Streamline | Critical Surge</t>
        </is>
      </c>
      <c r="O63" s="39" t="inlineStr">
        <is>
          <t>Critical Surge, Fused Reservoir</t>
        </is>
      </c>
      <c r="P63" s="39" t="inlineStr">
        <is>
          <t>Haste/vitality motes</t>
        </is>
      </c>
      <c r="Q63" s="39" t="inlineStr">
        <is>
          <t>Arcane Energize</t>
        </is>
      </c>
      <c r="R63" s="39" t="inlineStr">
        <is>
          <t>Molt Augmented</t>
        </is>
      </c>
      <c r="S63" s="39" t="inlineStr">
        <is>
          <t>Tauforged Crimson: Ability Strength +15%</t>
        </is>
      </c>
      <c r="T63" s="39" t="inlineStr">
        <is>
          <t>Crimson: Ability Strength +10%</t>
        </is>
      </c>
      <c r="U63" s="39" t="inlineStr">
        <is>
          <t>Crimson: Ability Duration +10%</t>
        </is>
      </c>
      <c r="V63" s="39" t="inlineStr">
        <is>
          <t>Azure: Health +150</t>
        </is>
      </c>
      <c r="W63" s="39" t="inlineStr">
        <is>
          <t>Amber: Casting Speed +25%</t>
        </is>
      </c>
      <c r="X63" s="39" t="inlineStr">
        <is>
          <t>Zenurik</t>
        </is>
      </c>
      <c r="Y63" s="39" t="inlineStr">
        <is>
          <t>Dethcube Prime</t>
        </is>
      </c>
      <c r="Z63" s="39" t="inlineStr">
        <is>
          <t>Deth Machine Rifle Prime</t>
        </is>
      </c>
      <c r="AA63" s="39" t="inlineStr">
        <is>
          <t>Fulmin Prime</t>
        </is>
      </c>
      <c r="AB63" s="39" t="inlineStr">
        <is>
          <t>Furis</t>
        </is>
      </c>
      <c r="AC63" s="39" t="inlineStr">
        <is>
          <t>Tipedo Prime</t>
        </is>
      </c>
      <c r="AD63" s="39" t="inlineStr">
        <is>
          <t>-</t>
        </is>
      </c>
      <c r="AE63" s="39" t="inlineStr">
        <is>
          <t>-</t>
        </is>
      </c>
      <c r="AF63" s="39" t="inlineStr">
        <is>
          <t>P: Primary Merciless / S: Secondary Encumber / M: Melee Duplicate</t>
        </is>
      </c>
      <c r="AG63" s="39" t="inlineStr">
        <is>
          <t>Furis: EVO2: Stormburst, EVO3: Practiced Grip, EVO4: Prelude of Might</t>
        </is>
      </c>
      <c r="AH63" s="39" t="inlineStr">
        <is>
          <t>Fulmin Prime: crit (Viral + Heat); Furis: status (Corrosive + Viral); Tipedo Prime: crit (Viral + Heat)</t>
        </is>
      </c>
      <c r="AI63" s="39" t="inlineStr">
        <is>
          <t>62/65 (fits)</t>
        </is>
      </c>
      <c r="AJ63" s="39" t="n">
        <v>6</v>
      </c>
      <c r="AK63" s="39" t="inlineStr">
        <is>
          <t>-</t>
        </is>
      </c>
      <c r="AL63" s="39" t="n"/>
      <c r="AM63" s="39" t="inlineStr">
        <is>
          <t>COMPLETE</t>
        </is>
      </c>
    </row>
    <row r="64">
      <c r="A64" s="39" t="inlineStr">
        <is>
          <t>Wukong Prime</t>
        </is>
      </c>
      <c r="B64" s="39" t="inlineStr">
        <is>
          <t>Celestial Twin + Primal Fury Iron Staff exalted; Defy</t>
        </is>
      </c>
      <c r="C64" s="39" t="inlineStr">
        <is>
          <t>Roar</t>
        </is>
      </c>
      <c r="D64" s="39" t="inlineStr">
        <is>
          <t>Cloud Walker</t>
        </is>
      </c>
      <c r="E64" s="39" t="n">
        <v>207</v>
      </c>
      <c r="F64" s="39" t="n">
        <v>155</v>
      </c>
      <c r="G64" s="39" t="n">
        <v>145</v>
      </c>
      <c r="H64" s="39" t="n">
        <v>130</v>
      </c>
      <c r="I64" s="39" t="inlineStr">
        <is>
          <t>Iron Staff crit via Primal Rage.</t>
        </is>
      </c>
      <c r="J64" s="39" t="inlineStr">
        <is>
          <t>Primal Rage crit on kill</t>
        </is>
      </c>
      <c r="K64" s="39" t="inlineStr">
        <is>
          <t>Growing Power</t>
        </is>
      </c>
      <c r="L64" s="39" t="n"/>
      <c r="M64" s="39" t="inlineStr">
        <is>
          <t>Power Drift</t>
        </is>
      </c>
      <c r="N64" s="39" t="inlineStr">
        <is>
          <t>Umbral Intensify | Umbral Vitality | Umbral Fiber | Primed Continuity | Primed Flow | Streamline | Stretch | Primal Rage</t>
        </is>
      </c>
      <c r="O64" s="39" t="inlineStr">
        <is>
          <t>Primal Rage</t>
        </is>
      </c>
      <c r="P64" s="39" t="inlineStr">
        <is>
          <t>Passive death avoidance, Defy, Umbral set</t>
        </is>
      </c>
      <c r="Q64" s="39" t="inlineStr">
        <is>
          <t>Arcane Reaper</t>
        </is>
      </c>
      <c r="R64" s="39" t="inlineStr">
        <is>
          <t>Arcane Fury</t>
        </is>
      </c>
      <c r="S64" s="39" t="inlineStr">
        <is>
          <t>Tauforged Crimson: Ability Strength +15%</t>
        </is>
      </c>
      <c r="T64" s="39" t="inlineStr">
        <is>
          <t>Tauforged Crimson: Melee Critical Damage +37.5%</t>
        </is>
      </c>
      <c r="U64" s="39" t="inlineStr">
        <is>
          <t>Crimson: Melee Critical Damage +25%</t>
        </is>
      </c>
      <c r="V64" s="39" t="inlineStr">
        <is>
          <t>Azure: Armor +150</t>
        </is>
      </c>
      <c r="W64" s="39" t="inlineStr">
        <is>
          <t>Azure: Health +150</t>
        </is>
      </c>
      <c r="X64" s="39" t="inlineStr">
        <is>
          <t>Naramon</t>
        </is>
      </c>
      <c r="Y64" s="39" t="inlineStr">
        <is>
          <t>Adarza Kavat</t>
        </is>
      </c>
      <c r="Z64" s="39" t="inlineStr">
        <is>
          <t>Adarza Claws</t>
        </is>
      </c>
      <c r="AA64" s="39" t="inlineStr">
        <is>
          <t>Zhuge Prime</t>
        </is>
      </c>
      <c r="AB64" s="39" t="inlineStr">
        <is>
          <t>Ballistica Prime</t>
        </is>
      </c>
      <c r="AC64" s="39" t="inlineStr">
        <is>
          <t>Iron Staff Prime</t>
        </is>
      </c>
      <c r="AD64" s="39" t="inlineStr">
        <is>
          <t>Iron Staff Prime</t>
        </is>
      </c>
      <c r="AE64" s="39" t="inlineStr">
        <is>
          <t>See EXALTED BUILDS</t>
        </is>
      </c>
      <c r="AF64" s="39" t="inlineStr">
        <is>
          <t>P: Primary Deadhead / S: Secondary Outburst</t>
        </is>
      </c>
      <c r="AG64" s="39" t="inlineStr">
        <is>
          <t>Ballistica Prime: EVO2: Prolific Perforation, EVO3: Rapid Reinforcement, EVO4: Critical Parallel</t>
        </is>
      </c>
      <c r="AH64" s="39" t="inlineStr">
        <is>
          <t>Zhuge Prime: crit (Viral + Heat); Ballistica Prime: crit (Viral + Heat)</t>
        </is>
      </c>
      <c r="AI64" s="39" t="inlineStr">
        <is>
          <t>74/74 (fits)</t>
        </is>
      </c>
      <c r="AJ64" s="39" t="n">
        <v>3</v>
      </c>
      <c r="AK64" s="39" t="inlineStr">
        <is>
          <t>-</t>
        </is>
      </c>
      <c r="AL64" s="39" t="n"/>
      <c r="AM64" s="39" t="inlineStr">
        <is>
          <t>COMPLETE</t>
        </is>
      </c>
    </row>
    <row r="65">
      <c r="A65" s="39" t="inlineStr">
        <is>
          <t>Xaku Prime</t>
        </is>
      </c>
      <c r="B65" s="39" t="inlineStr">
        <is>
          <t>The Vast Untime damage amp/CC; Grasp of Lohk (no replacement)</t>
        </is>
      </c>
      <c r="C65" s="39" t="inlineStr">
        <is>
          <t>Roar</t>
        </is>
      </c>
      <c r="D65" s="39" t="inlineStr">
        <is>
          <t>Xata's Whisper</t>
        </is>
      </c>
      <c r="E65" s="39" t="n">
        <v>217</v>
      </c>
      <c r="F65" s="39" t="n">
        <v>165</v>
      </c>
      <c r="G65" s="39" t="n">
        <v>145</v>
      </c>
      <c r="H65" s="39" t="n">
        <v>130</v>
      </c>
      <c r="I65" s="39" t="inlineStr">
        <is>
          <t>Untime damage amp with Str.</t>
        </is>
      </c>
      <c r="J65" s="39" t="inlineStr">
        <is>
          <t>25% evasion passive</t>
        </is>
      </c>
      <c r="K65" s="39" t="inlineStr">
        <is>
          <t>Growing Power</t>
        </is>
      </c>
      <c r="L65" s="39" t="n"/>
      <c r="M65" s="39" t="inlineStr">
        <is>
          <t>Power Drift</t>
        </is>
      </c>
      <c r="N65" s="39" t="inlineStr">
        <is>
          <t>Umbral Intensify | Umbral Vitality | Umbral Fiber | Primed Continuity | Stretch | Primed Flow | Streamline | Untime Rift</t>
        </is>
      </c>
      <c r="O65" s="39" t="inlineStr">
        <is>
          <t>Untime Rift</t>
        </is>
      </c>
      <c r="P65" s="39" t="inlineStr">
        <is>
          <t>Passive evasion, Umbral set</t>
        </is>
      </c>
      <c r="Q65" s="39" t="inlineStr">
        <is>
          <t>Arcane Energize</t>
        </is>
      </c>
      <c r="R65" s="39" t="inlineStr">
        <is>
          <t>Molt Augmented</t>
        </is>
      </c>
      <c r="S65" s="39" t="inlineStr">
        <is>
          <t>Tauforged Crimson: Ability Strength +15%</t>
        </is>
      </c>
      <c r="T65" s="39" t="inlineStr">
        <is>
          <t>Crimson: Ability Strength +10%</t>
        </is>
      </c>
      <c r="U65" s="39" t="inlineStr">
        <is>
          <t>Crimson: Ability Duration +10%</t>
        </is>
      </c>
      <c r="V65" s="39" t="inlineStr">
        <is>
          <t>Azure: Health +150</t>
        </is>
      </c>
      <c r="W65" s="39" t="inlineStr">
        <is>
          <t>Amber: Casting Speed +25%</t>
        </is>
      </c>
      <c r="X65" s="39" t="inlineStr">
        <is>
          <t>Zenurik</t>
        </is>
      </c>
      <c r="Y65" s="39" t="inlineStr">
        <is>
          <t>Dethcube Prime</t>
        </is>
      </c>
      <c r="Z65" s="39" t="inlineStr">
        <is>
          <t>Deth Machine Rifle Prime</t>
        </is>
      </c>
      <c r="AA65" s="39" t="inlineStr">
        <is>
          <t>Trumna Prime</t>
        </is>
      </c>
      <c r="AB65" s="39" t="inlineStr">
        <is>
          <t>Laetum</t>
        </is>
      </c>
      <c r="AC65" s="39" t="inlineStr">
        <is>
          <t>Quassus Prime</t>
        </is>
      </c>
      <c r="AD65" s="39" t="inlineStr">
        <is>
          <t>-</t>
        </is>
      </c>
      <c r="AE65" s="39" t="inlineStr">
        <is>
          <t>-</t>
        </is>
      </c>
      <c r="AF65" s="39" t="inlineStr">
        <is>
          <t>P: Primary Merciless / S: Secondary Merciless / M: Melee Duplicate</t>
        </is>
      </c>
      <c r="AG65" s="39" t="inlineStr">
        <is>
          <t>Laetum: EVO2: Marksman's Hand, EVO3: Lethal Rearmament, EVO4: Elemental Excess, EVO5: Devouring Attrition</t>
        </is>
      </c>
      <c r="AH65" s="39" t="inlineStr">
        <is>
          <t>Trumna Prime: crit (Viral + Heat); Laetum: crit (Viral + Heat); Quassus Prime: crit (Viral + Heat)</t>
        </is>
      </c>
      <c r="AI65" s="39" t="inlineStr">
        <is>
          <t>62/65 (fits)</t>
        </is>
      </c>
      <c r="AJ65" s="39" t="n">
        <v>7</v>
      </c>
      <c r="AK65" s="39" t="inlineStr">
        <is>
          <t>-</t>
        </is>
      </c>
      <c r="AL65" s="39" t="n"/>
      <c r="AM65" s="39" t="inlineStr">
        <is>
          <t>COMPLETE</t>
        </is>
      </c>
    </row>
    <row r="66">
      <c r="A66" s="39" t="inlineStr">
        <is>
          <t>Yareli Prime</t>
        </is>
      </c>
      <c r="B66" s="39" t="inlineStr">
        <is>
          <t>Merulina/Aquablades mobile caster; Kompressa Prime signature</t>
        </is>
      </c>
      <c r="C66" s="39" t="inlineStr">
        <is>
          <t>Roar</t>
        </is>
      </c>
      <c r="D66" s="39" t="inlineStr">
        <is>
          <t>Sea Snares</t>
        </is>
      </c>
      <c r="E66" s="39" t="n">
        <v>217</v>
      </c>
      <c r="F66" s="39" t="n">
        <v>165</v>
      </c>
      <c r="G66" s="39" t="n">
        <v>145</v>
      </c>
      <c r="H66" s="39" t="n">
        <v>130</v>
      </c>
      <c r="I66" s="39" t="inlineStr">
        <is>
          <t>Aquablades Str/Range.</t>
        </is>
      </c>
      <c r="J66" s="39" t="inlineStr">
        <is>
          <t>Merulina DR</t>
        </is>
      </c>
      <c r="K66" s="39" t="inlineStr">
        <is>
          <t>Growing Power</t>
        </is>
      </c>
      <c r="L66" s="39" t="n"/>
      <c r="M66" s="39" t="inlineStr">
        <is>
          <t>Power Drift</t>
        </is>
      </c>
      <c r="N66" s="39" t="inlineStr">
        <is>
          <t>Umbral Intensify | Umbral Vitality | Umbral Fiber | Primed Continuity | Stretch | Primed Flow | Streamline | Merulina Guardian</t>
        </is>
      </c>
      <c r="O66" s="39" t="inlineStr">
        <is>
          <t>Merulina Guardian</t>
        </is>
      </c>
      <c r="P66" s="39" t="inlineStr">
        <is>
          <t>Merulina DR, Umbral set</t>
        </is>
      </c>
      <c r="Q66" s="39" t="inlineStr">
        <is>
          <t>Arcane Energize</t>
        </is>
      </c>
      <c r="R66" s="39" t="inlineStr">
        <is>
          <t>Molt Augmented</t>
        </is>
      </c>
      <c r="S66" s="39" t="inlineStr">
        <is>
          <t>Tauforged Crimson: Ability Strength +15%</t>
        </is>
      </c>
      <c r="T66" s="39" t="inlineStr">
        <is>
          <t>Crimson: Ability Strength +10%</t>
        </is>
      </c>
      <c r="U66" s="39" t="inlineStr">
        <is>
          <t>Crimson: Ability Duration +10%</t>
        </is>
      </c>
      <c r="V66" s="39" t="inlineStr">
        <is>
          <t>Azure: Shield Capacity +150</t>
        </is>
      </c>
      <c r="W66" s="39" t="inlineStr">
        <is>
          <t>Amber: Casting Speed +25%</t>
        </is>
      </c>
      <c r="X66" s="39" t="inlineStr">
        <is>
          <t>Zenurik</t>
        </is>
      </c>
      <c r="Y66" s="39" t="inlineStr">
        <is>
          <t>Dethcube Prime</t>
        </is>
      </c>
      <c r="Z66" s="39" t="inlineStr">
        <is>
          <t>Deth Machine Rifle Prime</t>
        </is>
      </c>
      <c r="AA66" s="39" t="inlineStr">
        <is>
          <t>Komorex</t>
        </is>
      </c>
      <c r="AB66" s="39" t="inlineStr">
        <is>
          <t>Kompressa Prime</t>
        </is>
      </c>
      <c r="AC66" s="39" t="inlineStr">
        <is>
          <t>Ghoulsaw</t>
        </is>
      </c>
      <c r="AD66" s="39" t="inlineStr">
        <is>
          <t>-</t>
        </is>
      </c>
      <c r="AE66" s="39" t="inlineStr">
        <is>
          <t>-</t>
        </is>
      </c>
      <c r="AF66" s="39" t="inlineStr">
        <is>
          <t>P: Primary Deadhead / S: Secondary Encumber / M: Melee Influence</t>
        </is>
      </c>
      <c r="AG66" s="39" t="inlineStr">
        <is>
          <t>-</t>
        </is>
      </c>
      <c r="AH66" s="39" t="inlineStr">
        <is>
          <t>Komorex: status (Corrosive + Viral); Kompressa Prime: status (Corrosive + Viral); Ghoulsaw: status (Corrosive + Viral)</t>
        </is>
      </c>
      <c r="AI66" s="39" t="inlineStr">
        <is>
          <t>74/74 (fits)</t>
        </is>
      </c>
      <c r="AJ66" s="39" t="n">
        <v>3</v>
      </c>
      <c r="AK66" s="39" t="inlineStr">
        <is>
          <t>-</t>
        </is>
      </c>
      <c r="AL66" s="39" t="n"/>
      <c r="AM66" s="39" t="inlineStr">
        <is>
          <t>COMPLETE</t>
        </is>
      </c>
    </row>
    <row r="67">
      <c r="A67" s="39" t="inlineStr">
        <is>
          <t>Zephyr Prime</t>
        </is>
      </c>
      <c r="B67" s="39" t="inlineStr">
        <is>
          <t>Turbulence projectile deflection + Tornado; Jet Stream</t>
        </is>
      </c>
      <c r="C67" s="39" t="inlineStr">
        <is>
          <t>Roar</t>
        </is>
      </c>
      <c r="D67" s="39" t="inlineStr">
        <is>
          <t>Tail Wind</t>
        </is>
      </c>
      <c r="E67" s="39" t="n">
        <v>217</v>
      </c>
      <c r="F67" s="39" t="n">
        <v>165</v>
      </c>
      <c r="G67" s="39" t="n">
        <v>145</v>
      </c>
      <c r="H67" s="39" t="n">
        <v>130</v>
      </c>
      <c r="I67" s="39" t="inlineStr">
        <is>
          <t>Duration for Turbulence.</t>
        </is>
      </c>
      <c r="J67" s="39" t="inlineStr">
        <is>
          <t>Airborne bonuses</t>
        </is>
      </c>
      <c r="K67" s="39" t="inlineStr">
        <is>
          <t>Growing Power</t>
        </is>
      </c>
      <c r="L67" s="39" t="n"/>
      <c r="M67" s="39" t="inlineStr">
        <is>
          <t>Power Drift</t>
        </is>
      </c>
      <c r="N67" s="39" t="inlineStr">
        <is>
          <t>Umbral Intensify | Umbral Vitality | Umbral Fiber | Primed Continuity | Stretch | Primed Flow | Streamline | Jet Stream</t>
        </is>
      </c>
      <c r="O67" s="39" t="inlineStr">
        <is>
          <t>Jet Stream</t>
        </is>
      </c>
      <c r="P67" s="39" t="inlineStr">
        <is>
          <t>Turbulence ranged deflection, Umbral set</t>
        </is>
      </c>
      <c r="Q67" s="39" t="inlineStr">
        <is>
          <t>Arcane Avenger</t>
        </is>
      </c>
      <c r="R67" s="39" t="inlineStr">
        <is>
          <t>Molt Augmented</t>
        </is>
      </c>
      <c r="S67" s="39" t="inlineStr">
        <is>
          <t>Tauforged Crimson: Ability Strength +15%</t>
        </is>
      </c>
      <c r="T67" s="39" t="inlineStr">
        <is>
          <t>Crimson: Ability Strength +10%</t>
        </is>
      </c>
      <c r="U67" s="39" t="inlineStr">
        <is>
          <t>Crimson: Ability Duration +10%</t>
        </is>
      </c>
      <c r="V67" s="39" t="inlineStr">
        <is>
          <t>Azure: Armor +150</t>
        </is>
      </c>
      <c r="W67" s="39" t="inlineStr">
        <is>
          <t>Amber: Casting Speed +25%</t>
        </is>
      </c>
      <c r="X67" s="39" t="inlineStr">
        <is>
          <t>Madurai</t>
        </is>
      </c>
      <c r="Y67" s="39" t="inlineStr">
        <is>
          <t>Adarza Kavat</t>
        </is>
      </c>
      <c r="Z67" s="39" t="inlineStr">
        <is>
          <t>Adarza Claws</t>
        </is>
      </c>
      <c r="AA67" s="39" t="inlineStr">
        <is>
          <t>Nataruk</t>
        </is>
      </c>
      <c r="AB67" s="39" t="inlineStr">
        <is>
          <t>Catchmoon</t>
        </is>
      </c>
      <c r="AC67" s="39" t="inlineStr">
        <is>
          <t>Kronen Prime</t>
        </is>
      </c>
      <c r="AD67" s="39" t="inlineStr">
        <is>
          <t>-</t>
        </is>
      </c>
      <c r="AE67" s="39" t="inlineStr">
        <is>
          <t>-</t>
        </is>
      </c>
      <c r="AF67" s="39" t="inlineStr">
        <is>
          <t>P: Primary Deadhead / S: Secondary Merciless / M: Melee Influence</t>
        </is>
      </c>
      <c r="AG67" s="39" t="inlineStr">
        <is>
          <t>-</t>
        </is>
      </c>
      <c r="AH67" s="39" t="inlineStr">
        <is>
          <t>Nataruk: status (Corrosive + Viral); Catchmoon: crit (Viral + Heat); Kronen Prime: status (Corrosive + Viral)</t>
        </is>
      </c>
      <c r="AI67" s="39" t="inlineStr">
        <is>
          <t>62/65 (fits)</t>
        </is>
      </c>
      <c r="AJ67" s="39" t="n">
        <v>6</v>
      </c>
      <c r="AK67" s="39" t="inlineStr">
        <is>
          <t>-</t>
        </is>
      </c>
      <c r="AL67" s="39" t="n"/>
      <c r="AM67" s="39" t="inlineStr">
        <is>
          <t>COMPLETE</t>
        </is>
      </c>
    </row>
  </sheetData>
  <autoFilter ref="A1:AM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style="26" min="1" max="1"/>
    <col width="10" customWidth="1" style="26" min="2" max="2"/>
    <col width="26" customWidth="1" style="26" min="3" max="3"/>
    <col width="10" customWidth="1" style="26" min="4" max="4"/>
    <col width="10" customWidth="1" style="26" min="5" max="5"/>
    <col width="14" customWidth="1" style="26" min="6" max="6"/>
    <col width="10" customWidth="1" style="26" min="7" max="7"/>
    <col width="12" customWidth="1" style="26" min="8" max="8"/>
    <col width="80" customWidth="1" style="26" min="9" max="9"/>
  </cols>
  <sheetData>
    <row r="1">
      <c r="A1" s="51" t="inlineStr">
        <is>
          <t>Frame / config</t>
        </is>
      </c>
      <c r="B1" s="51" t="inlineStr">
        <is>
          <t>Slot</t>
        </is>
      </c>
      <c r="C1" s="51" t="inlineStr">
        <is>
          <t>Mod</t>
        </is>
      </c>
      <c r="D1" s="51" t="inlineStr">
        <is>
          <t>Max rank</t>
        </is>
      </c>
      <c r="E1" s="51" t="inlineStr">
        <is>
          <t>Polarity</t>
        </is>
      </c>
      <c r="F1" s="51" t="inlineStr">
        <is>
          <t>Drain at max</t>
        </is>
      </c>
      <c r="G1" s="51" t="inlineStr">
        <is>
          <t>Type</t>
        </is>
      </c>
      <c r="H1" s="51" t="inlineStr">
        <is>
          <t>Tradeable?</t>
        </is>
      </c>
      <c r="I1" s="51" t="inlineStr">
        <is>
          <t>Effect (max rank)</t>
        </is>
      </c>
    </row>
    <row r="2">
      <c r="A2" s="39" t="inlineStr">
        <is>
          <t>Ash Prime</t>
        </is>
      </c>
      <c r="B2" s="39" t="inlineStr">
        <is>
          <t>Aura</t>
        </is>
      </c>
      <c r="C2" s="39" t="inlineStr">
        <is>
          <t>Growing Power</t>
        </is>
      </c>
      <c r="D2" s="39" t="n">
        <v>5</v>
      </c>
      <c r="E2" s="39" t="inlineStr">
        <is>
          <t>Madurai</t>
        </is>
      </c>
      <c r="F2" s="39" t="n">
        <v>3</v>
      </c>
      <c r="G2" s="39" t="inlineStr">
        <is>
          <t>Aura</t>
        </is>
      </c>
      <c r="H2" s="39" t="inlineStr">
        <is>
          <t>Yes</t>
        </is>
      </c>
      <c r="I2" s="39" t="inlineStr">
        <is>
          <t>On Status Effect with Weapon: Squad increases personal Ability Strength by 25% for 6s.</t>
        </is>
      </c>
    </row>
    <row r="3">
      <c r="A3" s="39" t="inlineStr">
        <is>
          <t>Ash Prime</t>
        </is>
      </c>
      <c r="B3" s="39" t="inlineStr">
        <is>
          <t>Exilus</t>
        </is>
      </c>
      <c r="C3" s="39" t="inlineStr">
        <is>
          <t>Power Drift</t>
        </is>
      </c>
      <c r="D3" s="39" t="n">
        <v>5</v>
      </c>
      <c r="E3" s="39" t="inlineStr">
        <is>
          <t>Zenurik</t>
        </is>
      </c>
      <c r="F3" s="39" t="n">
        <v>9</v>
      </c>
      <c r="G3" s="39" t="inlineStr">
        <is>
          <t>Warframe</t>
        </is>
      </c>
      <c r="H3" s="39" t="inlineStr">
        <is>
          <t>Yes</t>
        </is>
      </c>
      <c r="I3" s="39" t="inlineStr">
        <is>
          <t>+15% Ability Strength | +30% Chance to Resist Knockdown</t>
        </is>
      </c>
    </row>
    <row r="4">
      <c r="A4" s="39" t="inlineStr">
        <is>
          <t>Ash Prime</t>
        </is>
      </c>
      <c r="B4" s="39" t="inlineStr">
        <is>
          <t>Mod 1</t>
        </is>
      </c>
      <c r="C4" s="39" t="inlineStr">
        <is>
          <t>Umbral Intensify</t>
        </is>
      </c>
      <c r="D4" s="39" t="n">
        <v>10</v>
      </c>
      <c r="E4" s="39" t="inlineStr">
        <is>
          <t>Umbra</t>
        </is>
      </c>
      <c r="F4" s="39" t="n">
        <v>16</v>
      </c>
      <c r="G4" s="39" t="inlineStr">
        <is>
          <t>Warframe</t>
        </is>
      </c>
      <c r="H4" s="39" t="inlineStr">
        <is>
          <t>NO - account-bound</t>
        </is>
      </c>
      <c r="I4" s="39" t="inlineStr">
        <is>
          <t>+44% Ability Strength | +11% &lt;DT_SENTIENT&gt;Tau Resistance</t>
        </is>
      </c>
    </row>
    <row r="5">
      <c r="A5" s="39" t="inlineStr">
        <is>
          <t>Ash Prime</t>
        </is>
      </c>
      <c r="B5" s="39" t="inlineStr">
        <is>
          <t>Mod 2</t>
        </is>
      </c>
      <c r="C5" s="39" t="inlineStr">
        <is>
          <t>Umbral Vitality</t>
        </is>
      </c>
      <c r="D5" s="39" t="n">
        <v>10</v>
      </c>
      <c r="E5" s="39" t="inlineStr">
        <is>
          <t>Umbra</t>
        </is>
      </c>
      <c r="F5" s="39" t="n">
        <v>16</v>
      </c>
      <c r="G5" s="39" t="inlineStr">
        <is>
          <t>Warframe</t>
        </is>
      </c>
      <c r="H5" s="39" t="inlineStr">
        <is>
          <t>NO - account-bound</t>
        </is>
      </c>
      <c r="I5" s="39" t="inlineStr">
        <is>
          <t>+100% Health | +11% &lt;DT_SENTIENT&gt;Tau Resistance</t>
        </is>
      </c>
    </row>
    <row r="6">
      <c r="A6" s="39" t="inlineStr">
        <is>
          <t>Ash Prime</t>
        </is>
      </c>
      <c r="B6" s="39" t="inlineStr">
        <is>
          <t>Mod 3</t>
        </is>
      </c>
      <c r="C6" s="39" t="inlineStr">
        <is>
          <t>Umbral Fiber</t>
        </is>
      </c>
      <c r="D6" s="39" t="n">
        <v>10</v>
      </c>
      <c r="E6" s="39" t="inlineStr">
        <is>
          <t>Umbra</t>
        </is>
      </c>
      <c r="F6" s="39" t="n">
        <v>16</v>
      </c>
      <c r="G6" s="39" t="inlineStr">
        <is>
          <t>Warframe</t>
        </is>
      </c>
      <c r="H6" s="39" t="inlineStr">
        <is>
          <t>NO - account-bound</t>
        </is>
      </c>
      <c r="I6" s="39" t="inlineStr">
        <is>
          <t>+100% Armor | +11% &lt;DT_SENTIENT&gt;Tau Resistance</t>
        </is>
      </c>
    </row>
    <row r="7">
      <c r="A7" s="39" t="inlineStr">
        <is>
          <t>Ash Prime</t>
        </is>
      </c>
      <c r="B7" s="39" t="inlineStr">
        <is>
          <t>Mod 4</t>
        </is>
      </c>
      <c r="C7" s="39" t="inlineStr">
        <is>
          <t>Primed Continuity</t>
        </is>
      </c>
      <c r="D7" s="39" t="n">
        <v>10</v>
      </c>
      <c r="E7" s="39" t="inlineStr">
        <is>
          <t>Madurai</t>
        </is>
      </c>
      <c r="F7" s="39" t="n">
        <v>14</v>
      </c>
      <c r="G7" s="39" t="inlineStr">
        <is>
          <t>Warframe</t>
        </is>
      </c>
      <c r="H7" s="39" t="inlineStr">
        <is>
          <t>Yes</t>
        </is>
      </c>
      <c r="I7" s="39" t="inlineStr">
        <is>
          <t>+55% Ability Duration</t>
        </is>
      </c>
    </row>
    <row r="8">
      <c r="A8" s="39" t="inlineStr">
        <is>
          <t>Ash Prime</t>
        </is>
      </c>
      <c r="B8" s="39" t="inlineStr">
        <is>
          <t>Mod 5</t>
        </is>
      </c>
      <c r="C8" s="39" t="inlineStr">
        <is>
          <t>Primed Flow</t>
        </is>
      </c>
      <c r="D8" s="39" t="n">
        <v>10</v>
      </c>
      <c r="E8" s="39" t="inlineStr">
        <is>
          <t>Naramon</t>
        </is>
      </c>
      <c r="F8" s="39" t="n">
        <v>14</v>
      </c>
      <c r="G8" s="39" t="inlineStr">
        <is>
          <t>Warframe</t>
        </is>
      </c>
      <c r="H8" s="39" t="inlineStr">
        <is>
          <t>Yes</t>
        </is>
      </c>
      <c r="I8" s="39" t="inlineStr">
        <is>
          <t>+185% Energy Max</t>
        </is>
      </c>
    </row>
    <row r="9">
      <c r="A9" s="39" t="inlineStr">
        <is>
          <t>Ash Prime</t>
        </is>
      </c>
      <c r="B9" s="39" t="inlineStr">
        <is>
          <t>Mod 6</t>
        </is>
      </c>
      <c r="C9" s="39" t="inlineStr">
        <is>
          <t>Streamline</t>
        </is>
      </c>
      <c r="D9" s="39" t="n">
        <v>5</v>
      </c>
      <c r="E9" s="39" t="inlineStr">
        <is>
          <t>Naramon</t>
        </is>
      </c>
      <c r="F9" s="39" t="n">
        <v>9</v>
      </c>
      <c r="G9" s="39" t="inlineStr">
        <is>
          <t>Warframe</t>
        </is>
      </c>
      <c r="H9" s="39" t="inlineStr">
        <is>
          <t>Yes</t>
        </is>
      </c>
      <c r="I9" s="39" t="inlineStr">
        <is>
          <t>+30% Ability Efficiency</t>
        </is>
      </c>
    </row>
    <row r="10">
      <c r="A10" s="39" t="inlineStr">
        <is>
          <t>Ash Prime</t>
        </is>
      </c>
      <c r="B10" s="39" t="inlineStr">
        <is>
          <t>Mod 7</t>
        </is>
      </c>
      <c r="C10" s="39" t="inlineStr">
        <is>
          <t>Rolling Guard</t>
        </is>
      </c>
      <c r="D10" s="39" t="n">
        <v>10</v>
      </c>
      <c r="E10" s="39" t="inlineStr">
        <is>
          <t>Vazarin</t>
        </is>
      </c>
      <c r="F10" s="39" t="n">
        <v>12</v>
      </c>
      <c r="G10" s="39" t="inlineStr">
        <is>
          <t>Warframe</t>
        </is>
      </c>
      <c r="H10" s="39" t="inlineStr">
        <is>
          <t>Yes</t>
        </is>
      </c>
      <c r="I10" s="39" t="inlineStr">
        <is>
          <t>On Dodge: | Become invulnerable for 3s and remove all Status Effects. 7s cooldown.</t>
        </is>
      </c>
    </row>
    <row r="11">
      <c r="A11" s="39" t="inlineStr">
        <is>
          <t>Ash Prime</t>
        </is>
      </c>
      <c r="B11" s="39" t="inlineStr">
        <is>
          <t>Mod 8</t>
        </is>
      </c>
      <c r="C11" s="39" t="inlineStr">
        <is>
          <t>Rising Storm</t>
        </is>
      </c>
      <c r="D11" s="39" t="n">
        <v>3</v>
      </c>
      <c r="E11" s="39" t="inlineStr">
        <is>
          <t>Zenurik</t>
        </is>
      </c>
      <c r="F11" s="39" t="n">
        <v>9</v>
      </c>
      <c r="G11" s="39" t="inlineStr">
        <is>
          <t>Ash</t>
        </is>
      </c>
      <c r="H11" s="39" t="inlineStr">
        <is>
          <t>Yes</t>
        </is>
      </c>
      <c r="I11" s="39" t="inlineStr">
        <is>
          <t>Blade Storm Augment: Blade Storm attacks increase your Ability Combo Counter by 4. | Passive: +10s Combo Duration</t>
        </is>
      </c>
    </row>
    <row r="12">
      <c r="A12" s="39" t="inlineStr">
        <is>
          <t>Atlas Prime</t>
        </is>
      </c>
      <c r="B12" s="39" t="inlineStr">
        <is>
          <t>Aura</t>
        </is>
      </c>
      <c r="C12" s="39" t="inlineStr">
        <is>
          <t>Growing Power</t>
        </is>
      </c>
      <c r="D12" s="39" t="n">
        <v>5</v>
      </c>
      <c r="E12" s="39" t="inlineStr">
        <is>
          <t>Madurai</t>
        </is>
      </c>
      <c r="F12" s="39" t="n">
        <v>3</v>
      </c>
      <c r="G12" s="39" t="inlineStr">
        <is>
          <t>Aura</t>
        </is>
      </c>
      <c r="H12" s="39" t="inlineStr">
        <is>
          <t>Yes</t>
        </is>
      </c>
      <c r="I12" s="39" t="inlineStr">
        <is>
          <t>On Status Effect with Weapon: Squad increases personal Ability Strength by 25% for 6s.</t>
        </is>
      </c>
    </row>
    <row r="13">
      <c r="A13" s="39" t="inlineStr">
        <is>
          <t>Atlas Prime</t>
        </is>
      </c>
      <c r="B13" s="39" t="inlineStr">
        <is>
          <t>Exilus</t>
        </is>
      </c>
      <c r="C13" s="39" t="inlineStr">
        <is>
          <t>Power Drift</t>
        </is>
      </c>
      <c r="D13" s="39" t="n">
        <v>5</v>
      </c>
      <c r="E13" s="39" t="inlineStr">
        <is>
          <t>Zenurik</t>
        </is>
      </c>
      <c r="F13" s="39" t="n">
        <v>9</v>
      </c>
      <c r="G13" s="39" t="inlineStr">
        <is>
          <t>Warframe</t>
        </is>
      </c>
      <c r="H13" s="39" t="inlineStr">
        <is>
          <t>Yes</t>
        </is>
      </c>
      <c r="I13" s="39" t="inlineStr">
        <is>
          <t>+15% Ability Strength | +30% Chance to Resist Knockdown</t>
        </is>
      </c>
    </row>
    <row r="14">
      <c r="A14" s="39" t="inlineStr">
        <is>
          <t>Atlas Prime</t>
        </is>
      </c>
      <c r="B14" s="39" t="inlineStr">
        <is>
          <t>Mod 1</t>
        </is>
      </c>
      <c r="C14" s="39" t="inlineStr">
        <is>
          <t>Umbral Intensify</t>
        </is>
      </c>
      <c r="D14" s="39" t="n">
        <v>10</v>
      </c>
      <c r="E14" s="39" t="inlineStr">
        <is>
          <t>Umbra</t>
        </is>
      </c>
      <c r="F14" s="39" t="n">
        <v>16</v>
      </c>
      <c r="G14" s="39" t="inlineStr">
        <is>
          <t>Warframe</t>
        </is>
      </c>
      <c r="H14" s="39" t="inlineStr">
        <is>
          <t>NO - account-bound</t>
        </is>
      </c>
      <c r="I14" s="39" t="inlineStr">
        <is>
          <t>+44% Ability Strength | +11% &lt;DT_SENTIENT&gt;Tau Resistance</t>
        </is>
      </c>
    </row>
    <row r="15">
      <c r="A15" s="39" t="inlineStr">
        <is>
          <t>Atlas Prime</t>
        </is>
      </c>
      <c r="B15" s="39" t="inlineStr">
        <is>
          <t>Mod 2</t>
        </is>
      </c>
      <c r="C15" s="39" t="inlineStr">
        <is>
          <t>Umbral Vitality</t>
        </is>
      </c>
      <c r="D15" s="39" t="n">
        <v>10</v>
      </c>
      <c r="E15" s="39" t="inlineStr">
        <is>
          <t>Umbra</t>
        </is>
      </c>
      <c r="F15" s="39" t="n">
        <v>16</v>
      </c>
      <c r="G15" s="39" t="inlineStr">
        <is>
          <t>Warframe</t>
        </is>
      </c>
      <c r="H15" s="39" t="inlineStr">
        <is>
          <t>NO - account-bound</t>
        </is>
      </c>
      <c r="I15" s="39" t="inlineStr">
        <is>
          <t>+100% Health | +11% &lt;DT_SENTIENT&gt;Tau Resistance</t>
        </is>
      </c>
    </row>
    <row r="16">
      <c r="A16" s="39" t="inlineStr">
        <is>
          <t>Atlas Prime</t>
        </is>
      </c>
      <c r="B16" s="39" t="inlineStr">
        <is>
          <t>Mod 3</t>
        </is>
      </c>
      <c r="C16" s="39" t="inlineStr">
        <is>
          <t>Umbral Fiber</t>
        </is>
      </c>
      <c r="D16" s="39" t="n">
        <v>10</v>
      </c>
      <c r="E16" s="39" t="inlineStr">
        <is>
          <t>Umbra</t>
        </is>
      </c>
      <c r="F16" s="39" t="n">
        <v>16</v>
      </c>
      <c r="G16" s="39" t="inlineStr">
        <is>
          <t>Warframe</t>
        </is>
      </c>
      <c r="H16" s="39" t="inlineStr">
        <is>
          <t>NO - account-bound</t>
        </is>
      </c>
      <c r="I16" s="39" t="inlineStr">
        <is>
          <t>+100% Armor | +11% &lt;DT_SENTIENT&gt;Tau Resistance</t>
        </is>
      </c>
    </row>
    <row r="17">
      <c r="A17" s="39" t="inlineStr">
        <is>
          <t>Atlas Prime</t>
        </is>
      </c>
      <c r="B17" s="39" t="inlineStr">
        <is>
          <t>Mod 4</t>
        </is>
      </c>
      <c r="C17" s="39" t="inlineStr">
        <is>
          <t>Primed Continuity</t>
        </is>
      </c>
      <c r="D17" s="39" t="n">
        <v>10</v>
      </c>
      <c r="E17" s="39" t="inlineStr">
        <is>
          <t>Madurai</t>
        </is>
      </c>
      <c r="F17" s="39" t="n">
        <v>14</v>
      </c>
      <c r="G17" s="39" t="inlineStr">
        <is>
          <t>Warframe</t>
        </is>
      </c>
      <c r="H17" s="39" t="inlineStr">
        <is>
          <t>Yes</t>
        </is>
      </c>
      <c r="I17" s="39" t="inlineStr">
        <is>
          <t>+55% Ability Duration</t>
        </is>
      </c>
    </row>
    <row r="18">
      <c r="A18" s="39" t="inlineStr">
        <is>
          <t>Atlas Prime</t>
        </is>
      </c>
      <c r="B18" s="39" t="inlineStr">
        <is>
          <t>Mod 5</t>
        </is>
      </c>
      <c r="C18" s="39" t="inlineStr">
        <is>
          <t>Primed Flow</t>
        </is>
      </c>
      <c r="D18" s="39" t="n">
        <v>10</v>
      </c>
      <c r="E18" s="39" t="inlineStr">
        <is>
          <t>Naramon</t>
        </is>
      </c>
      <c r="F18" s="39" t="n">
        <v>14</v>
      </c>
      <c r="G18" s="39" t="inlineStr">
        <is>
          <t>Warframe</t>
        </is>
      </c>
      <c r="H18" s="39" t="inlineStr">
        <is>
          <t>Yes</t>
        </is>
      </c>
      <c r="I18" s="39" t="inlineStr">
        <is>
          <t>+185% Energy Max</t>
        </is>
      </c>
    </row>
    <row r="19">
      <c r="A19" s="39" t="inlineStr">
        <is>
          <t>Atlas Prime</t>
        </is>
      </c>
      <c r="B19" s="39" t="inlineStr">
        <is>
          <t>Mod 6</t>
        </is>
      </c>
      <c r="C19" s="39" t="inlineStr">
        <is>
          <t>Streamline</t>
        </is>
      </c>
      <c r="D19" s="39" t="n">
        <v>5</v>
      </c>
      <c r="E19" s="39" t="inlineStr">
        <is>
          <t>Naramon</t>
        </is>
      </c>
      <c r="F19" s="39" t="n">
        <v>9</v>
      </c>
      <c r="G19" s="39" t="inlineStr">
        <is>
          <t>Warframe</t>
        </is>
      </c>
      <c r="H19" s="39" t="inlineStr">
        <is>
          <t>Yes</t>
        </is>
      </c>
      <c r="I19" s="39" t="inlineStr">
        <is>
          <t>+30% Ability Efficiency</t>
        </is>
      </c>
    </row>
    <row r="20">
      <c r="A20" s="39" t="inlineStr">
        <is>
          <t>Atlas Prime</t>
        </is>
      </c>
      <c r="B20" s="39" t="inlineStr">
        <is>
          <t>Mod 7</t>
        </is>
      </c>
      <c r="C20" s="39" t="inlineStr">
        <is>
          <t>Stretch</t>
        </is>
      </c>
      <c r="D20" s="39" t="n">
        <v>5</v>
      </c>
      <c r="E20" s="39" t="inlineStr">
        <is>
          <t>Naramon</t>
        </is>
      </c>
      <c r="F20" s="39" t="n">
        <v>9</v>
      </c>
      <c r="G20" s="39" t="inlineStr">
        <is>
          <t>Warframe</t>
        </is>
      </c>
      <c r="H20" s="39" t="inlineStr">
        <is>
          <t>Yes</t>
        </is>
      </c>
      <c r="I20" s="39" t="inlineStr">
        <is>
          <t>+45% Ability Range</t>
        </is>
      </c>
    </row>
    <row r="21">
      <c r="A21" s="39" t="inlineStr">
        <is>
          <t>Atlas Prime</t>
        </is>
      </c>
      <c r="B21" s="39" t="inlineStr">
        <is>
          <t>Mod 8</t>
        </is>
      </c>
      <c r="C21" s="39" t="inlineStr">
        <is>
          <t>Rubble Heap</t>
        </is>
      </c>
      <c r="D21" s="39" t="n">
        <v>3</v>
      </c>
      <c r="E21" s="39" t="inlineStr">
        <is>
          <t>Zenurik</t>
        </is>
      </c>
      <c r="F21" s="39" t="n">
        <v>9</v>
      </c>
      <c r="G21" s="39" t="inlineStr">
        <is>
          <t>Atlas</t>
        </is>
      </c>
      <c r="H21" s="39" t="inlineStr">
        <is>
          <t>Yes</t>
        </is>
      </c>
      <c r="I21" s="39" t="inlineStr">
        <is>
          <t>Passive Augment: When above 1400 Rubble, Landslide costs no Energy, deals 2x Damage, and travels 2x faster.</t>
        </is>
      </c>
    </row>
    <row r="22">
      <c r="A22" s="39" t="inlineStr">
        <is>
          <t>Banshee Prime</t>
        </is>
      </c>
      <c r="B22" s="39" t="inlineStr">
        <is>
          <t>Aura</t>
        </is>
      </c>
      <c r="C22" s="39" t="inlineStr">
        <is>
          <t>Corrosive Projection</t>
        </is>
      </c>
      <c r="D22" s="39" t="n">
        <v>5</v>
      </c>
      <c r="E22" s="39" t="inlineStr">
        <is>
          <t>Naramon</t>
        </is>
      </c>
      <c r="F22" s="39" t="n">
        <v>3</v>
      </c>
      <c r="G22" s="39" t="inlineStr">
        <is>
          <t>Aura</t>
        </is>
      </c>
      <c r="H22" s="39" t="inlineStr">
        <is>
          <t>Yes</t>
        </is>
      </c>
      <c r="I22" s="39" t="inlineStr">
        <is>
          <t>Enemies lose -18% Armor</t>
        </is>
      </c>
    </row>
    <row r="23">
      <c r="A23" s="39" t="inlineStr">
        <is>
          <t>Banshee Prime</t>
        </is>
      </c>
      <c r="B23" s="39" t="inlineStr">
        <is>
          <t>Exilus</t>
        </is>
      </c>
      <c r="C23" s="39" t="inlineStr">
        <is>
          <t>Power Drift</t>
        </is>
      </c>
      <c r="D23" s="39" t="n">
        <v>5</v>
      </c>
      <c r="E23" s="39" t="inlineStr">
        <is>
          <t>Zenurik</t>
        </is>
      </c>
      <c r="F23" s="39" t="n">
        <v>9</v>
      </c>
      <c r="G23" s="39" t="inlineStr">
        <is>
          <t>Warframe</t>
        </is>
      </c>
      <c r="H23" s="39" t="inlineStr">
        <is>
          <t>Yes</t>
        </is>
      </c>
      <c r="I23" s="39" t="inlineStr">
        <is>
          <t>+15% Ability Strength | +30% Chance to Resist Knockdown</t>
        </is>
      </c>
    </row>
    <row r="24">
      <c r="A24" s="39" t="inlineStr">
        <is>
          <t>Banshee Prime</t>
        </is>
      </c>
      <c r="B24" s="39" t="inlineStr">
        <is>
          <t>Mod 1</t>
        </is>
      </c>
      <c r="C24" s="39" t="inlineStr">
        <is>
          <t>Umbral Intensify</t>
        </is>
      </c>
      <c r="D24" s="39" t="n">
        <v>10</v>
      </c>
      <c r="E24" s="39" t="inlineStr">
        <is>
          <t>Umbra</t>
        </is>
      </c>
      <c r="F24" s="39" t="n">
        <v>16</v>
      </c>
      <c r="G24" s="39" t="inlineStr">
        <is>
          <t>Warframe</t>
        </is>
      </c>
      <c r="H24" s="39" t="inlineStr">
        <is>
          <t>NO - account-bound</t>
        </is>
      </c>
      <c r="I24" s="39" t="inlineStr">
        <is>
          <t>+44% Ability Strength | +11% &lt;DT_SENTIENT&gt;Tau Resistance</t>
        </is>
      </c>
    </row>
    <row r="25">
      <c r="A25" s="39" t="inlineStr">
        <is>
          <t>Banshee Prime</t>
        </is>
      </c>
      <c r="B25" s="39" t="inlineStr">
        <is>
          <t>Mod 2</t>
        </is>
      </c>
      <c r="C25" s="39" t="inlineStr">
        <is>
          <t>Transient Fortitude</t>
        </is>
      </c>
      <c r="D25" s="39" t="n">
        <v>10</v>
      </c>
      <c r="E25" s="39" t="inlineStr">
        <is>
          <t>Madurai</t>
        </is>
      </c>
      <c r="F25" s="39" t="n">
        <v>16</v>
      </c>
      <c r="G25" s="39" t="inlineStr">
        <is>
          <t>Warframe</t>
        </is>
      </c>
      <c r="H25" s="39" t="inlineStr">
        <is>
          <t>Yes</t>
        </is>
      </c>
      <c r="I25" s="39" t="inlineStr">
        <is>
          <t>+55% Ability Strength | -27.5% Ability Duration</t>
        </is>
      </c>
    </row>
    <row r="26">
      <c r="A26" s="39" t="inlineStr">
        <is>
          <t>Banshee Prime</t>
        </is>
      </c>
      <c r="B26" s="39" t="inlineStr">
        <is>
          <t>Mod 3</t>
        </is>
      </c>
      <c r="C26" s="39" t="inlineStr">
        <is>
          <t>Primed Continuity</t>
        </is>
      </c>
      <c r="D26" s="39" t="n">
        <v>10</v>
      </c>
      <c r="E26" s="39" t="inlineStr">
        <is>
          <t>Madurai</t>
        </is>
      </c>
      <c r="F26" s="39" t="n">
        <v>14</v>
      </c>
      <c r="G26" s="39" t="inlineStr">
        <is>
          <t>Warframe</t>
        </is>
      </c>
      <c r="H26" s="39" t="inlineStr">
        <is>
          <t>Yes</t>
        </is>
      </c>
      <c r="I26" s="39" t="inlineStr">
        <is>
          <t>+55% Ability Duration</t>
        </is>
      </c>
    </row>
    <row r="27">
      <c r="A27" s="39" t="inlineStr">
        <is>
          <t>Banshee Prime</t>
        </is>
      </c>
      <c r="B27" s="39" t="inlineStr">
        <is>
          <t>Mod 4</t>
        </is>
      </c>
      <c r="C27" s="39" t="inlineStr">
        <is>
          <t>Stretch</t>
        </is>
      </c>
      <c r="D27" s="39" t="n">
        <v>5</v>
      </c>
      <c r="E27" s="39" t="inlineStr">
        <is>
          <t>Naramon</t>
        </is>
      </c>
      <c r="F27" s="39" t="n">
        <v>9</v>
      </c>
      <c r="G27" s="39" t="inlineStr">
        <is>
          <t>Warframe</t>
        </is>
      </c>
      <c r="H27" s="39" t="inlineStr">
        <is>
          <t>Yes</t>
        </is>
      </c>
      <c r="I27" s="39" t="inlineStr">
        <is>
          <t>+45% Ability Range</t>
        </is>
      </c>
    </row>
    <row r="28">
      <c r="A28" s="39" t="inlineStr">
        <is>
          <t>Banshee Prime</t>
        </is>
      </c>
      <c r="B28" s="39" t="inlineStr">
        <is>
          <t>Mod 5</t>
        </is>
      </c>
      <c r="C28" s="39" t="inlineStr">
        <is>
          <t>Augur Reach</t>
        </is>
      </c>
      <c r="D28" s="39" t="n">
        <v>5</v>
      </c>
      <c r="E28" s="39" t="inlineStr">
        <is>
          <t>Naramon</t>
        </is>
      </c>
      <c r="F28" s="39" t="n">
        <v>7</v>
      </c>
      <c r="G28" s="39" t="inlineStr">
        <is>
          <t>Warframe</t>
        </is>
      </c>
      <c r="H28" s="39" t="inlineStr">
        <is>
          <t>Yes</t>
        </is>
      </c>
      <c r="I28" s="39" t="inlineStr">
        <is>
          <t>+30% Ability Range</t>
        </is>
      </c>
    </row>
    <row r="29">
      <c r="A29" s="39" t="inlineStr">
        <is>
          <t>Banshee Prime</t>
        </is>
      </c>
      <c r="B29" s="39" t="inlineStr">
        <is>
          <t>Mod 6</t>
        </is>
      </c>
      <c r="C29" s="39" t="inlineStr">
        <is>
          <t>Primed Flow</t>
        </is>
      </c>
      <c r="D29" s="39" t="n">
        <v>10</v>
      </c>
      <c r="E29" s="39" t="inlineStr">
        <is>
          <t>Naramon</t>
        </is>
      </c>
      <c r="F29" s="39" t="n">
        <v>14</v>
      </c>
      <c r="G29" s="39" t="inlineStr">
        <is>
          <t>Warframe</t>
        </is>
      </c>
      <c r="H29" s="39" t="inlineStr">
        <is>
          <t>Yes</t>
        </is>
      </c>
      <c r="I29" s="39" t="inlineStr">
        <is>
          <t>+185% Energy Max</t>
        </is>
      </c>
    </row>
    <row r="30">
      <c r="A30" s="39" t="inlineStr">
        <is>
          <t>Banshee Prime</t>
        </is>
      </c>
      <c r="B30" s="39" t="inlineStr">
        <is>
          <t>Mod 7</t>
        </is>
      </c>
      <c r="C30" s="39" t="inlineStr">
        <is>
          <t>Streamline</t>
        </is>
      </c>
      <c r="D30" s="39" t="n">
        <v>5</v>
      </c>
      <c r="E30" s="39" t="inlineStr">
        <is>
          <t>Naramon</t>
        </is>
      </c>
      <c r="F30" s="39" t="n">
        <v>9</v>
      </c>
      <c r="G30" s="39" t="inlineStr">
        <is>
          <t>Warframe</t>
        </is>
      </c>
      <c r="H30" s="39" t="inlineStr">
        <is>
          <t>Yes</t>
        </is>
      </c>
      <c r="I30" s="39" t="inlineStr">
        <is>
          <t>+30% Ability Efficiency</t>
        </is>
      </c>
    </row>
    <row r="31">
      <c r="A31" s="39" t="inlineStr">
        <is>
          <t>Banshee Prime</t>
        </is>
      </c>
      <c r="B31" s="39" t="inlineStr">
        <is>
          <t>Mod 8</t>
        </is>
      </c>
      <c r="C31" s="39" t="inlineStr">
        <is>
          <t>Resonance</t>
        </is>
      </c>
      <c r="D31" s="39" t="n">
        <v>3</v>
      </c>
      <c r="E31" s="39" t="inlineStr">
        <is>
          <t>Zenurik</t>
        </is>
      </c>
      <c r="F31" s="39" t="n">
        <v>9</v>
      </c>
      <c r="G31" s="39" t="inlineStr">
        <is>
          <t>Banshee</t>
        </is>
      </c>
      <c r="H31" s="39" t="inlineStr">
        <is>
          <t>Yes</t>
        </is>
      </c>
      <c r="I31" s="39" t="inlineStr">
        <is>
          <t>Sonar Augment: Killing an enemy by shooting their weak spot will trigger another Sonar for 100% of remaining duration.</t>
        </is>
      </c>
    </row>
    <row r="32">
      <c r="A32" s="39" t="inlineStr">
        <is>
          <t>Baruuk Prime</t>
        </is>
      </c>
      <c r="B32" s="39" t="inlineStr">
        <is>
          <t>Aura</t>
        </is>
      </c>
      <c r="C32" s="39" t="inlineStr">
        <is>
          <t>Growing Power</t>
        </is>
      </c>
      <c r="D32" s="39" t="n">
        <v>5</v>
      </c>
      <c r="E32" s="39" t="inlineStr">
        <is>
          <t>Madurai</t>
        </is>
      </c>
      <c r="F32" s="39" t="n">
        <v>3</v>
      </c>
      <c r="G32" s="39" t="inlineStr">
        <is>
          <t>Aura</t>
        </is>
      </c>
      <c r="H32" s="39" t="inlineStr">
        <is>
          <t>Yes</t>
        </is>
      </c>
      <c r="I32" s="39" t="inlineStr">
        <is>
          <t>On Status Effect with Weapon: Squad increases personal Ability Strength by 25% for 6s.</t>
        </is>
      </c>
    </row>
    <row r="33">
      <c r="A33" s="39" t="inlineStr">
        <is>
          <t>Baruuk Prime</t>
        </is>
      </c>
      <c r="B33" s="39" t="inlineStr">
        <is>
          <t>Exilus</t>
        </is>
      </c>
      <c r="C33" s="39" t="inlineStr">
        <is>
          <t>Power Drift</t>
        </is>
      </c>
      <c r="D33" s="39" t="n">
        <v>5</v>
      </c>
      <c r="E33" s="39" t="inlineStr">
        <is>
          <t>Zenurik</t>
        </is>
      </c>
      <c r="F33" s="39" t="n">
        <v>9</v>
      </c>
      <c r="G33" s="39" t="inlineStr">
        <is>
          <t>Warframe</t>
        </is>
      </c>
      <c r="H33" s="39" t="inlineStr">
        <is>
          <t>Yes</t>
        </is>
      </c>
      <c r="I33" s="39" t="inlineStr">
        <is>
          <t>+15% Ability Strength | +30% Chance to Resist Knockdown</t>
        </is>
      </c>
    </row>
    <row r="34">
      <c r="A34" s="39" t="inlineStr">
        <is>
          <t>Baruuk Prime</t>
        </is>
      </c>
      <c r="B34" s="39" t="inlineStr">
        <is>
          <t>Mod 1</t>
        </is>
      </c>
      <c r="C34" s="39" t="inlineStr">
        <is>
          <t>Umbral Intensify</t>
        </is>
      </c>
      <c r="D34" s="39" t="n">
        <v>10</v>
      </c>
      <c r="E34" s="39" t="inlineStr">
        <is>
          <t>Umbra</t>
        </is>
      </c>
      <c r="F34" s="39" t="n">
        <v>16</v>
      </c>
      <c r="G34" s="39" t="inlineStr">
        <is>
          <t>Warframe</t>
        </is>
      </c>
      <c r="H34" s="39" t="inlineStr">
        <is>
          <t>NO - account-bound</t>
        </is>
      </c>
      <c r="I34" s="39" t="inlineStr">
        <is>
          <t>+44% Ability Strength | +11% &lt;DT_SENTIENT&gt;Tau Resistance</t>
        </is>
      </c>
    </row>
    <row r="35">
      <c r="A35" s="39" t="inlineStr">
        <is>
          <t>Baruuk Prime</t>
        </is>
      </c>
      <c r="B35" s="39" t="inlineStr">
        <is>
          <t>Mod 2</t>
        </is>
      </c>
      <c r="C35" s="39" t="inlineStr">
        <is>
          <t>Umbral Vitality</t>
        </is>
      </c>
      <c r="D35" s="39" t="n">
        <v>10</v>
      </c>
      <c r="E35" s="39" t="inlineStr">
        <is>
          <t>Umbra</t>
        </is>
      </c>
      <c r="F35" s="39" t="n">
        <v>16</v>
      </c>
      <c r="G35" s="39" t="inlineStr">
        <is>
          <t>Warframe</t>
        </is>
      </c>
      <c r="H35" s="39" t="inlineStr">
        <is>
          <t>NO - account-bound</t>
        </is>
      </c>
      <c r="I35" s="39" t="inlineStr">
        <is>
          <t>+100% Health | +11% &lt;DT_SENTIENT&gt;Tau Resistance</t>
        </is>
      </c>
    </row>
    <row r="36">
      <c r="A36" s="39" t="inlineStr">
        <is>
          <t>Baruuk Prime</t>
        </is>
      </c>
      <c r="B36" s="39" t="inlineStr">
        <is>
          <t>Mod 3</t>
        </is>
      </c>
      <c r="C36" s="39" t="inlineStr">
        <is>
          <t>Umbral Fiber</t>
        </is>
      </c>
      <c r="D36" s="39" t="n">
        <v>10</v>
      </c>
      <c r="E36" s="39" t="inlineStr">
        <is>
          <t>Umbra</t>
        </is>
      </c>
      <c r="F36" s="39" t="n">
        <v>16</v>
      </c>
      <c r="G36" s="39" t="inlineStr">
        <is>
          <t>Warframe</t>
        </is>
      </c>
      <c r="H36" s="39" t="inlineStr">
        <is>
          <t>NO - account-bound</t>
        </is>
      </c>
      <c r="I36" s="39" t="inlineStr">
        <is>
          <t>+100% Armor | +11% &lt;DT_SENTIENT&gt;Tau Resistance</t>
        </is>
      </c>
    </row>
    <row r="37">
      <c r="A37" s="39" t="inlineStr">
        <is>
          <t>Baruuk Prime</t>
        </is>
      </c>
      <c r="B37" s="39" t="inlineStr">
        <is>
          <t>Mod 4</t>
        </is>
      </c>
      <c r="C37" s="39" t="inlineStr">
        <is>
          <t>Primed Continuity</t>
        </is>
      </c>
      <c r="D37" s="39" t="n">
        <v>10</v>
      </c>
      <c r="E37" s="39" t="inlineStr">
        <is>
          <t>Madurai</t>
        </is>
      </c>
      <c r="F37" s="39" t="n">
        <v>14</v>
      </c>
      <c r="G37" s="39" t="inlineStr">
        <is>
          <t>Warframe</t>
        </is>
      </c>
      <c r="H37" s="39" t="inlineStr">
        <is>
          <t>Yes</t>
        </is>
      </c>
      <c r="I37" s="39" t="inlineStr">
        <is>
          <t>+55% Ability Duration</t>
        </is>
      </c>
    </row>
    <row r="38">
      <c r="A38" s="39" t="inlineStr">
        <is>
          <t>Baruuk Prime</t>
        </is>
      </c>
      <c r="B38" s="39" t="inlineStr">
        <is>
          <t>Mod 5</t>
        </is>
      </c>
      <c r="C38" s="39" t="inlineStr">
        <is>
          <t>Stretch</t>
        </is>
      </c>
      <c r="D38" s="39" t="n">
        <v>5</v>
      </c>
      <c r="E38" s="39" t="inlineStr">
        <is>
          <t>Naramon</t>
        </is>
      </c>
      <c r="F38" s="39" t="n">
        <v>9</v>
      </c>
      <c r="G38" s="39" t="inlineStr">
        <is>
          <t>Warframe</t>
        </is>
      </c>
      <c r="H38" s="39" t="inlineStr">
        <is>
          <t>Yes</t>
        </is>
      </c>
      <c r="I38" s="39" t="inlineStr">
        <is>
          <t>+45% Ability Range</t>
        </is>
      </c>
    </row>
    <row r="39">
      <c r="A39" s="39" t="inlineStr">
        <is>
          <t>Baruuk Prime</t>
        </is>
      </c>
      <c r="B39" s="39" t="inlineStr">
        <is>
          <t>Mod 6</t>
        </is>
      </c>
      <c r="C39" s="39" t="inlineStr">
        <is>
          <t>Streamline</t>
        </is>
      </c>
      <c r="D39" s="39" t="n">
        <v>5</v>
      </c>
      <c r="E39" s="39" t="inlineStr">
        <is>
          <t>Naramon</t>
        </is>
      </c>
      <c r="F39" s="39" t="n">
        <v>9</v>
      </c>
      <c r="G39" s="39" t="inlineStr">
        <is>
          <t>Warframe</t>
        </is>
      </c>
      <c r="H39" s="39" t="inlineStr">
        <is>
          <t>Yes</t>
        </is>
      </c>
      <c r="I39" s="39" t="inlineStr">
        <is>
          <t>+30% Ability Efficiency</t>
        </is>
      </c>
    </row>
    <row r="40">
      <c r="A40" s="39" t="inlineStr">
        <is>
          <t>Baruuk Prime</t>
        </is>
      </c>
      <c r="B40" s="39" t="inlineStr">
        <is>
          <t>Mod 7</t>
        </is>
      </c>
      <c r="C40" s="39" t="inlineStr">
        <is>
          <t>Rolling Guard</t>
        </is>
      </c>
      <c r="D40" s="39" t="n">
        <v>10</v>
      </c>
      <c r="E40" s="39" t="inlineStr">
        <is>
          <t>Vazarin</t>
        </is>
      </c>
      <c r="F40" s="39" t="n">
        <v>12</v>
      </c>
      <c r="G40" s="39" t="inlineStr">
        <is>
          <t>Warframe</t>
        </is>
      </c>
      <c r="H40" s="39" t="inlineStr">
        <is>
          <t>Yes</t>
        </is>
      </c>
      <c r="I40" s="39" t="inlineStr">
        <is>
          <t>On Dodge: | Become invulnerable for 3s and remove all Status Effects. 7s cooldown.</t>
        </is>
      </c>
    </row>
    <row r="41">
      <c r="A41" s="39" t="inlineStr">
        <is>
          <t>Baruuk Prime</t>
        </is>
      </c>
      <c r="B41" s="39" t="inlineStr">
        <is>
          <t>Mod 8</t>
        </is>
      </c>
      <c r="C41" s="39" t="inlineStr">
        <is>
          <t>Reactive Storm</t>
        </is>
      </c>
      <c r="D41" s="39" t="n">
        <v>3</v>
      </c>
      <c r="E41" s="39" t="inlineStr">
        <is>
          <t>Zenurik</t>
        </is>
      </c>
      <c r="F41" s="39" t="n">
        <v>9</v>
      </c>
      <c r="G41" s="39" t="inlineStr">
        <is>
          <t>Baruuk</t>
        </is>
      </c>
      <c r="H41" s="39" t="inlineStr">
        <is>
          <t>Yes</t>
        </is>
      </c>
      <c r="I41" s="39" t="inlineStr">
        <is>
          <t>Serene Storm Augment: Desert Wind is granted +250% Status Chance and changes its damage type to match enemy weaknesses.</t>
        </is>
      </c>
    </row>
    <row r="42">
      <c r="A42" s="39" t="inlineStr">
        <is>
          <t>Caliban Prime</t>
        </is>
      </c>
      <c r="B42" s="39" t="inlineStr">
        <is>
          <t>Aura</t>
        </is>
      </c>
      <c r="C42" s="39" t="inlineStr">
        <is>
          <t>Corrosive Projection</t>
        </is>
      </c>
      <c r="D42" s="39" t="n">
        <v>5</v>
      </c>
      <c r="E42" s="39" t="inlineStr">
        <is>
          <t>Naramon</t>
        </is>
      </c>
      <c r="F42" s="39" t="n">
        <v>3</v>
      </c>
      <c r="G42" s="39" t="inlineStr">
        <is>
          <t>Aura</t>
        </is>
      </c>
      <c r="H42" s="39" t="inlineStr">
        <is>
          <t>Yes</t>
        </is>
      </c>
      <c r="I42" s="39" t="inlineStr">
        <is>
          <t>Enemies lose -18% Armor</t>
        </is>
      </c>
    </row>
    <row r="43">
      <c r="A43" s="39" t="inlineStr">
        <is>
          <t>Caliban Prime</t>
        </is>
      </c>
      <c r="B43" s="39" t="inlineStr">
        <is>
          <t>Exilus</t>
        </is>
      </c>
      <c r="C43" s="39" t="inlineStr">
        <is>
          <t>Power Drift</t>
        </is>
      </c>
      <c r="D43" s="39" t="n">
        <v>5</v>
      </c>
      <c r="E43" s="39" t="inlineStr">
        <is>
          <t>Zenurik</t>
        </is>
      </c>
      <c r="F43" s="39" t="n">
        <v>9</v>
      </c>
      <c r="G43" s="39" t="inlineStr">
        <is>
          <t>Warframe</t>
        </is>
      </c>
      <c r="H43" s="39" t="inlineStr">
        <is>
          <t>Yes</t>
        </is>
      </c>
      <c r="I43" s="39" t="inlineStr">
        <is>
          <t>+15% Ability Strength | +30% Chance to Resist Knockdown</t>
        </is>
      </c>
    </row>
    <row r="44">
      <c r="A44" s="39" t="inlineStr">
        <is>
          <t>Caliban Prime</t>
        </is>
      </c>
      <c r="B44" s="39" t="inlineStr">
        <is>
          <t>Mod 1</t>
        </is>
      </c>
      <c r="C44" s="39" t="inlineStr">
        <is>
          <t>Umbral Intensify</t>
        </is>
      </c>
      <c r="D44" s="39" t="n">
        <v>10</v>
      </c>
      <c r="E44" s="39" t="inlineStr">
        <is>
          <t>Umbra</t>
        </is>
      </c>
      <c r="F44" s="39" t="n">
        <v>16</v>
      </c>
      <c r="G44" s="39" t="inlineStr">
        <is>
          <t>Warframe</t>
        </is>
      </c>
      <c r="H44" s="39" t="inlineStr">
        <is>
          <t>NO - account-bound</t>
        </is>
      </c>
      <c r="I44" s="39" t="inlineStr">
        <is>
          <t>+44% Ability Strength | +11% &lt;DT_SENTIENT&gt;Tau Resistance</t>
        </is>
      </c>
    </row>
    <row r="45">
      <c r="A45" s="39" t="inlineStr">
        <is>
          <t>Caliban Prime</t>
        </is>
      </c>
      <c r="B45" s="39" t="inlineStr">
        <is>
          <t>Mod 2</t>
        </is>
      </c>
      <c r="C45" s="39" t="inlineStr">
        <is>
          <t>Umbral Vitality</t>
        </is>
      </c>
      <c r="D45" s="39" t="n">
        <v>10</v>
      </c>
      <c r="E45" s="39" t="inlineStr">
        <is>
          <t>Umbra</t>
        </is>
      </c>
      <c r="F45" s="39" t="n">
        <v>16</v>
      </c>
      <c r="G45" s="39" t="inlineStr">
        <is>
          <t>Warframe</t>
        </is>
      </c>
      <c r="H45" s="39" t="inlineStr">
        <is>
          <t>NO - account-bound</t>
        </is>
      </c>
      <c r="I45" s="39" t="inlineStr">
        <is>
          <t>+100% Health | +11% &lt;DT_SENTIENT&gt;Tau Resistance</t>
        </is>
      </c>
    </row>
    <row r="46">
      <c r="A46" s="39" t="inlineStr">
        <is>
          <t>Caliban Prime</t>
        </is>
      </c>
      <c r="B46" s="39" t="inlineStr">
        <is>
          <t>Mod 3</t>
        </is>
      </c>
      <c r="C46" s="39" t="inlineStr">
        <is>
          <t>Umbral Fiber</t>
        </is>
      </c>
      <c r="D46" s="39" t="n">
        <v>10</v>
      </c>
      <c r="E46" s="39" t="inlineStr">
        <is>
          <t>Umbra</t>
        </is>
      </c>
      <c r="F46" s="39" t="n">
        <v>16</v>
      </c>
      <c r="G46" s="39" t="inlineStr">
        <is>
          <t>Warframe</t>
        </is>
      </c>
      <c r="H46" s="39" t="inlineStr">
        <is>
          <t>NO - account-bound</t>
        </is>
      </c>
      <c r="I46" s="39" t="inlineStr">
        <is>
          <t>+100% Armor | +11% &lt;DT_SENTIENT&gt;Tau Resistance</t>
        </is>
      </c>
    </row>
    <row r="47">
      <c r="A47" s="39" t="inlineStr">
        <is>
          <t>Caliban Prime</t>
        </is>
      </c>
      <c r="B47" s="39" t="inlineStr">
        <is>
          <t>Mod 4</t>
        </is>
      </c>
      <c r="C47" s="39" t="inlineStr">
        <is>
          <t>Primed Continuity</t>
        </is>
      </c>
      <c r="D47" s="39" t="n">
        <v>10</v>
      </c>
      <c r="E47" s="39" t="inlineStr">
        <is>
          <t>Madurai</t>
        </is>
      </c>
      <c r="F47" s="39" t="n">
        <v>14</v>
      </c>
      <c r="G47" s="39" t="inlineStr">
        <is>
          <t>Warframe</t>
        </is>
      </c>
      <c r="H47" s="39" t="inlineStr">
        <is>
          <t>Yes</t>
        </is>
      </c>
      <c r="I47" s="39" t="inlineStr">
        <is>
          <t>+55% Ability Duration</t>
        </is>
      </c>
    </row>
    <row r="48">
      <c r="A48" s="39" t="inlineStr">
        <is>
          <t>Caliban Prime</t>
        </is>
      </c>
      <c r="B48" s="39" t="inlineStr">
        <is>
          <t>Mod 5</t>
        </is>
      </c>
      <c r="C48" s="39" t="inlineStr">
        <is>
          <t>Stretch</t>
        </is>
      </c>
      <c r="D48" s="39" t="n">
        <v>5</v>
      </c>
      <c r="E48" s="39" t="inlineStr">
        <is>
          <t>Naramon</t>
        </is>
      </c>
      <c r="F48" s="39" t="n">
        <v>9</v>
      </c>
      <c r="G48" s="39" t="inlineStr">
        <is>
          <t>Warframe</t>
        </is>
      </c>
      <c r="H48" s="39" t="inlineStr">
        <is>
          <t>Yes</t>
        </is>
      </c>
      <c r="I48" s="39" t="inlineStr">
        <is>
          <t>+45% Ability Range</t>
        </is>
      </c>
    </row>
    <row r="49">
      <c r="A49" s="39" t="inlineStr">
        <is>
          <t>Caliban Prime</t>
        </is>
      </c>
      <c r="B49" s="39" t="inlineStr">
        <is>
          <t>Mod 6</t>
        </is>
      </c>
      <c r="C49" s="39" t="inlineStr">
        <is>
          <t>Augur Reach</t>
        </is>
      </c>
      <c r="D49" s="39" t="n">
        <v>5</v>
      </c>
      <c r="E49" s="39" t="inlineStr">
        <is>
          <t>Naramon</t>
        </is>
      </c>
      <c r="F49" s="39" t="n">
        <v>7</v>
      </c>
      <c r="G49" s="39" t="inlineStr">
        <is>
          <t>Warframe</t>
        </is>
      </c>
      <c r="H49" s="39" t="inlineStr">
        <is>
          <t>Yes</t>
        </is>
      </c>
      <c r="I49" s="39" t="inlineStr">
        <is>
          <t>+30% Ability Range</t>
        </is>
      </c>
    </row>
    <row r="50">
      <c r="A50" s="39" t="inlineStr">
        <is>
          <t>Caliban Prime</t>
        </is>
      </c>
      <c r="B50" s="39" t="inlineStr">
        <is>
          <t>Mod 7</t>
        </is>
      </c>
      <c r="C50" s="39" t="inlineStr">
        <is>
          <t>Streamline</t>
        </is>
      </c>
      <c r="D50" s="39" t="n">
        <v>5</v>
      </c>
      <c r="E50" s="39" t="inlineStr">
        <is>
          <t>Naramon</t>
        </is>
      </c>
      <c r="F50" s="39" t="n">
        <v>9</v>
      </c>
      <c r="G50" s="39" t="inlineStr">
        <is>
          <t>Warframe</t>
        </is>
      </c>
      <c r="H50" s="39" t="inlineStr">
        <is>
          <t>Yes</t>
        </is>
      </c>
      <c r="I50" s="39" t="inlineStr">
        <is>
          <t>+30% Ability Efficiency</t>
        </is>
      </c>
    </row>
    <row r="51">
      <c r="A51" s="39" t="inlineStr">
        <is>
          <t>Caliban Prime</t>
        </is>
      </c>
      <c r="B51" s="39" t="inlineStr">
        <is>
          <t>Mod 8</t>
        </is>
      </c>
      <c r="C51" s="39" t="inlineStr">
        <is>
          <t>Primed Flow</t>
        </is>
      </c>
      <c r="D51" s="39" t="n">
        <v>10</v>
      </c>
      <c r="E51" s="39" t="inlineStr">
        <is>
          <t>Naramon</t>
        </is>
      </c>
      <c r="F51" s="39" t="n">
        <v>14</v>
      </c>
      <c r="G51" s="39" t="inlineStr">
        <is>
          <t>Warframe</t>
        </is>
      </c>
      <c r="H51" s="39" t="inlineStr">
        <is>
          <t>Yes</t>
        </is>
      </c>
      <c r="I51" s="39" t="inlineStr">
        <is>
          <t>+185% Energy Max</t>
        </is>
      </c>
    </row>
    <row r="52">
      <c r="A52" s="39" t="inlineStr">
        <is>
          <t>Chroma Prime</t>
        </is>
      </c>
      <c r="B52" s="39" t="inlineStr">
        <is>
          <t>Aura</t>
        </is>
      </c>
      <c r="C52" s="39" t="inlineStr">
        <is>
          <t>Growing Power</t>
        </is>
      </c>
      <c r="D52" s="39" t="n">
        <v>5</v>
      </c>
      <c r="E52" s="39" t="inlineStr">
        <is>
          <t>Madurai</t>
        </is>
      </c>
      <c r="F52" s="39" t="n">
        <v>3</v>
      </c>
      <c r="G52" s="39" t="inlineStr">
        <is>
          <t>Aura</t>
        </is>
      </c>
      <c r="H52" s="39" t="inlineStr">
        <is>
          <t>Yes</t>
        </is>
      </c>
      <c r="I52" s="39" t="inlineStr">
        <is>
          <t>On Status Effect with Weapon: Squad increases personal Ability Strength by 25% for 6s.</t>
        </is>
      </c>
    </row>
    <row r="53">
      <c r="A53" s="39" t="inlineStr">
        <is>
          <t>Chroma Prime</t>
        </is>
      </c>
      <c r="B53" s="39" t="inlineStr">
        <is>
          <t>Exilus</t>
        </is>
      </c>
      <c r="C53" s="39" t="inlineStr">
        <is>
          <t>Power Drift</t>
        </is>
      </c>
      <c r="D53" s="39" t="n">
        <v>5</v>
      </c>
      <c r="E53" s="39" t="inlineStr">
        <is>
          <t>Zenurik</t>
        </is>
      </c>
      <c r="F53" s="39" t="n">
        <v>9</v>
      </c>
      <c r="G53" s="39" t="inlineStr">
        <is>
          <t>Warframe</t>
        </is>
      </c>
      <c r="H53" s="39" t="inlineStr">
        <is>
          <t>Yes</t>
        </is>
      </c>
      <c r="I53" s="39" t="inlineStr">
        <is>
          <t>+15% Ability Strength | +30% Chance to Resist Knockdown</t>
        </is>
      </c>
    </row>
    <row r="54">
      <c r="A54" s="39" t="inlineStr">
        <is>
          <t>Chroma Prime</t>
        </is>
      </c>
      <c r="B54" s="39" t="inlineStr">
        <is>
          <t>Mod 1</t>
        </is>
      </c>
      <c r="C54" s="39" t="inlineStr">
        <is>
          <t>Umbral Intensify</t>
        </is>
      </c>
      <c r="D54" s="39" t="n">
        <v>10</v>
      </c>
      <c r="E54" s="39" t="inlineStr">
        <is>
          <t>Umbra</t>
        </is>
      </c>
      <c r="F54" s="39" t="n">
        <v>16</v>
      </c>
      <c r="G54" s="39" t="inlineStr">
        <is>
          <t>Warframe</t>
        </is>
      </c>
      <c r="H54" s="39" t="inlineStr">
        <is>
          <t>NO - account-bound</t>
        </is>
      </c>
      <c r="I54" s="39" t="inlineStr">
        <is>
          <t>+44% Ability Strength | +11% &lt;DT_SENTIENT&gt;Tau Resistance</t>
        </is>
      </c>
    </row>
    <row r="55">
      <c r="A55" s="39" t="inlineStr">
        <is>
          <t>Chroma Prime</t>
        </is>
      </c>
      <c r="B55" s="39" t="inlineStr">
        <is>
          <t>Mod 2</t>
        </is>
      </c>
      <c r="C55" s="39" t="inlineStr">
        <is>
          <t>Umbral Vitality</t>
        </is>
      </c>
      <c r="D55" s="39" t="n">
        <v>10</v>
      </c>
      <c r="E55" s="39" t="inlineStr">
        <is>
          <t>Umbra</t>
        </is>
      </c>
      <c r="F55" s="39" t="n">
        <v>16</v>
      </c>
      <c r="G55" s="39" t="inlineStr">
        <is>
          <t>Warframe</t>
        </is>
      </c>
      <c r="H55" s="39" t="inlineStr">
        <is>
          <t>NO - account-bound</t>
        </is>
      </c>
      <c r="I55" s="39" t="inlineStr">
        <is>
          <t>+100% Health | +11% &lt;DT_SENTIENT&gt;Tau Resistance</t>
        </is>
      </c>
    </row>
    <row r="56">
      <c r="A56" s="39" t="inlineStr">
        <is>
          <t>Chroma Prime</t>
        </is>
      </c>
      <c r="B56" s="39" t="inlineStr">
        <is>
          <t>Mod 3</t>
        </is>
      </c>
      <c r="C56" s="39" t="inlineStr">
        <is>
          <t>Umbral Fiber</t>
        </is>
      </c>
      <c r="D56" s="39" t="n">
        <v>10</v>
      </c>
      <c r="E56" s="39" t="inlineStr">
        <is>
          <t>Umbra</t>
        </is>
      </c>
      <c r="F56" s="39" t="n">
        <v>16</v>
      </c>
      <c r="G56" s="39" t="inlineStr">
        <is>
          <t>Warframe</t>
        </is>
      </c>
      <c r="H56" s="39" t="inlineStr">
        <is>
          <t>NO - account-bound</t>
        </is>
      </c>
      <c r="I56" s="39" t="inlineStr">
        <is>
          <t>+100% Armor | +11% &lt;DT_SENTIENT&gt;Tau Resistance</t>
        </is>
      </c>
    </row>
    <row r="57">
      <c r="A57" s="39" t="inlineStr">
        <is>
          <t>Chroma Prime</t>
        </is>
      </c>
      <c r="B57" s="39" t="inlineStr">
        <is>
          <t>Mod 4</t>
        </is>
      </c>
      <c r="C57" s="39" t="inlineStr">
        <is>
          <t>Primed Continuity</t>
        </is>
      </c>
      <c r="D57" s="39" t="n">
        <v>10</v>
      </c>
      <c r="E57" s="39" t="inlineStr">
        <is>
          <t>Madurai</t>
        </is>
      </c>
      <c r="F57" s="39" t="n">
        <v>14</v>
      </c>
      <c r="G57" s="39" t="inlineStr">
        <is>
          <t>Warframe</t>
        </is>
      </c>
      <c r="H57" s="39" t="inlineStr">
        <is>
          <t>Yes</t>
        </is>
      </c>
      <c r="I57" s="39" t="inlineStr">
        <is>
          <t>+55% Ability Duration</t>
        </is>
      </c>
    </row>
    <row r="58">
      <c r="A58" s="39" t="inlineStr">
        <is>
          <t>Chroma Prime</t>
        </is>
      </c>
      <c r="B58" s="39" t="inlineStr">
        <is>
          <t>Mod 5</t>
        </is>
      </c>
      <c r="C58" s="39" t="inlineStr">
        <is>
          <t>Primed Flow</t>
        </is>
      </c>
      <c r="D58" s="39" t="n">
        <v>10</v>
      </c>
      <c r="E58" s="39" t="inlineStr">
        <is>
          <t>Naramon</t>
        </is>
      </c>
      <c r="F58" s="39" t="n">
        <v>14</v>
      </c>
      <c r="G58" s="39" t="inlineStr">
        <is>
          <t>Warframe</t>
        </is>
      </c>
      <c r="H58" s="39" t="inlineStr">
        <is>
          <t>Yes</t>
        </is>
      </c>
      <c r="I58" s="39" t="inlineStr">
        <is>
          <t>+185% Energy Max</t>
        </is>
      </c>
    </row>
    <row r="59">
      <c r="A59" s="39" t="inlineStr">
        <is>
          <t>Chroma Prime</t>
        </is>
      </c>
      <c r="B59" s="39" t="inlineStr">
        <is>
          <t>Mod 6</t>
        </is>
      </c>
      <c r="C59" s="39" t="inlineStr">
        <is>
          <t>Streamline</t>
        </is>
      </c>
      <c r="D59" s="39" t="n">
        <v>5</v>
      </c>
      <c r="E59" s="39" t="inlineStr">
        <is>
          <t>Naramon</t>
        </is>
      </c>
      <c r="F59" s="39" t="n">
        <v>9</v>
      </c>
      <c r="G59" s="39" t="inlineStr">
        <is>
          <t>Warframe</t>
        </is>
      </c>
      <c r="H59" s="39" t="inlineStr">
        <is>
          <t>Yes</t>
        </is>
      </c>
      <c r="I59" s="39" t="inlineStr">
        <is>
          <t>+30% Ability Efficiency</t>
        </is>
      </c>
    </row>
    <row r="60">
      <c r="A60" s="39" t="inlineStr">
        <is>
          <t>Chroma Prime</t>
        </is>
      </c>
      <c r="B60" s="39" t="inlineStr">
        <is>
          <t>Mod 7</t>
        </is>
      </c>
      <c r="C60" s="39" t="inlineStr">
        <is>
          <t>Stretch</t>
        </is>
      </c>
      <c r="D60" s="39" t="n">
        <v>5</v>
      </c>
      <c r="E60" s="39" t="inlineStr">
        <is>
          <t>Naramon</t>
        </is>
      </c>
      <c r="F60" s="39" t="n">
        <v>9</v>
      </c>
      <c r="G60" s="39" t="inlineStr">
        <is>
          <t>Warframe</t>
        </is>
      </c>
      <c r="H60" s="39" t="inlineStr">
        <is>
          <t>Yes</t>
        </is>
      </c>
      <c r="I60" s="39" t="inlineStr">
        <is>
          <t>+45% Ability Range</t>
        </is>
      </c>
    </row>
    <row r="61">
      <c r="A61" s="39" t="inlineStr">
        <is>
          <t>Chroma Prime</t>
        </is>
      </c>
      <c r="B61" s="39" t="inlineStr">
        <is>
          <t>Mod 8</t>
        </is>
      </c>
      <c r="C61" s="39" t="inlineStr">
        <is>
          <t>Guardian Armor</t>
        </is>
      </c>
      <c r="D61" s="39" t="n">
        <v>3</v>
      </c>
      <c r="E61" s="39" t="inlineStr">
        <is>
          <t>Zenurik</t>
        </is>
      </c>
      <c r="F61" s="39" t="n">
        <v>9</v>
      </c>
      <c r="G61" s="39" t="inlineStr">
        <is>
          <t>Chroma</t>
        </is>
      </c>
      <c r="H61" s="39" t="inlineStr">
        <is>
          <t>Yes</t>
        </is>
      </c>
      <c r="I61" s="39" t="inlineStr">
        <is>
          <t xml:space="preserve">Vex Armor Augment: Chroma reduces the damage his squadmates within &lt;AFFINITY_SHARE&gt;Affinity Range take by 75%. Squad kills restore 5% of his Health over 3s and </t>
        </is>
      </c>
    </row>
    <row r="62">
      <c r="A62" s="39" t="inlineStr">
        <is>
          <t>Citrine Prime</t>
        </is>
      </c>
      <c r="B62" s="39" t="inlineStr">
        <is>
          <t>Aura</t>
        </is>
      </c>
      <c r="C62" s="39" t="inlineStr">
        <is>
          <t>Growing Power</t>
        </is>
      </c>
      <c r="D62" s="39" t="n">
        <v>5</v>
      </c>
      <c r="E62" s="39" t="inlineStr">
        <is>
          <t>Madurai</t>
        </is>
      </c>
      <c r="F62" s="39" t="n">
        <v>3</v>
      </c>
      <c r="G62" s="39" t="inlineStr">
        <is>
          <t>Aura</t>
        </is>
      </c>
      <c r="H62" s="39" t="inlineStr">
        <is>
          <t>Yes</t>
        </is>
      </c>
      <c r="I62" s="39" t="inlineStr">
        <is>
          <t>On Status Effect with Weapon: Squad increases personal Ability Strength by 25% for 6s.</t>
        </is>
      </c>
    </row>
    <row r="63">
      <c r="A63" s="39" t="inlineStr">
        <is>
          <t>Citrine Prime</t>
        </is>
      </c>
      <c r="B63" s="39" t="inlineStr">
        <is>
          <t>Exilus</t>
        </is>
      </c>
      <c r="C63" s="39" t="inlineStr">
        <is>
          <t>Power Drift</t>
        </is>
      </c>
      <c r="D63" s="39" t="n">
        <v>5</v>
      </c>
      <c r="E63" s="39" t="inlineStr">
        <is>
          <t>Zenurik</t>
        </is>
      </c>
      <c r="F63" s="39" t="n">
        <v>9</v>
      </c>
      <c r="G63" s="39" t="inlineStr">
        <is>
          <t>Warframe</t>
        </is>
      </c>
      <c r="H63" s="39" t="inlineStr">
        <is>
          <t>Yes</t>
        </is>
      </c>
      <c r="I63" s="39" t="inlineStr">
        <is>
          <t>+15% Ability Strength | +30% Chance to Resist Knockdown</t>
        </is>
      </c>
    </row>
    <row r="64">
      <c r="A64" s="39" t="inlineStr">
        <is>
          <t>Citrine Prime</t>
        </is>
      </c>
      <c r="B64" s="39" t="inlineStr">
        <is>
          <t>Mod 1</t>
        </is>
      </c>
      <c r="C64" s="39" t="inlineStr">
        <is>
          <t>Umbral Intensify</t>
        </is>
      </c>
      <c r="D64" s="39" t="n">
        <v>10</v>
      </c>
      <c r="E64" s="39" t="inlineStr">
        <is>
          <t>Umbra</t>
        </is>
      </c>
      <c r="F64" s="39" t="n">
        <v>16</v>
      </c>
      <c r="G64" s="39" t="inlineStr">
        <is>
          <t>Warframe</t>
        </is>
      </c>
      <c r="H64" s="39" t="inlineStr">
        <is>
          <t>NO - account-bound</t>
        </is>
      </c>
      <c r="I64" s="39" t="inlineStr">
        <is>
          <t>+44% Ability Strength | +11% &lt;DT_SENTIENT&gt;Tau Resistance</t>
        </is>
      </c>
    </row>
    <row r="65">
      <c r="A65" s="39" t="inlineStr">
        <is>
          <t>Citrine Prime</t>
        </is>
      </c>
      <c r="B65" s="39" t="inlineStr">
        <is>
          <t>Mod 2</t>
        </is>
      </c>
      <c r="C65" s="39" t="inlineStr">
        <is>
          <t>Umbral Vitality</t>
        </is>
      </c>
      <c r="D65" s="39" t="n">
        <v>10</v>
      </c>
      <c r="E65" s="39" t="inlineStr">
        <is>
          <t>Umbra</t>
        </is>
      </c>
      <c r="F65" s="39" t="n">
        <v>16</v>
      </c>
      <c r="G65" s="39" t="inlineStr">
        <is>
          <t>Warframe</t>
        </is>
      </c>
      <c r="H65" s="39" t="inlineStr">
        <is>
          <t>NO - account-bound</t>
        </is>
      </c>
      <c r="I65" s="39" t="inlineStr">
        <is>
          <t>+100% Health | +11% &lt;DT_SENTIENT&gt;Tau Resistance</t>
        </is>
      </c>
    </row>
    <row r="66">
      <c r="A66" s="39" t="inlineStr">
        <is>
          <t>Citrine Prime</t>
        </is>
      </c>
      <c r="B66" s="39" t="inlineStr">
        <is>
          <t>Mod 3</t>
        </is>
      </c>
      <c r="C66" s="39" t="inlineStr">
        <is>
          <t>Umbral Fiber</t>
        </is>
      </c>
      <c r="D66" s="39" t="n">
        <v>10</v>
      </c>
      <c r="E66" s="39" t="inlineStr">
        <is>
          <t>Umbra</t>
        </is>
      </c>
      <c r="F66" s="39" t="n">
        <v>16</v>
      </c>
      <c r="G66" s="39" t="inlineStr">
        <is>
          <t>Warframe</t>
        </is>
      </c>
      <c r="H66" s="39" t="inlineStr">
        <is>
          <t>NO - account-bound</t>
        </is>
      </c>
      <c r="I66" s="39" t="inlineStr">
        <is>
          <t>+100% Armor | +11% &lt;DT_SENTIENT&gt;Tau Resistance</t>
        </is>
      </c>
    </row>
    <row r="67">
      <c r="A67" s="39" t="inlineStr">
        <is>
          <t>Citrine Prime</t>
        </is>
      </c>
      <c r="B67" s="39" t="inlineStr">
        <is>
          <t>Mod 4</t>
        </is>
      </c>
      <c r="C67" s="39" t="inlineStr">
        <is>
          <t>Primed Continuity</t>
        </is>
      </c>
      <c r="D67" s="39" t="n">
        <v>10</v>
      </c>
      <c r="E67" s="39" t="inlineStr">
        <is>
          <t>Madurai</t>
        </is>
      </c>
      <c r="F67" s="39" t="n">
        <v>14</v>
      </c>
      <c r="G67" s="39" t="inlineStr">
        <is>
          <t>Warframe</t>
        </is>
      </c>
      <c r="H67" s="39" t="inlineStr">
        <is>
          <t>Yes</t>
        </is>
      </c>
      <c r="I67" s="39" t="inlineStr">
        <is>
          <t>+55% Ability Duration</t>
        </is>
      </c>
    </row>
    <row r="68">
      <c r="A68" s="39" t="inlineStr">
        <is>
          <t>Citrine Prime</t>
        </is>
      </c>
      <c r="B68" s="39" t="inlineStr">
        <is>
          <t>Mod 5</t>
        </is>
      </c>
      <c r="C68" s="39" t="inlineStr">
        <is>
          <t>Stretch</t>
        </is>
      </c>
      <c r="D68" s="39" t="n">
        <v>5</v>
      </c>
      <c r="E68" s="39" t="inlineStr">
        <is>
          <t>Naramon</t>
        </is>
      </c>
      <c r="F68" s="39" t="n">
        <v>9</v>
      </c>
      <c r="G68" s="39" t="inlineStr">
        <is>
          <t>Warframe</t>
        </is>
      </c>
      <c r="H68" s="39" t="inlineStr">
        <is>
          <t>Yes</t>
        </is>
      </c>
      <c r="I68" s="39" t="inlineStr">
        <is>
          <t>+45% Ability Range</t>
        </is>
      </c>
    </row>
    <row r="69">
      <c r="A69" s="39" t="inlineStr">
        <is>
          <t>Citrine Prime</t>
        </is>
      </c>
      <c r="B69" s="39" t="inlineStr">
        <is>
          <t>Mod 6</t>
        </is>
      </c>
      <c r="C69" s="39" t="inlineStr">
        <is>
          <t>Primed Flow</t>
        </is>
      </c>
      <c r="D69" s="39" t="n">
        <v>10</v>
      </c>
      <c r="E69" s="39" t="inlineStr">
        <is>
          <t>Naramon</t>
        </is>
      </c>
      <c r="F69" s="39" t="n">
        <v>14</v>
      </c>
      <c r="G69" s="39" t="inlineStr">
        <is>
          <t>Warframe</t>
        </is>
      </c>
      <c r="H69" s="39" t="inlineStr">
        <is>
          <t>Yes</t>
        </is>
      </c>
      <c r="I69" s="39" t="inlineStr">
        <is>
          <t>+185% Energy Max</t>
        </is>
      </c>
    </row>
    <row r="70">
      <c r="A70" s="39" t="inlineStr">
        <is>
          <t>Citrine Prime</t>
        </is>
      </c>
      <c r="B70" s="39" t="inlineStr">
        <is>
          <t>Mod 7</t>
        </is>
      </c>
      <c r="C70" s="39" t="inlineStr">
        <is>
          <t>Streamline</t>
        </is>
      </c>
      <c r="D70" s="39" t="n">
        <v>5</v>
      </c>
      <c r="E70" s="39" t="inlineStr">
        <is>
          <t>Naramon</t>
        </is>
      </c>
      <c r="F70" s="39" t="n">
        <v>9</v>
      </c>
      <c r="G70" s="39" t="inlineStr">
        <is>
          <t>Warframe</t>
        </is>
      </c>
      <c r="H70" s="39" t="inlineStr">
        <is>
          <t>Yes</t>
        </is>
      </c>
      <c r="I70" s="39" t="inlineStr">
        <is>
          <t>+30% Ability Efficiency</t>
        </is>
      </c>
    </row>
    <row r="71">
      <c r="A71" s="39" t="inlineStr">
        <is>
          <t>Citrine Prime</t>
        </is>
      </c>
      <c r="B71" s="39" t="inlineStr">
        <is>
          <t>Mod 8</t>
        </is>
      </c>
      <c r="C71" s="39" t="inlineStr">
        <is>
          <t>Prismatic Companion</t>
        </is>
      </c>
      <c r="D71" s="39" t="n">
        <v>3</v>
      </c>
      <c r="E71" s="39" t="inlineStr">
        <is>
          <t>Zenurik</t>
        </is>
      </c>
      <c r="F71" s="39" t="n">
        <v>9</v>
      </c>
      <c r="G71" s="39" t="inlineStr">
        <is>
          <t>Citrine</t>
        </is>
      </c>
      <c r="H71" s="39" t="inlineStr">
        <is>
          <t>Yes</t>
        </is>
      </c>
      <c r="I71" s="39" t="inlineStr">
        <is>
          <t>Prismatic Gem Augment: The gem now attaches to your free-moving companion.  | Passive : +50% Prismatic Gem Duration.</t>
        </is>
      </c>
    </row>
    <row r="72">
      <c r="A72" s="39" t="inlineStr">
        <is>
          <t>Cyte-09</t>
        </is>
      </c>
      <c r="B72" s="39" t="inlineStr">
        <is>
          <t>Aura</t>
        </is>
      </c>
      <c r="C72" s="39" t="inlineStr">
        <is>
          <t>Growing Power</t>
        </is>
      </c>
      <c r="D72" s="39" t="n">
        <v>5</v>
      </c>
      <c r="E72" s="39" t="inlineStr">
        <is>
          <t>Madurai</t>
        </is>
      </c>
      <c r="F72" s="39" t="n">
        <v>3</v>
      </c>
      <c r="G72" s="39" t="inlineStr">
        <is>
          <t>Aura</t>
        </is>
      </c>
      <c r="H72" s="39" t="inlineStr">
        <is>
          <t>Yes</t>
        </is>
      </c>
      <c r="I72" s="39" t="inlineStr">
        <is>
          <t>On Status Effect with Weapon: Squad increases personal Ability Strength by 25% for 6s.</t>
        </is>
      </c>
    </row>
    <row r="73">
      <c r="A73" s="39" t="inlineStr">
        <is>
          <t>Cyte-09</t>
        </is>
      </c>
      <c r="B73" s="39" t="inlineStr">
        <is>
          <t>Exilus</t>
        </is>
      </c>
      <c r="C73" s="39" t="inlineStr">
        <is>
          <t>Power Drift</t>
        </is>
      </c>
      <c r="D73" s="39" t="n">
        <v>5</v>
      </c>
      <c r="E73" s="39" t="inlineStr">
        <is>
          <t>Zenurik</t>
        </is>
      </c>
      <c r="F73" s="39" t="n">
        <v>9</v>
      </c>
      <c r="G73" s="39" t="inlineStr">
        <is>
          <t>Warframe</t>
        </is>
      </c>
      <c r="H73" s="39" t="inlineStr">
        <is>
          <t>Yes</t>
        </is>
      </c>
      <c r="I73" s="39" t="inlineStr">
        <is>
          <t>+15% Ability Strength | +30% Chance to Resist Knockdown</t>
        </is>
      </c>
    </row>
    <row r="74">
      <c r="A74" s="39" t="inlineStr">
        <is>
          <t>Cyte-09</t>
        </is>
      </c>
      <c r="B74" s="39" t="inlineStr">
        <is>
          <t>Mod 1</t>
        </is>
      </c>
      <c r="C74" s="39" t="inlineStr">
        <is>
          <t>Umbral Intensify</t>
        </is>
      </c>
      <c r="D74" s="39" t="n">
        <v>10</v>
      </c>
      <c r="E74" s="39" t="inlineStr">
        <is>
          <t>Umbra</t>
        </is>
      </c>
      <c r="F74" s="39" t="n">
        <v>16</v>
      </c>
      <c r="G74" s="39" t="inlineStr">
        <is>
          <t>Warframe</t>
        </is>
      </c>
      <c r="H74" s="39" t="inlineStr">
        <is>
          <t>NO - account-bound</t>
        </is>
      </c>
      <c r="I74" s="39" t="inlineStr">
        <is>
          <t>+44% Ability Strength | +11% &lt;DT_SENTIENT&gt;Tau Resistance</t>
        </is>
      </c>
    </row>
    <row r="75">
      <c r="A75" s="39" t="inlineStr">
        <is>
          <t>Cyte-09</t>
        </is>
      </c>
      <c r="B75" s="39" t="inlineStr">
        <is>
          <t>Mod 2</t>
        </is>
      </c>
      <c r="C75" s="39" t="inlineStr">
        <is>
          <t>Umbral Vitality</t>
        </is>
      </c>
      <c r="D75" s="39" t="n">
        <v>10</v>
      </c>
      <c r="E75" s="39" t="inlineStr">
        <is>
          <t>Umbra</t>
        </is>
      </c>
      <c r="F75" s="39" t="n">
        <v>16</v>
      </c>
      <c r="G75" s="39" t="inlineStr">
        <is>
          <t>Warframe</t>
        </is>
      </c>
      <c r="H75" s="39" t="inlineStr">
        <is>
          <t>NO - account-bound</t>
        </is>
      </c>
      <c r="I75" s="39" t="inlineStr">
        <is>
          <t>+100% Health | +11% &lt;DT_SENTIENT&gt;Tau Resistance</t>
        </is>
      </c>
    </row>
    <row r="76">
      <c r="A76" s="39" t="inlineStr">
        <is>
          <t>Cyte-09</t>
        </is>
      </c>
      <c r="B76" s="39" t="inlineStr">
        <is>
          <t>Mod 3</t>
        </is>
      </c>
      <c r="C76" s="39" t="inlineStr">
        <is>
          <t>Umbral Fiber</t>
        </is>
      </c>
      <c r="D76" s="39" t="n">
        <v>10</v>
      </c>
      <c r="E76" s="39" t="inlineStr">
        <is>
          <t>Umbra</t>
        </is>
      </c>
      <c r="F76" s="39" t="n">
        <v>16</v>
      </c>
      <c r="G76" s="39" t="inlineStr">
        <is>
          <t>Warframe</t>
        </is>
      </c>
      <c r="H76" s="39" t="inlineStr">
        <is>
          <t>NO - account-bound</t>
        </is>
      </c>
      <c r="I76" s="39" t="inlineStr">
        <is>
          <t>+100% Armor | +11% &lt;DT_SENTIENT&gt;Tau Resistance</t>
        </is>
      </c>
    </row>
    <row r="77">
      <c r="A77" s="39" t="inlineStr">
        <is>
          <t>Cyte-09</t>
        </is>
      </c>
      <c r="B77" s="39" t="inlineStr">
        <is>
          <t>Mod 4</t>
        </is>
      </c>
      <c r="C77" s="39" t="inlineStr">
        <is>
          <t>Primed Continuity</t>
        </is>
      </c>
      <c r="D77" s="39" t="n">
        <v>10</v>
      </c>
      <c r="E77" s="39" t="inlineStr">
        <is>
          <t>Madurai</t>
        </is>
      </c>
      <c r="F77" s="39" t="n">
        <v>14</v>
      </c>
      <c r="G77" s="39" t="inlineStr">
        <is>
          <t>Warframe</t>
        </is>
      </c>
      <c r="H77" s="39" t="inlineStr">
        <is>
          <t>Yes</t>
        </is>
      </c>
      <c r="I77" s="39" t="inlineStr">
        <is>
          <t>+55% Ability Duration</t>
        </is>
      </c>
    </row>
    <row r="78">
      <c r="A78" s="39" t="inlineStr">
        <is>
          <t>Cyte-09</t>
        </is>
      </c>
      <c r="B78" s="39" t="inlineStr">
        <is>
          <t>Mod 5</t>
        </is>
      </c>
      <c r="C78" s="39" t="inlineStr">
        <is>
          <t>Primed Flow</t>
        </is>
      </c>
      <c r="D78" s="39" t="n">
        <v>10</v>
      </c>
      <c r="E78" s="39" t="inlineStr">
        <is>
          <t>Naramon</t>
        </is>
      </c>
      <c r="F78" s="39" t="n">
        <v>14</v>
      </c>
      <c r="G78" s="39" t="inlineStr">
        <is>
          <t>Warframe</t>
        </is>
      </c>
      <c r="H78" s="39" t="inlineStr">
        <is>
          <t>Yes</t>
        </is>
      </c>
      <c r="I78" s="39" t="inlineStr">
        <is>
          <t>+185% Energy Max</t>
        </is>
      </c>
    </row>
    <row r="79">
      <c r="A79" s="39" t="inlineStr">
        <is>
          <t>Cyte-09</t>
        </is>
      </c>
      <c r="B79" s="39" t="inlineStr">
        <is>
          <t>Mod 6</t>
        </is>
      </c>
      <c r="C79" s="39" t="inlineStr">
        <is>
          <t>Streamline</t>
        </is>
      </c>
      <c r="D79" s="39" t="n">
        <v>5</v>
      </c>
      <c r="E79" s="39" t="inlineStr">
        <is>
          <t>Naramon</t>
        </is>
      </c>
      <c r="F79" s="39" t="n">
        <v>9</v>
      </c>
      <c r="G79" s="39" t="inlineStr">
        <is>
          <t>Warframe</t>
        </is>
      </c>
      <c r="H79" s="39" t="inlineStr">
        <is>
          <t>Yes</t>
        </is>
      </c>
      <c r="I79" s="39" t="inlineStr">
        <is>
          <t>+30% Ability Efficiency</t>
        </is>
      </c>
    </row>
    <row r="80">
      <c r="A80" s="39" t="inlineStr">
        <is>
          <t>Cyte-09</t>
        </is>
      </c>
      <c r="B80" s="39" t="inlineStr">
        <is>
          <t>Mod 7</t>
        </is>
      </c>
      <c r="C80" s="39" t="inlineStr">
        <is>
          <t>Stretch</t>
        </is>
      </c>
      <c r="D80" s="39" t="n">
        <v>5</v>
      </c>
      <c r="E80" s="39" t="inlineStr">
        <is>
          <t>Naramon</t>
        </is>
      </c>
      <c r="F80" s="39" t="n">
        <v>9</v>
      </c>
      <c r="G80" s="39" t="inlineStr">
        <is>
          <t>Warframe</t>
        </is>
      </c>
      <c r="H80" s="39" t="inlineStr">
        <is>
          <t>Yes</t>
        </is>
      </c>
      <c r="I80" s="39" t="inlineStr">
        <is>
          <t>+45% Ability Range</t>
        </is>
      </c>
    </row>
    <row r="81">
      <c r="A81" s="39" t="inlineStr">
        <is>
          <t>Cyte-09</t>
        </is>
      </c>
      <c r="B81" s="39" t="inlineStr">
        <is>
          <t>Mod 8</t>
        </is>
      </c>
      <c r="C81" s="39" t="inlineStr">
        <is>
          <t>Rolling Guard</t>
        </is>
      </c>
      <c r="D81" s="39" t="n">
        <v>10</v>
      </c>
      <c r="E81" s="39" t="inlineStr">
        <is>
          <t>Vazarin</t>
        </is>
      </c>
      <c r="F81" s="39" t="n">
        <v>12</v>
      </c>
      <c r="G81" s="39" t="inlineStr">
        <is>
          <t>Warframe</t>
        </is>
      </c>
      <c r="H81" s="39" t="inlineStr">
        <is>
          <t>Yes</t>
        </is>
      </c>
      <c r="I81" s="39" t="inlineStr">
        <is>
          <t>On Dodge: | Become invulnerable for 3s and remove all Status Effects. 7s cooldown.</t>
        </is>
      </c>
    </row>
    <row r="82">
      <c r="A82" s="39" t="inlineStr">
        <is>
          <t>Dagath</t>
        </is>
      </c>
      <c r="B82" s="39" t="inlineStr">
        <is>
          <t>Aura</t>
        </is>
      </c>
      <c r="C82" s="39" t="inlineStr">
        <is>
          <t>Growing Power</t>
        </is>
      </c>
      <c r="D82" s="39" t="n">
        <v>5</v>
      </c>
      <c r="E82" s="39" t="inlineStr">
        <is>
          <t>Madurai</t>
        </is>
      </c>
      <c r="F82" s="39" t="n">
        <v>3</v>
      </c>
      <c r="G82" s="39" t="inlineStr">
        <is>
          <t>Aura</t>
        </is>
      </c>
      <c r="H82" s="39" t="inlineStr">
        <is>
          <t>Yes</t>
        </is>
      </c>
      <c r="I82" s="39" t="inlineStr">
        <is>
          <t>On Status Effect with Weapon: Squad increases personal Ability Strength by 25% for 6s.</t>
        </is>
      </c>
    </row>
    <row r="83">
      <c r="A83" s="39" t="inlineStr">
        <is>
          <t>Dagath</t>
        </is>
      </c>
      <c r="B83" s="39" t="inlineStr">
        <is>
          <t>Exilus</t>
        </is>
      </c>
      <c r="C83" s="39" t="inlineStr">
        <is>
          <t>Power Drift</t>
        </is>
      </c>
      <c r="D83" s="39" t="n">
        <v>5</v>
      </c>
      <c r="E83" s="39" t="inlineStr">
        <is>
          <t>Zenurik</t>
        </is>
      </c>
      <c r="F83" s="39" t="n">
        <v>9</v>
      </c>
      <c r="G83" s="39" t="inlineStr">
        <is>
          <t>Warframe</t>
        </is>
      </c>
      <c r="H83" s="39" t="inlineStr">
        <is>
          <t>Yes</t>
        </is>
      </c>
      <c r="I83" s="39" t="inlineStr">
        <is>
          <t>+15% Ability Strength | +30% Chance to Resist Knockdown</t>
        </is>
      </c>
    </row>
    <row r="84">
      <c r="A84" s="39" t="inlineStr">
        <is>
          <t>Dagath</t>
        </is>
      </c>
      <c r="B84" s="39" t="inlineStr">
        <is>
          <t>Mod 1</t>
        </is>
      </c>
      <c r="C84" s="39" t="inlineStr">
        <is>
          <t>Umbral Intensify</t>
        </is>
      </c>
      <c r="D84" s="39" t="n">
        <v>10</v>
      </c>
      <c r="E84" s="39" t="inlineStr">
        <is>
          <t>Umbra</t>
        </is>
      </c>
      <c r="F84" s="39" t="n">
        <v>16</v>
      </c>
      <c r="G84" s="39" t="inlineStr">
        <is>
          <t>Warframe</t>
        </is>
      </c>
      <c r="H84" s="39" t="inlineStr">
        <is>
          <t>NO - account-bound</t>
        </is>
      </c>
      <c r="I84" s="39" t="inlineStr">
        <is>
          <t>+44% Ability Strength | +11% &lt;DT_SENTIENT&gt;Tau Resistance</t>
        </is>
      </c>
    </row>
    <row r="85">
      <c r="A85" s="39" t="inlineStr">
        <is>
          <t>Dagath</t>
        </is>
      </c>
      <c r="B85" s="39" t="inlineStr">
        <is>
          <t>Mod 2</t>
        </is>
      </c>
      <c r="C85" s="39" t="inlineStr">
        <is>
          <t>Umbral Vitality</t>
        </is>
      </c>
      <c r="D85" s="39" t="n">
        <v>10</v>
      </c>
      <c r="E85" s="39" t="inlineStr">
        <is>
          <t>Umbra</t>
        </is>
      </c>
      <c r="F85" s="39" t="n">
        <v>16</v>
      </c>
      <c r="G85" s="39" t="inlineStr">
        <is>
          <t>Warframe</t>
        </is>
      </c>
      <c r="H85" s="39" t="inlineStr">
        <is>
          <t>NO - account-bound</t>
        </is>
      </c>
      <c r="I85" s="39" t="inlineStr">
        <is>
          <t>+100% Health | +11% &lt;DT_SENTIENT&gt;Tau Resistance</t>
        </is>
      </c>
    </row>
    <row r="86">
      <c r="A86" s="39" t="inlineStr">
        <is>
          <t>Dagath</t>
        </is>
      </c>
      <c r="B86" s="39" t="inlineStr">
        <is>
          <t>Mod 3</t>
        </is>
      </c>
      <c r="C86" s="39" t="inlineStr">
        <is>
          <t>Umbral Fiber</t>
        </is>
      </c>
      <c r="D86" s="39" t="n">
        <v>10</v>
      </c>
      <c r="E86" s="39" t="inlineStr">
        <is>
          <t>Umbra</t>
        </is>
      </c>
      <c r="F86" s="39" t="n">
        <v>16</v>
      </c>
      <c r="G86" s="39" t="inlineStr">
        <is>
          <t>Warframe</t>
        </is>
      </c>
      <c r="H86" s="39" t="inlineStr">
        <is>
          <t>NO - account-bound</t>
        </is>
      </c>
      <c r="I86" s="39" t="inlineStr">
        <is>
          <t>+100% Armor | +11% &lt;DT_SENTIENT&gt;Tau Resistance</t>
        </is>
      </c>
    </row>
    <row r="87">
      <c r="A87" s="39" t="inlineStr">
        <is>
          <t>Dagath</t>
        </is>
      </c>
      <c r="B87" s="39" t="inlineStr">
        <is>
          <t>Mod 4</t>
        </is>
      </c>
      <c r="C87" s="39" t="inlineStr">
        <is>
          <t>Primed Continuity</t>
        </is>
      </c>
      <c r="D87" s="39" t="n">
        <v>10</v>
      </c>
      <c r="E87" s="39" t="inlineStr">
        <is>
          <t>Madurai</t>
        </is>
      </c>
      <c r="F87" s="39" t="n">
        <v>14</v>
      </c>
      <c r="G87" s="39" t="inlineStr">
        <is>
          <t>Warframe</t>
        </is>
      </c>
      <c r="H87" s="39" t="inlineStr">
        <is>
          <t>Yes</t>
        </is>
      </c>
      <c r="I87" s="39" t="inlineStr">
        <is>
          <t>+55% Ability Duration</t>
        </is>
      </c>
    </row>
    <row r="88">
      <c r="A88" s="39" t="inlineStr">
        <is>
          <t>Dagath</t>
        </is>
      </c>
      <c r="B88" s="39" t="inlineStr">
        <is>
          <t>Mod 5</t>
        </is>
      </c>
      <c r="C88" s="39" t="inlineStr">
        <is>
          <t>Stretch</t>
        </is>
      </c>
      <c r="D88" s="39" t="n">
        <v>5</v>
      </c>
      <c r="E88" s="39" t="inlineStr">
        <is>
          <t>Naramon</t>
        </is>
      </c>
      <c r="F88" s="39" t="n">
        <v>9</v>
      </c>
      <c r="G88" s="39" t="inlineStr">
        <is>
          <t>Warframe</t>
        </is>
      </c>
      <c r="H88" s="39" t="inlineStr">
        <is>
          <t>Yes</t>
        </is>
      </c>
      <c r="I88" s="39" t="inlineStr">
        <is>
          <t>+45% Ability Range</t>
        </is>
      </c>
    </row>
    <row r="89">
      <c r="A89" s="39" t="inlineStr">
        <is>
          <t>Dagath</t>
        </is>
      </c>
      <c r="B89" s="39" t="inlineStr">
        <is>
          <t>Mod 6</t>
        </is>
      </c>
      <c r="C89" s="39" t="inlineStr">
        <is>
          <t>Primed Flow</t>
        </is>
      </c>
      <c r="D89" s="39" t="n">
        <v>10</v>
      </c>
      <c r="E89" s="39" t="inlineStr">
        <is>
          <t>Naramon</t>
        </is>
      </c>
      <c r="F89" s="39" t="n">
        <v>14</v>
      </c>
      <c r="G89" s="39" t="inlineStr">
        <is>
          <t>Warframe</t>
        </is>
      </c>
      <c r="H89" s="39" t="inlineStr">
        <is>
          <t>Yes</t>
        </is>
      </c>
      <c r="I89" s="39" t="inlineStr">
        <is>
          <t>+185% Energy Max</t>
        </is>
      </c>
    </row>
    <row r="90">
      <c r="A90" s="39" t="inlineStr">
        <is>
          <t>Dagath</t>
        </is>
      </c>
      <c r="B90" s="39" t="inlineStr">
        <is>
          <t>Mod 7</t>
        </is>
      </c>
      <c r="C90" s="39" t="inlineStr">
        <is>
          <t>Streamline</t>
        </is>
      </c>
      <c r="D90" s="39" t="n">
        <v>5</v>
      </c>
      <c r="E90" s="39" t="inlineStr">
        <is>
          <t>Naramon</t>
        </is>
      </c>
      <c r="F90" s="39" t="n">
        <v>9</v>
      </c>
      <c r="G90" s="39" t="inlineStr">
        <is>
          <t>Warframe</t>
        </is>
      </c>
      <c r="H90" s="39" t="inlineStr">
        <is>
          <t>Yes</t>
        </is>
      </c>
      <c r="I90" s="39" t="inlineStr">
        <is>
          <t>+30% Ability Efficiency</t>
        </is>
      </c>
    </row>
    <row r="91">
      <c r="A91" s="39" t="inlineStr">
        <is>
          <t>Dagath</t>
        </is>
      </c>
      <c r="B91" s="39" t="inlineStr">
        <is>
          <t>Mod 8</t>
        </is>
      </c>
      <c r="C91" s="39" t="inlineStr">
        <is>
          <t>Spectral Spirit</t>
        </is>
      </c>
      <c r="D91" s="39" t="n">
        <v>3</v>
      </c>
      <c r="E91" s="39" t="inlineStr">
        <is>
          <t>Zenurik</t>
        </is>
      </c>
      <c r="F91" s="39" t="n">
        <v>9</v>
      </c>
      <c r="G91" s="39" t="inlineStr">
        <is>
          <t>Dagath</t>
        </is>
      </c>
      <c r="H91" s="39" t="inlineStr">
        <is>
          <t>Yes</t>
        </is>
      </c>
      <c r="I91" s="39" t="inlineStr">
        <is>
          <t>Grave Spirit Augment: Immediately assume Spectral Form. 100% chance for weapons and abilities to apply Doom. Kills outside of Spectral Form decrease its cooldow</t>
        </is>
      </c>
    </row>
    <row r="92">
      <c r="A92" s="39" t="inlineStr">
        <is>
          <t>Dante</t>
        </is>
      </c>
      <c r="B92" s="39" t="inlineStr">
        <is>
          <t>Aura</t>
        </is>
      </c>
      <c r="C92" s="39" t="inlineStr">
        <is>
          <t>Growing Power</t>
        </is>
      </c>
      <c r="D92" s="39" t="n">
        <v>5</v>
      </c>
      <c r="E92" s="39" t="inlineStr">
        <is>
          <t>Madurai</t>
        </is>
      </c>
      <c r="F92" s="39" t="n">
        <v>3</v>
      </c>
      <c r="G92" s="39" t="inlineStr">
        <is>
          <t>Aura</t>
        </is>
      </c>
      <c r="H92" s="39" t="inlineStr">
        <is>
          <t>Yes</t>
        </is>
      </c>
      <c r="I92" s="39" t="inlineStr">
        <is>
          <t>On Status Effect with Weapon: Squad increases personal Ability Strength by 25% for 6s.</t>
        </is>
      </c>
    </row>
    <row r="93">
      <c r="A93" s="39" t="inlineStr">
        <is>
          <t>Dante</t>
        </is>
      </c>
      <c r="B93" s="39" t="inlineStr">
        <is>
          <t>Exilus</t>
        </is>
      </c>
      <c r="C93" s="39" t="inlineStr">
        <is>
          <t>Power Drift</t>
        </is>
      </c>
      <c r="D93" s="39" t="n">
        <v>5</v>
      </c>
      <c r="E93" s="39" t="inlineStr">
        <is>
          <t>Zenurik</t>
        </is>
      </c>
      <c r="F93" s="39" t="n">
        <v>9</v>
      </c>
      <c r="G93" s="39" t="inlineStr">
        <is>
          <t>Warframe</t>
        </is>
      </c>
      <c r="H93" s="39" t="inlineStr">
        <is>
          <t>Yes</t>
        </is>
      </c>
      <c r="I93" s="39" t="inlineStr">
        <is>
          <t>+15% Ability Strength | +30% Chance to Resist Knockdown</t>
        </is>
      </c>
    </row>
    <row r="94">
      <c r="A94" s="39" t="inlineStr">
        <is>
          <t>Dante</t>
        </is>
      </c>
      <c r="B94" s="39" t="inlineStr">
        <is>
          <t>Mod 1</t>
        </is>
      </c>
      <c r="C94" s="39" t="inlineStr">
        <is>
          <t>Umbral Intensify</t>
        </is>
      </c>
      <c r="D94" s="39" t="n">
        <v>10</v>
      </c>
      <c r="E94" s="39" t="inlineStr">
        <is>
          <t>Umbra</t>
        </is>
      </c>
      <c r="F94" s="39" t="n">
        <v>16</v>
      </c>
      <c r="G94" s="39" t="inlineStr">
        <is>
          <t>Warframe</t>
        </is>
      </c>
      <c r="H94" s="39" t="inlineStr">
        <is>
          <t>NO - account-bound</t>
        </is>
      </c>
      <c r="I94" s="39" t="inlineStr">
        <is>
          <t>+44% Ability Strength | +11% &lt;DT_SENTIENT&gt;Tau Resistance</t>
        </is>
      </c>
    </row>
    <row r="95">
      <c r="A95" s="39" t="inlineStr">
        <is>
          <t>Dante</t>
        </is>
      </c>
      <c r="B95" s="39" t="inlineStr">
        <is>
          <t>Mod 2</t>
        </is>
      </c>
      <c r="C95" s="39" t="inlineStr">
        <is>
          <t>Umbral Vitality</t>
        </is>
      </c>
      <c r="D95" s="39" t="n">
        <v>10</v>
      </c>
      <c r="E95" s="39" t="inlineStr">
        <is>
          <t>Umbra</t>
        </is>
      </c>
      <c r="F95" s="39" t="n">
        <v>16</v>
      </c>
      <c r="G95" s="39" t="inlineStr">
        <is>
          <t>Warframe</t>
        </is>
      </c>
      <c r="H95" s="39" t="inlineStr">
        <is>
          <t>NO - account-bound</t>
        </is>
      </c>
      <c r="I95" s="39" t="inlineStr">
        <is>
          <t>+100% Health | +11% &lt;DT_SENTIENT&gt;Tau Resistance</t>
        </is>
      </c>
    </row>
    <row r="96">
      <c r="A96" s="39" t="inlineStr">
        <is>
          <t>Dante</t>
        </is>
      </c>
      <c r="B96" s="39" t="inlineStr">
        <is>
          <t>Mod 3</t>
        </is>
      </c>
      <c r="C96" s="39" t="inlineStr">
        <is>
          <t>Umbral Fiber</t>
        </is>
      </c>
      <c r="D96" s="39" t="n">
        <v>10</v>
      </c>
      <c r="E96" s="39" t="inlineStr">
        <is>
          <t>Umbra</t>
        </is>
      </c>
      <c r="F96" s="39" t="n">
        <v>16</v>
      </c>
      <c r="G96" s="39" t="inlineStr">
        <is>
          <t>Warframe</t>
        </is>
      </c>
      <c r="H96" s="39" t="inlineStr">
        <is>
          <t>NO - account-bound</t>
        </is>
      </c>
      <c r="I96" s="39" t="inlineStr">
        <is>
          <t>+100% Armor | +11% &lt;DT_SENTIENT&gt;Tau Resistance</t>
        </is>
      </c>
    </row>
    <row r="97">
      <c r="A97" s="39" t="inlineStr">
        <is>
          <t>Dante</t>
        </is>
      </c>
      <c r="B97" s="39" t="inlineStr">
        <is>
          <t>Mod 4</t>
        </is>
      </c>
      <c r="C97" s="39" t="inlineStr">
        <is>
          <t>Primed Continuity</t>
        </is>
      </c>
      <c r="D97" s="39" t="n">
        <v>10</v>
      </c>
      <c r="E97" s="39" t="inlineStr">
        <is>
          <t>Madurai</t>
        </is>
      </c>
      <c r="F97" s="39" t="n">
        <v>14</v>
      </c>
      <c r="G97" s="39" t="inlineStr">
        <is>
          <t>Warframe</t>
        </is>
      </c>
      <c r="H97" s="39" t="inlineStr">
        <is>
          <t>Yes</t>
        </is>
      </c>
      <c r="I97" s="39" t="inlineStr">
        <is>
          <t>+55% Ability Duration</t>
        </is>
      </c>
    </row>
    <row r="98">
      <c r="A98" s="39" t="inlineStr">
        <is>
          <t>Dante</t>
        </is>
      </c>
      <c r="B98" s="39" t="inlineStr">
        <is>
          <t>Mod 5</t>
        </is>
      </c>
      <c r="C98" s="39" t="inlineStr">
        <is>
          <t>Stretch</t>
        </is>
      </c>
      <c r="D98" s="39" t="n">
        <v>5</v>
      </c>
      <c r="E98" s="39" t="inlineStr">
        <is>
          <t>Naramon</t>
        </is>
      </c>
      <c r="F98" s="39" t="n">
        <v>9</v>
      </c>
      <c r="G98" s="39" t="inlineStr">
        <is>
          <t>Warframe</t>
        </is>
      </c>
      <c r="H98" s="39" t="inlineStr">
        <is>
          <t>Yes</t>
        </is>
      </c>
      <c r="I98" s="39" t="inlineStr">
        <is>
          <t>+45% Ability Range</t>
        </is>
      </c>
    </row>
    <row r="99">
      <c r="A99" s="39" t="inlineStr">
        <is>
          <t>Dante</t>
        </is>
      </c>
      <c r="B99" s="39" t="inlineStr">
        <is>
          <t>Mod 6</t>
        </is>
      </c>
      <c r="C99" s="39" t="inlineStr">
        <is>
          <t>Primed Flow</t>
        </is>
      </c>
      <c r="D99" s="39" t="n">
        <v>10</v>
      </c>
      <c r="E99" s="39" t="inlineStr">
        <is>
          <t>Naramon</t>
        </is>
      </c>
      <c r="F99" s="39" t="n">
        <v>14</v>
      </c>
      <c r="G99" s="39" t="inlineStr">
        <is>
          <t>Warframe</t>
        </is>
      </c>
      <c r="H99" s="39" t="inlineStr">
        <is>
          <t>Yes</t>
        </is>
      </c>
      <c r="I99" s="39" t="inlineStr">
        <is>
          <t>+185% Energy Max</t>
        </is>
      </c>
    </row>
    <row r="100">
      <c r="A100" s="39" t="inlineStr">
        <is>
          <t>Dante</t>
        </is>
      </c>
      <c r="B100" s="39" t="inlineStr">
        <is>
          <t>Mod 7</t>
        </is>
      </c>
      <c r="C100" s="39" t="inlineStr">
        <is>
          <t>Streamline</t>
        </is>
      </c>
      <c r="D100" s="39" t="n">
        <v>5</v>
      </c>
      <c r="E100" s="39" t="inlineStr">
        <is>
          <t>Naramon</t>
        </is>
      </c>
      <c r="F100" s="39" t="n">
        <v>9</v>
      </c>
      <c r="G100" s="39" t="inlineStr">
        <is>
          <t>Warframe</t>
        </is>
      </c>
      <c r="H100" s="39" t="inlineStr">
        <is>
          <t>Yes</t>
        </is>
      </c>
      <c r="I100" s="39" t="inlineStr">
        <is>
          <t>+30% Ability Efficiency</t>
        </is>
      </c>
    </row>
    <row r="101">
      <c r="A101" s="39" t="inlineStr">
        <is>
          <t>Dante</t>
        </is>
      </c>
      <c r="B101" s="39" t="inlineStr">
        <is>
          <t>Mod 8</t>
        </is>
      </c>
      <c r="C101" s="39" t="inlineStr">
        <is>
          <t>Noctua Swarm</t>
        </is>
      </c>
      <c r="D101" s="39" t="n">
        <v>3</v>
      </c>
      <c r="E101" s="39" t="inlineStr">
        <is>
          <t>Zenurik</t>
        </is>
      </c>
      <c r="F101" s="39" t="n">
        <v>9</v>
      </c>
      <c r="G101" s="39" t="inlineStr">
        <is>
          <t>Dante</t>
        </is>
      </c>
      <c r="H101" s="39" t="inlineStr">
        <is>
          <t>Yes</t>
        </is>
      </c>
      <c r="I101" s="39" t="inlineStr">
        <is>
          <t>Noctua Augment: Alternate Fire releases Paragrimms that swarm 8m around the point of aim for 15s, silencing enemies and stealing their Energy for allies.</t>
        </is>
      </c>
    </row>
    <row r="102">
      <c r="A102" s="39" t="inlineStr">
        <is>
          <t>Ember Prime</t>
        </is>
      </c>
      <c r="B102" s="39" t="inlineStr">
        <is>
          <t>Aura</t>
        </is>
      </c>
      <c r="C102" s="39" t="inlineStr">
        <is>
          <t>Growing Power</t>
        </is>
      </c>
      <c r="D102" s="39" t="n">
        <v>5</v>
      </c>
      <c r="E102" s="39" t="inlineStr">
        <is>
          <t>Madurai</t>
        </is>
      </c>
      <c r="F102" s="39" t="n">
        <v>3</v>
      </c>
      <c r="G102" s="39" t="inlineStr">
        <is>
          <t>Aura</t>
        </is>
      </c>
      <c r="H102" s="39" t="inlineStr">
        <is>
          <t>Yes</t>
        </is>
      </c>
      <c r="I102" s="39" t="inlineStr">
        <is>
          <t>On Status Effect with Weapon: Squad increases personal Ability Strength by 25% for 6s.</t>
        </is>
      </c>
    </row>
    <row r="103">
      <c r="A103" s="39" t="inlineStr">
        <is>
          <t>Ember Prime</t>
        </is>
      </c>
      <c r="B103" s="39" t="inlineStr">
        <is>
          <t>Exilus</t>
        </is>
      </c>
      <c r="C103" s="39" t="inlineStr">
        <is>
          <t>Power Drift</t>
        </is>
      </c>
      <c r="D103" s="39" t="n">
        <v>5</v>
      </c>
      <c r="E103" s="39" t="inlineStr">
        <is>
          <t>Zenurik</t>
        </is>
      </c>
      <c r="F103" s="39" t="n">
        <v>9</v>
      </c>
      <c r="G103" s="39" t="inlineStr">
        <is>
          <t>Warframe</t>
        </is>
      </c>
      <c r="H103" s="39" t="inlineStr">
        <is>
          <t>Yes</t>
        </is>
      </c>
      <c r="I103" s="39" t="inlineStr">
        <is>
          <t>+15% Ability Strength | +30% Chance to Resist Knockdown</t>
        </is>
      </c>
    </row>
    <row r="104">
      <c r="A104" s="39" t="inlineStr">
        <is>
          <t>Ember Prime</t>
        </is>
      </c>
      <c r="B104" s="39" t="inlineStr">
        <is>
          <t>Mod 1</t>
        </is>
      </c>
      <c r="C104" s="39" t="inlineStr">
        <is>
          <t>Umbral Intensify</t>
        </is>
      </c>
      <c r="D104" s="39" t="n">
        <v>10</v>
      </c>
      <c r="E104" s="39" t="inlineStr">
        <is>
          <t>Umbra</t>
        </is>
      </c>
      <c r="F104" s="39" t="n">
        <v>16</v>
      </c>
      <c r="G104" s="39" t="inlineStr">
        <is>
          <t>Warframe</t>
        </is>
      </c>
      <c r="H104" s="39" t="inlineStr">
        <is>
          <t>NO - account-bound</t>
        </is>
      </c>
      <c r="I104" s="39" t="inlineStr">
        <is>
          <t>+44% Ability Strength | +11% &lt;DT_SENTIENT&gt;Tau Resistance</t>
        </is>
      </c>
    </row>
    <row r="105">
      <c r="A105" s="39" t="inlineStr">
        <is>
          <t>Ember Prime</t>
        </is>
      </c>
      <c r="B105" s="39" t="inlineStr">
        <is>
          <t>Mod 2</t>
        </is>
      </c>
      <c r="C105" s="39" t="inlineStr">
        <is>
          <t>Umbral Vitality</t>
        </is>
      </c>
      <c r="D105" s="39" t="n">
        <v>10</v>
      </c>
      <c r="E105" s="39" t="inlineStr">
        <is>
          <t>Umbra</t>
        </is>
      </c>
      <c r="F105" s="39" t="n">
        <v>16</v>
      </c>
      <c r="G105" s="39" t="inlineStr">
        <is>
          <t>Warframe</t>
        </is>
      </c>
      <c r="H105" s="39" t="inlineStr">
        <is>
          <t>NO - account-bound</t>
        </is>
      </c>
      <c r="I105" s="39" t="inlineStr">
        <is>
          <t>+100% Health | +11% &lt;DT_SENTIENT&gt;Tau Resistance</t>
        </is>
      </c>
    </row>
    <row r="106">
      <c r="A106" s="39" t="inlineStr">
        <is>
          <t>Ember Prime</t>
        </is>
      </c>
      <c r="B106" s="39" t="inlineStr">
        <is>
          <t>Mod 3</t>
        </is>
      </c>
      <c r="C106" s="39" t="inlineStr">
        <is>
          <t>Umbral Fiber</t>
        </is>
      </c>
      <c r="D106" s="39" t="n">
        <v>10</v>
      </c>
      <c r="E106" s="39" t="inlineStr">
        <is>
          <t>Umbra</t>
        </is>
      </c>
      <c r="F106" s="39" t="n">
        <v>16</v>
      </c>
      <c r="G106" s="39" t="inlineStr">
        <is>
          <t>Warframe</t>
        </is>
      </c>
      <c r="H106" s="39" t="inlineStr">
        <is>
          <t>NO - account-bound</t>
        </is>
      </c>
      <c r="I106" s="39" t="inlineStr">
        <is>
          <t>+100% Armor | +11% &lt;DT_SENTIENT&gt;Tau Resistance</t>
        </is>
      </c>
    </row>
    <row r="107">
      <c r="A107" s="39" t="inlineStr">
        <is>
          <t>Ember Prime</t>
        </is>
      </c>
      <c r="B107" s="39" t="inlineStr">
        <is>
          <t>Mod 4</t>
        </is>
      </c>
      <c r="C107" s="39" t="inlineStr">
        <is>
          <t>Primed Continuity</t>
        </is>
      </c>
      <c r="D107" s="39" t="n">
        <v>10</v>
      </c>
      <c r="E107" s="39" t="inlineStr">
        <is>
          <t>Madurai</t>
        </is>
      </c>
      <c r="F107" s="39" t="n">
        <v>14</v>
      </c>
      <c r="G107" s="39" t="inlineStr">
        <is>
          <t>Warframe</t>
        </is>
      </c>
      <c r="H107" s="39" t="inlineStr">
        <is>
          <t>Yes</t>
        </is>
      </c>
      <c r="I107" s="39" t="inlineStr">
        <is>
          <t>+55% Ability Duration</t>
        </is>
      </c>
    </row>
    <row r="108">
      <c r="A108" s="39" t="inlineStr">
        <is>
          <t>Ember Prime</t>
        </is>
      </c>
      <c r="B108" s="39" t="inlineStr">
        <is>
          <t>Mod 5</t>
        </is>
      </c>
      <c r="C108" s="39" t="inlineStr">
        <is>
          <t>Stretch</t>
        </is>
      </c>
      <c r="D108" s="39" t="n">
        <v>5</v>
      </c>
      <c r="E108" s="39" t="inlineStr">
        <is>
          <t>Naramon</t>
        </is>
      </c>
      <c r="F108" s="39" t="n">
        <v>9</v>
      </c>
      <c r="G108" s="39" t="inlineStr">
        <is>
          <t>Warframe</t>
        </is>
      </c>
      <c r="H108" s="39" t="inlineStr">
        <is>
          <t>Yes</t>
        </is>
      </c>
      <c r="I108" s="39" t="inlineStr">
        <is>
          <t>+45% Ability Range</t>
        </is>
      </c>
    </row>
    <row r="109">
      <c r="A109" s="39" t="inlineStr">
        <is>
          <t>Ember Prime</t>
        </is>
      </c>
      <c r="B109" s="39" t="inlineStr">
        <is>
          <t>Mod 6</t>
        </is>
      </c>
      <c r="C109" s="39" t="inlineStr">
        <is>
          <t>Primed Flow</t>
        </is>
      </c>
      <c r="D109" s="39" t="n">
        <v>10</v>
      </c>
      <c r="E109" s="39" t="inlineStr">
        <is>
          <t>Naramon</t>
        </is>
      </c>
      <c r="F109" s="39" t="n">
        <v>14</v>
      </c>
      <c r="G109" s="39" t="inlineStr">
        <is>
          <t>Warframe</t>
        </is>
      </c>
      <c r="H109" s="39" t="inlineStr">
        <is>
          <t>Yes</t>
        </is>
      </c>
      <c r="I109" s="39" t="inlineStr">
        <is>
          <t>+185% Energy Max</t>
        </is>
      </c>
    </row>
    <row r="110">
      <c r="A110" s="39" t="inlineStr">
        <is>
          <t>Ember Prime</t>
        </is>
      </c>
      <c r="B110" s="39" t="inlineStr">
        <is>
          <t>Mod 7</t>
        </is>
      </c>
      <c r="C110" s="39" t="inlineStr">
        <is>
          <t>Streamline</t>
        </is>
      </c>
      <c r="D110" s="39" t="n">
        <v>5</v>
      </c>
      <c r="E110" s="39" t="inlineStr">
        <is>
          <t>Naramon</t>
        </is>
      </c>
      <c r="F110" s="39" t="n">
        <v>9</v>
      </c>
      <c r="G110" s="39" t="inlineStr">
        <is>
          <t>Warframe</t>
        </is>
      </c>
      <c r="H110" s="39" t="inlineStr">
        <is>
          <t>Yes</t>
        </is>
      </c>
      <c r="I110" s="39" t="inlineStr">
        <is>
          <t>+30% Ability Efficiency</t>
        </is>
      </c>
    </row>
    <row r="111">
      <c r="A111" s="39" t="inlineStr">
        <is>
          <t>Ember Prime</t>
        </is>
      </c>
      <c r="B111" s="39" t="inlineStr">
        <is>
          <t>Mod 8</t>
        </is>
      </c>
      <c r="C111" s="39" t="inlineStr">
        <is>
          <t>Exothermic</t>
        </is>
      </c>
      <c r="D111" s="39" t="n">
        <v>3</v>
      </c>
      <c r="E111" s="39" t="inlineStr">
        <is>
          <t>Zenurik</t>
        </is>
      </c>
      <c r="F111" s="39" t="n">
        <v>9</v>
      </c>
      <c r="G111" s="39" t="inlineStr">
        <is>
          <t>Ember</t>
        </is>
      </c>
      <c r="H111" s="39" t="inlineStr">
        <is>
          <t>Yes</t>
        </is>
      </c>
      <c r="I111" s="39" t="inlineStr">
        <is>
          <t>Inferno Augment: Enemies killed while under the effect of Inferno have a 15% chance to drop an energy orb.</t>
        </is>
      </c>
    </row>
    <row r="112">
      <c r="A112" s="39" t="inlineStr">
        <is>
          <t>Equinox Prime</t>
        </is>
      </c>
      <c r="B112" s="39" t="inlineStr">
        <is>
          <t>Aura</t>
        </is>
      </c>
      <c r="C112" s="39" t="inlineStr">
        <is>
          <t>Growing Power</t>
        </is>
      </c>
      <c r="D112" s="39" t="n">
        <v>5</v>
      </c>
      <c r="E112" s="39" t="inlineStr">
        <is>
          <t>Madurai</t>
        </is>
      </c>
      <c r="F112" s="39" t="n">
        <v>3</v>
      </c>
      <c r="G112" s="39" t="inlineStr">
        <is>
          <t>Aura</t>
        </is>
      </c>
      <c r="H112" s="39" t="inlineStr">
        <is>
          <t>Yes</t>
        </is>
      </c>
      <c r="I112" s="39" t="inlineStr">
        <is>
          <t>On Status Effect with Weapon: Squad increases personal Ability Strength by 25% for 6s.</t>
        </is>
      </c>
    </row>
    <row r="113">
      <c r="A113" s="39" t="inlineStr">
        <is>
          <t>Equinox Prime</t>
        </is>
      </c>
      <c r="B113" s="39" t="inlineStr">
        <is>
          <t>Exilus</t>
        </is>
      </c>
      <c r="C113" s="39" t="inlineStr">
        <is>
          <t>Power Drift</t>
        </is>
      </c>
      <c r="D113" s="39" t="n">
        <v>5</v>
      </c>
      <c r="E113" s="39" t="inlineStr">
        <is>
          <t>Zenurik</t>
        </is>
      </c>
      <c r="F113" s="39" t="n">
        <v>9</v>
      </c>
      <c r="G113" s="39" t="inlineStr">
        <is>
          <t>Warframe</t>
        </is>
      </c>
      <c r="H113" s="39" t="inlineStr">
        <is>
          <t>Yes</t>
        </is>
      </c>
      <c r="I113" s="39" t="inlineStr">
        <is>
          <t>+15% Ability Strength | +30% Chance to Resist Knockdown</t>
        </is>
      </c>
    </row>
    <row r="114">
      <c r="A114" s="39" t="inlineStr">
        <is>
          <t>Equinox Prime</t>
        </is>
      </c>
      <c r="B114" s="39" t="inlineStr">
        <is>
          <t>Mod 1</t>
        </is>
      </c>
      <c r="C114" s="39" t="inlineStr">
        <is>
          <t>Umbral Intensify</t>
        </is>
      </c>
      <c r="D114" s="39" t="n">
        <v>10</v>
      </c>
      <c r="E114" s="39" t="inlineStr">
        <is>
          <t>Umbra</t>
        </is>
      </c>
      <c r="F114" s="39" t="n">
        <v>16</v>
      </c>
      <c r="G114" s="39" t="inlineStr">
        <is>
          <t>Warframe</t>
        </is>
      </c>
      <c r="H114" s="39" t="inlineStr">
        <is>
          <t>NO - account-bound</t>
        </is>
      </c>
      <c r="I114" s="39" t="inlineStr">
        <is>
          <t>+44% Ability Strength | +11% &lt;DT_SENTIENT&gt;Tau Resistance</t>
        </is>
      </c>
    </row>
    <row r="115">
      <c r="A115" s="39" t="inlineStr">
        <is>
          <t>Equinox Prime</t>
        </is>
      </c>
      <c r="B115" s="39" t="inlineStr">
        <is>
          <t>Mod 2</t>
        </is>
      </c>
      <c r="C115" s="39" t="inlineStr">
        <is>
          <t>Transient Fortitude</t>
        </is>
      </c>
      <c r="D115" s="39" t="n">
        <v>10</v>
      </c>
      <c r="E115" s="39" t="inlineStr">
        <is>
          <t>Madurai</t>
        </is>
      </c>
      <c r="F115" s="39" t="n">
        <v>16</v>
      </c>
      <c r="G115" s="39" t="inlineStr">
        <is>
          <t>Warframe</t>
        </is>
      </c>
      <c r="H115" s="39" t="inlineStr">
        <is>
          <t>Yes</t>
        </is>
      </c>
      <c r="I115" s="39" t="inlineStr">
        <is>
          <t>+55% Ability Strength | -27.5% Ability Duration</t>
        </is>
      </c>
    </row>
    <row r="116">
      <c r="A116" s="39" t="inlineStr">
        <is>
          <t>Equinox Prime</t>
        </is>
      </c>
      <c r="B116" s="39" t="inlineStr">
        <is>
          <t>Mod 3</t>
        </is>
      </c>
      <c r="C116" s="39" t="inlineStr">
        <is>
          <t>Stretch</t>
        </is>
      </c>
      <c r="D116" s="39" t="n">
        <v>5</v>
      </c>
      <c r="E116" s="39" t="inlineStr">
        <is>
          <t>Naramon</t>
        </is>
      </c>
      <c r="F116" s="39" t="n">
        <v>9</v>
      </c>
      <c r="G116" s="39" t="inlineStr">
        <is>
          <t>Warframe</t>
        </is>
      </c>
      <c r="H116" s="39" t="inlineStr">
        <is>
          <t>Yes</t>
        </is>
      </c>
      <c r="I116" s="39" t="inlineStr">
        <is>
          <t>+45% Ability Range</t>
        </is>
      </c>
    </row>
    <row r="117">
      <c r="A117" s="39" t="inlineStr">
        <is>
          <t>Equinox Prime</t>
        </is>
      </c>
      <c r="B117" s="39" t="inlineStr">
        <is>
          <t>Mod 4</t>
        </is>
      </c>
      <c r="C117" s="39" t="inlineStr">
        <is>
          <t>Augur Reach</t>
        </is>
      </c>
      <c r="D117" s="39" t="n">
        <v>5</v>
      </c>
      <c r="E117" s="39" t="inlineStr">
        <is>
          <t>Naramon</t>
        </is>
      </c>
      <c r="F117" s="39" t="n">
        <v>7</v>
      </c>
      <c r="G117" s="39" t="inlineStr">
        <is>
          <t>Warframe</t>
        </is>
      </c>
      <c r="H117" s="39" t="inlineStr">
        <is>
          <t>Yes</t>
        </is>
      </c>
      <c r="I117" s="39" t="inlineStr">
        <is>
          <t>+30% Ability Range</t>
        </is>
      </c>
    </row>
    <row r="118">
      <c r="A118" s="39" t="inlineStr">
        <is>
          <t>Equinox Prime</t>
        </is>
      </c>
      <c r="B118" s="39" t="inlineStr">
        <is>
          <t>Mod 5</t>
        </is>
      </c>
      <c r="C118" s="39" t="inlineStr">
        <is>
          <t>Primed Flow</t>
        </is>
      </c>
      <c r="D118" s="39" t="n">
        <v>10</v>
      </c>
      <c r="E118" s="39" t="inlineStr">
        <is>
          <t>Naramon</t>
        </is>
      </c>
      <c r="F118" s="39" t="n">
        <v>14</v>
      </c>
      <c r="G118" s="39" t="inlineStr">
        <is>
          <t>Warframe</t>
        </is>
      </c>
      <c r="H118" s="39" t="inlineStr">
        <is>
          <t>Yes</t>
        </is>
      </c>
      <c r="I118" s="39" t="inlineStr">
        <is>
          <t>+185% Energy Max</t>
        </is>
      </c>
    </row>
    <row r="119">
      <c r="A119" s="39" t="inlineStr">
        <is>
          <t>Equinox Prime</t>
        </is>
      </c>
      <c r="B119" s="39" t="inlineStr">
        <is>
          <t>Mod 6</t>
        </is>
      </c>
      <c r="C119" s="39" t="inlineStr">
        <is>
          <t>Streamline</t>
        </is>
      </c>
      <c r="D119" s="39" t="n">
        <v>5</v>
      </c>
      <c r="E119" s="39" t="inlineStr">
        <is>
          <t>Naramon</t>
        </is>
      </c>
      <c r="F119" s="39" t="n">
        <v>9</v>
      </c>
      <c r="G119" s="39" t="inlineStr">
        <is>
          <t>Warframe</t>
        </is>
      </c>
      <c r="H119" s="39" t="inlineStr">
        <is>
          <t>Yes</t>
        </is>
      </c>
      <c r="I119" s="39" t="inlineStr">
        <is>
          <t>+30% Ability Efficiency</t>
        </is>
      </c>
    </row>
    <row r="120">
      <c r="A120" s="39" t="inlineStr">
        <is>
          <t>Equinox Prime</t>
        </is>
      </c>
      <c r="B120" s="39" t="inlineStr">
        <is>
          <t>Mod 7</t>
        </is>
      </c>
      <c r="C120" s="39" t="inlineStr">
        <is>
          <t>Umbral Vitality</t>
        </is>
      </c>
      <c r="D120" s="39" t="n">
        <v>10</v>
      </c>
      <c r="E120" s="39" t="inlineStr">
        <is>
          <t>Umbra</t>
        </is>
      </c>
      <c r="F120" s="39" t="n">
        <v>16</v>
      </c>
      <c r="G120" s="39" t="inlineStr">
        <is>
          <t>Warframe</t>
        </is>
      </c>
      <c r="H120" s="39" t="inlineStr">
        <is>
          <t>NO - account-bound</t>
        </is>
      </c>
      <c r="I120" s="39" t="inlineStr">
        <is>
          <t>+100% Health | +11% &lt;DT_SENTIENT&gt;Tau Resistance</t>
        </is>
      </c>
    </row>
    <row r="121">
      <c r="A121" s="39" t="inlineStr">
        <is>
          <t>Equinox Prime</t>
        </is>
      </c>
      <c r="B121" s="39" t="inlineStr">
        <is>
          <t>Mod 8</t>
        </is>
      </c>
      <c r="C121" s="39" t="inlineStr">
        <is>
          <t>Peaceful Provocation</t>
        </is>
      </c>
      <c r="D121" s="39" t="n">
        <v>3</v>
      </c>
      <c r="E121" s="39" t="inlineStr">
        <is>
          <t>Zenurik</t>
        </is>
      </c>
      <c r="F121" s="39" t="n">
        <v>9</v>
      </c>
      <c r="G121" s="39" t="inlineStr">
        <is>
          <t>Equinox</t>
        </is>
      </c>
      <c r="H121" s="39" t="inlineStr">
        <is>
          <t>Yes</t>
        </is>
      </c>
      <c r="I121" s="39" t="inlineStr">
        <is>
          <t>Pacify &amp; Provoke Augment: Pacify converts damage done to allies into an aura that slows enemies by 40%. Provoke converts damage done to enemies into 15% extra A</t>
        </is>
      </c>
    </row>
    <row r="122">
      <c r="A122" s="39" t="inlineStr">
        <is>
          <t>Excalibur Umbra</t>
        </is>
      </c>
      <c r="B122" s="39" t="inlineStr">
        <is>
          <t>Aura</t>
        </is>
      </c>
      <c r="C122" s="39" t="inlineStr">
        <is>
          <t>Growing Power</t>
        </is>
      </c>
      <c r="D122" s="39" t="n">
        <v>5</v>
      </c>
      <c r="E122" s="39" t="inlineStr">
        <is>
          <t>Madurai</t>
        </is>
      </c>
      <c r="F122" s="39" t="n">
        <v>3</v>
      </c>
      <c r="G122" s="39" t="inlineStr">
        <is>
          <t>Aura</t>
        </is>
      </c>
      <c r="H122" s="39" t="inlineStr">
        <is>
          <t>Yes</t>
        </is>
      </c>
      <c r="I122" s="39" t="inlineStr">
        <is>
          <t>On Status Effect with Weapon: Squad increases personal Ability Strength by 25% for 6s.</t>
        </is>
      </c>
    </row>
    <row r="123">
      <c r="A123" s="39" t="inlineStr">
        <is>
          <t>Excalibur Umbra</t>
        </is>
      </c>
      <c r="B123" s="39" t="inlineStr">
        <is>
          <t>Exilus</t>
        </is>
      </c>
      <c r="C123" s="39" t="inlineStr">
        <is>
          <t>Warrior's Rest</t>
        </is>
      </c>
      <c r="D123" s="39" t="n">
        <v>5</v>
      </c>
      <c r="E123" s="39" t="inlineStr">
        <is>
          <t>Zenurik</t>
        </is>
      </c>
      <c r="F123" s="39" t="n">
        <v>7</v>
      </c>
      <c r="G123" s="39" t="inlineStr">
        <is>
          <t>Excalibur Umbra</t>
        </is>
      </c>
      <c r="H123" s="39" t="inlineStr">
        <is>
          <t>Yes</t>
        </is>
      </c>
      <c r="I123" s="39" t="inlineStr">
        <is>
          <t>Passive Augment: Umbra's Ability Strength increases by +15% but he no longer fights independently alongside his Operator.</t>
        </is>
      </c>
    </row>
    <row r="124">
      <c r="A124" s="39" t="inlineStr">
        <is>
          <t>Excalibur Umbra</t>
        </is>
      </c>
      <c r="B124" s="39" t="inlineStr">
        <is>
          <t>Mod 1</t>
        </is>
      </c>
      <c r="C124" s="39" t="inlineStr">
        <is>
          <t>Umbral Intensify</t>
        </is>
      </c>
      <c r="D124" s="39" t="n">
        <v>10</v>
      </c>
      <c r="E124" s="39" t="inlineStr">
        <is>
          <t>Umbra</t>
        </is>
      </c>
      <c r="F124" s="39" t="n">
        <v>16</v>
      </c>
      <c r="G124" s="39" t="inlineStr">
        <is>
          <t>Warframe</t>
        </is>
      </c>
      <c r="H124" s="39" t="inlineStr">
        <is>
          <t>NO - account-bound</t>
        </is>
      </c>
      <c r="I124" s="39" t="inlineStr">
        <is>
          <t>+44% Ability Strength | +11% &lt;DT_SENTIENT&gt;Tau Resistance</t>
        </is>
      </c>
    </row>
    <row r="125">
      <c r="A125" s="39" t="inlineStr">
        <is>
          <t>Excalibur Umbra</t>
        </is>
      </c>
      <c r="B125" s="39" t="inlineStr">
        <is>
          <t>Mod 2</t>
        </is>
      </c>
      <c r="C125" s="39" t="inlineStr">
        <is>
          <t>Umbral Vitality</t>
        </is>
      </c>
      <c r="D125" s="39" t="n">
        <v>10</v>
      </c>
      <c r="E125" s="39" t="inlineStr">
        <is>
          <t>Umbra</t>
        </is>
      </c>
      <c r="F125" s="39" t="n">
        <v>16</v>
      </c>
      <c r="G125" s="39" t="inlineStr">
        <is>
          <t>Warframe</t>
        </is>
      </c>
      <c r="H125" s="39" t="inlineStr">
        <is>
          <t>NO - account-bound</t>
        </is>
      </c>
      <c r="I125" s="39" t="inlineStr">
        <is>
          <t>+100% Health | +11% &lt;DT_SENTIENT&gt;Tau Resistance</t>
        </is>
      </c>
    </row>
    <row r="126">
      <c r="A126" s="39" t="inlineStr">
        <is>
          <t>Excalibur Umbra</t>
        </is>
      </c>
      <c r="B126" s="39" t="inlineStr">
        <is>
          <t>Mod 3</t>
        </is>
      </c>
      <c r="C126" s="39" t="inlineStr">
        <is>
          <t>Umbral Fiber</t>
        </is>
      </c>
      <c r="D126" s="39" t="n">
        <v>10</v>
      </c>
      <c r="E126" s="39" t="inlineStr">
        <is>
          <t>Umbra</t>
        </is>
      </c>
      <c r="F126" s="39" t="n">
        <v>16</v>
      </c>
      <c r="G126" s="39" t="inlineStr">
        <is>
          <t>Warframe</t>
        </is>
      </c>
      <c r="H126" s="39" t="inlineStr">
        <is>
          <t>NO - account-bound</t>
        </is>
      </c>
      <c r="I126" s="39" t="inlineStr">
        <is>
          <t>+100% Armor | +11% &lt;DT_SENTIENT&gt;Tau Resistance</t>
        </is>
      </c>
    </row>
    <row r="127">
      <c r="A127" s="39" t="inlineStr">
        <is>
          <t>Excalibur Umbra</t>
        </is>
      </c>
      <c r="B127" s="39" t="inlineStr">
        <is>
          <t>Mod 4</t>
        </is>
      </c>
      <c r="C127" s="39" t="inlineStr">
        <is>
          <t>Primed Continuity</t>
        </is>
      </c>
      <c r="D127" s="39" t="n">
        <v>10</v>
      </c>
      <c r="E127" s="39" t="inlineStr">
        <is>
          <t>Madurai</t>
        </is>
      </c>
      <c r="F127" s="39" t="n">
        <v>14</v>
      </c>
      <c r="G127" s="39" t="inlineStr">
        <is>
          <t>Warframe</t>
        </is>
      </c>
      <c r="H127" s="39" t="inlineStr">
        <is>
          <t>Yes</t>
        </is>
      </c>
      <c r="I127" s="39" t="inlineStr">
        <is>
          <t>+55% Ability Duration</t>
        </is>
      </c>
    </row>
    <row r="128">
      <c r="A128" s="39" t="inlineStr">
        <is>
          <t>Excalibur Umbra</t>
        </is>
      </c>
      <c r="B128" s="39" t="inlineStr">
        <is>
          <t>Mod 5</t>
        </is>
      </c>
      <c r="C128" s="39" t="inlineStr">
        <is>
          <t>Primed Flow</t>
        </is>
      </c>
      <c r="D128" s="39" t="n">
        <v>10</v>
      </c>
      <c r="E128" s="39" t="inlineStr">
        <is>
          <t>Naramon</t>
        </is>
      </c>
      <c r="F128" s="39" t="n">
        <v>14</v>
      </c>
      <c r="G128" s="39" t="inlineStr">
        <is>
          <t>Warframe</t>
        </is>
      </c>
      <c r="H128" s="39" t="inlineStr">
        <is>
          <t>Yes</t>
        </is>
      </c>
      <c r="I128" s="39" t="inlineStr">
        <is>
          <t>+185% Energy Max</t>
        </is>
      </c>
    </row>
    <row r="129">
      <c r="A129" s="39" t="inlineStr">
        <is>
          <t>Excalibur Umbra</t>
        </is>
      </c>
      <c r="B129" s="39" t="inlineStr">
        <is>
          <t>Mod 6</t>
        </is>
      </c>
      <c r="C129" s="39" t="inlineStr">
        <is>
          <t>Streamline</t>
        </is>
      </c>
      <c r="D129" s="39" t="n">
        <v>5</v>
      </c>
      <c r="E129" s="39" t="inlineStr">
        <is>
          <t>Naramon</t>
        </is>
      </c>
      <c r="F129" s="39" t="n">
        <v>9</v>
      </c>
      <c r="G129" s="39" t="inlineStr">
        <is>
          <t>Warframe</t>
        </is>
      </c>
      <c r="H129" s="39" t="inlineStr">
        <is>
          <t>Yes</t>
        </is>
      </c>
      <c r="I129" s="39" t="inlineStr">
        <is>
          <t>+30% Ability Efficiency</t>
        </is>
      </c>
    </row>
    <row r="130">
      <c r="A130" s="39" t="inlineStr">
        <is>
          <t>Excalibur Umbra</t>
        </is>
      </c>
      <c r="B130" s="39" t="inlineStr">
        <is>
          <t>Mod 7</t>
        </is>
      </c>
      <c r="C130" s="39" t="inlineStr">
        <is>
          <t>Stretch</t>
        </is>
      </c>
      <c r="D130" s="39" t="n">
        <v>5</v>
      </c>
      <c r="E130" s="39" t="inlineStr">
        <is>
          <t>Naramon</t>
        </is>
      </c>
      <c r="F130" s="39" t="n">
        <v>9</v>
      </c>
      <c r="G130" s="39" t="inlineStr">
        <is>
          <t>Warframe</t>
        </is>
      </c>
      <c r="H130" s="39" t="inlineStr">
        <is>
          <t>Yes</t>
        </is>
      </c>
      <c r="I130" s="39" t="inlineStr">
        <is>
          <t>+45% Ability Range</t>
        </is>
      </c>
    </row>
    <row r="131">
      <c r="A131" s="39" t="inlineStr">
        <is>
          <t>Excalibur Umbra</t>
        </is>
      </c>
      <c r="B131" s="39" t="inlineStr">
        <is>
          <t>Mod 8</t>
        </is>
      </c>
      <c r="C131" s="39" t="inlineStr">
        <is>
          <t>Chromatic Blade</t>
        </is>
      </c>
      <c r="D131" s="39" t="n">
        <v>3</v>
      </c>
      <c r="E131" s="39" t="inlineStr">
        <is>
          <t>Zenurik</t>
        </is>
      </c>
      <c r="F131" s="39" t="n">
        <v>9</v>
      </c>
      <c r="G131" s="39" t="inlineStr">
        <is>
          <t>Excalibur</t>
        </is>
      </c>
      <c r="H131" s="39" t="inlineStr">
        <is>
          <t>Yes</t>
        </is>
      </c>
      <c r="I131" s="39" t="inlineStr">
        <is>
          <t>Exalted Blade Augment: Exalted Blade's Damage Type changes depending on Excalibur's Emissive Color, and Status Chance is increased by 300%.</t>
        </is>
      </c>
    </row>
    <row r="132">
      <c r="A132" s="39" t="inlineStr">
        <is>
          <t>Follie</t>
        </is>
      </c>
      <c r="B132" s="39" t="inlineStr">
        <is>
          <t>Aura</t>
        </is>
      </c>
      <c r="C132" s="39" t="inlineStr">
        <is>
          <t>Growing Power</t>
        </is>
      </c>
      <c r="D132" s="39" t="n">
        <v>5</v>
      </c>
      <c r="E132" s="39" t="inlineStr">
        <is>
          <t>Madurai</t>
        </is>
      </c>
      <c r="F132" s="39" t="n">
        <v>3</v>
      </c>
      <c r="G132" s="39" t="inlineStr">
        <is>
          <t>Aura</t>
        </is>
      </c>
      <c r="H132" s="39" t="inlineStr">
        <is>
          <t>Yes</t>
        </is>
      </c>
      <c r="I132" s="39" t="inlineStr">
        <is>
          <t>On Status Effect with Weapon: Squad increases personal Ability Strength by 25% for 6s.</t>
        </is>
      </c>
    </row>
    <row r="133">
      <c r="A133" s="39" t="inlineStr">
        <is>
          <t>Follie</t>
        </is>
      </c>
      <c r="B133" s="39" t="inlineStr">
        <is>
          <t>Exilus</t>
        </is>
      </c>
      <c r="C133" s="39" t="inlineStr">
        <is>
          <t>Power Drift</t>
        </is>
      </c>
      <c r="D133" s="39" t="n">
        <v>5</v>
      </c>
      <c r="E133" s="39" t="inlineStr">
        <is>
          <t>Zenurik</t>
        </is>
      </c>
      <c r="F133" s="39" t="n">
        <v>9</v>
      </c>
      <c r="G133" s="39" t="inlineStr">
        <is>
          <t>Warframe</t>
        </is>
      </c>
      <c r="H133" s="39" t="inlineStr">
        <is>
          <t>Yes</t>
        </is>
      </c>
      <c r="I133" s="39" t="inlineStr">
        <is>
          <t>+15% Ability Strength | +30% Chance to Resist Knockdown</t>
        </is>
      </c>
    </row>
    <row r="134">
      <c r="A134" s="39" t="inlineStr">
        <is>
          <t>Follie</t>
        </is>
      </c>
      <c r="B134" s="39" t="inlineStr">
        <is>
          <t>Mod 1</t>
        </is>
      </c>
      <c r="C134" s="39" t="inlineStr">
        <is>
          <t>Umbral Intensify</t>
        </is>
      </c>
      <c r="D134" s="39" t="n">
        <v>10</v>
      </c>
      <c r="E134" s="39" t="inlineStr">
        <is>
          <t>Umbra</t>
        </is>
      </c>
      <c r="F134" s="39" t="n">
        <v>16</v>
      </c>
      <c r="G134" s="39" t="inlineStr">
        <is>
          <t>Warframe</t>
        </is>
      </c>
      <c r="H134" s="39" t="inlineStr">
        <is>
          <t>NO - account-bound</t>
        </is>
      </c>
      <c r="I134" s="39" t="inlineStr">
        <is>
          <t>+44% Ability Strength | +11% &lt;DT_SENTIENT&gt;Tau Resistance</t>
        </is>
      </c>
    </row>
    <row r="135">
      <c r="A135" s="39" t="inlineStr">
        <is>
          <t>Follie</t>
        </is>
      </c>
      <c r="B135" s="39" t="inlineStr">
        <is>
          <t>Mod 2</t>
        </is>
      </c>
      <c r="C135" s="39" t="inlineStr">
        <is>
          <t>Umbral Vitality</t>
        </is>
      </c>
      <c r="D135" s="39" t="n">
        <v>10</v>
      </c>
      <c r="E135" s="39" t="inlineStr">
        <is>
          <t>Umbra</t>
        </is>
      </c>
      <c r="F135" s="39" t="n">
        <v>16</v>
      </c>
      <c r="G135" s="39" t="inlineStr">
        <is>
          <t>Warframe</t>
        </is>
      </c>
      <c r="H135" s="39" t="inlineStr">
        <is>
          <t>NO - account-bound</t>
        </is>
      </c>
      <c r="I135" s="39" t="inlineStr">
        <is>
          <t>+100% Health | +11% &lt;DT_SENTIENT&gt;Tau Resistance</t>
        </is>
      </c>
    </row>
    <row r="136">
      <c r="A136" s="39" t="inlineStr">
        <is>
          <t>Follie</t>
        </is>
      </c>
      <c r="B136" s="39" t="inlineStr">
        <is>
          <t>Mod 3</t>
        </is>
      </c>
      <c r="C136" s="39" t="inlineStr">
        <is>
          <t>Umbral Fiber</t>
        </is>
      </c>
      <c r="D136" s="39" t="n">
        <v>10</v>
      </c>
      <c r="E136" s="39" t="inlineStr">
        <is>
          <t>Umbra</t>
        </is>
      </c>
      <c r="F136" s="39" t="n">
        <v>16</v>
      </c>
      <c r="G136" s="39" t="inlineStr">
        <is>
          <t>Warframe</t>
        </is>
      </c>
      <c r="H136" s="39" t="inlineStr">
        <is>
          <t>NO - account-bound</t>
        </is>
      </c>
      <c r="I136" s="39" t="inlineStr">
        <is>
          <t>+100% Armor | +11% &lt;DT_SENTIENT&gt;Tau Resistance</t>
        </is>
      </c>
    </row>
    <row r="137">
      <c r="A137" s="39" t="inlineStr">
        <is>
          <t>Follie</t>
        </is>
      </c>
      <c r="B137" s="39" t="inlineStr">
        <is>
          <t>Mod 4</t>
        </is>
      </c>
      <c r="C137" s="39" t="inlineStr">
        <is>
          <t>Primed Continuity</t>
        </is>
      </c>
      <c r="D137" s="39" t="n">
        <v>10</v>
      </c>
      <c r="E137" s="39" t="inlineStr">
        <is>
          <t>Madurai</t>
        </is>
      </c>
      <c r="F137" s="39" t="n">
        <v>14</v>
      </c>
      <c r="G137" s="39" t="inlineStr">
        <is>
          <t>Warframe</t>
        </is>
      </c>
      <c r="H137" s="39" t="inlineStr">
        <is>
          <t>Yes</t>
        </is>
      </c>
      <c r="I137" s="39" t="inlineStr">
        <is>
          <t>+55% Ability Duration</t>
        </is>
      </c>
    </row>
    <row r="138">
      <c r="A138" s="39" t="inlineStr">
        <is>
          <t>Follie</t>
        </is>
      </c>
      <c r="B138" s="39" t="inlineStr">
        <is>
          <t>Mod 5</t>
        </is>
      </c>
      <c r="C138" s="39" t="inlineStr">
        <is>
          <t>Stretch</t>
        </is>
      </c>
      <c r="D138" s="39" t="n">
        <v>5</v>
      </c>
      <c r="E138" s="39" t="inlineStr">
        <is>
          <t>Naramon</t>
        </is>
      </c>
      <c r="F138" s="39" t="n">
        <v>9</v>
      </c>
      <c r="G138" s="39" t="inlineStr">
        <is>
          <t>Warframe</t>
        </is>
      </c>
      <c r="H138" s="39" t="inlineStr">
        <is>
          <t>Yes</t>
        </is>
      </c>
      <c r="I138" s="39" t="inlineStr">
        <is>
          <t>+45% Ability Range</t>
        </is>
      </c>
    </row>
    <row r="139">
      <c r="A139" s="39" t="inlineStr">
        <is>
          <t>Follie</t>
        </is>
      </c>
      <c r="B139" s="39" t="inlineStr">
        <is>
          <t>Mod 6</t>
        </is>
      </c>
      <c r="C139" s="39" t="inlineStr">
        <is>
          <t>Primed Flow</t>
        </is>
      </c>
      <c r="D139" s="39" t="n">
        <v>10</v>
      </c>
      <c r="E139" s="39" t="inlineStr">
        <is>
          <t>Naramon</t>
        </is>
      </c>
      <c r="F139" s="39" t="n">
        <v>14</v>
      </c>
      <c r="G139" s="39" t="inlineStr">
        <is>
          <t>Warframe</t>
        </is>
      </c>
      <c r="H139" s="39" t="inlineStr">
        <is>
          <t>Yes</t>
        </is>
      </c>
      <c r="I139" s="39" t="inlineStr">
        <is>
          <t>+185% Energy Max</t>
        </is>
      </c>
    </row>
    <row r="140">
      <c r="A140" s="39" t="inlineStr">
        <is>
          <t>Follie</t>
        </is>
      </c>
      <c r="B140" s="39" t="inlineStr">
        <is>
          <t>Mod 7</t>
        </is>
      </c>
      <c r="C140" s="39" t="inlineStr">
        <is>
          <t>Streamline</t>
        </is>
      </c>
      <c r="D140" s="39" t="n">
        <v>5</v>
      </c>
      <c r="E140" s="39" t="inlineStr">
        <is>
          <t>Naramon</t>
        </is>
      </c>
      <c r="F140" s="39" t="n">
        <v>9</v>
      </c>
      <c r="G140" s="39" t="inlineStr">
        <is>
          <t>Warframe</t>
        </is>
      </c>
      <c r="H140" s="39" t="inlineStr">
        <is>
          <t>Yes</t>
        </is>
      </c>
      <c r="I140" s="39" t="inlineStr">
        <is>
          <t>+30% Ability Efficiency</t>
        </is>
      </c>
    </row>
    <row r="141">
      <c r="A141" s="39" t="inlineStr">
        <is>
          <t>Follie</t>
        </is>
      </c>
      <c r="B141" s="39" t="inlineStr">
        <is>
          <t>Mod 8</t>
        </is>
      </c>
      <c r="C141" s="39" t="inlineStr">
        <is>
          <t>Augur Secrets</t>
        </is>
      </c>
      <c r="D141" s="39" t="n">
        <v>5</v>
      </c>
      <c r="E141" s="39" t="inlineStr">
        <is>
          <t>Naramon</t>
        </is>
      </c>
      <c r="F141" s="39" t="n">
        <v>7</v>
      </c>
      <c r="G141" s="39" t="inlineStr">
        <is>
          <t>Warframe</t>
        </is>
      </c>
      <c r="H141" s="39" t="inlineStr">
        <is>
          <t>Yes</t>
        </is>
      </c>
      <c r="I141" s="39" t="inlineStr">
        <is>
          <t>+24% Ability Strength</t>
        </is>
      </c>
    </row>
    <row r="142">
      <c r="A142" s="39" t="inlineStr">
        <is>
          <t>Frost Prime</t>
        </is>
      </c>
      <c r="B142" s="39" t="inlineStr">
        <is>
          <t>Aura</t>
        </is>
      </c>
      <c r="C142" s="39" t="inlineStr">
        <is>
          <t>Growing Power</t>
        </is>
      </c>
      <c r="D142" s="39" t="n">
        <v>5</v>
      </c>
      <c r="E142" s="39" t="inlineStr">
        <is>
          <t>Madurai</t>
        </is>
      </c>
      <c r="F142" s="39" t="n">
        <v>3</v>
      </c>
      <c r="G142" s="39" t="inlineStr">
        <is>
          <t>Aura</t>
        </is>
      </c>
      <c r="H142" s="39" t="inlineStr">
        <is>
          <t>Yes</t>
        </is>
      </c>
      <c r="I142" s="39" t="inlineStr">
        <is>
          <t>On Status Effect with Weapon: Squad increases personal Ability Strength by 25% for 6s.</t>
        </is>
      </c>
    </row>
    <row r="143">
      <c r="A143" s="39" t="inlineStr">
        <is>
          <t>Frost Prime</t>
        </is>
      </c>
      <c r="B143" s="39" t="inlineStr">
        <is>
          <t>Exilus</t>
        </is>
      </c>
      <c r="C143" s="39" t="inlineStr">
        <is>
          <t>Power Drift</t>
        </is>
      </c>
      <c r="D143" s="39" t="n">
        <v>5</v>
      </c>
      <c r="E143" s="39" t="inlineStr">
        <is>
          <t>Zenurik</t>
        </is>
      </c>
      <c r="F143" s="39" t="n">
        <v>9</v>
      </c>
      <c r="G143" s="39" t="inlineStr">
        <is>
          <t>Warframe</t>
        </is>
      </c>
      <c r="H143" s="39" t="inlineStr">
        <is>
          <t>Yes</t>
        </is>
      </c>
      <c r="I143" s="39" t="inlineStr">
        <is>
          <t>+15% Ability Strength | +30% Chance to Resist Knockdown</t>
        </is>
      </c>
    </row>
    <row r="144">
      <c r="A144" s="39" t="inlineStr">
        <is>
          <t>Frost Prime</t>
        </is>
      </c>
      <c r="B144" s="39" t="inlineStr">
        <is>
          <t>Mod 1</t>
        </is>
      </c>
      <c r="C144" s="39" t="inlineStr">
        <is>
          <t>Umbral Intensify</t>
        </is>
      </c>
      <c r="D144" s="39" t="n">
        <v>10</v>
      </c>
      <c r="E144" s="39" t="inlineStr">
        <is>
          <t>Umbra</t>
        </is>
      </c>
      <c r="F144" s="39" t="n">
        <v>16</v>
      </c>
      <c r="G144" s="39" t="inlineStr">
        <is>
          <t>Warframe</t>
        </is>
      </c>
      <c r="H144" s="39" t="inlineStr">
        <is>
          <t>NO - account-bound</t>
        </is>
      </c>
      <c r="I144" s="39" t="inlineStr">
        <is>
          <t>+44% Ability Strength | +11% &lt;DT_SENTIENT&gt;Tau Resistance</t>
        </is>
      </c>
    </row>
    <row r="145">
      <c r="A145" s="39" t="inlineStr">
        <is>
          <t>Frost Prime</t>
        </is>
      </c>
      <c r="B145" s="39" t="inlineStr">
        <is>
          <t>Mod 2</t>
        </is>
      </c>
      <c r="C145" s="39" t="inlineStr">
        <is>
          <t>Umbral Vitality</t>
        </is>
      </c>
      <c r="D145" s="39" t="n">
        <v>10</v>
      </c>
      <c r="E145" s="39" t="inlineStr">
        <is>
          <t>Umbra</t>
        </is>
      </c>
      <c r="F145" s="39" t="n">
        <v>16</v>
      </c>
      <c r="G145" s="39" t="inlineStr">
        <is>
          <t>Warframe</t>
        </is>
      </c>
      <c r="H145" s="39" t="inlineStr">
        <is>
          <t>NO - account-bound</t>
        </is>
      </c>
      <c r="I145" s="39" t="inlineStr">
        <is>
          <t>+100% Health | +11% &lt;DT_SENTIENT&gt;Tau Resistance</t>
        </is>
      </c>
    </row>
    <row r="146">
      <c r="A146" s="39" t="inlineStr">
        <is>
          <t>Frost Prime</t>
        </is>
      </c>
      <c r="B146" s="39" t="inlineStr">
        <is>
          <t>Mod 3</t>
        </is>
      </c>
      <c r="C146" s="39" t="inlineStr">
        <is>
          <t>Umbral Fiber</t>
        </is>
      </c>
      <c r="D146" s="39" t="n">
        <v>10</v>
      </c>
      <c r="E146" s="39" t="inlineStr">
        <is>
          <t>Umbra</t>
        </is>
      </c>
      <c r="F146" s="39" t="n">
        <v>16</v>
      </c>
      <c r="G146" s="39" t="inlineStr">
        <is>
          <t>Warframe</t>
        </is>
      </c>
      <c r="H146" s="39" t="inlineStr">
        <is>
          <t>NO - account-bound</t>
        </is>
      </c>
      <c r="I146" s="39" t="inlineStr">
        <is>
          <t>+100% Armor | +11% &lt;DT_SENTIENT&gt;Tau Resistance</t>
        </is>
      </c>
    </row>
    <row r="147">
      <c r="A147" s="39" t="inlineStr">
        <is>
          <t>Frost Prime</t>
        </is>
      </c>
      <c r="B147" s="39" t="inlineStr">
        <is>
          <t>Mod 4</t>
        </is>
      </c>
      <c r="C147" s="39" t="inlineStr">
        <is>
          <t>Primed Continuity</t>
        </is>
      </c>
      <c r="D147" s="39" t="n">
        <v>10</v>
      </c>
      <c r="E147" s="39" t="inlineStr">
        <is>
          <t>Madurai</t>
        </is>
      </c>
      <c r="F147" s="39" t="n">
        <v>14</v>
      </c>
      <c r="G147" s="39" t="inlineStr">
        <is>
          <t>Warframe</t>
        </is>
      </c>
      <c r="H147" s="39" t="inlineStr">
        <is>
          <t>Yes</t>
        </is>
      </c>
      <c r="I147" s="39" t="inlineStr">
        <is>
          <t>+55% Ability Duration</t>
        </is>
      </c>
    </row>
    <row r="148">
      <c r="A148" s="39" t="inlineStr">
        <is>
          <t>Frost Prime</t>
        </is>
      </c>
      <c r="B148" s="39" t="inlineStr">
        <is>
          <t>Mod 5</t>
        </is>
      </c>
      <c r="C148" s="39" t="inlineStr">
        <is>
          <t>Stretch</t>
        </is>
      </c>
      <c r="D148" s="39" t="n">
        <v>5</v>
      </c>
      <c r="E148" s="39" t="inlineStr">
        <is>
          <t>Naramon</t>
        </is>
      </c>
      <c r="F148" s="39" t="n">
        <v>9</v>
      </c>
      <c r="G148" s="39" t="inlineStr">
        <is>
          <t>Warframe</t>
        </is>
      </c>
      <c r="H148" s="39" t="inlineStr">
        <is>
          <t>Yes</t>
        </is>
      </c>
      <c r="I148" s="39" t="inlineStr">
        <is>
          <t>+45% Ability Range</t>
        </is>
      </c>
    </row>
    <row r="149">
      <c r="A149" s="39" t="inlineStr">
        <is>
          <t>Frost Prime</t>
        </is>
      </c>
      <c r="B149" s="39" t="inlineStr">
        <is>
          <t>Mod 6</t>
        </is>
      </c>
      <c r="C149" s="39" t="inlineStr">
        <is>
          <t>Primed Flow</t>
        </is>
      </c>
      <c r="D149" s="39" t="n">
        <v>10</v>
      </c>
      <c r="E149" s="39" t="inlineStr">
        <is>
          <t>Naramon</t>
        </is>
      </c>
      <c r="F149" s="39" t="n">
        <v>14</v>
      </c>
      <c r="G149" s="39" t="inlineStr">
        <is>
          <t>Warframe</t>
        </is>
      </c>
      <c r="H149" s="39" t="inlineStr">
        <is>
          <t>Yes</t>
        </is>
      </c>
      <c r="I149" s="39" t="inlineStr">
        <is>
          <t>+185% Energy Max</t>
        </is>
      </c>
    </row>
    <row r="150">
      <c r="A150" s="39" t="inlineStr">
        <is>
          <t>Frost Prime</t>
        </is>
      </c>
      <c r="B150" s="39" t="inlineStr">
        <is>
          <t>Mod 7</t>
        </is>
      </c>
      <c r="C150" s="39" t="inlineStr">
        <is>
          <t>Streamline</t>
        </is>
      </c>
      <c r="D150" s="39" t="n">
        <v>5</v>
      </c>
      <c r="E150" s="39" t="inlineStr">
        <is>
          <t>Naramon</t>
        </is>
      </c>
      <c r="F150" s="39" t="n">
        <v>9</v>
      </c>
      <c r="G150" s="39" t="inlineStr">
        <is>
          <t>Warframe</t>
        </is>
      </c>
      <c r="H150" s="39" t="inlineStr">
        <is>
          <t>Yes</t>
        </is>
      </c>
      <c r="I150" s="39" t="inlineStr">
        <is>
          <t>+30% Ability Efficiency</t>
        </is>
      </c>
    </row>
    <row r="151">
      <c r="A151" s="39" t="inlineStr">
        <is>
          <t>Frost Prime</t>
        </is>
      </c>
      <c r="B151" s="39" t="inlineStr">
        <is>
          <t>Mod 8</t>
        </is>
      </c>
      <c r="C151" s="39" t="inlineStr">
        <is>
          <t>Icy Avalanche</t>
        </is>
      </c>
      <c r="D151" s="39" t="n">
        <v>3</v>
      </c>
      <c r="E151" s="39" t="inlineStr">
        <is>
          <t>Zenurik</t>
        </is>
      </c>
      <c r="F151" s="39" t="n">
        <v>9</v>
      </c>
      <c r="G151" s="39" t="inlineStr">
        <is>
          <t>Frost</t>
        </is>
      </c>
      <c r="H151" s="39" t="inlineStr">
        <is>
          <t>Yes</t>
        </is>
      </c>
      <c r="I151" s="39" t="inlineStr">
        <is>
          <t>Avalanche Augment: Allies within Affinity Range are coated in ice that grants 60 Overguard per enemy hit. Overguard increases by 20% of your Armor once per enem</t>
        </is>
      </c>
    </row>
    <row r="152">
      <c r="A152" s="39" t="inlineStr">
        <is>
          <t>Gara Prime</t>
        </is>
      </c>
      <c r="B152" s="39" t="inlineStr">
        <is>
          <t>Aura</t>
        </is>
      </c>
      <c r="C152" s="39" t="inlineStr">
        <is>
          <t>Growing Power</t>
        </is>
      </c>
      <c r="D152" s="39" t="n">
        <v>5</v>
      </c>
      <c r="E152" s="39" t="inlineStr">
        <is>
          <t>Madurai</t>
        </is>
      </c>
      <c r="F152" s="39" t="n">
        <v>3</v>
      </c>
      <c r="G152" s="39" t="inlineStr">
        <is>
          <t>Aura</t>
        </is>
      </c>
      <c r="H152" s="39" t="inlineStr">
        <is>
          <t>Yes</t>
        </is>
      </c>
      <c r="I152" s="39" t="inlineStr">
        <is>
          <t>On Status Effect with Weapon: Squad increases personal Ability Strength by 25% for 6s.</t>
        </is>
      </c>
    </row>
    <row r="153">
      <c r="A153" s="39" t="inlineStr">
        <is>
          <t>Gara Prime</t>
        </is>
      </c>
      <c r="B153" s="39" t="inlineStr">
        <is>
          <t>Exilus</t>
        </is>
      </c>
      <c r="C153" s="39" t="inlineStr">
        <is>
          <t>Power Drift</t>
        </is>
      </c>
      <c r="D153" s="39" t="n">
        <v>5</v>
      </c>
      <c r="E153" s="39" t="inlineStr">
        <is>
          <t>Zenurik</t>
        </is>
      </c>
      <c r="F153" s="39" t="n">
        <v>9</v>
      </c>
      <c r="G153" s="39" t="inlineStr">
        <is>
          <t>Warframe</t>
        </is>
      </c>
      <c r="H153" s="39" t="inlineStr">
        <is>
          <t>Yes</t>
        </is>
      </c>
      <c r="I153" s="39" t="inlineStr">
        <is>
          <t>+15% Ability Strength | +30% Chance to Resist Knockdown</t>
        </is>
      </c>
    </row>
    <row r="154">
      <c r="A154" s="39" t="inlineStr">
        <is>
          <t>Gara Prime</t>
        </is>
      </c>
      <c r="B154" s="39" t="inlineStr">
        <is>
          <t>Mod 1</t>
        </is>
      </c>
      <c r="C154" s="39" t="inlineStr">
        <is>
          <t>Umbral Intensify</t>
        </is>
      </c>
      <c r="D154" s="39" t="n">
        <v>10</v>
      </c>
      <c r="E154" s="39" t="inlineStr">
        <is>
          <t>Umbra</t>
        </is>
      </c>
      <c r="F154" s="39" t="n">
        <v>16</v>
      </c>
      <c r="G154" s="39" t="inlineStr">
        <is>
          <t>Warframe</t>
        </is>
      </c>
      <c r="H154" s="39" t="inlineStr">
        <is>
          <t>NO - account-bound</t>
        </is>
      </c>
      <c r="I154" s="39" t="inlineStr">
        <is>
          <t>+44% Ability Strength | +11% &lt;DT_SENTIENT&gt;Tau Resistance</t>
        </is>
      </c>
    </row>
    <row r="155">
      <c r="A155" s="39" t="inlineStr">
        <is>
          <t>Gara Prime</t>
        </is>
      </c>
      <c r="B155" s="39" t="inlineStr">
        <is>
          <t>Mod 2</t>
        </is>
      </c>
      <c r="C155" s="39" t="inlineStr">
        <is>
          <t>Umbral Vitality</t>
        </is>
      </c>
      <c r="D155" s="39" t="n">
        <v>10</v>
      </c>
      <c r="E155" s="39" t="inlineStr">
        <is>
          <t>Umbra</t>
        </is>
      </c>
      <c r="F155" s="39" t="n">
        <v>16</v>
      </c>
      <c r="G155" s="39" t="inlineStr">
        <is>
          <t>Warframe</t>
        </is>
      </c>
      <c r="H155" s="39" t="inlineStr">
        <is>
          <t>NO - account-bound</t>
        </is>
      </c>
      <c r="I155" s="39" t="inlineStr">
        <is>
          <t>+100% Health | +11% &lt;DT_SENTIENT&gt;Tau Resistance</t>
        </is>
      </c>
    </row>
    <row r="156">
      <c r="A156" s="39" t="inlineStr">
        <is>
          <t>Gara Prime</t>
        </is>
      </c>
      <c r="B156" s="39" t="inlineStr">
        <is>
          <t>Mod 3</t>
        </is>
      </c>
      <c r="C156" s="39" t="inlineStr">
        <is>
          <t>Umbral Fiber</t>
        </is>
      </c>
      <c r="D156" s="39" t="n">
        <v>10</v>
      </c>
      <c r="E156" s="39" t="inlineStr">
        <is>
          <t>Umbra</t>
        </is>
      </c>
      <c r="F156" s="39" t="n">
        <v>16</v>
      </c>
      <c r="G156" s="39" t="inlineStr">
        <is>
          <t>Warframe</t>
        </is>
      </c>
      <c r="H156" s="39" t="inlineStr">
        <is>
          <t>NO - account-bound</t>
        </is>
      </c>
      <c r="I156" s="39" t="inlineStr">
        <is>
          <t>+100% Armor | +11% &lt;DT_SENTIENT&gt;Tau Resistance</t>
        </is>
      </c>
    </row>
    <row r="157">
      <c r="A157" s="39" t="inlineStr">
        <is>
          <t>Gara Prime</t>
        </is>
      </c>
      <c r="B157" s="39" t="inlineStr">
        <is>
          <t>Mod 4</t>
        </is>
      </c>
      <c r="C157" s="39" t="inlineStr">
        <is>
          <t>Primed Continuity</t>
        </is>
      </c>
      <c r="D157" s="39" t="n">
        <v>10</v>
      </c>
      <c r="E157" s="39" t="inlineStr">
        <is>
          <t>Madurai</t>
        </is>
      </c>
      <c r="F157" s="39" t="n">
        <v>14</v>
      </c>
      <c r="G157" s="39" t="inlineStr">
        <is>
          <t>Warframe</t>
        </is>
      </c>
      <c r="H157" s="39" t="inlineStr">
        <is>
          <t>Yes</t>
        </is>
      </c>
      <c r="I157" s="39" t="inlineStr">
        <is>
          <t>+55% Ability Duration</t>
        </is>
      </c>
    </row>
    <row r="158">
      <c r="A158" s="39" t="inlineStr">
        <is>
          <t>Gara Prime</t>
        </is>
      </c>
      <c r="B158" s="39" t="inlineStr">
        <is>
          <t>Mod 5</t>
        </is>
      </c>
      <c r="C158" s="39" t="inlineStr">
        <is>
          <t>Stretch</t>
        </is>
      </c>
      <c r="D158" s="39" t="n">
        <v>5</v>
      </c>
      <c r="E158" s="39" t="inlineStr">
        <is>
          <t>Naramon</t>
        </is>
      </c>
      <c r="F158" s="39" t="n">
        <v>9</v>
      </c>
      <c r="G158" s="39" t="inlineStr">
        <is>
          <t>Warframe</t>
        </is>
      </c>
      <c r="H158" s="39" t="inlineStr">
        <is>
          <t>Yes</t>
        </is>
      </c>
      <c r="I158" s="39" t="inlineStr">
        <is>
          <t>+45% Ability Range</t>
        </is>
      </c>
    </row>
    <row r="159">
      <c r="A159" s="39" t="inlineStr">
        <is>
          <t>Gara Prime</t>
        </is>
      </c>
      <c r="B159" s="39" t="inlineStr">
        <is>
          <t>Mod 6</t>
        </is>
      </c>
      <c r="C159" s="39" t="inlineStr">
        <is>
          <t>Primed Flow</t>
        </is>
      </c>
      <c r="D159" s="39" t="n">
        <v>10</v>
      </c>
      <c r="E159" s="39" t="inlineStr">
        <is>
          <t>Naramon</t>
        </is>
      </c>
      <c r="F159" s="39" t="n">
        <v>14</v>
      </c>
      <c r="G159" s="39" t="inlineStr">
        <is>
          <t>Warframe</t>
        </is>
      </c>
      <c r="H159" s="39" t="inlineStr">
        <is>
          <t>Yes</t>
        </is>
      </c>
      <c r="I159" s="39" t="inlineStr">
        <is>
          <t>+185% Energy Max</t>
        </is>
      </c>
    </row>
    <row r="160">
      <c r="A160" s="39" t="inlineStr">
        <is>
          <t>Gara Prime</t>
        </is>
      </c>
      <c r="B160" s="39" t="inlineStr">
        <is>
          <t>Mod 7</t>
        </is>
      </c>
      <c r="C160" s="39" t="inlineStr">
        <is>
          <t>Streamline</t>
        </is>
      </c>
      <c r="D160" s="39" t="n">
        <v>5</v>
      </c>
      <c r="E160" s="39" t="inlineStr">
        <is>
          <t>Naramon</t>
        </is>
      </c>
      <c r="F160" s="39" t="n">
        <v>9</v>
      </c>
      <c r="G160" s="39" t="inlineStr">
        <is>
          <t>Warframe</t>
        </is>
      </c>
      <c r="H160" s="39" t="inlineStr">
        <is>
          <t>Yes</t>
        </is>
      </c>
      <c r="I160" s="39" t="inlineStr">
        <is>
          <t>+30% Ability Efficiency</t>
        </is>
      </c>
    </row>
    <row r="161">
      <c r="A161" s="39" t="inlineStr">
        <is>
          <t>Gara Prime</t>
        </is>
      </c>
      <c r="B161" s="39" t="inlineStr">
        <is>
          <t>Mod 8</t>
        </is>
      </c>
      <c r="C161" s="39" t="inlineStr">
        <is>
          <t>Mending Splinters</t>
        </is>
      </c>
      <c r="D161" s="39" t="n">
        <v>3</v>
      </c>
      <c r="E161" s="39" t="inlineStr">
        <is>
          <t>Zenurik</t>
        </is>
      </c>
      <c r="F161" s="39" t="n">
        <v>9</v>
      </c>
      <c r="G161" s="39" t="inlineStr">
        <is>
          <t>Gara</t>
        </is>
      </c>
      <c r="H161" s="39" t="inlineStr">
        <is>
          <t>Yes</t>
        </is>
      </c>
      <c r="I161" s="39" t="inlineStr">
        <is>
          <t>Splinter Storm Augment: For each target affected, Splinter Storm heals 15 Health/s.</t>
        </is>
      </c>
    </row>
    <row r="162">
      <c r="A162" s="39" t="inlineStr">
        <is>
          <t>Garuda Prime</t>
        </is>
      </c>
      <c r="B162" s="39" t="inlineStr">
        <is>
          <t>Aura</t>
        </is>
      </c>
      <c r="C162" s="39" t="inlineStr">
        <is>
          <t>Growing Power</t>
        </is>
      </c>
      <c r="D162" s="39" t="n">
        <v>5</v>
      </c>
      <c r="E162" s="39" t="inlineStr">
        <is>
          <t>Madurai</t>
        </is>
      </c>
      <c r="F162" s="39" t="n">
        <v>3</v>
      </c>
      <c r="G162" s="39" t="inlineStr">
        <is>
          <t>Aura</t>
        </is>
      </c>
      <c r="H162" s="39" t="inlineStr">
        <is>
          <t>Yes</t>
        </is>
      </c>
      <c r="I162" s="39" t="inlineStr">
        <is>
          <t>On Status Effect with Weapon: Squad increases personal Ability Strength by 25% for 6s.</t>
        </is>
      </c>
    </row>
    <row r="163">
      <c r="A163" s="39" t="inlineStr">
        <is>
          <t>Garuda Prime</t>
        </is>
      </c>
      <c r="B163" s="39" t="inlineStr">
        <is>
          <t>Exilus</t>
        </is>
      </c>
      <c r="C163" s="39" t="inlineStr">
        <is>
          <t>Power Drift</t>
        </is>
      </c>
      <c r="D163" s="39" t="n">
        <v>5</v>
      </c>
      <c r="E163" s="39" t="inlineStr">
        <is>
          <t>Zenurik</t>
        </is>
      </c>
      <c r="F163" s="39" t="n">
        <v>9</v>
      </c>
      <c r="G163" s="39" t="inlineStr">
        <is>
          <t>Warframe</t>
        </is>
      </c>
      <c r="H163" s="39" t="inlineStr">
        <is>
          <t>Yes</t>
        </is>
      </c>
      <c r="I163" s="39" t="inlineStr">
        <is>
          <t>+15% Ability Strength | +30% Chance to Resist Knockdown</t>
        </is>
      </c>
    </row>
    <row r="164">
      <c r="A164" s="39" t="inlineStr">
        <is>
          <t>Garuda Prime</t>
        </is>
      </c>
      <c r="B164" s="39" t="inlineStr">
        <is>
          <t>Mod 1</t>
        </is>
      </c>
      <c r="C164" s="39" t="inlineStr">
        <is>
          <t>Umbral Intensify</t>
        </is>
      </c>
      <c r="D164" s="39" t="n">
        <v>10</v>
      </c>
      <c r="E164" s="39" t="inlineStr">
        <is>
          <t>Umbra</t>
        </is>
      </c>
      <c r="F164" s="39" t="n">
        <v>16</v>
      </c>
      <c r="G164" s="39" t="inlineStr">
        <is>
          <t>Warframe</t>
        </is>
      </c>
      <c r="H164" s="39" t="inlineStr">
        <is>
          <t>NO - account-bound</t>
        </is>
      </c>
      <c r="I164" s="39" t="inlineStr">
        <is>
          <t>+44% Ability Strength | +11% &lt;DT_SENTIENT&gt;Tau Resistance</t>
        </is>
      </c>
    </row>
    <row r="165">
      <c r="A165" s="39" t="inlineStr">
        <is>
          <t>Garuda Prime</t>
        </is>
      </c>
      <c r="B165" s="39" t="inlineStr">
        <is>
          <t>Mod 2</t>
        </is>
      </c>
      <c r="C165" s="39" t="inlineStr">
        <is>
          <t>Umbral Vitality</t>
        </is>
      </c>
      <c r="D165" s="39" t="n">
        <v>10</v>
      </c>
      <c r="E165" s="39" t="inlineStr">
        <is>
          <t>Umbra</t>
        </is>
      </c>
      <c r="F165" s="39" t="n">
        <v>16</v>
      </c>
      <c r="G165" s="39" t="inlineStr">
        <is>
          <t>Warframe</t>
        </is>
      </c>
      <c r="H165" s="39" t="inlineStr">
        <is>
          <t>NO - account-bound</t>
        </is>
      </c>
      <c r="I165" s="39" t="inlineStr">
        <is>
          <t>+100% Health | +11% &lt;DT_SENTIENT&gt;Tau Resistance</t>
        </is>
      </c>
    </row>
    <row r="166">
      <c r="A166" s="39" t="inlineStr">
        <is>
          <t>Garuda Prime</t>
        </is>
      </c>
      <c r="B166" s="39" t="inlineStr">
        <is>
          <t>Mod 3</t>
        </is>
      </c>
      <c r="C166" s="39" t="inlineStr">
        <is>
          <t>Umbral Fiber</t>
        </is>
      </c>
      <c r="D166" s="39" t="n">
        <v>10</v>
      </c>
      <c r="E166" s="39" t="inlineStr">
        <is>
          <t>Umbra</t>
        </is>
      </c>
      <c r="F166" s="39" t="n">
        <v>16</v>
      </c>
      <c r="G166" s="39" t="inlineStr">
        <is>
          <t>Warframe</t>
        </is>
      </c>
      <c r="H166" s="39" t="inlineStr">
        <is>
          <t>NO - account-bound</t>
        </is>
      </c>
      <c r="I166" s="39" t="inlineStr">
        <is>
          <t>+100% Armor | +11% &lt;DT_SENTIENT&gt;Tau Resistance</t>
        </is>
      </c>
    </row>
    <row r="167">
      <c r="A167" s="39" t="inlineStr">
        <is>
          <t>Garuda Prime</t>
        </is>
      </c>
      <c r="B167" s="39" t="inlineStr">
        <is>
          <t>Mod 4</t>
        </is>
      </c>
      <c r="C167" s="39" t="inlineStr">
        <is>
          <t>Primed Continuity</t>
        </is>
      </c>
      <c r="D167" s="39" t="n">
        <v>10</v>
      </c>
      <c r="E167" s="39" t="inlineStr">
        <is>
          <t>Madurai</t>
        </is>
      </c>
      <c r="F167" s="39" t="n">
        <v>14</v>
      </c>
      <c r="G167" s="39" t="inlineStr">
        <is>
          <t>Warframe</t>
        </is>
      </c>
      <c r="H167" s="39" t="inlineStr">
        <is>
          <t>Yes</t>
        </is>
      </c>
      <c r="I167" s="39" t="inlineStr">
        <is>
          <t>+55% Ability Duration</t>
        </is>
      </c>
    </row>
    <row r="168">
      <c r="A168" s="39" t="inlineStr">
        <is>
          <t>Garuda Prime</t>
        </is>
      </c>
      <c r="B168" s="39" t="inlineStr">
        <is>
          <t>Mod 5</t>
        </is>
      </c>
      <c r="C168" s="39" t="inlineStr">
        <is>
          <t>Primed Flow</t>
        </is>
      </c>
      <c r="D168" s="39" t="n">
        <v>10</v>
      </c>
      <c r="E168" s="39" t="inlineStr">
        <is>
          <t>Naramon</t>
        </is>
      </c>
      <c r="F168" s="39" t="n">
        <v>14</v>
      </c>
      <c r="G168" s="39" t="inlineStr">
        <is>
          <t>Warframe</t>
        </is>
      </c>
      <c r="H168" s="39" t="inlineStr">
        <is>
          <t>Yes</t>
        </is>
      </c>
      <c r="I168" s="39" t="inlineStr">
        <is>
          <t>+185% Energy Max</t>
        </is>
      </c>
    </row>
    <row r="169">
      <c r="A169" s="39" t="inlineStr">
        <is>
          <t>Garuda Prime</t>
        </is>
      </c>
      <c r="B169" s="39" t="inlineStr">
        <is>
          <t>Mod 6</t>
        </is>
      </c>
      <c r="C169" s="39" t="inlineStr">
        <is>
          <t>Streamline</t>
        </is>
      </c>
      <c r="D169" s="39" t="n">
        <v>5</v>
      </c>
      <c r="E169" s="39" t="inlineStr">
        <is>
          <t>Naramon</t>
        </is>
      </c>
      <c r="F169" s="39" t="n">
        <v>9</v>
      </c>
      <c r="G169" s="39" t="inlineStr">
        <is>
          <t>Warframe</t>
        </is>
      </c>
      <c r="H169" s="39" t="inlineStr">
        <is>
          <t>Yes</t>
        </is>
      </c>
      <c r="I169" s="39" t="inlineStr">
        <is>
          <t>+30% Ability Efficiency</t>
        </is>
      </c>
    </row>
    <row r="170">
      <c r="A170" s="39" t="inlineStr">
        <is>
          <t>Garuda Prime</t>
        </is>
      </c>
      <c r="B170" s="39" t="inlineStr">
        <is>
          <t>Mod 7</t>
        </is>
      </c>
      <c r="C170" s="39" t="inlineStr">
        <is>
          <t>Stretch</t>
        </is>
      </c>
      <c r="D170" s="39" t="n">
        <v>5</v>
      </c>
      <c r="E170" s="39" t="inlineStr">
        <is>
          <t>Naramon</t>
        </is>
      </c>
      <c r="F170" s="39" t="n">
        <v>9</v>
      </c>
      <c r="G170" s="39" t="inlineStr">
        <is>
          <t>Warframe</t>
        </is>
      </c>
      <c r="H170" s="39" t="inlineStr">
        <is>
          <t>Yes</t>
        </is>
      </c>
      <c r="I170" s="39" t="inlineStr">
        <is>
          <t>+45% Ability Range</t>
        </is>
      </c>
    </row>
    <row r="171">
      <c r="A171" s="39" t="inlineStr">
        <is>
          <t>Garuda Prime</t>
        </is>
      </c>
      <c r="B171" s="39" t="inlineStr">
        <is>
          <t>Mod 8</t>
        </is>
      </c>
      <c r="C171" s="39" t="inlineStr">
        <is>
          <t>Blood Forge</t>
        </is>
      </c>
      <c r="D171" s="39" t="n">
        <v>3</v>
      </c>
      <c r="E171" s="39" t="inlineStr">
        <is>
          <t>Zenurik</t>
        </is>
      </c>
      <c r="F171" s="39" t="n">
        <v>9</v>
      </c>
      <c r="G171" s="39" t="inlineStr">
        <is>
          <t>Garuda</t>
        </is>
      </c>
      <c r="H171" s="39" t="inlineStr">
        <is>
          <t>Yes</t>
        </is>
      </c>
      <c r="I171" s="39" t="inlineStr">
        <is>
          <t>Bloodletting Augment: Garuda's equipped weapon is reloaded up to 100%.</t>
        </is>
      </c>
    </row>
    <row r="172">
      <c r="A172" s="39" t="inlineStr">
        <is>
          <t>Gauss Prime</t>
        </is>
      </c>
      <c r="B172" s="39" t="inlineStr">
        <is>
          <t>Aura</t>
        </is>
      </c>
      <c r="C172" s="39" t="inlineStr">
        <is>
          <t>Growing Power</t>
        </is>
      </c>
      <c r="D172" s="39" t="n">
        <v>5</v>
      </c>
      <c r="E172" s="39" t="inlineStr">
        <is>
          <t>Madurai</t>
        </is>
      </c>
      <c r="F172" s="39" t="n">
        <v>3</v>
      </c>
      <c r="G172" s="39" t="inlineStr">
        <is>
          <t>Aura</t>
        </is>
      </c>
      <c r="H172" s="39" t="inlineStr">
        <is>
          <t>Yes</t>
        </is>
      </c>
      <c r="I172" s="39" t="inlineStr">
        <is>
          <t>On Status Effect with Weapon: Squad increases personal Ability Strength by 25% for 6s.</t>
        </is>
      </c>
    </row>
    <row r="173">
      <c r="A173" s="39" t="inlineStr">
        <is>
          <t>Gauss Prime</t>
        </is>
      </c>
      <c r="B173" s="39" t="inlineStr">
        <is>
          <t>Exilus</t>
        </is>
      </c>
      <c r="C173" s="39" t="inlineStr">
        <is>
          <t>Power Drift</t>
        </is>
      </c>
      <c r="D173" s="39" t="n">
        <v>5</v>
      </c>
      <c r="E173" s="39" t="inlineStr">
        <is>
          <t>Zenurik</t>
        </is>
      </c>
      <c r="F173" s="39" t="n">
        <v>9</v>
      </c>
      <c r="G173" s="39" t="inlineStr">
        <is>
          <t>Warframe</t>
        </is>
      </c>
      <c r="H173" s="39" t="inlineStr">
        <is>
          <t>Yes</t>
        </is>
      </c>
      <c r="I173" s="39" t="inlineStr">
        <is>
          <t>+15% Ability Strength | +30% Chance to Resist Knockdown</t>
        </is>
      </c>
    </row>
    <row r="174">
      <c r="A174" s="39" t="inlineStr">
        <is>
          <t>Gauss Prime</t>
        </is>
      </c>
      <c r="B174" s="39" t="inlineStr">
        <is>
          <t>Mod 1</t>
        </is>
      </c>
      <c r="C174" s="39" t="inlineStr">
        <is>
          <t>Umbral Intensify</t>
        </is>
      </c>
      <c r="D174" s="39" t="n">
        <v>10</v>
      </c>
      <c r="E174" s="39" t="inlineStr">
        <is>
          <t>Umbra</t>
        </is>
      </c>
      <c r="F174" s="39" t="n">
        <v>16</v>
      </c>
      <c r="G174" s="39" t="inlineStr">
        <is>
          <t>Warframe</t>
        </is>
      </c>
      <c r="H174" s="39" t="inlineStr">
        <is>
          <t>NO - account-bound</t>
        </is>
      </c>
      <c r="I174" s="39" t="inlineStr">
        <is>
          <t>+44% Ability Strength | +11% &lt;DT_SENTIENT&gt;Tau Resistance</t>
        </is>
      </c>
    </row>
    <row r="175">
      <c r="A175" s="39" t="inlineStr">
        <is>
          <t>Gauss Prime</t>
        </is>
      </c>
      <c r="B175" s="39" t="inlineStr">
        <is>
          <t>Mod 2</t>
        </is>
      </c>
      <c r="C175" s="39" t="inlineStr">
        <is>
          <t>Umbral Vitality</t>
        </is>
      </c>
      <c r="D175" s="39" t="n">
        <v>10</v>
      </c>
      <c r="E175" s="39" t="inlineStr">
        <is>
          <t>Umbra</t>
        </is>
      </c>
      <c r="F175" s="39" t="n">
        <v>16</v>
      </c>
      <c r="G175" s="39" t="inlineStr">
        <is>
          <t>Warframe</t>
        </is>
      </c>
      <c r="H175" s="39" t="inlineStr">
        <is>
          <t>NO - account-bound</t>
        </is>
      </c>
      <c r="I175" s="39" t="inlineStr">
        <is>
          <t>+100% Health | +11% &lt;DT_SENTIENT&gt;Tau Resistance</t>
        </is>
      </c>
    </row>
    <row r="176">
      <c r="A176" s="39" t="inlineStr">
        <is>
          <t>Gauss Prime</t>
        </is>
      </c>
      <c r="B176" s="39" t="inlineStr">
        <is>
          <t>Mod 3</t>
        </is>
      </c>
      <c r="C176" s="39" t="inlineStr">
        <is>
          <t>Umbral Fiber</t>
        </is>
      </c>
      <c r="D176" s="39" t="n">
        <v>10</v>
      </c>
      <c r="E176" s="39" t="inlineStr">
        <is>
          <t>Umbra</t>
        </is>
      </c>
      <c r="F176" s="39" t="n">
        <v>16</v>
      </c>
      <c r="G176" s="39" t="inlineStr">
        <is>
          <t>Warframe</t>
        </is>
      </c>
      <c r="H176" s="39" t="inlineStr">
        <is>
          <t>NO - account-bound</t>
        </is>
      </c>
      <c r="I176" s="39" t="inlineStr">
        <is>
          <t>+100% Armor | +11% &lt;DT_SENTIENT&gt;Tau Resistance</t>
        </is>
      </c>
    </row>
    <row r="177">
      <c r="A177" s="39" t="inlineStr">
        <is>
          <t>Gauss Prime</t>
        </is>
      </c>
      <c r="B177" s="39" t="inlineStr">
        <is>
          <t>Mod 4</t>
        </is>
      </c>
      <c r="C177" s="39" t="inlineStr">
        <is>
          <t>Primed Continuity</t>
        </is>
      </c>
      <c r="D177" s="39" t="n">
        <v>10</v>
      </c>
      <c r="E177" s="39" t="inlineStr">
        <is>
          <t>Madurai</t>
        </is>
      </c>
      <c r="F177" s="39" t="n">
        <v>14</v>
      </c>
      <c r="G177" s="39" t="inlineStr">
        <is>
          <t>Warframe</t>
        </is>
      </c>
      <c r="H177" s="39" t="inlineStr">
        <is>
          <t>Yes</t>
        </is>
      </c>
      <c r="I177" s="39" t="inlineStr">
        <is>
          <t>+55% Ability Duration</t>
        </is>
      </c>
    </row>
    <row r="178">
      <c r="A178" s="39" t="inlineStr">
        <is>
          <t>Gauss Prime</t>
        </is>
      </c>
      <c r="B178" s="39" t="inlineStr">
        <is>
          <t>Mod 5</t>
        </is>
      </c>
      <c r="C178" s="39" t="inlineStr">
        <is>
          <t>Stretch</t>
        </is>
      </c>
      <c r="D178" s="39" t="n">
        <v>5</v>
      </c>
      <c r="E178" s="39" t="inlineStr">
        <is>
          <t>Naramon</t>
        </is>
      </c>
      <c r="F178" s="39" t="n">
        <v>9</v>
      </c>
      <c r="G178" s="39" t="inlineStr">
        <is>
          <t>Warframe</t>
        </is>
      </c>
      <c r="H178" s="39" t="inlineStr">
        <is>
          <t>Yes</t>
        </is>
      </c>
      <c r="I178" s="39" t="inlineStr">
        <is>
          <t>+45% Ability Range</t>
        </is>
      </c>
    </row>
    <row r="179">
      <c r="A179" s="39" t="inlineStr">
        <is>
          <t>Gauss Prime</t>
        </is>
      </c>
      <c r="B179" s="39" t="inlineStr">
        <is>
          <t>Mod 6</t>
        </is>
      </c>
      <c r="C179" s="39" t="inlineStr">
        <is>
          <t>Primed Flow</t>
        </is>
      </c>
      <c r="D179" s="39" t="n">
        <v>10</v>
      </c>
      <c r="E179" s="39" t="inlineStr">
        <is>
          <t>Naramon</t>
        </is>
      </c>
      <c r="F179" s="39" t="n">
        <v>14</v>
      </c>
      <c r="G179" s="39" t="inlineStr">
        <is>
          <t>Warframe</t>
        </is>
      </c>
      <c r="H179" s="39" t="inlineStr">
        <is>
          <t>Yes</t>
        </is>
      </c>
      <c r="I179" s="39" t="inlineStr">
        <is>
          <t>+185% Energy Max</t>
        </is>
      </c>
    </row>
    <row r="180">
      <c r="A180" s="39" t="inlineStr">
        <is>
          <t>Gauss Prime</t>
        </is>
      </c>
      <c r="B180" s="39" t="inlineStr">
        <is>
          <t>Mod 7</t>
        </is>
      </c>
      <c r="C180" s="39" t="inlineStr">
        <is>
          <t>Streamline</t>
        </is>
      </c>
      <c r="D180" s="39" t="n">
        <v>5</v>
      </c>
      <c r="E180" s="39" t="inlineStr">
        <is>
          <t>Naramon</t>
        </is>
      </c>
      <c r="F180" s="39" t="n">
        <v>9</v>
      </c>
      <c r="G180" s="39" t="inlineStr">
        <is>
          <t>Warframe</t>
        </is>
      </c>
      <c r="H180" s="39" t="inlineStr">
        <is>
          <t>Yes</t>
        </is>
      </c>
      <c r="I180" s="39" t="inlineStr">
        <is>
          <t>+30% Ability Efficiency</t>
        </is>
      </c>
    </row>
    <row r="181">
      <c r="A181" s="39" t="inlineStr">
        <is>
          <t>Gauss Prime</t>
        </is>
      </c>
      <c r="B181" s="39" t="inlineStr">
        <is>
          <t>Mod 8</t>
        </is>
      </c>
      <c r="C181" s="39" t="inlineStr">
        <is>
          <t>Thermal Transfer</t>
        </is>
      </c>
      <c r="D181" s="39" t="n">
        <v>3</v>
      </c>
      <c r="E181" s="39" t="inlineStr">
        <is>
          <t>Zenurik</t>
        </is>
      </c>
      <c r="F181" s="39" t="n">
        <v>9</v>
      </c>
      <c r="G181" s="39" t="inlineStr">
        <is>
          <t>Gauss</t>
        </is>
      </c>
      <c r="H181" s="39" t="inlineStr">
        <is>
          <t>Yes</t>
        </is>
      </c>
      <c r="I181" s="39" t="inlineStr">
        <is>
          <t>Thermal Sunder Augment: Allies in range gain 75% bonus Elemental Damage for 30s.</t>
        </is>
      </c>
    </row>
    <row r="182">
      <c r="A182" s="39" t="inlineStr">
        <is>
          <t>Grendel Prime</t>
        </is>
      </c>
      <c r="B182" s="39" t="inlineStr">
        <is>
          <t>Aura</t>
        </is>
      </c>
      <c r="C182" s="39" t="inlineStr">
        <is>
          <t>Growing Power</t>
        </is>
      </c>
      <c r="D182" s="39" t="n">
        <v>5</v>
      </c>
      <c r="E182" s="39" t="inlineStr">
        <is>
          <t>Madurai</t>
        </is>
      </c>
      <c r="F182" s="39" t="n">
        <v>3</v>
      </c>
      <c r="G182" s="39" t="inlineStr">
        <is>
          <t>Aura</t>
        </is>
      </c>
      <c r="H182" s="39" t="inlineStr">
        <is>
          <t>Yes</t>
        </is>
      </c>
      <c r="I182" s="39" t="inlineStr">
        <is>
          <t>On Status Effect with Weapon: Squad increases personal Ability Strength by 25% for 6s.</t>
        </is>
      </c>
    </row>
    <row r="183">
      <c r="A183" s="39" t="inlineStr">
        <is>
          <t>Grendel Prime</t>
        </is>
      </c>
      <c r="B183" s="39" t="inlineStr">
        <is>
          <t>Exilus</t>
        </is>
      </c>
      <c r="C183" s="39" t="inlineStr">
        <is>
          <t>Power Drift</t>
        </is>
      </c>
      <c r="D183" s="39" t="n">
        <v>5</v>
      </c>
      <c r="E183" s="39" t="inlineStr">
        <is>
          <t>Zenurik</t>
        </is>
      </c>
      <c r="F183" s="39" t="n">
        <v>9</v>
      </c>
      <c r="G183" s="39" t="inlineStr">
        <is>
          <t>Warframe</t>
        </is>
      </c>
      <c r="H183" s="39" t="inlineStr">
        <is>
          <t>Yes</t>
        </is>
      </c>
      <c r="I183" s="39" t="inlineStr">
        <is>
          <t>+15% Ability Strength | +30% Chance to Resist Knockdown</t>
        </is>
      </c>
    </row>
    <row r="184">
      <c r="A184" s="39" t="inlineStr">
        <is>
          <t>Grendel Prime</t>
        </is>
      </c>
      <c r="B184" s="39" t="inlineStr">
        <is>
          <t>Mod 1</t>
        </is>
      </c>
      <c r="C184" s="39" t="inlineStr">
        <is>
          <t>Umbral Intensify</t>
        </is>
      </c>
      <c r="D184" s="39" t="n">
        <v>10</v>
      </c>
      <c r="E184" s="39" t="inlineStr">
        <is>
          <t>Umbra</t>
        </is>
      </c>
      <c r="F184" s="39" t="n">
        <v>16</v>
      </c>
      <c r="G184" s="39" t="inlineStr">
        <is>
          <t>Warframe</t>
        </is>
      </c>
      <c r="H184" s="39" t="inlineStr">
        <is>
          <t>NO - account-bound</t>
        </is>
      </c>
      <c r="I184" s="39" t="inlineStr">
        <is>
          <t>+44% Ability Strength | +11% &lt;DT_SENTIENT&gt;Tau Resistance</t>
        </is>
      </c>
    </row>
    <row r="185">
      <c r="A185" s="39" t="inlineStr">
        <is>
          <t>Grendel Prime</t>
        </is>
      </c>
      <c r="B185" s="39" t="inlineStr">
        <is>
          <t>Mod 2</t>
        </is>
      </c>
      <c r="C185" s="39" t="inlineStr">
        <is>
          <t>Umbral Vitality</t>
        </is>
      </c>
      <c r="D185" s="39" t="n">
        <v>10</v>
      </c>
      <c r="E185" s="39" t="inlineStr">
        <is>
          <t>Umbra</t>
        </is>
      </c>
      <c r="F185" s="39" t="n">
        <v>16</v>
      </c>
      <c r="G185" s="39" t="inlineStr">
        <is>
          <t>Warframe</t>
        </is>
      </c>
      <c r="H185" s="39" t="inlineStr">
        <is>
          <t>NO - account-bound</t>
        </is>
      </c>
      <c r="I185" s="39" t="inlineStr">
        <is>
          <t>+100% Health | +11% &lt;DT_SENTIENT&gt;Tau Resistance</t>
        </is>
      </c>
    </row>
    <row r="186">
      <c r="A186" s="39" t="inlineStr">
        <is>
          <t>Grendel Prime</t>
        </is>
      </c>
      <c r="B186" s="39" t="inlineStr">
        <is>
          <t>Mod 3</t>
        </is>
      </c>
      <c r="C186" s="39" t="inlineStr">
        <is>
          <t>Umbral Fiber</t>
        </is>
      </c>
      <c r="D186" s="39" t="n">
        <v>10</v>
      </c>
      <c r="E186" s="39" t="inlineStr">
        <is>
          <t>Umbra</t>
        </is>
      </c>
      <c r="F186" s="39" t="n">
        <v>16</v>
      </c>
      <c r="G186" s="39" t="inlineStr">
        <is>
          <t>Warframe</t>
        </is>
      </c>
      <c r="H186" s="39" t="inlineStr">
        <is>
          <t>NO - account-bound</t>
        </is>
      </c>
      <c r="I186" s="39" t="inlineStr">
        <is>
          <t>+100% Armor | +11% &lt;DT_SENTIENT&gt;Tau Resistance</t>
        </is>
      </c>
    </row>
    <row r="187">
      <c r="A187" s="39" t="inlineStr">
        <is>
          <t>Grendel Prime</t>
        </is>
      </c>
      <c r="B187" s="39" t="inlineStr">
        <is>
          <t>Mod 4</t>
        </is>
      </c>
      <c r="C187" s="39" t="inlineStr">
        <is>
          <t>Primed Continuity</t>
        </is>
      </c>
      <c r="D187" s="39" t="n">
        <v>10</v>
      </c>
      <c r="E187" s="39" t="inlineStr">
        <is>
          <t>Madurai</t>
        </is>
      </c>
      <c r="F187" s="39" t="n">
        <v>14</v>
      </c>
      <c r="G187" s="39" t="inlineStr">
        <is>
          <t>Warframe</t>
        </is>
      </c>
      <c r="H187" s="39" t="inlineStr">
        <is>
          <t>Yes</t>
        </is>
      </c>
      <c r="I187" s="39" t="inlineStr">
        <is>
          <t>+55% Ability Duration</t>
        </is>
      </c>
    </row>
    <row r="188">
      <c r="A188" s="39" t="inlineStr">
        <is>
          <t>Grendel Prime</t>
        </is>
      </c>
      <c r="B188" s="39" t="inlineStr">
        <is>
          <t>Mod 5</t>
        </is>
      </c>
      <c r="C188" s="39" t="inlineStr">
        <is>
          <t>Stretch</t>
        </is>
      </c>
      <c r="D188" s="39" t="n">
        <v>5</v>
      </c>
      <c r="E188" s="39" t="inlineStr">
        <is>
          <t>Naramon</t>
        </is>
      </c>
      <c r="F188" s="39" t="n">
        <v>9</v>
      </c>
      <c r="G188" s="39" t="inlineStr">
        <is>
          <t>Warframe</t>
        </is>
      </c>
      <c r="H188" s="39" t="inlineStr">
        <is>
          <t>Yes</t>
        </is>
      </c>
      <c r="I188" s="39" t="inlineStr">
        <is>
          <t>+45% Ability Range</t>
        </is>
      </c>
    </row>
    <row r="189">
      <c r="A189" s="39" t="inlineStr">
        <is>
          <t>Grendel Prime</t>
        </is>
      </c>
      <c r="B189" s="39" t="inlineStr">
        <is>
          <t>Mod 6</t>
        </is>
      </c>
      <c r="C189" s="39" t="inlineStr">
        <is>
          <t>Primed Flow</t>
        </is>
      </c>
      <c r="D189" s="39" t="n">
        <v>10</v>
      </c>
      <c r="E189" s="39" t="inlineStr">
        <is>
          <t>Naramon</t>
        </is>
      </c>
      <c r="F189" s="39" t="n">
        <v>14</v>
      </c>
      <c r="G189" s="39" t="inlineStr">
        <is>
          <t>Warframe</t>
        </is>
      </c>
      <c r="H189" s="39" t="inlineStr">
        <is>
          <t>Yes</t>
        </is>
      </c>
      <c r="I189" s="39" t="inlineStr">
        <is>
          <t>+185% Energy Max</t>
        </is>
      </c>
    </row>
    <row r="190">
      <c r="A190" s="39" t="inlineStr">
        <is>
          <t>Grendel Prime</t>
        </is>
      </c>
      <c r="B190" s="39" t="inlineStr">
        <is>
          <t>Mod 7</t>
        </is>
      </c>
      <c r="C190" s="39" t="inlineStr">
        <is>
          <t>Streamline</t>
        </is>
      </c>
      <c r="D190" s="39" t="n">
        <v>5</v>
      </c>
      <c r="E190" s="39" t="inlineStr">
        <is>
          <t>Naramon</t>
        </is>
      </c>
      <c r="F190" s="39" t="n">
        <v>9</v>
      </c>
      <c r="G190" s="39" t="inlineStr">
        <is>
          <t>Warframe</t>
        </is>
      </c>
      <c r="H190" s="39" t="inlineStr">
        <is>
          <t>Yes</t>
        </is>
      </c>
      <c r="I190" s="39" t="inlineStr">
        <is>
          <t>+30% Ability Efficiency</t>
        </is>
      </c>
    </row>
    <row r="191">
      <c r="A191" s="39" t="inlineStr">
        <is>
          <t>Grendel Prime</t>
        </is>
      </c>
      <c r="B191" s="39" t="inlineStr">
        <is>
          <t>Mod 8</t>
        </is>
      </c>
      <c r="C191" s="39" t="inlineStr">
        <is>
          <t>Hearty Nourishment</t>
        </is>
      </c>
      <c r="D191" s="39" t="n">
        <v>3</v>
      </c>
      <c r="E191" s="39" t="inlineStr">
        <is>
          <t>Zenurik</t>
        </is>
      </c>
      <c r="F191" s="39" t="n">
        <v>9</v>
      </c>
      <c r="G191" s="39" t="inlineStr">
        <is>
          <t>Grendel</t>
        </is>
      </c>
      <c r="H191" s="39" t="inlineStr">
        <is>
          <t>Yes</t>
        </is>
      </c>
      <c r="I191" s="39" t="inlineStr">
        <is>
          <t>Nourish Augment: Clear Status Effects and gain 5s of Status Immunity for each victim in Grendel's stomach.</t>
        </is>
      </c>
    </row>
    <row r="192">
      <c r="A192" s="39" t="inlineStr">
        <is>
          <t>Gyre Prime</t>
        </is>
      </c>
      <c r="B192" s="39" t="inlineStr">
        <is>
          <t>Aura</t>
        </is>
      </c>
      <c r="C192" s="39" t="inlineStr">
        <is>
          <t>Growing Power</t>
        </is>
      </c>
      <c r="D192" s="39" t="n">
        <v>5</v>
      </c>
      <c r="E192" s="39" t="inlineStr">
        <is>
          <t>Madurai</t>
        </is>
      </c>
      <c r="F192" s="39" t="n">
        <v>3</v>
      </c>
      <c r="G192" s="39" t="inlineStr">
        <is>
          <t>Aura</t>
        </is>
      </c>
      <c r="H192" s="39" t="inlineStr">
        <is>
          <t>Yes</t>
        </is>
      </c>
      <c r="I192" s="39" t="inlineStr">
        <is>
          <t>On Status Effect with Weapon: Squad increases personal Ability Strength by 25% for 6s.</t>
        </is>
      </c>
    </row>
    <row r="193">
      <c r="A193" s="39" t="inlineStr">
        <is>
          <t>Gyre Prime</t>
        </is>
      </c>
      <c r="B193" s="39" t="inlineStr">
        <is>
          <t>Exilus</t>
        </is>
      </c>
      <c r="C193" s="39" t="inlineStr">
        <is>
          <t>Power Drift</t>
        </is>
      </c>
      <c r="D193" s="39" t="n">
        <v>5</v>
      </c>
      <c r="E193" s="39" t="inlineStr">
        <is>
          <t>Zenurik</t>
        </is>
      </c>
      <c r="F193" s="39" t="n">
        <v>9</v>
      </c>
      <c r="G193" s="39" t="inlineStr">
        <is>
          <t>Warframe</t>
        </is>
      </c>
      <c r="H193" s="39" t="inlineStr">
        <is>
          <t>Yes</t>
        </is>
      </c>
      <c r="I193" s="39" t="inlineStr">
        <is>
          <t>+15% Ability Strength | +30% Chance to Resist Knockdown</t>
        </is>
      </c>
    </row>
    <row r="194">
      <c r="A194" s="39" t="inlineStr">
        <is>
          <t>Gyre Prime</t>
        </is>
      </c>
      <c r="B194" s="39" t="inlineStr">
        <is>
          <t>Mod 1</t>
        </is>
      </c>
      <c r="C194" s="39" t="inlineStr">
        <is>
          <t>Umbral Intensify</t>
        </is>
      </c>
      <c r="D194" s="39" t="n">
        <v>10</v>
      </c>
      <c r="E194" s="39" t="inlineStr">
        <is>
          <t>Umbra</t>
        </is>
      </c>
      <c r="F194" s="39" t="n">
        <v>16</v>
      </c>
      <c r="G194" s="39" t="inlineStr">
        <is>
          <t>Warframe</t>
        </is>
      </c>
      <c r="H194" s="39" t="inlineStr">
        <is>
          <t>NO - account-bound</t>
        </is>
      </c>
      <c r="I194" s="39" t="inlineStr">
        <is>
          <t>+44% Ability Strength | +11% &lt;DT_SENTIENT&gt;Tau Resistance</t>
        </is>
      </c>
    </row>
    <row r="195">
      <c r="A195" s="39" t="inlineStr">
        <is>
          <t>Gyre Prime</t>
        </is>
      </c>
      <c r="B195" s="39" t="inlineStr">
        <is>
          <t>Mod 2</t>
        </is>
      </c>
      <c r="C195" s="39" t="inlineStr">
        <is>
          <t>Umbral Vitality</t>
        </is>
      </c>
      <c r="D195" s="39" t="n">
        <v>10</v>
      </c>
      <c r="E195" s="39" t="inlineStr">
        <is>
          <t>Umbra</t>
        </is>
      </c>
      <c r="F195" s="39" t="n">
        <v>16</v>
      </c>
      <c r="G195" s="39" t="inlineStr">
        <is>
          <t>Warframe</t>
        </is>
      </c>
      <c r="H195" s="39" t="inlineStr">
        <is>
          <t>NO - account-bound</t>
        </is>
      </c>
      <c r="I195" s="39" t="inlineStr">
        <is>
          <t>+100% Health | +11% &lt;DT_SENTIENT&gt;Tau Resistance</t>
        </is>
      </c>
    </row>
    <row r="196">
      <c r="A196" s="39" t="inlineStr">
        <is>
          <t>Gyre Prime</t>
        </is>
      </c>
      <c r="B196" s="39" t="inlineStr">
        <is>
          <t>Mod 3</t>
        </is>
      </c>
      <c r="C196" s="39" t="inlineStr">
        <is>
          <t>Umbral Fiber</t>
        </is>
      </c>
      <c r="D196" s="39" t="n">
        <v>10</v>
      </c>
      <c r="E196" s="39" t="inlineStr">
        <is>
          <t>Umbra</t>
        </is>
      </c>
      <c r="F196" s="39" t="n">
        <v>16</v>
      </c>
      <c r="G196" s="39" t="inlineStr">
        <is>
          <t>Warframe</t>
        </is>
      </c>
      <c r="H196" s="39" t="inlineStr">
        <is>
          <t>NO - account-bound</t>
        </is>
      </c>
      <c r="I196" s="39" t="inlineStr">
        <is>
          <t>+100% Armor | +11% &lt;DT_SENTIENT&gt;Tau Resistance</t>
        </is>
      </c>
    </row>
    <row r="197">
      <c r="A197" s="39" t="inlineStr">
        <is>
          <t>Gyre Prime</t>
        </is>
      </c>
      <c r="B197" s="39" t="inlineStr">
        <is>
          <t>Mod 4</t>
        </is>
      </c>
      <c r="C197" s="39" t="inlineStr">
        <is>
          <t>Primed Continuity</t>
        </is>
      </c>
      <c r="D197" s="39" t="n">
        <v>10</v>
      </c>
      <c r="E197" s="39" t="inlineStr">
        <is>
          <t>Madurai</t>
        </is>
      </c>
      <c r="F197" s="39" t="n">
        <v>14</v>
      </c>
      <c r="G197" s="39" t="inlineStr">
        <is>
          <t>Warframe</t>
        </is>
      </c>
      <c r="H197" s="39" t="inlineStr">
        <is>
          <t>Yes</t>
        </is>
      </c>
      <c r="I197" s="39" t="inlineStr">
        <is>
          <t>+55% Ability Duration</t>
        </is>
      </c>
    </row>
    <row r="198">
      <c r="A198" s="39" t="inlineStr">
        <is>
          <t>Gyre Prime</t>
        </is>
      </c>
      <c r="B198" s="39" t="inlineStr">
        <is>
          <t>Mod 5</t>
        </is>
      </c>
      <c r="C198" s="39" t="inlineStr">
        <is>
          <t>Stretch</t>
        </is>
      </c>
      <c r="D198" s="39" t="n">
        <v>5</v>
      </c>
      <c r="E198" s="39" t="inlineStr">
        <is>
          <t>Naramon</t>
        </is>
      </c>
      <c r="F198" s="39" t="n">
        <v>9</v>
      </c>
      <c r="G198" s="39" t="inlineStr">
        <is>
          <t>Warframe</t>
        </is>
      </c>
      <c r="H198" s="39" t="inlineStr">
        <is>
          <t>Yes</t>
        </is>
      </c>
      <c r="I198" s="39" t="inlineStr">
        <is>
          <t>+45% Ability Range</t>
        </is>
      </c>
    </row>
    <row r="199">
      <c r="A199" s="39" t="inlineStr">
        <is>
          <t>Gyre Prime</t>
        </is>
      </c>
      <c r="B199" s="39" t="inlineStr">
        <is>
          <t>Mod 6</t>
        </is>
      </c>
      <c r="C199" s="39" t="inlineStr">
        <is>
          <t>Primed Flow</t>
        </is>
      </c>
      <c r="D199" s="39" t="n">
        <v>10</v>
      </c>
      <c r="E199" s="39" t="inlineStr">
        <is>
          <t>Naramon</t>
        </is>
      </c>
      <c r="F199" s="39" t="n">
        <v>14</v>
      </c>
      <c r="G199" s="39" t="inlineStr">
        <is>
          <t>Warframe</t>
        </is>
      </c>
      <c r="H199" s="39" t="inlineStr">
        <is>
          <t>Yes</t>
        </is>
      </c>
      <c r="I199" s="39" t="inlineStr">
        <is>
          <t>+185% Energy Max</t>
        </is>
      </c>
    </row>
    <row r="200">
      <c r="A200" s="39" t="inlineStr">
        <is>
          <t>Gyre Prime</t>
        </is>
      </c>
      <c r="B200" s="39" t="inlineStr">
        <is>
          <t>Mod 7</t>
        </is>
      </c>
      <c r="C200" s="39" t="inlineStr">
        <is>
          <t>Streamline</t>
        </is>
      </c>
      <c r="D200" s="39" t="n">
        <v>5</v>
      </c>
      <c r="E200" s="39" t="inlineStr">
        <is>
          <t>Naramon</t>
        </is>
      </c>
      <c r="F200" s="39" t="n">
        <v>9</v>
      </c>
      <c r="G200" s="39" t="inlineStr">
        <is>
          <t>Warframe</t>
        </is>
      </c>
      <c r="H200" s="39" t="inlineStr">
        <is>
          <t>Yes</t>
        </is>
      </c>
      <c r="I200" s="39" t="inlineStr">
        <is>
          <t>+30% Ability Efficiency</t>
        </is>
      </c>
    </row>
    <row r="201">
      <c r="A201" s="39" t="inlineStr">
        <is>
          <t>Gyre Prime</t>
        </is>
      </c>
      <c r="B201" s="39" t="inlineStr">
        <is>
          <t>Mod 8</t>
        </is>
      </c>
      <c r="C201" s="39" t="inlineStr">
        <is>
          <t>Coil Recharge</t>
        </is>
      </c>
      <c r="D201" s="39" t="n">
        <v>3</v>
      </c>
      <c r="E201" s="39" t="inlineStr">
        <is>
          <t>Zenurik</t>
        </is>
      </c>
      <c r="F201" s="39" t="n">
        <v>9</v>
      </c>
      <c r="G201" s="39" t="inlineStr">
        <is>
          <t>Gyre</t>
        </is>
      </c>
      <c r="H201" s="39" t="inlineStr">
        <is>
          <t>Yes</t>
        </is>
      </c>
      <c r="I201" s="39" t="inlineStr">
        <is>
          <t>Coil Horizon Augment: Gyratory Sphere can be recalled. Enemies in its radius suffer 500 &lt;DT_ELECTRICITY_COLOR&gt; Electricity Damage and chain other enemies. Enemi</t>
        </is>
      </c>
    </row>
    <row r="202">
      <c r="A202" s="39" t="inlineStr">
        <is>
          <t>Harrow Prime</t>
        </is>
      </c>
      <c r="B202" s="39" t="inlineStr">
        <is>
          <t>Aura</t>
        </is>
      </c>
      <c r="C202" s="39" t="inlineStr">
        <is>
          <t>Growing Power</t>
        </is>
      </c>
      <c r="D202" s="39" t="n">
        <v>5</v>
      </c>
      <c r="E202" s="39" t="inlineStr">
        <is>
          <t>Madurai</t>
        </is>
      </c>
      <c r="F202" s="39" t="n">
        <v>3</v>
      </c>
      <c r="G202" s="39" t="inlineStr">
        <is>
          <t>Aura</t>
        </is>
      </c>
      <c r="H202" s="39" t="inlineStr">
        <is>
          <t>Yes</t>
        </is>
      </c>
      <c r="I202" s="39" t="inlineStr">
        <is>
          <t>On Status Effect with Weapon: Squad increases personal Ability Strength by 25% for 6s.</t>
        </is>
      </c>
    </row>
    <row r="203">
      <c r="A203" s="39" t="inlineStr">
        <is>
          <t>Harrow Prime</t>
        </is>
      </c>
      <c r="B203" s="39" t="inlineStr">
        <is>
          <t>Exilus</t>
        </is>
      </c>
      <c r="C203" s="39" t="inlineStr">
        <is>
          <t>Power Drift</t>
        </is>
      </c>
      <c r="D203" s="39" t="n">
        <v>5</v>
      </c>
      <c r="E203" s="39" t="inlineStr">
        <is>
          <t>Zenurik</t>
        </is>
      </c>
      <c r="F203" s="39" t="n">
        <v>9</v>
      </c>
      <c r="G203" s="39" t="inlineStr">
        <is>
          <t>Warframe</t>
        </is>
      </c>
      <c r="H203" s="39" t="inlineStr">
        <is>
          <t>Yes</t>
        </is>
      </c>
      <c r="I203" s="39" t="inlineStr">
        <is>
          <t>+15% Ability Strength | +30% Chance to Resist Knockdown</t>
        </is>
      </c>
    </row>
    <row r="204">
      <c r="A204" s="39" t="inlineStr">
        <is>
          <t>Harrow Prime</t>
        </is>
      </c>
      <c r="B204" s="39" t="inlineStr">
        <is>
          <t>Mod 1</t>
        </is>
      </c>
      <c r="C204" s="39" t="inlineStr">
        <is>
          <t>Umbral Intensify</t>
        </is>
      </c>
      <c r="D204" s="39" t="n">
        <v>10</v>
      </c>
      <c r="E204" s="39" t="inlineStr">
        <is>
          <t>Umbra</t>
        </is>
      </c>
      <c r="F204" s="39" t="n">
        <v>16</v>
      </c>
      <c r="G204" s="39" t="inlineStr">
        <is>
          <t>Warframe</t>
        </is>
      </c>
      <c r="H204" s="39" t="inlineStr">
        <is>
          <t>NO - account-bound</t>
        </is>
      </c>
      <c r="I204" s="39" t="inlineStr">
        <is>
          <t>+44% Ability Strength | +11% &lt;DT_SENTIENT&gt;Tau Resistance</t>
        </is>
      </c>
    </row>
    <row r="205">
      <c r="A205" s="39" t="inlineStr">
        <is>
          <t>Harrow Prime</t>
        </is>
      </c>
      <c r="B205" s="39" t="inlineStr">
        <is>
          <t>Mod 2</t>
        </is>
      </c>
      <c r="C205" s="39" t="inlineStr">
        <is>
          <t>Umbral Vitality</t>
        </is>
      </c>
      <c r="D205" s="39" t="n">
        <v>10</v>
      </c>
      <c r="E205" s="39" t="inlineStr">
        <is>
          <t>Umbra</t>
        </is>
      </c>
      <c r="F205" s="39" t="n">
        <v>16</v>
      </c>
      <c r="G205" s="39" t="inlineStr">
        <is>
          <t>Warframe</t>
        </is>
      </c>
      <c r="H205" s="39" t="inlineStr">
        <is>
          <t>NO - account-bound</t>
        </is>
      </c>
      <c r="I205" s="39" t="inlineStr">
        <is>
          <t>+100% Health | +11% &lt;DT_SENTIENT&gt;Tau Resistance</t>
        </is>
      </c>
    </row>
    <row r="206">
      <c r="A206" s="39" t="inlineStr">
        <is>
          <t>Harrow Prime</t>
        </is>
      </c>
      <c r="B206" s="39" t="inlineStr">
        <is>
          <t>Mod 3</t>
        </is>
      </c>
      <c r="C206" s="39" t="inlineStr">
        <is>
          <t>Umbral Fiber</t>
        </is>
      </c>
      <c r="D206" s="39" t="n">
        <v>10</v>
      </c>
      <c r="E206" s="39" t="inlineStr">
        <is>
          <t>Umbra</t>
        </is>
      </c>
      <c r="F206" s="39" t="n">
        <v>16</v>
      </c>
      <c r="G206" s="39" t="inlineStr">
        <is>
          <t>Warframe</t>
        </is>
      </c>
      <c r="H206" s="39" t="inlineStr">
        <is>
          <t>NO - account-bound</t>
        </is>
      </c>
      <c r="I206" s="39" t="inlineStr">
        <is>
          <t>+100% Armor | +11% &lt;DT_SENTIENT&gt;Tau Resistance</t>
        </is>
      </c>
    </row>
    <row r="207">
      <c r="A207" s="39" t="inlineStr">
        <is>
          <t>Harrow Prime</t>
        </is>
      </c>
      <c r="B207" s="39" t="inlineStr">
        <is>
          <t>Mod 4</t>
        </is>
      </c>
      <c r="C207" s="39" t="inlineStr">
        <is>
          <t>Primed Continuity</t>
        </is>
      </c>
      <c r="D207" s="39" t="n">
        <v>10</v>
      </c>
      <c r="E207" s="39" t="inlineStr">
        <is>
          <t>Madurai</t>
        </is>
      </c>
      <c r="F207" s="39" t="n">
        <v>14</v>
      </c>
      <c r="G207" s="39" t="inlineStr">
        <is>
          <t>Warframe</t>
        </is>
      </c>
      <c r="H207" s="39" t="inlineStr">
        <is>
          <t>Yes</t>
        </is>
      </c>
      <c r="I207" s="39" t="inlineStr">
        <is>
          <t>+55% Ability Duration</t>
        </is>
      </c>
    </row>
    <row r="208">
      <c r="A208" s="39" t="inlineStr">
        <is>
          <t>Harrow Prime</t>
        </is>
      </c>
      <c r="B208" s="39" t="inlineStr">
        <is>
          <t>Mod 5</t>
        </is>
      </c>
      <c r="C208" s="39" t="inlineStr">
        <is>
          <t>Stretch</t>
        </is>
      </c>
      <c r="D208" s="39" t="n">
        <v>5</v>
      </c>
      <c r="E208" s="39" t="inlineStr">
        <is>
          <t>Naramon</t>
        </is>
      </c>
      <c r="F208" s="39" t="n">
        <v>9</v>
      </c>
      <c r="G208" s="39" t="inlineStr">
        <is>
          <t>Warframe</t>
        </is>
      </c>
      <c r="H208" s="39" t="inlineStr">
        <is>
          <t>Yes</t>
        </is>
      </c>
      <c r="I208" s="39" t="inlineStr">
        <is>
          <t>+45% Ability Range</t>
        </is>
      </c>
    </row>
    <row r="209">
      <c r="A209" s="39" t="inlineStr">
        <is>
          <t>Harrow Prime</t>
        </is>
      </c>
      <c r="B209" s="39" t="inlineStr">
        <is>
          <t>Mod 6</t>
        </is>
      </c>
      <c r="C209" s="39" t="inlineStr">
        <is>
          <t>Primed Flow</t>
        </is>
      </c>
      <c r="D209" s="39" t="n">
        <v>10</v>
      </c>
      <c r="E209" s="39" t="inlineStr">
        <is>
          <t>Naramon</t>
        </is>
      </c>
      <c r="F209" s="39" t="n">
        <v>14</v>
      </c>
      <c r="G209" s="39" t="inlineStr">
        <is>
          <t>Warframe</t>
        </is>
      </c>
      <c r="H209" s="39" t="inlineStr">
        <is>
          <t>Yes</t>
        </is>
      </c>
      <c r="I209" s="39" t="inlineStr">
        <is>
          <t>+185% Energy Max</t>
        </is>
      </c>
    </row>
    <row r="210">
      <c r="A210" s="39" t="inlineStr">
        <is>
          <t>Harrow Prime</t>
        </is>
      </c>
      <c r="B210" s="39" t="inlineStr">
        <is>
          <t>Mod 7</t>
        </is>
      </c>
      <c r="C210" s="39" t="inlineStr">
        <is>
          <t>Streamline</t>
        </is>
      </c>
      <c r="D210" s="39" t="n">
        <v>5</v>
      </c>
      <c r="E210" s="39" t="inlineStr">
        <is>
          <t>Naramon</t>
        </is>
      </c>
      <c r="F210" s="39" t="n">
        <v>9</v>
      </c>
      <c r="G210" s="39" t="inlineStr">
        <is>
          <t>Warframe</t>
        </is>
      </c>
      <c r="H210" s="39" t="inlineStr">
        <is>
          <t>Yes</t>
        </is>
      </c>
      <c r="I210" s="39" t="inlineStr">
        <is>
          <t>+30% Ability Efficiency</t>
        </is>
      </c>
    </row>
    <row r="211">
      <c r="A211" s="39" t="inlineStr">
        <is>
          <t>Harrow Prime</t>
        </is>
      </c>
      <c r="B211" s="39" t="inlineStr">
        <is>
          <t>Mod 8</t>
        </is>
      </c>
      <c r="C211" s="39" t="inlineStr">
        <is>
          <t>Warding Thurible</t>
        </is>
      </c>
      <c r="D211" s="39" t="n">
        <v>3</v>
      </c>
      <c r="E211" s="39" t="inlineStr">
        <is>
          <t>Zenurik</t>
        </is>
      </c>
      <c r="F211" s="39" t="n">
        <v>9</v>
      </c>
      <c r="G211" s="39" t="inlineStr">
        <is>
          <t>Harrow</t>
        </is>
      </c>
      <c r="H211" s="39" t="inlineStr">
        <is>
          <t>Yes</t>
        </is>
      </c>
      <c r="I211" s="39" t="inlineStr">
        <is>
          <t>Thurible Augment: Allies in range take 50% less Damage while channeling Thurible and grant 1.0 additional Energy charge whenever damaged.</t>
        </is>
      </c>
    </row>
    <row r="212">
      <c r="A212" s="39" t="inlineStr">
        <is>
          <t>Hildryn Prime</t>
        </is>
      </c>
      <c r="B212" s="39" t="inlineStr">
        <is>
          <t>Aura</t>
        </is>
      </c>
      <c r="C212" s="39" t="inlineStr">
        <is>
          <t>Growing Power</t>
        </is>
      </c>
      <c r="D212" s="39" t="n">
        <v>5</v>
      </c>
      <c r="E212" s="39" t="inlineStr">
        <is>
          <t>Madurai</t>
        </is>
      </c>
      <c r="F212" s="39" t="n">
        <v>3</v>
      </c>
      <c r="G212" s="39" t="inlineStr">
        <is>
          <t>Aura</t>
        </is>
      </c>
      <c r="H212" s="39" t="inlineStr">
        <is>
          <t>Yes</t>
        </is>
      </c>
      <c r="I212" s="39" t="inlineStr">
        <is>
          <t>On Status Effect with Weapon: Squad increases personal Ability Strength by 25% for 6s.</t>
        </is>
      </c>
    </row>
    <row r="213">
      <c r="A213" s="39" t="inlineStr">
        <is>
          <t>Hildryn Prime</t>
        </is>
      </c>
      <c r="B213" s="39" t="inlineStr">
        <is>
          <t>Exilus</t>
        </is>
      </c>
      <c r="C213" s="39" t="inlineStr">
        <is>
          <t>Power Drift</t>
        </is>
      </c>
      <c r="D213" s="39" t="n">
        <v>5</v>
      </c>
      <c r="E213" s="39" t="inlineStr">
        <is>
          <t>Zenurik</t>
        </is>
      </c>
      <c r="F213" s="39" t="n">
        <v>9</v>
      </c>
      <c r="G213" s="39" t="inlineStr">
        <is>
          <t>Warframe</t>
        </is>
      </c>
      <c r="H213" s="39" t="inlineStr">
        <is>
          <t>Yes</t>
        </is>
      </c>
      <c r="I213" s="39" t="inlineStr">
        <is>
          <t>+15% Ability Strength | +30% Chance to Resist Knockdown</t>
        </is>
      </c>
    </row>
    <row r="214">
      <c r="A214" s="39" t="inlineStr">
        <is>
          <t>Hildryn Prime</t>
        </is>
      </c>
      <c r="B214" s="39" t="inlineStr">
        <is>
          <t>Mod 1</t>
        </is>
      </c>
      <c r="C214" s="39" t="inlineStr">
        <is>
          <t>Umbral Intensify</t>
        </is>
      </c>
      <c r="D214" s="39" t="n">
        <v>10</v>
      </c>
      <c r="E214" s="39" t="inlineStr">
        <is>
          <t>Umbra</t>
        </is>
      </c>
      <c r="F214" s="39" t="n">
        <v>16</v>
      </c>
      <c r="G214" s="39" t="inlineStr">
        <is>
          <t>Warframe</t>
        </is>
      </c>
      <c r="H214" s="39" t="inlineStr">
        <is>
          <t>NO - account-bound</t>
        </is>
      </c>
      <c r="I214" s="39" t="inlineStr">
        <is>
          <t>+44% Ability Strength | +11% &lt;DT_SENTIENT&gt;Tau Resistance</t>
        </is>
      </c>
    </row>
    <row r="215">
      <c r="A215" s="39" t="inlineStr">
        <is>
          <t>Hildryn Prime</t>
        </is>
      </c>
      <c r="B215" s="39" t="inlineStr">
        <is>
          <t>Mod 2</t>
        </is>
      </c>
      <c r="C215" s="39" t="inlineStr">
        <is>
          <t>Primed Redirection</t>
        </is>
      </c>
      <c r="D215" s="39" t="n">
        <v>10</v>
      </c>
      <c r="E215" s="39" t="inlineStr">
        <is>
          <t>Vazarin</t>
        </is>
      </c>
      <c r="F215" s="39" t="n">
        <v>16</v>
      </c>
      <c r="G215" s="39" t="inlineStr">
        <is>
          <t>Warframe</t>
        </is>
      </c>
      <c r="H215" s="39" t="inlineStr">
        <is>
          <t>Yes</t>
        </is>
      </c>
      <c r="I215" s="39" t="inlineStr">
        <is>
          <t>+180% Shield Capacity</t>
        </is>
      </c>
    </row>
    <row r="216">
      <c r="A216" s="39" t="inlineStr">
        <is>
          <t>Hildryn Prime</t>
        </is>
      </c>
      <c r="B216" s="39" t="inlineStr">
        <is>
          <t>Mod 3</t>
        </is>
      </c>
      <c r="C216" s="39" t="inlineStr">
        <is>
          <t>Augur Accord</t>
        </is>
      </c>
      <c r="D216" s="39" t="n">
        <v>5</v>
      </c>
      <c r="E216" s="39" t="inlineStr">
        <is>
          <t>Vazarin</t>
        </is>
      </c>
      <c r="F216" s="39" t="n">
        <v>7</v>
      </c>
      <c r="G216" s="39" t="inlineStr">
        <is>
          <t>Warframe</t>
        </is>
      </c>
      <c r="H216" s="39" t="inlineStr">
        <is>
          <t>Yes</t>
        </is>
      </c>
      <c r="I216" s="39" t="inlineStr">
        <is>
          <t>+70% Shield Capacity</t>
        </is>
      </c>
    </row>
    <row r="217">
      <c r="A217" s="39" t="inlineStr">
        <is>
          <t>Hildryn Prime</t>
        </is>
      </c>
      <c r="B217" s="39" t="inlineStr">
        <is>
          <t>Mod 4</t>
        </is>
      </c>
      <c r="C217" s="39" t="inlineStr">
        <is>
          <t>Primed Continuity</t>
        </is>
      </c>
      <c r="D217" s="39" t="n">
        <v>10</v>
      </c>
      <c r="E217" s="39" t="inlineStr">
        <is>
          <t>Madurai</t>
        </is>
      </c>
      <c r="F217" s="39" t="n">
        <v>14</v>
      </c>
      <c r="G217" s="39" t="inlineStr">
        <is>
          <t>Warframe</t>
        </is>
      </c>
      <c r="H217" s="39" t="inlineStr">
        <is>
          <t>Yes</t>
        </is>
      </c>
      <c r="I217" s="39" t="inlineStr">
        <is>
          <t>+55% Ability Duration</t>
        </is>
      </c>
    </row>
    <row r="218">
      <c r="A218" s="39" t="inlineStr">
        <is>
          <t>Hildryn Prime</t>
        </is>
      </c>
      <c r="B218" s="39" t="inlineStr">
        <is>
          <t>Mod 5</t>
        </is>
      </c>
      <c r="C218" s="39" t="inlineStr">
        <is>
          <t>Stretch</t>
        </is>
      </c>
      <c r="D218" s="39" t="n">
        <v>5</v>
      </c>
      <c r="E218" s="39" t="inlineStr">
        <is>
          <t>Naramon</t>
        </is>
      </c>
      <c r="F218" s="39" t="n">
        <v>9</v>
      </c>
      <c r="G218" s="39" t="inlineStr">
        <is>
          <t>Warframe</t>
        </is>
      </c>
      <c r="H218" s="39" t="inlineStr">
        <is>
          <t>Yes</t>
        </is>
      </c>
      <c r="I218" s="39" t="inlineStr">
        <is>
          <t>+45% Ability Range</t>
        </is>
      </c>
    </row>
    <row r="219">
      <c r="A219" s="39" t="inlineStr">
        <is>
          <t>Hildryn Prime</t>
        </is>
      </c>
      <c r="B219" s="39" t="inlineStr">
        <is>
          <t>Mod 6</t>
        </is>
      </c>
      <c r="C219" s="39" t="inlineStr">
        <is>
          <t>Augur Reach</t>
        </is>
      </c>
      <c r="D219" s="39" t="n">
        <v>5</v>
      </c>
      <c r="E219" s="39" t="inlineStr">
        <is>
          <t>Naramon</t>
        </is>
      </c>
      <c r="F219" s="39" t="n">
        <v>7</v>
      </c>
      <c r="G219" s="39" t="inlineStr">
        <is>
          <t>Warframe</t>
        </is>
      </c>
      <c r="H219" s="39" t="inlineStr">
        <is>
          <t>Yes</t>
        </is>
      </c>
      <c r="I219" s="39" t="inlineStr">
        <is>
          <t>+30% Ability Range</t>
        </is>
      </c>
    </row>
    <row r="220">
      <c r="A220" s="39" t="inlineStr">
        <is>
          <t>Hildryn Prime</t>
        </is>
      </c>
      <c r="B220" s="39" t="inlineStr">
        <is>
          <t>Mod 7</t>
        </is>
      </c>
      <c r="C220" s="39" t="inlineStr">
        <is>
          <t>Umbral Vitality</t>
        </is>
      </c>
      <c r="D220" s="39" t="n">
        <v>10</v>
      </c>
      <c r="E220" s="39" t="inlineStr">
        <is>
          <t>Umbra</t>
        </is>
      </c>
      <c r="F220" s="39" t="n">
        <v>16</v>
      </c>
      <c r="G220" s="39" t="inlineStr">
        <is>
          <t>Warframe</t>
        </is>
      </c>
      <c r="H220" s="39" t="inlineStr">
        <is>
          <t>NO - account-bound</t>
        </is>
      </c>
      <c r="I220" s="39" t="inlineStr">
        <is>
          <t>+100% Health | +11% &lt;DT_SENTIENT&gt;Tau Resistance</t>
        </is>
      </c>
    </row>
    <row r="221">
      <c r="A221" s="39" t="inlineStr">
        <is>
          <t>Hildryn Prime</t>
        </is>
      </c>
      <c r="B221" s="39" t="inlineStr">
        <is>
          <t>Mod 8</t>
        </is>
      </c>
      <c r="C221" s="39" t="inlineStr">
        <is>
          <t>Blazing Pillage</t>
        </is>
      </c>
      <c r="D221" s="39" t="n">
        <v>3</v>
      </c>
      <c r="E221" s="39" t="inlineStr">
        <is>
          <t>Zenurik</t>
        </is>
      </c>
      <c r="F221" s="39" t="n">
        <v>9</v>
      </c>
      <c r="G221" s="39" t="inlineStr">
        <is>
          <t>Hildryn</t>
        </is>
      </c>
      <c r="H221" s="39" t="inlineStr">
        <is>
          <t>Yes</t>
        </is>
      </c>
      <c r="I221" s="39" t="inlineStr">
        <is>
          <t>Pillage Augment: Enemies affected by Haven will be set ablaze for 200 &lt;DT_FIRE_COLOR&gt;Heat Damage and restore 50 additional &lt;SHIELD&gt;Shields to Hildryn.</t>
        </is>
      </c>
    </row>
    <row r="222">
      <c r="A222" s="39" t="inlineStr">
        <is>
          <t>Hydroid Prime</t>
        </is>
      </c>
      <c r="B222" s="39" t="inlineStr">
        <is>
          <t>Aura</t>
        </is>
      </c>
      <c r="C222" s="39" t="inlineStr">
        <is>
          <t>Growing Power</t>
        </is>
      </c>
      <c r="D222" s="39" t="n">
        <v>5</v>
      </c>
      <c r="E222" s="39" t="inlineStr">
        <is>
          <t>Madurai</t>
        </is>
      </c>
      <c r="F222" s="39" t="n">
        <v>3</v>
      </c>
      <c r="G222" s="39" t="inlineStr">
        <is>
          <t>Aura</t>
        </is>
      </c>
      <c r="H222" s="39" t="inlineStr">
        <is>
          <t>Yes</t>
        </is>
      </c>
      <c r="I222" s="39" t="inlineStr">
        <is>
          <t>On Status Effect with Weapon: Squad increases personal Ability Strength by 25% for 6s.</t>
        </is>
      </c>
    </row>
    <row r="223">
      <c r="A223" s="39" t="inlineStr">
        <is>
          <t>Hydroid Prime</t>
        </is>
      </c>
      <c r="B223" s="39" t="inlineStr">
        <is>
          <t>Exilus</t>
        </is>
      </c>
      <c r="C223" s="39" t="inlineStr">
        <is>
          <t>Power Drift</t>
        </is>
      </c>
      <c r="D223" s="39" t="n">
        <v>5</v>
      </c>
      <c r="E223" s="39" t="inlineStr">
        <is>
          <t>Zenurik</t>
        </is>
      </c>
      <c r="F223" s="39" t="n">
        <v>9</v>
      </c>
      <c r="G223" s="39" t="inlineStr">
        <is>
          <t>Warframe</t>
        </is>
      </c>
      <c r="H223" s="39" t="inlineStr">
        <is>
          <t>Yes</t>
        </is>
      </c>
      <c r="I223" s="39" t="inlineStr">
        <is>
          <t>+15% Ability Strength | +30% Chance to Resist Knockdown</t>
        </is>
      </c>
    </row>
    <row r="224">
      <c r="A224" s="39" t="inlineStr">
        <is>
          <t>Hydroid Prime</t>
        </is>
      </c>
      <c r="B224" s="39" t="inlineStr">
        <is>
          <t>Mod 1</t>
        </is>
      </c>
      <c r="C224" s="39" t="inlineStr">
        <is>
          <t>Umbral Intensify</t>
        </is>
      </c>
      <c r="D224" s="39" t="n">
        <v>10</v>
      </c>
      <c r="E224" s="39" t="inlineStr">
        <is>
          <t>Umbra</t>
        </is>
      </c>
      <c r="F224" s="39" t="n">
        <v>16</v>
      </c>
      <c r="G224" s="39" t="inlineStr">
        <is>
          <t>Warframe</t>
        </is>
      </c>
      <c r="H224" s="39" t="inlineStr">
        <is>
          <t>NO - account-bound</t>
        </is>
      </c>
      <c r="I224" s="39" t="inlineStr">
        <is>
          <t>+44% Ability Strength | +11% &lt;DT_SENTIENT&gt;Tau Resistance</t>
        </is>
      </c>
    </row>
    <row r="225">
      <c r="A225" s="39" t="inlineStr">
        <is>
          <t>Hydroid Prime</t>
        </is>
      </c>
      <c r="B225" s="39" t="inlineStr">
        <is>
          <t>Mod 2</t>
        </is>
      </c>
      <c r="C225" s="39" t="inlineStr">
        <is>
          <t>Umbral Vitality</t>
        </is>
      </c>
      <c r="D225" s="39" t="n">
        <v>10</v>
      </c>
      <c r="E225" s="39" t="inlineStr">
        <is>
          <t>Umbra</t>
        </is>
      </c>
      <c r="F225" s="39" t="n">
        <v>16</v>
      </c>
      <c r="G225" s="39" t="inlineStr">
        <is>
          <t>Warframe</t>
        </is>
      </c>
      <c r="H225" s="39" t="inlineStr">
        <is>
          <t>NO - account-bound</t>
        </is>
      </c>
      <c r="I225" s="39" t="inlineStr">
        <is>
          <t>+100% Health | +11% &lt;DT_SENTIENT&gt;Tau Resistance</t>
        </is>
      </c>
    </row>
    <row r="226">
      <c r="A226" s="39" t="inlineStr">
        <is>
          <t>Hydroid Prime</t>
        </is>
      </c>
      <c r="B226" s="39" t="inlineStr">
        <is>
          <t>Mod 3</t>
        </is>
      </c>
      <c r="C226" s="39" t="inlineStr">
        <is>
          <t>Umbral Fiber</t>
        </is>
      </c>
      <c r="D226" s="39" t="n">
        <v>10</v>
      </c>
      <c r="E226" s="39" t="inlineStr">
        <is>
          <t>Umbra</t>
        </is>
      </c>
      <c r="F226" s="39" t="n">
        <v>16</v>
      </c>
      <c r="G226" s="39" t="inlineStr">
        <is>
          <t>Warframe</t>
        </is>
      </c>
      <c r="H226" s="39" t="inlineStr">
        <is>
          <t>NO - account-bound</t>
        </is>
      </c>
      <c r="I226" s="39" t="inlineStr">
        <is>
          <t>+100% Armor | +11% &lt;DT_SENTIENT&gt;Tau Resistance</t>
        </is>
      </c>
    </row>
    <row r="227">
      <c r="A227" s="39" t="inlineStr">
        <is>
          <t>Hydroid Prime</t>
        </is>
      </c>
      <c r="B227" s="39" t="inlineStr">
        <is>
          <t>Mod 4</t>
        </is>
      </c>
      <c r="C227" s="39" t="inlineStr">
        <is>
          <t>Primed Continuity</t>
        </is>
      </c>
      <c r="D227" s="39" t="n">
        <v>10</v>
      </c>
      <c r="E227" s="39" t="inlineStr">
        <is>
          <t>Madurai</t>
        </is>
      </c>
      <c r="F227" s="39" t="n">
        <v>14</v>
      </c>
      <c r="G227" s="39" t="inlineStr">
        <is>
          <t>Warframe</t>
        </is>
      </c>
      <c r="H227" s="39" t="inlineStr">
        <is>
          <t>Yes</t>
        </is>
      </c>
      <c r="I227" s="39" t="inlineStr">
        <is>
          <t>+55% Ability Duration</t>
        </is>
      </c>
    </row>
    <row r="228">
      <c r="A228" s="39" t="inlineStr">
        <is>
          <t>Hydroid Prime</t>
        </is>
      </c>
      <c r="B228" s="39" t="inlineStr">
        <is>
          <t>Mod 5</t>
        </is>
      </c>
      <c r="C228" s="39" t="inlineStr">
        <is>
          <t>Stretch</t>
        </is>
      </c>
      <c r="D228" s="39" t="n">
        <v>5</v>
      </c>
      <c r="E228" s="39" t="inlineStr">
        <is>
          <t>Naramon</t>
        </is>
      </c>
      <c r="F228" s="39" t="n">
        <v>9</v>
      </c>
      <c r="G228" s="39" t="inlineStr">
        <is>
          <t>Warframe</t>
        </is>
      </c>
      <c r="H228" s="39" t="inlineStr">
        <is>
          <t>Yes</t>
        </is>
      </c>
      <c r="I228" s="39" t="inlineStr">
        <is>
          <t>+45% Ability Range</t>
        </is>
      </c>
    </row>
    <row r="229">
      <c r="A229" s="39" t="inlineStr">
        <is>
          <t>Hydroid Prime</t>
        </is>
      </c>
      <c r="B229" s="39" t="inlineStr">
        <is>
          <t>Mod 6</t>
        </is>
      </c>
      <c r="C229" s="39" t="inlineStr">
        <is>
          <t>Primed Flow</t>
        </is>
      </c>
      <c r="D229" s="39" t="n">
        <v>10</v>
      </c>
      <c r="E229" s="39" t="inlineStr">
        <is>
          <t>Naramon</t>
        </is>
      </c>
      <c r="F229" s="39" t="n">
        <v>14</v>
      </c>
      <c r="G229" s="39" t="inlineStr">
        <is>
          <t>Warframe</t>
        </is>
      </c>
      <c r="H229" s="39" t="inlineStr">
        <is>
          <t>Yes</t>
        </is>
      </c>
      <c r="I229" s="39" t="inlineStr">
        <is>
          <t>+185% Energy Max</t>
        </is>
      </c>
    </row>
    <row r="230">
      <c r="A230" s="39" t="inlineStr">
        <is>
          <t>Hydroid Prime</t>
        </is>
      </c>
      <c r="B230" s="39" t="inlineStr">
        <is>
          <t>Mod 7</t>
        </is>
      </c>
      <c r="C230" s="39" t="inlineStr">
        <is>
          <t>Streamline</t>
        </is>
      </c>
      <c r="D230" s="39" t="n">
        <v>5</v>
      </c>
      <c r="E230" s="39" t="inlineStr">
        <is>
          <t>Naramon</t>
        </is>
      </c>
      <c r="F230" s="39" t="n">
        <v>9</v>
      </c>
      <c r="G230" s="39" t="inlineStr">
        <is>
          <t>Warframe</t>
        </is>
      </c>
      <c r="H230" s="39" t="inlineStr">
        <is>
          <t>Yes</t>
        </is>
      </c>
      <c r="I230" s="39" t="inlineStr">
        <is>
          <t>+30% Ability Efficiency</t>
        </is>
      </c>
    </row>
    <row r="231">
      <c r="A231" s="39" t="inlineStr">
        <is>
          <t>Hydroid Prime</t>
        </is>
      </c>
      <c r="B231" s="39" t="inlineStr">
        <is>
          <t>Mod 8</t>
        </is>
      </c>
      <c r="C231" s="39" t="inlineStr">
        <is>
          <t>Pilfering Swarm</t>
        </is>
      </c>
      <c r="D231" s="39" t="n">
        <v>3</v>
      </c>
      <c r="E231" s="39" t="inlineStr">
        <is>
          <t>Zenurik</t>
        </is>
      </c>
      <c r="F231" s="39" t="n">
        <v>9</v>
      </c>
      <c r="G231" s="39" t="inlineStr">
        <is>
          <t>Hydroid</t>
        </is>
      </c>
      <c r="H231" s="39" t="inlineStr">
        <is>
          <t>Yes</t>
        </is>
      </c>
      <c r="I231" s="39" t="inlineStr">
        <is>
          <t>Tentacle Swarm Augment: Enemies held by tentacles have a 100% chance at additional drops.</t>
        </is>
      </c>
    </row>
    <row r="232">
      <c r="A232" s="39" t="inlineStr">
        <is>
          <t>Inaros Prime</t>
        </is>
      </c>
      <c r="B232" s="39" t="inlineStr">
        <is>
          <t>Aura</t>
        </is>
      </c>
      <c r="C232" s="39" t="inlineStr">
        <is>
          <t>Growing Power</t>
        </is>
      </c>
      <c r="D232" s="39" t="n">
        <v>5</v>
      </c>
      <c r="E232" s="39" t="inlineStr">
        <is>
          <t>Madurai</t>
        </is>
      </c>
      <c r="F232" s="39" t="n">
        <v>3</v>
      </c>
      <c r="G232" s="39" t="inlineStr">
        <is>
          <t>Aura</t>
        </is>
      </c>
      <c r="H232" s="39" t="inlineStr">
        <is>
          <t>Yes</t>
        </is>
      </c>
      <c r="I232" s="39" t="inlineStr">
        <is>
          <t>On Status Effect with Weapon: Squad increases personal Ability Strength by 25% for 6s.</t>
        </is>
      </c>
    </row>
    <row r="233">
      <c r="A233" s="39" t="inlineStr">
        <is>
          <t>Inaros Prime</t>
        </is>
      </c>
      <c r="B233" s="39" t="inlineStr">
        <is>
          <t>Exilus</t>
        </is>
      </c>
      <c r="C233" s="39" t="inlineStr">
        <is>
          <t>Power Drift</t>
        </is>
      </c>
      <c r="D233" s="39" t="n">
        <v>5</v>
      </c>
      <c r="E233" s="39" t="inlineStr">
        <is>
          <t>Zenurik</t>
        </is>
      </c>
      <c r="F233" s="39" t="n">
        <v>9</v>
      </c>
      <c r="G233" s="39" t="inlineStr">
        <is>
          <t>Warframe</t>
        </is>
      </c>
      <c r="H233" s="39" t="inlineStr">
        <is>
          <t>Yes</t>
        </is>
      </c>
      <c r="I233" s="39" t="inlineStr">
        <is>
          <t>+15% Ability Strength | +30% Chance to Resist Knockdown</t>
        </is>
      </c>
    </row>
    <row r="234">
      <c r="A234" s="39" t="inlineStr">
        <is>
          <t>Inaros Prime</t>
        </is>
      </c>
      <c r="B234" s="39" t="inlineStr">
        <is>
          <t>Mod 1</t>
        </is>
      </c>
      <c r="C234" s="39" t="inlineStr">
        <is>
          <t>Umbral Intensify</t>
        </is>
      </c>
      <c r="D234" s="39" t="n">
        <v>10</v>
      </c>
      <c r="E234" s="39" t="inlineStr">
        <is>
          <t>Umbra</t>
        </is>
      </c>
      <c r="F234" s="39" t="n">
        <v>16</v>
      </c>
      <c r="G234" s="39" t="inlineStr">
        <is>
          <t>Warframe</t>
        </is>
      </c>
      <c r="H234" s="39" t="inlineStr">
        <is>
          <t>NO - account-bound</t>
        </is>
      </c>
      <c r="I234" s="39" t="inlineStr">
        <is>
          <t>+44% Ability Strength | +11% &lt;DT_SENTIENT&gt;Tau Resistance</t>
        </is>
      </c>
    </row>
    <row r="235">
      <c r="A235" s="39" t="inlineStr">
        <is>
          <t>Inaros Prime</t>
        </is>
      </c>
      <c r="B235" s="39" t="inlineStr">
        <is>
          <t>Mod 2</t>
        </is>
      </c>
      <c r="C235" s="39" t="inlineStr">
        <is>
          <t>Umbral Vitality</t>
        </is>
      </c>
      <c r="D235" s="39" t="n">
        <v>10</v>
      </c>
      <c r="E235" s="39" t="inlineStr">
        <is>
          <t>Umbra</t>
        </is>
      </c>
      <c r="F235" s="39" t="n">
        <v>16</v>
      </c>
      <c r="G235" s="39" t="inlineStr">
        <is>
          <t>Warframe</t>
        </is>
      </c>
      <c r="H235" s="39" t="inlineStr">
        <is>
          <t>NO - account-bound</t>
        </is>
      </c>
      <c r="I235" s="39" t="inlineStr">
        <is>
          <t>+100% Health | +11% &lt;DT_SENTIENT&gt;Tau Resistance</t>
        </is>
      </c>
    </row>
    <row r="236">
      <c r="A236" s="39" t="inlineStr">
        <is>
          <t>Inaros Prime</t>
        </is>
      </c>
      <c r="B236" s="39" t="inlineStr">
        <is>
          <t>Mod 3</t>
        </is>
      </c>
      <c r="C236" s="39" t="inlineStr">
        <is>
          <t>Umbral Fiber</t>
        </is>
      </c>
      <c r="D236" s="39" t="n">
        <v>10</v>
      </c>
      <c r="E236" s="39" t="inlineStr">
        <is>
          <t>Umbra</t>
        </is>
      </c>
      <c r="F236" s="39" t="n">
        <v>16</v>
      </c>
      <c r="G236" s="39" t="inlineStr">
        <is>
          <t>Warframe</t>
        </is>
      </c>
      <c r="H236" s="39" t="inlineStr">
        <is>
          <t>NO - account-bound</t>
        </is>
      </c>
      <c r="I236" s="39" t="inlineStr">
        <is>
          <t>+100% Armor | +11% &lt;DT_SENTIENT&gt;Tau Resistance</t>
        </is>
      </c>
    </row>
    <row r="237">
      <c r="A237" s="39" t="inlineStr">
        <is>
          <t>Inaros Prime</t>
        </is>
      </c>
      <c r="B237" s="39" t="inlineStr">
        <is>
          <t>Mod 4</t>
        </is>
      </c>
      <c r="C237" s="39" t="inlineStr">
        <is>
          <t>Primed Continuity</t>
        </is>
      </c>
      <c r="D237" s="39" t="n">
        <v>10</v>
      </c>
      <c r="E237" s="39" t="inlineStr">
        <is>
          <t>Madurai</t>
        </is>
      </c>
      <c r="F237" s="39" t="n">
        <v>14</v>
      </c>
      <c r="G237" s="39" t="inlineStr">
        <is>
          <t>Warframe</t>
        </is>
      </c>
      <c r="H237" s="39" t="inlineStr">
        <is>
          <t>Yes</t>
        </is>
      </c>
      <c r="I237" s="39" t="inlineStr">
        <is>
          <t>+55% Ability Duration</t>
        </is>
      </c>
    </row>
    <row r="238">
      <c r="A238" s="39" t="inlineStr">
        <is>
          <t>Inaros Prime</t>
        </is>
      </c>
      <c r="B238" s="39" t="inlineStr">
        <is>
          <t>Mod 5</t>
        </is>
      </c>
      <c r="C238" s="39" t="inlineStr">
        <is>
          <t>Primed Flow</t>
        </is>
      </c>
      <c r="D238" s="39" t="n">
        <v>10</v>
      </c>
      <c r="E238" s="39" t="inlineStr">
        <is>
          <t>Naramon</t>
        </is>
      </c>
      <c r="F238" s="39" t="n">
        <v>14</v>
      </c>
      <c r="G238" s="39" t="inlineStr">
        <is>
          <t>Warframe</t>
        </is>
      </c>
      <c r="H238" s="39" t="inlineStr">
        <is>
          <t>Yes</t>
        </is>
      </c>
      <c r="I238" s="39" t="inlineStr">
        <is>
          <t>+185% Energy Max</t>
        </is>
      </c>
    </row>
    <row r="239">
      <c r="A239" s="39" t="inlineStr">
        <is>
          <t>Inaros Prime</t>
        </is>
      </c>
      <c r="B239" s="39" t="inlineStr">
        <is>
          <t>Mod 6</t>
        </is>
      </c>
      <c r="C239" s="39" t="inlineStr">
        <is>
          <t>Streamline</t>
        </is>
      </c>
      <c r="D239" s="39" t="n">
        <v>5</v>
      </c>
      <c r="E239" s="39" t="inlineStr">
        <is>
          <t>Naramon</t>
        </is>
      </c>
      <c r="F239" s="39" t="n">
        <v>9</v>
      </c>
      <c r="G239" s="39" t="inlineStr">
        <is>
          <t>Warframe</t>
        </is>
      </c>
      <c r="H239" s="39" t="inlineStr">
        <is>
          <t>Yes</t>
        </is>
      </c>
      <c r="I239" s="39" t="inlineStr">
        <is>
          <t>+30% Ability Efficiency</t>
        </is>
      </c>
    </row>
    <row r="240">
      <c r="A240" s="39" t="inlineStr">
        <is>
          <t>Inaros Prime</t>
        </is>
      </c>
      <c r="B240" s="39" t="inlineStr">
        <is>
          <t>Mod 7</t>
        </is>
      </c>
      <c r="C240" s="39" t="inlineStr">
        <is>
          <t>Stretch</t>
        </is>
      </c>
      <c r="D240" s="39" t="n">
        <v>5</v>
      </c>
      <c r="E240" s="39" t="inlineStr">
        <is>
          <t>Naramon</t>
        </is>
      </c>
      <c r="F240" s="39" t="n">
        <v>9</v>
      </c>
      <c r="G240" s="39" t="inlineStr">
        <is>
          <t>Warframe</t>
        </is>
      </c>
      <c r="H240" s="39" t="inlineStr">
        <is>
          <t>Yes</t>
        </is>
      </c>
      <c r="I240" s="39" t="inlineStr">
        <is>
          <t>+45% Ability Range</t>
        </is>
      </c>
    </row>
    <row r="241">
      <c r="A241" s="39" t="inlineStr">
        <is>
          <t>Inaros Prime</t>
        </is>
      </c>
      <c r="B241" s="39" t="inlineStr">
        <is>
          <t>Mod 8</t>
        </is>
      </c>
      <c r="C241" s="39" t="inlineStr">
        <is>
          <t>Negation Armor</t>
        </is>
      </c>
      <c r="D241" s="39" t="n">
        <v>3</v>
      </c>
      <c r="E241" s="39" t="inlineStr">
        <is>
          <t>Zenurik</t>
        </is>
      </c>
      <c r="F241" s="39" t="n">
        <v>9</v>
      </c>
      <c r="G241" s="39" t="inlineStr">
        <is>
          <t>Inaros</t>
        </is>
      </c>
      <c r="H241" s="39" t="inlineStr">
        <is>
          <t>Yes</t>
        </is>
      </c>
      <c r="I241" s="39" t="inlineStr">
        <is>
          <t>Scarab Shell Augment: When Inaros takes fatal damage, he consumes Scarab Shell to heal with a brief invulnerability that ends with a deadly &lt;DT_SLASH_COLOR&gt;Slas</t>
        </is>
      </c>
    </row>
    <row r="242">
      <c r="A242" s="39" t="inlineStr">
        <is>
          <t>Ivara Prime</t>
        </is>
      </c>
      <c r="B242" s="39" t="inlineStr">
        <is>
          <t>Aura</t>
        </is>
      </c>
      <c r="C242" s="39" t="inlineStr">
        <is>
          <t>Growing Power</t>
        </is>
      </c>
      <c r="D242" s="39" t="n">
        <v>5</v>
      </c>
      <c r="E242" s="39" t="inlineStr">
        <is>
          <t>Madurai</t>
        </is>
      </c>
      <c r="F242" s="39" t="n">
        <v>3</v>
      </c>
      <c r="G242" s="39" t="inlineStr">
        <is>
          <t>Aura</t>
        </is>
      </c>
      <c r="H242" s="39" t="inlineStr">
        <is>
          <t>Yes</t>
        </is>
      </c>
      <c r="I242" s="39" t="inlineStr">
        <is>
          <t>On Status Effect with Weapon: Squad increases personal Ability Strength by 25% for 6s.</t>
        </is>
      </c>
    </row>
    <row r="243">
      <c r="A243" s="39" t="inlineStr">
        <is>
          <t>Ivara Prime</t>
        </is>
      </c>
      <c r="B243" s="39" t="inlineStr">
        <is>
          <t>Exilus</t>
        </is>
      </c>
      <c r="C243" s="39" t="inlineStr">
        <is>
          <t>Power Drift</t>
        </is>
      </c>
      <c r="D243" s="39" t="n">
        <v>5</v>
      </c>
      <c r="E243" s="39" t="inlineStr">
        <is>
          <t>Zenurik</t>
        </is>
      </c>
      <c r="F243" s="39" t="n">
        <v>9</v>
      </c>
      <c r="G243" s="39" t="inlineStr">
        <is>
          <t>Warframe</t>
        </is>
      </c>
      <c r="H243" s="39" t="inlineStr">
        <is>
          <t>Yes</t>
        </is>
      </c>
      <c r="I243" s="39" t="inlineStr">
        <is>
          <t>+15% Ability Strength | +30% Chance to Resist Knockdown</t>
        </is>
      </c>
    </row>
    <row r="244">
      <c r="A244" s="39" t="inlineStr">
        <is>
          <t>Ivara Prime</t>
        </is>
      </c>
      <c r="B244" s="39" t="inlineStr">
        <is>
          <t>Mod 1</t>
        </is>
      </c>
      <c r="C244" s="39" t="inlineStr">
        <is>
          <t>Umbral Intensify</t>
        </is>
      </c>
      <c r="D244" s="39" t="n">
        <v>10</v>
      </c>
      <c r="E244" s="39" t="inlineStr">
        <is>
          <t>Umbra</t>
        </is>
      </c>
      <c r="F244" s="39" t="n">
        <v>16</v>
      </c>
      <c r="G244" s="39" t="inlineStr">
        <is>
          <t>Warframe</t>
        </is>
      </c>
      <c r="H244" s="39" t="inlineStr">
        <is>
          <t>NO - account-bound</t>
        </is>
      </c>
      <c r="I244" s="39" t="inlineStr">
        <is>
          <t>+44% Ability Strength | +11% &lt;DT_SENTIENT&gt;Tau Resistance</t>
        </is>
      </c>
    </row>
    <row r="245">
      <c r="A245" s="39" t="inlineStr">
        <is>
          <t>Ivara Prime</t>
        </is>
      </c>
      <c r="B245" s="39" t="inlineStr">
        <is>
          <t>Mod 2</t>
        </is>
      </c>
      <c r="C245" s="39" t="inlineStr">
        <is>
          <t>Umbral Vitality</t>
        </is>
      </c>
      <c r="D245" s="39" t="n">
        <v>10</v>
      </c>
      <c r="E245" s="39" t="inlineStr">
        <is>
          <t>Umbra</t>
        </is>
      </c>
      <c r="F245" s="39" t="n">
        <v>16</v>
      </c>
      <c r="G245" s="39" t="inlineStr">
        <is>
          <t>Warframe</t>
        </is>
      </c>
      <c r="H245" s="39" t="inlineStr">
        <is>
          <t>NO - account-bound</t>
        </is>
      </c>
      <c r="I245" s="39" t="inlineStr">
        <is>
          <t>+100% Health | +11% &lt;DT_SENTIENT&gt;Tau Resistance</t>
        </is>
      </c>
    </row>
    <row r="246">
      <c r="A246" s="39" t="inlineStr">
        <is>
          <t>Ivara Prime</t>
        </is>
      </c>
      <c r="B246" s="39" t="inlineStr">
        <is>
          <t>Mod 3</t>
        </is>
      </c>
      <c r="C246" s="39" t="inlineStr">
        <is>
          <t>Umbral Fiber</t>
        </is>
      </c>
      <c r="D246" s="39" t="n">
        <v>10</v>
      </c>
      <c r="E246" s="39" t="inlineStr">
        <is>
          <t>Umbra</t>
        </is>
      </c>
      <c r="F246" s="39" t="n">
        <v>16</v>
      </c>
      <c r="G246" s="39" t="inlineStr">
        <is>
          <t>Warframe</t>
        </is>
      </c>
      <c r="H246" s="39" t="inlineStr">
        <is>
          <t>NO - account-bound</t>
        </is>
      </c>
      <c r="I246" s="39" t="inlineStr">
        <is>
          <t>+100% Armor | +11% &lt;DT_SENTIENT&gt;Tau Resistance</t>
        </is>
      </c>
    </row>
    <row r="247">
      <c r="A247" s="39" t="inlineStr">
        <is>
          <t>Ivara Prime</t>
        </is>
      </c>
      <c r="B247" s="39" t="inlineStr">
        <is>
          <t>Mod 4</t>
        </is>
      </c>
      <c r="C247" s="39" t="inlineStr">
        <is>
          <t>Primed Continuity</t>
        </is>
      </c>
      <c r="D247" s="39" t="n">
        <v>10</v>
      </c>
      <c r="E247" s="39" t="inlineStr">
        <is>
          <t>Madurai</t>
        </is>
      </c>
      <c r="F247" s="39" t="n">
        <v>14</v>
      </c>
      <c r="G247" s="39" t="inlineStr">
        <is>
          <t>Warframe</t>
        </is>
      </c>
      <c r="H247" s="39" t="inlineStr">
        <is>
          <t>Yes</t>
        </is>
      </c>
      <c r="I247" s="39" t="inlineStr">
        <is>
          <t>+55% Ability Duration</t>
        </is>
      </c>
    </row>
    <row r="248">
      <c r="A248" s="39" t="inlineStr">
        <is>
          <t>Ivara Prime</t>
        </is>
      </c>
      <c r="B248" s="39" t="inlineStr">
        <is>
          <t>Mod 5</t>
        </is>
      </c>
      <c r="C248" s="39" t="inlineStr">
        <is>
          <t>Primed Flow</t>
        </is>
      </c>
      <c r="D248" s="39" t="n">
        <v>10</v>
      </c>
      <c r="E248" s="39" t="inlineStr">
        <is>
          <t>Naramon</t>
        </is>
      </c>
      <c r="F248" s="39" t="n">
        <v>14</v>
      </c>
      <c r="G248" s="39" t="inlineStr">
        <is>
          <t>Warframe</t>
        </is>
      </c>
      <c r="H248" s="39" t="inlineStr">
        <is>
          <t>Yes</t>
        </is>
      </c>
      <c r="I248" s="39" t="inlineStr">
        <is>
          <t>+185% Energy Max</t>
        </is>
      </c>
    </row>
    <row r="249">
      <c r="A249" s="39" t="inlineStr">
        <is>
          <t>Ivara Prime</t>
        </is>
      </c>
      <c r="B249" s="39" t="inlineStr">
        <is>
          <t>Mod 6</t>
        </is>
      </c>
      <c r="C249" s="39" t="inlineStr">
        <is>
          <t>Streamline</t>
        </is>
      </c>
      <c r="D249" s="39" t="n">
        <v>5</v>
      </c>
      <c r="E249" s="39" t="inlineStr">
        <is>
          <t>Naramon</t>
        </is>
      </c>
      <c r="F249" s="39" t="n">
        <v>9</v>
      </c>
      <c r="G249" s="39" t="inlineStr">
        <is>
          <t>Warframe</t>
        </is>
      </c>
      <c r="H249" s="39" t="inlineStr">
        <is>
          <t>Yes</t>
        </is>
      </c>
      <c r="I249" s="39" t="inlineStr">
        <is>
          <t>+30% Ability Efficiency</t>
        </is>
      </c>
    </row>
    <row r="250">
      <c r="A250" s="39" t="inlineStr">
        <is>
          <t>Ivara Prime</t>
        </is>
      </c>
      <c r="B250" s="39" t="inlineStr">
        <is>
          <t>Mod 7</t>
        </is>
      </c>
      <c r="C250" s="39" t="inlineStr">
        <is>
          <t>Stretch</t>
        </is>
      </c>
      <c r="D250" s="39" t="n">
        <v>5</v>
      </c>
      <c r="E250" s="39" t="inlineStr">
        <is>
          <t>Naramon</t>
        </is>
      </c>
      <c r="F250" s="39" t="n">
        <v>9</v>
      </c>
      <c r="G250" s="39" t="inlineStr">
        <is>
          <t>Warframe</t>
        </is>
      </c>
      <c r="H250" s="39" t="inlineStr">
        <is>
          <t>Yes</t>
        </is>
      </c>
      <c r="I250" s="39" t="inlineStr">
        <is>
          <t>+45% Ability Range</t>
        </is>
      </c>
    </row>
    <row r="251">
      <c r="A251" s="39" t="inlineStr">
        <is>
          <t>Ivara Prime</t>
        </is>
      </c>
      <c r="B251" s="39" t="inlineStr">
        <is>
          <t>Mod 8</t>
        </is>
      </c>
      <c r="C251" s="39" t="inlineStr">
        <is>
          <t>Infiltrate</t>
        </is>
      </c>
      <c r="D251" s="39" t="n">
        <v>3</v>
      </c>
      <c r="E251" s="39" t="inlineStr">
        <is>
          <t>Zenurik</t>
        </is>
      </c>
      <c r="F251" s="39" t="n">
        <v>9</v>
      </c>
      <c r="G251" s="39" t="inlineStr">
        <is>
          <t>Ivara</t>
        </is>
      </c>
      <c r="H251" s="39" t="inlineStr">
        <is>
          <t>Yes</t>
        </is>
      </c>
      <c r="I251" s="39" t="inlineStr">
        <is>
          <t>Prowl Augment: Ivara is able to bypass laser barriers and gains 25% Movement Speed.</t>
        </is>
      </c>
    </row>
    <row r="252">
      <c r="A252" s="39" t="inlineStr">
        <is>
          <t>Jade</t>
        </is>
      </c>
      <c r="B252" s="39" t="inlineStr">
        <is>
          <t>Aura</t>
        </is>
      </c>
      <c r="C252" s="39" t="inlineStr">
        <is>
          <t>Growing Power</t>
        </is>
      </c>
      <c r="D252" s="39" t="n">
        <v>5</v>
      </c>
      <c r="E252" s="39" t="inlineStr">
        <is>
          <t>Madurai</t>
        </is>
      </c>
      <c r="F252" s="39" t="n">
        <v>3</v>
      </c>
      <c r="G252" s="39" t="inlineStr">
        <is>
          <t>Aura</t>
        </is>
      </c>
      <c r="H252" s="39" t="inlineStr">
        <is>
          <t>Yes</t>
        </is>
      </c>
      <c r="I252" s="39" t="inlineStr">
        <is>
          <t>On Status Effect with Weapon: Squad increases personal Ability Strength by 25% for 6s.</t>
        </is>
      </c>
    </row>
    <row r="253">
      <c r="A253" s="39" t="inlineStr">
        <is>
          <t>Jade</t>
        </is>
      </c>
      <c r="B253" s="39" t="inlineStr">
        <is>
          <t>Aura 2</t>
        </is>
      </c>
      <c r="C253" s="39" t="inlineStr">
        <is>
          <t>Corrosive Projection</t>
        </is>
      </c>
      <c r="D253" s="39" t="n">
        <v>5</v>
      </c>
      <c r="E253" s="39" t="inlineStr">
        <is>
          <t>Naramon</t>
        </is>
      </c>
      <c r="F253" s="39" t="n">
        <v>3</v>
      </c>
      <c r="G253" s="39" t="inlineStr">
        <is>
          <t>Aura</t>
        </is>
      </c>
      <c r="H253" s="39" t="inlineStr">
        <is>
          <t>Yes</t>
        </is>
      </c>
      <c r="I253" s="39" t="inlineStr">
        <is>
          <t>Enemies lose -18% Armor</t>
        </is>
      </c>
    </row>
    <row r="254">
      <c r="A254" s="39" t="inlineStr">
        <is>
          <t>Jade</t>
        </is>
      </c>
      <c r="B254" s="39" t="inlineStr">
        <is>
          <t>Exilus</t>
        </is>
      </c>
      <c r="C254" s="39" t="inlineStr">
        <is>
          <t>Power Drift</t>
        </is>
      </c>
      <c r="D254" s="39" t="n">
        <v>5</v>
      </c>
      <c r="E254" s="39" t="inlineStr">
        <is>
          <t>Zenurik</t>
        </is>
      </c>
      <c r="F254" s="39" t="n">
        <v>9</v>
      </c>
      <c r="G254" s="39" t="inlineStr">
        <is>
          <t>Warframe</t>
        </is>
      </c>
      <c r="H254" s="39" t="inlineStr">
        <is>
          <t>Yes</t>
        </is>
      </c>
      <c r="I254" s="39" t="inlineStr">
        <is>
          <t>+15% Ability Strength | +30% Chance to Resist Knockdown</t>
        </is>
      </c>
    </row>
    <row r="255">
      <c r="A255" s="39" t="inlineStr">
        <is>
          <t>Jade</t>
        </is>
      </c>
      <c r="B255" s="39" t="inlineStr">
        <is>
          <t>Mod 1</t>
        </is>
      </c>
      <c r="C255" s="39" t="inlineStr">
        <is>
          <t>Umbral Intensify</t>
        </is>
      </c>
      <c r="D255" s="39" t="n">
        <v>10</v>
      </c>
      <c r="E255" s="39" t="inlineStr">
        <is>
          <t>Umbra</t>
        </is>
      </c>
      <c r="F255" s="39" t="n">
        <v>16</v>
      </c>
      <c r="G255" s="39" t="inlineStr">
        <is>
          <t>Warframe</t>
        </is>
      </c>
      <c r="H255" s="39" t="inlineStr">
        <is>
          <t>NO - account-bound</t>
        </is>
      </c>
      <c r="I255" s="39" t="inlineStr">
        <is>
          <t>+44% Ability Strength | +11% &lt;DT_SENTIENT&gt;Tau Resistance</t>
        </is>
      </c>
    </row>
    <row r="256">
      <c r="A256" s="39" t="inlineStr">
        <is>
          <t>Jade</t>
        </is>
      </c>
      <c r="B256" s="39" t="inlineStr">
        <is>
          <t>Mod 2</t>
        </is>
      </c>
      <c r="C256" s="39" t="inlineStr">
        <is>
          <t>Umbral Vitality</t>
        </is>
      </c>
      <c r="D256" s="39" t="n">
        <v>10</v>
      </c>
      <c r="E256" s="39" t="inlineStr">
        <is>
          <t>Umbra</t>
        </is>
      </c>
      <c r="F256" s="39" t="n">
        <v>16</v>
      </c>
      <c r="G256" s="39" t="inlineStr">
        <is>
          <t>Warframe</t>
        </is>
      </c>
      <c r="H256" s="39" t="inlineStr">
        <is>
          <t>NO - account-bound</t>
        </is>
      </c>
      <c r="I256" s="39" t="inlineStr">
        <is>
          <t>+100% Health | +11% &lt;DT_SENTIENT&gt;Tau Resistance</t>
        </is>
      </c>
    </row>
    <row r="257">
      <c r="A257" s="39" t="inlineStr">
        <is>
          <t>Jade</t>
        </is>
      </c>
      <c r="B257" s="39" t="inlineStr">
        <is>
          <t>Mod 3</t>
        </is>
      </c>
      <c r="C257" s="39" t="inlineStr">
        <is>
          <t>Umbral Fiber</t>
        </is>
      </c>
      <c r="D257" s="39" t="n">
        <v>10</v>
      </c>
      <c r="E257" s="39" t="inlineStr">
        <is>
          <t>Umbra</t>
        </is>
      </c>
      <c r="F257" s="39" t="n">
        <v>16</v>
      </c>
      <c r="G257" s="39" t="inlineStr">
        <is>
          <t>Warframe</t>
        </is>
      </c>
      <c r="H257" s="39" t="inlineStr">
        <is>
          <t>NO - account-bound</t>
        </is>
      </c>
      <c r="I257" s="39" t="inlineStr">
        <is>
          <t>+100% Armor | +11% &lt;DT_SENTIENT&gt;Tau Resistance</t>
        </is>
      </c>
    </row>
    <row r="258">
      <c r="A258" s="39" t="inlineStr">
        <is>
          <t>Jade</t>
        </is>
      </c>
      <c r="B258" s="39" t="inlineStr">
        <is>
          <t>Mod 4</t>
        </is>
      </c>
      <c r="C258" s="39" t="inlineStr">
        <is>
          <t>Primed Continuity</t>
        </is>
      </c>
      <c r="D258" s="39" t="n">
        <v>10</v>
      </c>
      <c r="E258" s="39" t="inlineStr">
        <is>
          <t>Madurai</t>
        </is>
      </c>
      <c r="F258" s="39" t="n">
        <v>14</v>
      </c>
      <c r="G258" s="39" t="inlineStr">
        <is>
          <t>Warframe</t>
        </is>
      </c>
      <c r="H258" s="39" t="inlineStr">
        <is>
          <t>Yes</t>
        </is>
      </c>
      <c r="I258" s="39" t="inlineStr">
        <is>
          <t>+55% Ability Duration</t>
        </is>
      </c>
    </row>
    <row r="259">
      <c r="A259" s="39" t="inlineStr">
        <is>
          <t>Jade</t>
        </is>
      </c>
      <c r="B259" s="39" t="inlineStr">
        <is>
          <t>Mod 5</t>
        </is>
      </c>
      <c r="C259" s="39" t="inlineStr">
        <is>
          <t>Stretch</t>
        </is>
      </c>
      <c r="D259" s="39" t="n">
        <v>5</v>
      </c>
      <c r="E259" s="39" t="inlineStr">
        <is>
          <t>Naramon</t>
        </is>
      </c>
      <c r="F259" s="39" t="n">
        <v>9</v>
      </c>
      <c r="G259" s="39" t="inlineStr">
        <is>
          <t>Warframe</t>
        </is>
      </c>
      <c r="H259" s="39" t="inlineStr">
        <is>
          <t>Yes</t>
        </is>
      </c>
      <c r="I259" s="39" t="inlineStr">
        <is>
          <t>+45% Ability Range</t>
        </is>
      </c>
    </row>
    <row r="260">
      <c r="A260" s="39" t="inlineStr">
        <is>
          <t>Jade</t>
        </is>
      </c>
      <c r="B260" s="39" t="inlineStr">
        <is>
          <t>Mod 6</t>
        </is>
      </c>
      <c r="C260" s="39" t="inlineStr">
        <is>
          <t>Primed Flow</t>
        </is>
      </c>
      <c r="D260" s="39" t="n">
        <v>10</v>
      </c>
      <c r="E260" s="39" t="inlineStr">
        <is>
          <t>Naramon</t>
        </is>
      </c>
      <c r="F260" s="39" t="n">
        <v>14</v>
      </c>
      <c r="G260" s="39" t="inlineStr">
        <is>
          <t>Warframe</t>
        </is>
      </c>
      <c r="H260" s="39" t="inlineStr">
        <is>
          <t>Yes</t>
        </is>
      </c>
      <c r="I260" s="39" t="inlineStr">
        <is>
          <t>+185% Energy Max</t>
        </is>
      </c>
    </row>
    <row r="261">
      <c r="A261" s="39" t="inlineStr">
        <is>
          <t>Jade</t>
        </is>
      </c>
      <c r="B261" s="39" t="inlineStr">
        <is>
          <t>Mod 7</t>
        </is>
      </c>
      <c r="C261" s="39" t="inlineStr">
        <is>
          <t>Streamline</t>
        </is>
      </c>
      <c r="D261" s="39" t="n">
        <v>5</v>
      </c>
      <c r="E261" s="39" t="inlineStr">
        <is>
          <t>Naramon</t>
        </is>
      </c>
      <c r="F261" s="39" t="n">
        <v>9</v>
      </c>
      <c r="G261" s="39" t="inlineStr">
        <is>
          <t>Warframe</t>
        </is>
      </c>
      <c r="H261" s="39" t="inlineStr">
        <is>
          <t>Yes</t>
        </is>
      </c>
      <c r="I261" s="39" t="inlineStr">
        <is>
          <t>+30% Ability Efficiency</t>
        </is>
      </c>
    </row>
    <row r="262">
      <c r="A262" s="39" t="inlineStr">
        <is>
          <t>Jade</t>
        </is>
      </c>
      <c r="B262" s="39" t="inlineStr">
        <is>
          <t>Mod 8</t>
        </is>
      </c>
      <c r="C262" s="39" t="inlineStr">
        <is>
          <t>Jade's Judgment</t>
        </is>
      </c>
      <c r="D262" s="39" t="n">
        <v>3</v>
      </c>
      <c r="E262" s="39" t="inlineStr">
        <is>
          <t>Zenurik</t>
        </is>
      </c>
      <c r="F262" s="39" t="n">
        <v>9</v>
      </c>
      <c r="G262" s="39" t="inlineStr">
        <is>
          <t>Jade</t>
        </is>
      </c>
      <c r="H262" s="39" t="inlineStr">
        <is>
          <t>Yes</t>
        </is>
      </c>
      <c r="I262" s="39" t="inlineStr">
        <is>
          <t>Light's Judgment Augment: Enemies damaged by the well have a 5% chance per hit to spawn a Jade Light above them, damaging them for 3s.</t>
        </is>
      </c>
    </row>
    <row r="263">
      <c r="A263" s="39" t="inlineStr">
        <is>
          <t>Khora Prime</t>
        </is>
      </c>
      <c r="B263" s="39" t="inlineStr">
        <is>
          <t>Aura</t>
        </is>
      </c>
      <c r="C263" s="39" t="inlineStr">
        <is>
          <t>Growing Power</t>
        </is>
      </c>
      <c r="D263" s="39" t="n">
        <v>5</v>
      </c>
      <c r="E263" s="39" t="inlineStr">
        <is>
          <t>Madurai</t>
        </is>
      </c>
      <c r="F263" s="39" t="n">
        <v>3</v>
      </c>
      <c r="G263" s="39" t="inlineStr">
        <is>
          <t>Aura</t>
        </is>
      </c>
      <c r="H263" s="39" t="inlineStr">
        <is>
          <t>Yes</t>
        </is>
      </c>
      <c r="I263" s="39" t="inlineStr">
        <is>
          <t>On Status Effect with Weapon: Squad increases personal Ability Strength by 25% for 6s.</t>
        </is>
      </c>
    </row>
    <row r="264">
      <c r="A264" s="39" t="inlineStr">
        <is>
          <t>Khora Prime</t>
        </is>
      </c>
      <c r="B264" s="39" t="inlineStr">
        <is>
          <t>Exilus</t>
        </is>
      </c>
      <c r="C264" s="39" t="inlineStr">
        <is>
          <t>Power Drift</t>
        </is>
      </c>
      <c r="D264" s="39" t="n">
        <v>5</v>
      </c>
      <c r="E264" s="39" t="inlineStr">
        <is>
          <t>Zenurik</t>
        </is>
      </c>
      <c r="F264" s="39" t="n">
        <v>9</v>
      </c>
      <c r="G264" s="39" t="inlineStr">
        <is>
          <t>Warframe</t>
        </is>
      </c>
      <c r="H264" s="39" t="inlineStr">
        <is>
          <t>Yes</t>
        </is>
      </c>
      <c r="I264" s="39" t="inlineStr">
        <is>
          <t>+15% Ability Strength | +30% Chance to Resist Knockdown</t>
        </is>
      </c>
    </row>
    <row r="265">
      <c r="A265" s="39" t="inlineStr">
        <is>
          <t>Khora Prime</t>
        </is>
      </c>
      <c r="B265" s="39" t="inlineStr">
        <is>
          <t>Mod 1</t>
        </is>
      </c>
      <c r="C265" s="39" t="inlineStr">
        <is>
          <t>Umbral Intensify</t>
        </is>
      </c>
      <c r="D265" s="39" t="n">
        <v>10</v>
      </c>
      <c r="E265" s="39" t="inlineStr">
        <is>
          <t>Umbra</t>
        </is>
      </c>
      <c r="F265" s="39" t="n">
        <v>16</v>
      </c>
      <c r="G265" s="39" t="inlineStr">
        <is>
          <t>Warframe</t>
        </is>
      </c>
      <c r="H265" s="39" t="inlineStr">
        <is>
          <t>NO - account-bound</t>
        </is>
      </c>
      <c r="I265" s="39" t="inlineStr">
        <is>
          <t>+44% Ability Strength | +11% &lt;DT_SENTIENT&gt;Tau Resistance</t>
        </is>
      </c>
    </row>
    <row r="266">
      <c r="A266" s="39" t="inlineStr">
        <is>
          <t>Khora Prime</t>
        </is>
      </c>
      <c r="B266" s="39" t="inlineStr">
        <is>
          <t>Mod 2</t>
        </is>
      </c>
      <c r="C266" s="39" t="inlineStr">
        <is>
          <t>Umbral Vitality</t>
        </is>
      </c>
      <c r="D266" s="39" t="n">
        <v>10</v>
      </c>
      <c r="E266" s="39" t="inlineStr">
        <is>
          <t>Umbra</t>
        </is>
      </c>
      <c r="F266" s="39" t="n">
        <v>16</v>
      </c>
      <c r="G266" s="39" t="inlineStr">
        <is>
          <t>Warframe</t>
        </is>
      </c>
      <c r="H266" s="39" t="inlineStr">
        <is>
          <t>NO - account-bound</t>
        </is>
      </c>
      <c r="I266" s="39" t="inlineStr">
        <is>
          <t>+100% Health | +11% &lt;DT_SENTIENT&gt;Tau Resistance</t>
        </is>
      </c>
    </row>
    <row r="267">
      <c r="A267" s="39" t="inlineStr">
        <is>
          <t>Khora Prime</t>
        </is>
      </c>
      <c r="B267" s="39" t="inlineStr">
        <is>
          <t>Mod 3</t>
        </is>
      </c>
      <c r="C267" s="39" t="inlineStr">
        <is>
          <t>Umbral Fiber</t>
        </is>
      </c>
      <c r="D267" s="39" t="n">
        <v>10</v>
      </c>
      <c r="E267" s="39" t="inlineStr">
        <is>
          <t>Umbra</t>
        </is>
      </c>
      <c r="F267" s="39" t="n">
        <v>16</v>
      </c>
      <c r="G267" s="39" t="inlineStr">
        <is>
          <t>Warframe</t>
        </is>
      </c>
      <c r="H267" s="39" t="inlineStr">
        <is>
          <t>NO - account-bound</t>
        </is>
      </c>
      <c r="I267" s="39" t="inlineStr">
        <is>
          <t>+100% Armor | +11% &lt;DT_SENTIENT&gt;Tau Resistance</t>
        </is>
      </c>
    </row>
    <row r="268">
      <c r="A268" s="39" t="inlineStr">
        <is>
          <t>Khora Prime</t>
        </is>
      </c>
      <c r="B268" s="39" t="inlineStr">
        <is>
          <t>Mod 4</t>
        </is>
      </c>
      <c r="C268" s="39" t="inlineStr">
        <is>
          <t>Primed Continuity</t>
        </is>
      </c>
      <c r="D268" s="39" t="n">
        <v>10</v>
      </c>
      <c r="E268" s="39" t="inlineStr">
        <is>
          <t>Madurai</t>
        </is>
      </c>
      <c r="F268" s="39" t="n">
        <v>14</v>
      </c>
      <c r="G268" s="39" t="inlineStr">
        <is>
          <t>Warframe</t>
        </is>
      </c>
      <c r="H268" s="39" t="inlineStr">
        <is>
          <t>Yes</t>
        </is>
      </c>
      <c r="I268" s="39" t="inlineStr">
        <is>
          <t>+55% Ability Duration</t>
        </is>
      </c>
    </row>
    <row r="269">
      <c r="A269" s="39" t="inlineStr">
        <is>
          <t>Khora Prime</t>
        </is>
      </c>
      <c r="B269" s="39" t="inlineStr">
        <is>
          <t>Mod 5</t>
        </is>
      </c>
      <c r="C269" s="39" t="inlineStr">
        <is>
          <t>Stretch</t>
        </is>
      </c>
      <c r="D269" s="39" t="n">
        <v>5</v>
      </c>
      <c r="E269" s="39" t="inlineStr">
        <is>
          <t>Naramon</t>
        </is>
      </c>
      <c r="F269" s="39" t="n">
        <v>9</v>
      </c>
      <c r="G269" s="39" t="inlineStr">
        <is>
          <t>Warframe</t>
        </is>
      </c>
      <c r="H269" s="39" t="inlineStr">
        <is>
          <t>Yes</t>
        </is>
      </c>
      <c r="I269" s="39" t="inlineStr">
        <is>
          <t>+45% Ability Range</t>
        </is>
      </c>
    </row>
    <row r="270">
      <c r="A270" s="39" t="inlineStr">
        <is>
          <t>Khora Prime</t>
        </is>
      </c>
      <c r="B270" s="39" t="inlineStr">
        <is>
          <t>Mod 6</t>
        </is>
      </c>
      <c r="C270" s="39" t="inlineStr">
        <is>
          <t>Primed Flow</t>
        </is>
      </c>
      <c r="D270" s="39" t="n">
        <v>10</v>
      </c>
      <c r="E270" s="39" t="inlineStr">
        <is>
          <t>Naramon</t>
        </is>
      </c>
      <c r="F270" s="39" t="n">
        <v>14</v>
      </c>
      <c r="G270" s="39" t="inlineStr">
        <is>
          <t>Warframe</t>
        </is>
      </c>
      <c r="H270" s="39" t="inlineStr">
        <is>
          <t>Yes</t>
        </is>
      </c>
      <c r="I270" s="39" t="inlineStr">
        <is>
          <t>+185% Energy Max</t>
        </is>
      </c>
    </row>
    <row r="271">
      <c r="A271" s="39" t="inlineStr">
        <is>
          <t>Khora Prime</t>
        </is>
      </c>
      <c r="B271" s="39" t="inlineStr">
        <is>
          <t>Mod 7</t>
        </is>
      </c>
      <c r="C271" s="39" t="inlineStr">
        <is>
          <t>Streamline</t>
        </is>
      </c>
      <c r="D271" s="39" t="n">
        <v>5</v>
      </c>
      <c r="E271" s="39" t="inlineStr">
        <is>
          <t>Naramon</t>
        </is>
      </c>
      <c r="F271" s="39" t="n">
        <v>9</v>
      </c>
      <c r="G271" s="39" t="inlineStr">
        <is>
          <t>Warframe</t>
        </is>
      </c>
      <c r="H271" s="39" t="inlineStr">
        <is>
          <t>Yes</t>
        </is>
      </c>
      <c r="I271" s="39" t="inlineStr">
        <is>
          <t>+30% Ability Efficiency</t>
        </is>
      </c>
    </row>
    <row r="272">
      <c r="A272" s="39" t="inlineStr">
        <is>
          <t>Khora Prime</t>
        </is>
      </c>
      <c r="B272" s="39" t="inlineStr">
        <is>
          <t>Mod 8</t>
        </is>
      </c>
      <c r="C272" s="39" t="inlineStr">
        <is>
          <t>Accumulating Whipclaw</t>
        </is>
      </c>
      <c r="D272" s="39" t="n">
        <v>3</v>
      </c>
      <c r="E272" s="39" t="inlineStr">
        <is>
          <t>Zenurik</t>
        </is>
      </c>
      <c r="F272" s="39" t="n">
        <v>9</v>
      </c>
      <c r="G272" s="39" t="inlineStr">
        <is>
          <t>Khora</t>
        </is>
      </c>
      <c r="H272" s="39" t="inlineStr">
        <is>
          <t>Yes</t>
        </is>
      </c>
      <c r="I272" s="39" t="inlineStr">
        <is>
          <t>Whipclaw Augment: Hitting 3 enemies will grant a 35% stacking Damage Bonus to subsequent Whipclaws. Bonus will decay after 10s.</t>
        </is>
      </c>
    </row>
    <row r="273">
      <c r="A273" s="39" t="inlineStr">
        <is>
          <t>Koumei</t>
        </is>
      </c>
      <c r="B273" s="39" t="inlineStr">
        <is>
          <t>Aura</t>
        </is>
      </c>
      <c r="C273" s="39" t="inlineStr">
        <is>
          <t>Growing Power</t>
        </is>
      </c>
      <c r="D273" s="39" t="n">
        <v>5</v>
      </c>
      <c r="E273" s="39" t="inlineStr">
        <is>
          <t>Madurai</t>
        </is>
      </c>
      <c r="F273" s="39" t="n">
        <v>3</v>
      </c>
      <c r="G273" s="39" t="inlineStr">
        <is>
          <t>Aura</t>
        </is>
      </c>
      <c r="H273" s="39" t="inlineStr">
        <is>
          <t>Yes</t>
        </is>
      </c>
      <c r="I273" s="39" t="inlineStr">
        <is>
          <t>On Status Effect with Weapon: Squad increases personal Ability Strength by 25% for 6s.</t>
        </is>
      </c>
    </row>
    <row r="274">
      <c r="A274" s="39" t="inlineStr">
        <is>
          <t>Koumei</t>
        </is>
      </c>
      <c r="B274" s="39" t="inlineStr">
        <is>
          <t>Exilus</t>
        </is>
      </c>
      <c r="C274" s="39" t="inlineStr">
        <is>
          <t>Power Drift</t>
        </is>
      </c>
      <c r="D274" s="39" t="n">
        <v>5</v>
      </c>
      <c r="E274" s="39" t="inlineStr">
        <is>
          <t>Zenurik</t>
        </is>
      </c>
      <c r="F274" s="39" t="n">
        <v>9</v>
      </c>
      <c r="G274" s="39" t="inlineStr">
        <is>
          <t>Warframe</t>
        </is>
      </c>
      <c r="H274" s="39" t="inlineStr">
        <is>
          <t>Yes</t>
        </is>
      </c>
      <c r="I274" s="39" t="inlineStr">
        <is>
          <t>+15% Ability Strength | +30% Chance to Resist Knockdown</t>
        </is>
      </c>
    </row>
    <row r="275">
      <c r="A275" s="39" t="inlineStr">
        <is>
          <t>Koumei</t>
        </is>
      </c>
      <c r="B275" s="39" t="inlineStr">
        <is>
          <t>Mod 1</t>
        </is>
      </c>
      <c r="C275" s="39" t="inlineStr">
        <is>
          <t>Umbral Intensify</t>
        </is>
      </c>
      <c r="D275" s="39" t="n">
        <v>10</v>
      </c>
      <c r="E275" s="39" t="inlineStr">
        <is>
          <t>Umbra</t>
        </is>
      </c>
      <c r="F275" s="39" t="n">
        <v>16</v>
      </c>
      <c r="G275" s="39" t="inlineStr">
        <is>
          <t>Warframe</t>
        </is>
      </c>
      <c r="H275" s="39" t="inlineStr">
        <is>
          <t>NO - account-bound</t>
        </is>
      </c>
      <c r="I275" s="39" t="inlineStr">
        <is>
          <t>+44% Ability Strength | +11% &lt;DT_SENTIENT&gt;Tau Resistance</t>
        </is>
      </c>
    </row>
    <row r="276">
      <c r="A276" s="39" t="inlineStr">
        <is>
          <t>Koumei</t>
        </is>
      </c>
      <c r="B276" s="39" t="inlineStr">
        <is>
          <t>Mod 2</t>
        </is>
      </c>
      <c r="C276" s="39" t="inlineStr">
        <is>
          <t>Umbral Vitality</t>
        </is>
      </c>
      <c r="D276" s="39" t="n">
        <v>10</v>
      </c>
      <c r="E276" s="39" t="inlineStr">
        <is>
          <t>Umbra</t>
        </is>
      </c>
      <c r="F276" s="39" t="n">
        <v>16</v>
      </c>
      <c r="G276" s="39" t="inlineStr">
        <is>
          <t>Warframe</t>
        </is>
      </c>
      <c r="H276" s="39" t="inlineStr">
        <is>
          <t>NO - account-bound</t>
        </is>
      </c>
      <c r="I276" s="39" t="inlineStr">
        <is>
          <t>+100% Health | +11% &lt;DT_SENTIENT&gt;Tau Resistance</t>
        </is>
      </c>
    </row>
    <row r="277">
      <c r="A277" s="39" t="inlineStr">
        <is>
          <t>Koumei</t>
        </is>
      </c>
      <c r="B277" s="39" t="inlineStr">
        <is>
          <t>Mod 3</t>
        </is>
      </c>
      <c r="C277" s="39" t="inlineStr">
        <is>
          <t>Umbral Fiber</t>
        </is>
      </c>
      <c r="D277" s="39" t="n">
        <v>10</v>
      </c>
      <c r="E277" s="39" t="inlineStr">
        <is>
          <t>Umbra</t>
        </is>
      </c>
      <c r="F277" s="39" t="n">
        <v>16</v>
      </c>
      <c r="G277" s="39" t="inlineStr">
        <is>
          <t>Warframe</t>
        </is>
      </c>
      <c r="H277" s="39" t="inlineStr">
        <is>
          <t>NO - account-bound</t>
        </is>
      </c>
      <c r="I277" s="39" t="inlineStr">
        <is>
          <t>+100% Armor | +11% &lt;DT_SENTIENT&gt;Tau Resistance</t>
        </is>
      </c>
    </row>
    <row r="278">
      <c r="A278" s="39" t="inlineStr">
        <is>
          <t>Koumei</t>
        </is>
      </c>
      <c r="B278" s="39" t="inlineStr">
        <is>
          <t>Mod 4</t>
        </is>
      </c>
      <c r="C278" s="39" t="inlineStr">
        <is>
          <t>Primed Continuity</t>
        </is>
      </c>
      <c r="D278" s="39" t="n">
        <v>10</v>
      </c>
      <c r="E278" s="39" t="inlineStr">
        <is>
          <t>Madurai</t>
        </is>
      </c>
      <c r="F278" s="39" t="n">
        <v>14</v>
      </c>
      <c r="G278" s="39" t="inlineStr">
        <is>
          <t>Warframe</t>
        </is>
      </c>
      <c r="H278" s="39" t="inlineStr">
        <is>
          <t>Yes</t>
        </is>
      </c>
      <c r="I278" s="39" t="inlineStr">
        <is>
          <t>+55% Ability Duration</t>
        </is>
      </c>
    </row>
    <row r="279">
      <c r="A279" s="39" t="inlineStr">
        <is>
          <t>Koumei</t>
        </is>
      </c>
      <c r="B279" s="39" t="inlineStr">
        <is>
          <t>Mod 5</t>
        </is>
      </c>
      <c r="C279" s="39" t="inlineStr">
        <is>
          <t>Stretch</t>
        </is>
      </c>
      <c r="D279" s="39" t="n">
        <v>5</v>
      </c>
      <c r="E279" s="39" t="inlineStr">
        <is>
          <t>Naramon</t>
        </is>
      </c>
      <c r="F279" s="39" t="n">
        <v>9</v>
      </c>
      <c r="G279" s="39" t="inlineStr">
        <is>
          <t>Warframe</t>
        </is>
      </c>
      <c r="H279" s="39" t="inlineStr">
        <is>
          <t>Yes</t>
        </is>
      </c>
      <c r="I279" s="39" t="inlineStr">
        <is>
          <t>+45% Ability Range</t>
        </is>
      </c>
    </row>
    <row r="280">
      <c r="A280" s="39" t="inlineStr">
        <is>
          <t>Koumei</t>
        </is>
      </c>
      <c r="B280" s="39" t="inlineStr">
        <is>
          <t>Mod 6</t>
        </is>
      </c>
      <c r="C280" s="39" t="inlineStr">
        <is>
          <t>Primed Flow</t>
        </is>
      </c>
      <c r="D280" s="39" t="n">
        <v>10</v>
      </c>
      <c r="E280" s="39" t="inlineStr">
        <is>
          <t>Naramon</t>
        </is>
      </c>
      <c r="F280" s="39" t="n">
        <v>14</v>
      </c>
      <c r="G280" s="39" t="inlineStr">
        <is>
          <t>Warframe</t>
        </is>
      </c>
      <c r="H280" s="39" t="inlineStr">
        <is>
          <t>Yes</t>
        </is>
      </c>
      <c r="I280" s="39" t="inlineStr">
        <is>
          <t>+185% Energy Max</t>
        </is>
      </c>
    </row>
    <row r="281">
      <c r="A281" s="39" t="inlineStr">
        <is>
          <t>Koumei</t>
        </is>
      </c>
      <c r="B281" s="39" t="inlineStr">
        <is>
          <t>Mod 7</t>
        </is>
      </c>
      <c r="C281" s="39" t="inlineStr">
        <is>
          <t>Streamline</t>
        </is>
      </c>
      <c r="D281" s="39" t="n">
        <v>5</v>
      </c>
      <c r="E281" s="39" t="inlineStr">
        <is>
          <t>Naramon</t>
        </is>
      </c>
      <c r="F281" s="39" t="n">
        <v>9</v>
      </c>
      <c r="G281" s="39" t="inlineStr">
        <is>
          <t>Warframe</t>
        </is>
      </c>
      <c r="H281" s="39" t="inlineStr">
        <is>
          <t>Yes</t>
        </is>
      </c>
      <c r="I281" s="39" t="inlineStr">
        <is>
          <t>+30% Ability Efficiency</t>
        </is>
      </c>
    </row>
    <row r="282">
      <c r="A282" s="39" t="inlineStr">
        <is>
          <t>Koumei</t>
        </is>
      </c>
      <c r="B282" s="39" t="inlineStr">
        <is>
          <t>Mod 8</t>
        </is>
      </c>
      <c r="C282" s="39" t="inlineStr">
        <is>
          <t>Omikuji's Fortune</t>
        </is>
      </c>
      <c r="D282" s="39" t="n">
        <v>3</v>
      </c>
      <c r="E282" s="39" t="inlineStr">
        <is>
          <t>Zenurik</t>
        </is>
      </c>
      <c r="F282" s="39" t="n">
        <v>9</v>
      </c>
      <c r="G282" s="39" t="inlineStr">
        <is>
          <t>Koumei</t>
        </is>
      </c>
      <c r="H282" s="39" t="inlineStr">
        <is>
          <t>Yes</t>
        </is>
      </c>
      <c r="I282" s="39" t="inlineStr">
        <is>
          <t>Omikuji Augment: Reduce Omikuji's Cooldown by 4s when you kill an enemy with the weapon affected by Koumei's Passive.</t>
        </is>
      </c>
    </row>
    <row r="283">
      <c r="A283" s="39" t="inlineStr">
        <is>
          <t>Kullervo</t>
        </is>
      </c>
      <c r="B283" s="39" t="inlineStr">
        <is>
          <t>Aura</t>
        </is>
      </c>
      <c r="C283" s="39" t="inlineStr">
        <is>
          <t>Growing Power</t>
        </is>
      </c>
      <c r="D283" s="39" t="n">
        <v>5</v>
      </c>
      <c r="E283" s="39" t="inlineStr">
        <is>
          <t>Madurai</t>
        </is>
      </c>
      <c r="F283" s="39" t="n">
        <v>3</v>
      </c>
      <c r="G283" s="39" t="inlineStr">
        <is>
          <t>Aura</t>
        </is>
      </c>
      <c r="H283" s="39" t="inlineStr">
        <is>
          <t>Yes</t>
        </is>
      </c>
      <c r="I283" s="39" t="inlineStr">
        <is>
          <t>On Status Effect with Weapon: Squad increases personal Ability Strength by 25% for 6s.</t>
        </is>
      </c>
    </row>
    <row r="284">
      <c r="A284" s="39" t="inlineStr">
        <is>
          <t>Kullervo</t>
        </is>
      </c>
      <c r="B284" s="39" t="inlineStr">
        <is>
          <t>Exilus</t>
        </is>
      </c>
      <c r="C284" s="39" t="inlineStr">
        <is>
          <t>Power Drift</t>
        </is>
      </c>
      <c r="D284" s="39" t="n">
        <v>5</v>
      </c>
      <c r="E284" s="39" t="inlineStr">
        <is>
          <t>Zenurik</t>
        </is>
      </c>
      <c r="F284" s="39" t="n">
        <v>9</v>
      </c>
      <c r="G284" s="39" t="inlineStr">
        <is>
          <t>Warframe</t>
        </is>
      </c>
      <c r="H284" s="39" t="inlineStr">
        <is>
          <t>Yes</t>
        </is>
      </c>
      <c r="I284" s="39" t="inlineStr">
        <is>
          <t>+15% Ability Strength | +30% Chance to Resist Knockdown</t>
        </is>
      </c>
    </row>
    <row r="285">
      <c r="A285" s="39" t="inlineStr">
        <is>
          <t>Kullervo</t>
        </is>
      </c>
      <c r="B285" s="39" t="inlineStr">
        <is>
          <t>Mod 1</t>
        </is>
      </c>
      <c r="C285" s="39" t="inlineStr">
        <is>
          <t>Umbral Intensify</t>
        </is>
      </c>
      <c r="D285" s="39" t="n">
        <v>10</v>
      </c>
      <c r="E285" s="39" t="inlineStr">
        <is>
          <t>Umbra</t>
        </is>
      </c>
      <c r="F285" s="39" t="n">
        <v>16</v>
      </c>
      <c r="G285" s="39" t="inlineStr">
        <is>
          <t>Warframe</t>
        </is>
      </c>
      <c r="H285" s="39" t="inlineStr">
        <is>
          <t>NO - account-bound</t>
        </is>
      </c>
      <c r="I285" s="39" t="inlineStr">
        <is>
          <t>+44% Ability Strength | +11% &lt;DT_SENTIENT&gt;Tau Resistance</t>
        </is>
      </c>
    </row>
    <row r="286">
      <c r="A286" s="39" t="inlineStr">
        <is>
          <t>Kullervo</t>
        </is>
      </c>
      <c r="B286" s="39" t="inlineStr">
        <is>
          <t>Mod 2</t>
        </is>
      </c>
      <c r="C286" s="39" t="inlineStr">
        <is>
          <t>Umbral Vitality</t>
        </is>
      </c>
      <c r="D286" s="39" t="n">
        <v>10</v>
      </c>
      <c r="E286" s="39" t="inlineStr">
        <is>
          <t>Umbra</t>
        </is>
      </c>
      <c r="F286" s="39" t="n">
        <v>16</v>
      </c>
      <c r="G286" s="39" t="inlineStr">
        <is>
          <t>Warframe</t>
        </is>
      </c>
      <c r="H286" s="39" t="inlineStr">
        <is>
          <t>NO - account-bound</t>
        </is>
      </c>
      <c r="I286" s="39" t="inlineStr">
        <is>
          <t>+100% Health | +11% &lt;DT_SENTIENT&gt;Tau Resistance</t>
        </is>
      </c>
    </row>
    <row r="287">
      <c r="A287" s="39" t="inlineStr">
        <is>
          <t>Kullervo</t>
        </is>
      </c>
      <c r="B287" s="39" t="inlineStr">
        <is>
          <t>Mod 3</t>
        </is>
      </c>
      <c r="C287" s="39" t="inlineStr">
        <is>
          <t>Umbral Fiber</t>
        </is>
      </c>
      <c r="D287" s="39" t="n">
        <v>10</v>
      </c>
      <c r="E287" s="39" t="inlineStr">
        <is>
          <t>Umbra</t>
        </is>
      </c>
      <c r="F287" s="39" t="n">
        <v>16</v>
      </c>
      <c r="G287" s="39" t="inlineStr">
        <is>
          <t>Warframe</t>
        </is>
      </c>
      <c r="H287" s="39" t="inlineStr">
        <is>
          <t>NO - account-bound</t>
        </is>
      </c>
      <c r="I287" s="39" t="inlineStr">
        <is>
          <t>+100% Armor | +11% &lt;DT_SENTIENT&gt;Tau Resistance</t>
        </is>
      </c>
    </row>
    <row r="288">
      <c r="A288" s="39" t="inlineStr">
        <is>
          <t>Kullervo</t>
        </is>
      </c>
      <c r="B288" s="39" t="inlineStr">
        <is>
          <t>Mod 4</t>
        </is>
      </c>
      <c r="C288" s="39" t="inlineStr">
        <is>
          <t>Primed Continuity</t>
        </is>
      </c>
      <c r="D288" s="39" t="n">
        <v>10</v>
      </c>
      <c r="E288" s="39" t="inlineStr">
        <is>
          <t>Madurai</t>
        </is>
      </c>
      <c r="F288" s="39" t="n">
        <v>14</v>
      </c>
      <c r="G288" s="39" t="inlineStr">
        <is>
          <t>Warframe</t>
        </is>
      </c>
      <c r="H288" s="39" t="inlineStr">
        <is>
          <t>Yes</t>
        </is>
      </c>
      <c r="I288" s="39" t="inlineStr">
        <is>
          <t>+55% Ability Duration</t>
        </is>
      </c>
    </row>
    <row r="289">
      <c r="A289" s="39" t="inlineStr">
        <is>
          <t>Kullervo</t>
        </is>
      </c>
      <c r="B289" s="39" t="inlineStr">
        <is>
          <t>Mod 5</t>
        </is>
      </c>
      <c r="C289" s="39" t="inlineStr">
        <is>
          <t>Stretch</t>
        </is>
      </c>
      <c r="D289" s="39" t="n">
        <v>5</v>
      </c>
      <c r="E289" s="39" t="inlineStr">
        <is>
          <t>Naramon</t>
        </is>
      </c>
      <c r="F289" s="39" t="n">
        <v>9</v>
      </c>
      <c r="G289" s="39" t="inlineStr">
        <is>
          <t>Warframe</t>
        </is>
      </c>
      <c r="H289" s="39" t="inlineStr">
        <is>
          <t>Yes</t>
        </is>
      </c>
      <c r="I289" s="39" t="inlineStr">
        <is>
          <t>+45% Ability Range</t>
        </is>
      </c>
    </row>
    <row r="290">
      <c r="A290" s="39" t="inlineStr">
        <is>
          <t>Kullervo</t>
        </is>
      </c>
      <c r="B290" s="39" t="inlineStr">
        <is>
          <t>Mod 6</t>
        </is>
      </c>
      <c r="C290" s="39" t="inlineStr">
        <is>
          <t>Primed Flow</t>
        </is>
      </c>
      <c r="D290" s="39" t="n">
        <v>10</v>
      </c>
      <c r="E290" s="39" t="inlineStr">
        <is>
          <t>Naramon</t>
        </is>
      </c>
      <c r="F290" s="39" t="n">
        <v>14</v>
      </c>
      <c r="G290" s="39" t="inlineStr">
        <is>
          <t>Warframe</t>
        </is>
      </c>
      <c r="H290" s="39" t="inlineStr">
        <is>
          <t>Yes</t>
        </is>
      </c>
      <c r="I290" s="39" t="inlineStr">
        <is>
          <t>+185% Energy Max</t>
        </is>
      </c>
    </row>
    <row r="291">
      <c r="A291" s="39" t="inlineStr">
        <is>
          <t>Kullervo</t>
        </is>
      </c>
      <c r="B291" s="39" t="inlineStr">
        <is>
          <t>Mod 7</t>
        </is>
      </c>
      <c r="C291" s="39" t="inlineStr">
        <is>
          <t>Streamline</t>
        </is>
      </c>
      <c r="D291" s="39" t="n">
        <v>5</v>
      </c>
      <c r="E291" s="39" t="inlineStr">
        <is>
          <t>Naramon</t>
        </is>
      </c>
      <c r="F291" s="39" t="n">
        <v>9</v>
      </c>
      <c r="G291" s="39" t="inlineStr">
        <is>
          <t>Warframe</t>
        </is>
      </c>
      <c r="H291" s="39" t="inlineStr">
        <is>
          <t>Yes</t>
        </is>
      </c>
      <c r="I291" s="39" t="inlineStr">
        <is>
          <t>+30% Ability Efficiency</t>
        </is>
      </c>
    </row>
    <row r="292">
      <c r="A292" s="39" t="inlineStr">
        <is>
          <t>Kullervo</t>
        </is>
      </c>
      <c r="B292" s="39" t="inlineStr">
        <is>
          <t>Mod 8</t>
        </is>
      </c>
      <c r="C292" s="39" t="inlineStr">
        <is>
          <t>Wrath of Ukko</t>
        </is>
      </c>
      <c r="D292" s="39" t="n">
        <v>3</v>
      </c>
      <c r="E292" s="39" t="inlineStr">
        <is>
          <t>Zenurik</t>
        </is>
      </c>
      <c r="F292" s="39" t="n">
        <v>9</v>
      </c>
      <c r="G292" s="39" t="inlineStr">
        <is>
          <t>Kullervo</t>
        </is>
      </c>
      <c r="H292" s="39" t="inlineStr">
        <is>
          <t>Yes</t>
        </is>
      </c>
      <c r="I292" s="39" t="inlineStr">
        <is>
          <t>Storm of Ukko Augment: Wrathful Advance moves the storm of daggers to the teleportation location and increases its duration by 6s.</t>
        </is>
      </c>
    </row>
    <row r="293">
      <c r="A293" s="39" t="inlineStr">
        <is>
          <t>Lavos Prime</t>
        </is>
      </c>
      <c r="B293" s="39" t="inlineStr">
        <is>
          <t>Aura</t>
        </is>
      </c>
      <c r="C293" s="39" t="inlineStr">
        <is>
          <t>Growing Power</t>
        </is>
      </c>
      <c r="D293" s="39" t="n">
        <v>5</v>
      </c>
      <c r="E293" s="39" t="inlineStr">
        <is>
          <t>Madurai</t>
        </is>
      </c>
      <c r="F293" s="39" t="n">
        <v>3</v>
      </c>
      <c r="G293" s="39" t="inlineStr">
        <is>
          <t>Aura</t>
        </is>
      </c>
      <c r="H293" s="39" t="inlineStr">
        <is>
          <t>Yes</t>
        </is>
      </c>
      <c r="I293" s="39" t="inlineStr">
        <is>
          <t>On Status Effect with Weapon: Squad increases personal Ability Strength by 25% for 6s.</t>
        </is>
      </c>
    </row>
    <row r="294">
      <c r="A294" s="39" t="inlineStr">
        <is>
          <t>Lavos Prime</t>
        </is>
      </c>
      <c r="B294" s="39" t="inlineStr">
        <is>
          <t>Exilus</t>
        </is>
      </c>
      <c r="C294" s="39" t="inlineStr">
        <is>
          <t>Power Drift</t>
        </is>
      </c>
      <c r="D294" s="39" t="n">
        <v>5</v>
      </c>
      <c r="E294" s="39" t="inlineStr">
        <is>
          <t>Zenurik</t>
        </is>
      </c>
      <c r="F294" s="39" t="n">
        <v>9</v>
      </c>
      <c r="G294" s="39" t="inlineStr">
        <is>
          <t>Warframe</t>
        </is>
      </c>
      <c r="H294" s="39" t="inlineStr">
        <is>
          <t>Yes</t>
        </is>
      </c>
      <c r="I294" s="39" t="inlineStr">
        <is>
          <t>+15% Ability Strength | +30% Chance to Resist Knockdown</t>
        </is>
      </c>
    </row>
    <row r="295">
      <c r="A295" s="39" t="inlineStr">
        <is>
          <t>Lavos Prime</t>
        </is>
      </c>
      <c r="B295" s="39" t="inlineStr">
        <is>
          <t>Mod 1</t>
        </is>
      </c>
      <c r="C295" s="39" t="inlineStr">
        <is>
          <t>Umbral Intensify</t>
        </is>
      </c>
      <c r="D295" s="39" t="n">
        <v>10</v>
      </c>
      <c r="E295" s="39" t="inlineStr">
        <is>
          <t>Umbra</t>
        </is>
      </c>
      <c r="F295" s="39" t="n">
        <v>16</v>
      </c>
      <c r="G295" s="39" t="inlineStr">
        <is>
          <t>Warframe</t>
        </is>
      </c>
      <c r="H295" s="39" t="inlineStr">
        <is>
          <t>NO - account-bound</t>
        </is>
      </c>
      <c r="I295" s="39" t="inlineStr">
        <is>
          <t>+44% Ability Strength | +11% &lt;DT_SENTIENT&gt;Tau Resistance</t>
        </is>
      </c>
    </row>
    <row r="296">
      <c r="A296" s="39" t="inlineStr">
        <is>
          <t>Lavos Prime</t>
        </is>
      </c>
      <c r="B296" s="39" t="inlineStr">
        <is>
          <t>Mod 2</t>
        </is>
      </c>
      <c r="C296" s="39" t="inlineStr">
        <is>
          <t>Umbral Vitality</t>
        </is>
      </c>
      <c r="D296" s="39" t="n">
        <v>10</v>
      </c>
      <c r="E296" s="39" t="inlineStr">
        <is>
          <t>Umbra</t>
        </is>
      </c>
      <c r="F296" s="39" t="n">
        <v>16</v>
      </c>
      <c r="G296" s="39" t="inlineStr">
        <is>
          <t>Warframe</t>
        </is>
      </c>
      <c r="H296" s="39" t="inlineStr">
        <is>
          <t>NO - account-bound</t>
        </is>
      </c>
      <c r="I296" s="39" t="inlineStr">
        <is>
          <t>+100% Health | +11% &lt;DT_SENTIENT&gt;Tau Resistance</t>
        </is>
      </c>
    </row>
    <row r="297">
      <c r="A297" s="39" t="inlineStr">
        <is>
          <t>Lavos Prime</t>
        </is>
      </c>
      <c r="B297" s="39" t="inlineStr">
        <is>
          <t>Mod 3</t>
        </is>
      </c>
      <c r="C297" s="39" t="inlineStr">
        <is>
          <t>Umbral Fiber</t>
        </is>
      </c>
      <c r="D297" s="39" t="n">
        <v>10</v>
      </c>
      <c r="E297" s="39" t="inlineStr">
        <is>
          <t>Umbra</t>
        </is>
      </c>
      <c r="F297" s="39" t="n">
        <v>16</v>
      </c>
      <c r="G297" s="39" t="inlineStr">
        <is>
          <t>Warframe</t>
        </is>
      </c>
      <c r="H297" s="39" t="inlineStr">
        <is>
          <t>NO - account-bound</t>
        </is>
      </c>
      <c r="I297" s="39" t="inlineStr">
        <is>
          <t>+100% Armor | +11% &lt;DT_SENTIENT&gt;Tau Resistance</t>
        </is>
      </c>
    </row>
    <row r="298">
      <c r="A298" s="39" t="inlineStr">
        <is>
          <t>Lavos Prime</t>
        </is>
      </c>
      <c r="B298" s="39" t="inlineStr">
        <is>
          <t>Mod 4</t>
        </is>
      </c>
      <c r="C298" s="39" t="inlineStr">
        <is>
          <t>Primed Continuity</t>
        </is>
      </c>
      <c r="D298" s="39" t="n">
        <v>10</v>
      </c>
      <c r="E298" s="39" t="inlineStr">
        <is>
          <t>Madurai</t>
        </is>
      </c>
      <c r="F298" s="39" t="n">
        <v>14</v>
      </c>
      <c r="G298" s="39" t="inlineStr">
        <is>
          <t>Warframe</t>
        </is>
      </c>
      <c r="H298" s="39" t="inlineStr">
        <is>
          <t>Yes</t>
        </is>
      </c>
      <c r="I298" s="39" t="inlineStr">
        <is>
          <t>+55% Ability Duration</t>
        </is>
      </c>
    </row>
    <row r="299">
      <c r="A299" s="39" t="inlineStr">
        <is>
          <t>Lavos Prime</t>
        </is>
      </c>
      <c r="B299" s="39" t="inlineStr">
        <is>
          <t>Mod 5</t>
        </is>
      </c>
      <c r="C299" s="39" t="inlineStr">
        <is>
          <t>Stretch</t>
        </is>
      </c>
      <c r="D299" s="39" t="n">
        <v>5</v>
      </c>
      <c r="E299" s="39" t="inlineStr">
        <is>
          <t>Naramon</t>
        </is>
      </c>
      <c r="F299" s="39" t="n">
        <v>9</v>
      </c>
      <c r="G299" s="39" t="inlineStr">
        <is>
          <t>Warframe</t>
        </is>
      </c>
      <c r="H299" s="39" t="inlineStr">
        <is>
          <t>Yes</t>
        </is>
      </c>
      <c r="I299" s="39" t="inlineStr">
        <is>
          <t>+45% Ability Range</t>
        </is>
      </c>
    </row>
    <row r="300">
      <c r="A300" s="39" t="inlineStr">
        <is>
          <t>Lavos Prime</t>
        </is>
      </c>
      <c r="B300" s="39" t="inlineStr">
        <is>
          <t>Mod 6</t>
        </is>
      </c>
      <c r="C300" s="39" t="inlineStr">
        <is>
          <t>Augur Reach</t>
        </is>
      </c>
      <c r="D300" s="39" t="n">
        <v>5</v>
      </c>
      <c r="E300" s="39" t="inlineStr">
        <is>
          <t>Naramon</t>
        </is>
      </c>
      <c r="F300" s="39" t="n">
        <v>7</v>
      </c>
      <c r="G300" s="39" t="inlineStr">
        <is>
          <t>Warframe</t>
        </is>
      </c>
      <c r="H300" s="39" t="inlineStr">
        <is>
          <t>Yes</t>
        </is>
      </c>
      <c r="I300" s="39" t="inlineStr">
        <is>
          <t>+30% Ability Range</t>
        </is>
      </c>
    </row>
    <row r="301">
      <c r="A301" s="39" t="inlineStr">
        <is>
          <t>Lavos Prime</t>
        </is>
      </c>
      <c r="B301" s="39" t="inlineStr">
        <is>
          <t>Mod 7</t>
        </is>
      </c>
      <c r="C301" s="39" t="inlineStr">
        <is>
          <t>Transient Fortitude</t>
        </is>
      </c>
      <c r="D301" s="39" t="n">
        <v>10</v>
      </c>
      <c r="E301" s="39" t="inlineStr">
        <is>
          <t>Madurai</t>
        </is>
      </c>
      <c r="F301" s="39" t="n">
        <v>16</v>
      </c>
      <c r="G301" s="39" t="inlineStr">
        <is>
          <t>Warframe</t>
        </is>
      </c>
      <c r="H301" s="39" t="inlineStr">
        <is>
          <t>Yes</t>
        </is>
      </c>
      <c r="I301" s="39" t="inlineStr">
        <is>
          <t>+55% Ability Strength | -27.5% Ability Duration</t>
        </is>
      </c>
    </row>
    <row r="302">
      <c r="A302" s="39" t="inlineStr">
        <is>
          <t>Lavos Prime</t>
        </is>
      </c>
      <c r="B302" s="39" t="inlineStr">
        <is>
          <t>Mod 8</t>
        </is>
      </c>
      <c r="C302" s="39" t="inlineStr">
        <is>
          <t>Valence Formation</t>
        </is>
      </c>
      <c r="D302" s="39" t="n">
        <v>3</v>
      </c>
      <c r="E302" s="39" t="inlineStr">
        <is>
          <t>Zenurik</t>
        </is>
      </c>
      <c r="F302" s="39" t="n">
        <v>9</v>
      </c>
      <c r="G302" s="39" t="inlineStr">
        <is>
          <t>Lavos</t>
        </is>
      </c>
      <c r="H302" s="39" t="inlineStr">
        <is>
          <t>Yes</t>
        </is>
      </c>
      <c r="I302" s="39" t="inlineStr">
        <is>
          <t>Passive Augment: Casting an Ability imbued with extra Elemental Damage applies that Element as a 200% bonus to your weapons with guaranteed Status for 20s.</t>
        </is>
      </c>
    </row>
    <row r="303">
      <c r="A303" s="39" t="inlineStr">
        <is>
          <t>Limbo Prime</t>
        </is>
      </c>
      <c r="B303" s="39" t="inlineStr">
        <is>
          <t>Aura</t>
        </is>
      </c>
      <c r="C303" s="39" t="inlineStr">
        <is>
          <t>Growing Power</t>
        </is>
      </c>
      <c r="D303" s="39" t="n">
        <v>5</v>
      </c>
      <c r="E303" s="39" t="inlineStr">
        <is>
          <t>Madurai</t>
        </is>
      </c>
      <c r="F303" s="39" t="n">
        <v>3</v>
      </c>
      <c r="G303" s="39" t="inlineStr">
        <is>
          <t>Aura</t>
        </is>
      </c>
      <c r="H303" s="39" t="inlineStr">
        <is>
          <t>Yes</t>
        </is>
      </c>
      <c r="I303" s="39" t="inlineStr">
        <is>
          <t>On Status Effect with Weapon: Squad increases personal Ability Strength by 25% for 6s.</t>
        </is>
      </c>
    </row>
    <row r="304">
      <c r="A304" s="39" t="inlineStr">
        <is>
          <t>Limbo Prime</t>
        </is>
      </c>
      <c r="B304" s="39" t="inlineStr">
        <is>
          <t>Exilus</t>
        </is>
      </c>
      <c r="C304" s="39" t="inlineStr">
        <is>
          <t>Power Drift</t>
        </is>
      </c>
      <c r="D304" s="39" t="n">
        <v>5</v>
      </c>
      <c r="E304" s="39" t="inlineStr">
        <is>
          <t>Zenurik</t>
        </is>
      </c>
      <c r="F304" s="39" t="n">
        <v>9</v>
      </c>
      <c r="G304" s="39" t="inlineStr">
        <is>
          <t>Warframe</t>
        </is>
      </c>
      <c r="H304" s="39" t="inlineStr">
        <is>
          <t>Yes</t>
        </is>
      </c>
      <c r="I304" s="39" t="inlineStr">
        <is>
          <t>+15% Ability Strength | +30% Chance to Resist Knockdown</t>
        </is>
      </c>
    </row>
    <row r="305">
      <c r="A305" s="39" t="inlineStr">
        <is>
          <t>Limbo Prime</t>
        </is>
      </c>
      <c r="B305" s="39" t="inlineStr">
        <is>
          <t>Mod 1</t>
        </is>
      </c>
      <c r="C305" s="39" t="inlineStr">
        <is>
          <t>Umbral Intensify</t>
        </is>
      </c>
      <c r="D305" s="39" t="n">
        <v>10</v>
      </c>
      <c r="E305" s="39" t="inlineStr">
        <is>
          <t>Umbra</t>
        </is>
      </c>
      <c r="F305" s="39" t="n">
        <v>16</v>
      </c>
      <c r="G305" s="39" t="inlineStr">
        <is>
          <t>Warframe</t>
        </is>
      </c>
      <c r="H305" s="39" t="inlineStr">
        <is>
          <t>NO - account-bound</t>
        </is>
      </c>
      <c r="I305" s="39" t="inlineStr">
        <is>
          <t>+44% Ability Strength | +11% &lt;DT_SENTIENT&gt;Tau Resistance</t>
        </is>
      </c>
    </row>
    <row r="306">
      <c r="A306" s="39" t="inlineStr">
        <is>
          <t>Limbo Prime</t>
        </is>
      </c>
      <c r="B306" s="39" t="inlineStr">
        <is>
          <t>Mod 2</t>
        </is>
      </c>
      <c r="C306" s="39" t="inlineStr">
        <is>
          <t>Primed Continuity</t>
        </is>
      </c>
      <c r="D306" s="39" t="n">
        <v>10</v>
      </c>
      <c r="E306" s="39" t="inlineStr">
        <is>
          <t>Madurai</t>
        </is>
      </c>
      <c r="F306" s="39" t="n">
        <v>14</v>
      </c>
      <c r="G306" s="39" t="inlineStr">
        <is>
          <t>Warframe</t>
        </is>
      </c>
      <c r="H306" s="39" t="inlineStr">
        <is>
          <t>Yes</t>
        </is>
      </c>
      <c r="I306" s="39" t="inlineStr">
        <is>
          <t>+55% Ability Duration</t>
        </is>
      </c>
    </row>
    <row r="307">
      <c r="A307" s="39" t="inlineStr">
        <is>
          <t>Limbo Prime</t>
        </is>
      </c>
      <c r="B307" s="39" t="inlineStr">
        <is>
          <t>Mod 3</t>
        </is>
      </c>
      <c r="C307" s="39" t="inlineStr">
        <is>
          <t>Stretch</t>
        </is>
      </c>
      <c r="D307" s="39" t="n">
        <v>5</v>
      </c>
      <c r="E307" s="39" t="inlineStr">
        <is>
          <t>Naramon</t>
        </is>
      </c>
      <c r="F307" s="39" t="n">
        <v>9</v>
      </c>
      <c r="G307" s="39" t="inlineStr">
        <is>
          <t>Warframe</t>
        </is>
      </c>
      <c r="H307" s="39" t="inlineStr">
        <is>
          <t>Yes</t>
        </is>
      </c>
      <c r="I307" s="39" t="inlineStr">
        <is>
          <t>+45% Ability Range</t>
        </is>
      </c>
    </row>
    <row r="308">
      <c r="A308" s="39" t="inlineStr">
        <is>
          <t>Limbo Prime</t>
        </is>
      </c>
      <c r="B308" s="39" t="inlineStr">
        <is>
          <t>Mod 4</t>
        </is>
      </c>
      <c r="C308" s="39" t="inlineStr">
        <is>
          <t>Augur Reach</t>
        </is>
      </c>
      <c r="D308" s="39" t="n">
        <v>5</v>
      </c>
      <c r="E308" s="39" t="inlineStr">
        <is>
          <t>Naramon</t>
        </is>
      </c>
      <c r="F308" s="39" t="n">
        <v>7</v>
      </c>
      <c r="G308" s="39" t="inlineStr">
        <is>
          <t>Warframe</t>
        </is>
      </c>
      <c r="H308" s="39" t="inlineStr">
        <is>
          <t>Yes</t>
        </is>
      </c>
      <c r="I308" s="39" t="inlineStr">
        <is>
          <t>+30% Ability Range</t>
        </is>
      </c>
    </row>
    <row r="309">
      <c r="A309" s="39" t="inlineStr">
        <is>
          <t>Limbo Prime</t>
        </is>
      </c>
      <c r="B309" s="39" t="inlineStr">
        <is>
          <t>Mod 5</t>
        </is>
      </c>
      <c r="C309" s="39" t="inlineStr">
        <is>
          <t>Primed Flow</t>
        </is>
      </c>
      <c r="D309" s="39" t="n">
        <v>10</v>
      </c>
      <c r="E309" s="39" t="inlineStr">
        <is>
          <t>Naramon</t>
        </is>
      </c>
      <c r="F309" s="39" t="n">
        <v>14</v>
      </c>
      <c r="G309" s="39" t="inlineStr">
        <is>
          <t>Warframe</t>
        </is>
      </c>
      <c r="H309" s="39" t="inlineStr">
        <is>
          <t>Yes</t>
        </is>
      </c>
      <c r="I309" s="39" t="inlineStr">
        <is>
          <t>+185% Energy Max</t>
        </is>
      </c>
    </row>
    <row r="310">
      <c r="A310" s="39" t="inlineStr">
        <is>
          <t>Limbo Prime</t>
        </is>
      </c>
      <c r="B310" s="39" t="inlineStr">
        <is>
          <t>Mod 6</t>
        </is>
      </c>
      <c r="C310" s="39" t="inlineStr">
        <is>
          <t>Streamline</t>
        </is>
      </c>
      <c r="D310" s="39" t="n">
        <v>5</v>
      </c>
      <c r="E310" s="39" t="inlineStr">
        <is>
          <t>Naramon</t>
        </is>
      </c>
      <c r="F310" s="39" t="n">
        <v>9</v>
      </c>
      <c r="G310" s="39" t="inlineStr">
        <is>
          <t>Warframe</t>
        </is>
      </c>
      <c r="H310" s="39" t="inlineStr">
        <is>
          <t>Yes</t>
        </is>
      </c>
      <c r="I310" s="39" t="inlineStr">
        <is>
          <t>+30% Ability Efficiency</t>
        </is>
      </c>
    </row>
    <row r="311">
      <c r="A311" s="39" t="inlineStr">
        <is>
          <t>Limbo Prime</t>
        </is>
      </c>
      <c r="B311" s="39" t="inlineStr">
        <is>
          <t>Mod 7</t>
        </is>
      </c>
      <c r="C311" s="39" t="inlineStr">
        <is>
          <t>Umbral Vitality</t>
        </is>
      </c>
      <c r="D311" s="39" t="n">
        <v>10</v>
      </c>
      <c r="E311" s="39" t="inlineStr">
        <is>
          <t>Umbra</t>
        </is>
      </c>
      <c r="F311" s="39" t="n">
        <v>16</v>
      </c>
      <c r="G311" s="39" t="inlineStr">
        <is>
          <t>Warframe</t>
        </is>
      </c>
      <c r="H311" s="39" t="inlineStr">
        <is>
          <t>NO - account-bound</t>
        </is>
      </c>
      <c r="I311" s="39" t="inlineStr">
        <is>
          <t>+100% Health | +11% &lt;DT_SENTIENT&gt;Tau Resistance</t>
        </is>
      </c>
    </row>
    <row r="312">
      <c r="A312" s="39" t="inlineStr">
        <is>
          <t>Limbo Prime</t>
        </is>
      </c>
      <c r="B312" s="39" t="inlineStr">
        <is>
          <t>Mod 8</t>
        </is>
      </c>
      <c r="C312" s="39" t="inlineStr">
        <is>
          <t>Cataclysmic Continuum</t>
        </is>
      </c>
      <c r="D312" s="39" t="n">
        <v>3</v>
      </c>
      <c r="E312" s="39" t="inlineStr">
        <is>
          <t>Zenurik</t>
        </is>
      </c>
      <c r="F312" s="39" t="n">
        <v>9</v>
      </c>
      <c r="G312" s="39" t="inlineStr">
        <is>
          <t>Limbo</t>
        </is>
      </c>
      <c r="H312" s="39" t="inlineStr">
        <is>
          <t>Yes</t>
        </is>
      </c>
      <c r="I312" s="39" t="inlineStr">
        <is>
          <t>Cataclysm Augment: Duration increased by 1s for each enemy killed.</t>
        </is>
      </c>
    </row>
    <row r="313">
      <c r="A313" s="39" t="inlineStr">
        <is>
          <t>Loki Prime</t>
        </is>
      </c>
      <c r="B313" s="39" t="inlineStr">
        <is>
          <t>Aura</t>
        </is>
      </c>
      <c r="C313" s="39" t="inlineStr">
        <is>
          <t>Growing Power</t>
        </is>
      </c>
      <c r="D313" s="39" t="n">
        <v>5</v>
      </c>
      <c r="E313" s="39" t="inlineStr">
        <is>
          <t>Madurai</t>
        </is>
      </c>
      <c r="F313" s="39" t="n">
        <v>3</v>
      </c>
      <c r="G313" s="39" t="inlineStr">
        <is>
          <t>Aura</t>
        </is>
      </c>
      <c r="H313" s="39" t="inlineStr">
        <is>
          <t>Yes</t>
        </is>
      </c>
      <c r="I313" s="39" t="inlineStr">
        <is>
          <t>On Status Effect with Weapon: Squad increases personal Ability Strength by 25% for 6s.</t>
        </is>
      </c>
    </row>
    <row r="314">
      <c r="A314" s="39" t="inlineStr">
        <is>
          <t>Loki Prime</t>
        </is>
      </c>
      <c r="B314" s="39" t="inlineStr">
        <is>
          <t>Exilus</t>
        </is>
      </c>
      <c r="C314" s="39" t="inlineStr">
        <is>
          <t>Power Drift</t>
        </is>
      </c>
      <c r="D314" s="39" t="n">
        <v>5</v>
      </c>
      <c r="E314" s="39" t="inlineStr">
        <is>
          <t>Zenurik</t>
        </is>
      </c>
      <c r="F314" s="39" t="n">
        <v>9</v>
      </c>
      <c r="G314" s="39" t="inlineStr">
        <is>
          <t>Warframe</t>
        </is>
      </c>
      <c r="H314" s="39" t="inlineStr">
        <is>
          <t>Yes</t>
        </is>
      </c>
      <c r="I314" s="39" t="inlineStr">
        <is>
          <t>+15% Ability Strength | +30% Chance to Resist Knockdown</t>
        </is>
      </c>
    </row>
    <row r="315">
      <c r="A315" s="39" t="inlineStr">
        <is>
          <t>Loki Prime</t>
        </is>
      </c>
      <c r="B315" s="39" t="inlineStr">
        <is>
          <t>Mod 1</t>
        </is>
      </c>
      <c r="C315" s="39" t="inlineStr">
        <is>
          <t>Umbral Intensify</t>
        </is>
      </c>
      <c r="D315" s="39" t="n">
        <v>10</v>
      </c>
      <c r="E315" s="39" t="inlineStr">
        <is>
          <t>Umbra</t>
        </is>
      </c>
      <c r="F315" s="39" t="n">
        <v>16</v>
      </c>
      <c r="G315" s="39" t="inlineStr">
        <is>
          <t>Warframe</t>
        </is>
      </c>
      <c r="H315" s="39" t="inlineStr">
        <is>
          <t>NO - account-bound</t>
        </is>
      </c>
      <c r="I315" s="39" t="inlineStr">
        <is>
          <t>+44% Ability Strength | +11% &lt;DT_SENTIENT&gt;Tau Resistance</t>
        </is>
      </c>
    </row>
    <row r="316">
      <c r="A316" s="39" t="inlineStr">
        <is>
          <t>Loki Prime</t>
        </is>
      </c>
      <c r="B316" s="39" t="inlineStr">
        <is>
          <t>Mod 2</t>
        </is>
      </c>
      <c r="C316" s="39" t="inlineStr">
        <is>
          <t>Primed Continuity</t>
        </is>
      </c>
      <c r="D316" s="39" t="n">
        <v>10</v>
      </c>
      <c r="E316" s="39" t="inlineStr">
        <is>
          <t>Madurai</t>
        </is>
      </c>
      <c r="F316" s="39" t="n">
        <v>14</v>
      </c>
      <c r="G316" s="39" t="inlineStr">
        <is>
          <t>Warframe</t>
        </is>
      </c>
      <c r="H316" s="39" t="inlineStr">
        <is>
          <t>Yes</t>
        </is>
      </c>
      <c r="I316" s="39" t="inlineStr">
        <is>
          <t>+55% Ability Duration</t>
        </is>
      </c>
    </row>
    <row r="317">
      <c r="A317" s="39" t="inlineStr">
        <is>
          <t>Loki Prime</t>
        </is>
      </c>
      <c r="B317" s="39" t="inlineStr">
        <is>
          <t>Mod 3</t>
        </is>
      </c>
      <c r="C317" s="39" t="inlineStr">
        <is>
          <t>Stretch</t>
        </is>
      </c>
      <c r="D317" s="39" t="n">
        <v>5</v>
      </c>
      <c r="E317" s="39" t="inlineStr">
        <is>
          <t>Naramon</t>
        </is>
      </c>
      <c r="F317" s="39" t="n">
        <v>9</v>
      </c>
      <c r="G317" s="39" t="inlineStr">
        <is>
          <t>Warframe</t>
        </is>
      </c>
      <c r="H317" s="39" t="inlineStr">
        <is>
          <t>Yes</t>
        </is>
      </c>
      <c r="I317" s="39" t="inlineStr">
        <is>
          <t>+45% Ability Range</t>
        </is>
      </c>
    </row>
    <row r="318">
      <c r="A318" s="39" t="inlineStr">
        <is>
          <t>Loki Prime</t>
        </is>
      </c>
      <c r="B318" s="39" t="inlineStr">
        <is>
          <t>Mod 4</t>
        </is>
      </c>
      <c r="C318" s="39" t="inlineStr">
        <is>
          <t>Augur Reach</t>
        </is>
      </c>
      <c r="D318" s="39" t="n">
        <v>5</v>
      </c>
      <c r="E318" s="39" t="inlineStr">
        <is>
          <t>Naramon</t>
        </is>
      </c>
      <c r="F318" s="39" t="n">
        <v>7</v>
      </c>
      <c r="G318" s="39" t="inlineStr">
        <is>
          <t>Warframe</t>
        </is>
      </c>
      <c r="H318" s="39" t="inlineStr">
        <is>
          <t>Yes</t>
        </is>
      </c>
      <c r="I318" s="39" t="inlineStr">
        <is>
          <t>+30% Ability Range</t>
        </is>
      </c>
    </row>
    <row r="319">
      <c r="A319" s="39" t="inlineStr">
        <is>
          <t>Loki Prime</t>
        </is>
      </c>
      <c r="B319" s="39" t="inlineStr">
        <is>
          <t>Mod 5</t>
        </is>
      </c>
      <c r="C319" s="39" t="inlineStr">
        <is>
          <t>Primed Flow</t>
        </is>
      </c>
      <c r="D319" s="39" t="n">
        <v>10</v>
      </c>
      <c r="E319" s="39" t="inlineStr">
        <is>
          <t>Naramon</t>
        </is>
      </c>
      <c r="F319" s="39" t="n">
        <v>14</v>
      </c>
      <c r="G319" s="39" t="inlineStr">
        <is>
          <t>Warframe</t>
        </is>
      </c>
      <c r="H319" s="39" t="inlineStr">
        <is>
          <t>Yes</t>
        </is>
      </c>
      <c r="I319" s="39" t="inlineStr">
        <is>
          <t>+185% Energy Max</t>
        </is>
      </c>
    </row>
    <row r="320">
      <c r="A320" s="39" t="inlineStr">
        <is>
          <t>Loki Prime</t>
        </is>
      </c>
      <c r="B320" s="39" t="inlineStr">
        <is>
          <t>Mod 6</t>
        </is>
      </c>
      <c r="C320" s="39" t="inlineStr">
        <is>
          <t>Streamline</t>
        </is>
      </c>
      <c r="D320" s="39" t="n">
        <v>5</v>
      </c>
      <c r="E320" s="39" t="inlineStr">
        <is>
          <t>Naramon</t>
        </is>
      </c>
      <c r="F320" s="39" t="n">
        <v>9</v>
      </c>
      <c r="G320" s="39" t="inlineStr">
        <is>
          <t>Warframe</t>
        </is>
      </c>
      <c r="H320" s="39" t="inlineStr">
        <is>
          <t>Yes</t>
        </is>
      </c>
      <c r="I320" s="39" t="inlineStr">
        <is>
          <t>+30% Ability Efficiency</t>
        </is>
      </c>
    </row>
    <row r="321">
      <c r="A321" s="39" t="inlineStr">
        <is>
          <t>Loki Prime</t>
        </is>
      </c>
      <c r="B321" s="39" t="inlineStr">
        <is>
          <t>Mod 7</t>
        </is>
      </c>
      <c r="C321" s="39" t="inlineStr">
        <is>
          <t>Umbral Vitality</t>
        </is>
      </c>
      <c r="D321" s="39" t="n">
        <v>10</v>
      </c>
      <c r="E321" s="39" t="inlineStr">
        <is>
          <t>Umbra</t>
        </is>
      </c>
      <c r="F321" s="39" t="n">
        <v>16</v>
      </c>
      <c r="G321" s="39" t="inlineStr">
        <is>
          <t>Warframe</t>
        </is>
      </c>
      <c r="H321" s="39" t="inlineStr">
        <is>
          <t>NO - account-bound</t>
        </is>
      </c>
      <c r="I321" s="39" t="inlineStr">
        <is>
          <t>+100% Health | +11% &lt;DT_SENTIENT&gt;Tau Resistance</t>
        </is>
      </c>
    </row>
    <row r="322">
      <c r="A322" s="39" t="inlineStr">
        <is>
          <t>Loki Prime</t>
        </is>
      </c>
      <c r="B322" s="39" t="inlineStr">
        <is>
          <t>Mod 8</t>
        </is>
      </c>
      <c r="C322" s="39" t="inlineStr">
        <is>
          <t>Irradiating Disarm</t>
        </is>
      </c>
      <c r="D322" s="39" t="n">
        <v>3</v>
      </c>
      <c r="E322" s="39" t="inlineStr">
        <is>
          <t>Zenurik</t>
        </is>
      </c>
      <c r="F322" s="39" t="n">
        <v>9</v>
      </c>
      <c r="G322" s="39" t="inlineStr">
        <is>
          <t>Loki</t>
        </is>
      </c>
      <c r="H322" s="39" t="inlineStr">
        <is>
          <t>Yes</t>
        </is>
      </c>
      <c r="I322" s="39" t="inlineStr">
        <is>
          <t>Radial Disarm Augment: Enemies will be affected by &lt;DT_RADIATION_COLOR&gt;Radiation Status for 9s</t>
        </is>
      </c>
    </row>
    <row r="323">
      <c r="A323" s="39" t="inlineStr">
        <is>
          <t>Mag Prime</t>
        </is>
      </c>
      <c r="B323" s="39" t="inlineStr">
        <is>
          <t>Aura</t>
        </is>
      </c>
      <c r="C323" s="39" t="inlineStr">
        <is>
          <t>Growing Power</t>
        </is>
      </c>
      <c r="D323" s="39" t="n">
        <v>5</v>
      </c>
      <c r="E323" s="39" t="inlineStr">
        <is>
          <t>Madurai</t>
        </is>
      </c>
      <c r="F323" s="39" t="n">
        <v>3</v>
      </c>
      <c r="G323" s="39" t="inlineStr">
        <is>
          <t>Aura</t>
        </is>
      </c>
      <c r="H323" s="39" t="inlineStr">
        <is>
          <t>Yes</t>
        </is>
      </c>
      <c r="I323" s="39" t="inlineStr">
        <is>
          <t>On Status Effect with Weapon: Squad increases personal Ability Strength by 25% for 6s.</t>
        </is>
      </c>
    </row>
    <row r="324">
      <c r="A324" s="39" t="inlineStr">
        <is>
          <t>Mag Prime</t>
        </is>
      </c>
      <c r="B324" s="39" t="inlineStr">
        <is>
          <t>Exilus</t>
        </is>
      </c>
      <c r="C324" s="39" t="inlineStr">
        <is>
          <t>Power Drift</t>
        </is>
      </c>
      <c r="D324" s="39" t="n">
        <v>5</v>
      </c>
      <c r="E324" s="39" t="inlineStr">
        <is>
          <t>Zenurik</t>
        </is>
      </c>
      <c r="F324" s="39" t="n">
        <v>9</v>
      </c>
      <c r="G324" s="39" t="inlineStr">
        <is>
          <t>Warframe</t>
        </is>
      </c>
      <c r="H324" s="39" t="inlineStr">
        <is>
          <t>Yes</t>
        </is>
      </c>
      <c r="I324" s="39" t="inlineStr">
        <is>
          <t>+15% Ability Strength | +30% Chance to Resist Knockdown</t>
        </is>
      </c>
    </row>
    <row r="325">
      <c r="A325" s="39" t="inlineStr">
        <is>
          <t>Mag Prime</t>
        </is>
      </c>
      <c r="B325" s="39" t="inlineStr">
        <is>
          <t>Mod 1</t>
        </is>
      </c>
      <c r="C325" s="39" t="inlineStr">
        <is>
          <t>Umbral Intensify</t>
        </is>
      </c>
      <c r="D325" s="39" t="n">
        <v>10</v>
      </c>
      <c r="E325" s="39" t="inlineStr">
        <is>
          <t>Umbra</t>
        </is>
      </c>
      <c r="F325" s="39" t="n">
        <v>16</v>
      </c>
      <c r="G325" s="39" t="inlineStr">
        <is>
          <t>Warframe</t>
        </is>
      </c>
      <c r="H325" s="39" t="inlineStr">
        <is>
          <t>NO - account-bound</t>
        </is>
      </c>
      <c r="I325" s="39" t="inlineStr">
        <is>
          <t>+44% Ability Strength | +11% &lt;DT_SENTIENT&gt;Tau Resistance</t>
        </is>
      </c>
    </row>
    <row r="326">
      <c r="A326" s="39" t="inlineStr">
        <is>
          <t>Mag Prime</t>
        </is>
      </c>
      <c r="B326" s="39" t="inlineStr">
        <is>
          <t>Mod 2</t>
        </is>
      </c>
      <c r="C326" s="39" t="inlineStr">
        <is>
          <t>Transient Fortitude</t>
        </is>
      </c>
      <c r="D326" s="39" t="n">
        <v>10</v>
      </c>
      <c r="E326" s="39" t="inlineStr">
        <is>
          <t>Madurai</t>
        </is>
      </c>
      <c r="F326" s="39" t="n">
        <v>16</v>
      </c>
      <c r="G326" s="39" t="inlineStr">
        <is>
          <t>Warframe</t>
        </is>
      </c>
      <c r="H326" s="39" t="inlineStr">
        <is>
          <t>Yes</t>
        </is>
      </c>
      <c r="I326" s="39" t="inlineStr">
        <is>
          <t>+55% Ability Strength | -27.5% Ability Duration</t>
        </is>
      </c>
    </row>
    <row r="327">
      <c r="A327" s="39" t="inlineStr">
        <is>
          <t>Mag Prime</t>
        </is>
      </c>
      <c r="B327" s="39" t="inlineStr">
        <is>
          <t>Mod 3</t>
        </is>
      </c>
      <c r="C327" s="39" t="inlineStr">
        <is>
          <t>Primed Continuity</t>
        </is>
      </c>
      <c r="D327" s="39" t="n">
        <v>10</v>
      </c>
      <c r="E327" s="39" t="inlineStr">
        <is>
          <t>Madurai</t>
        </is>
      </c>
      <c r="F327" s="39" t="n">
        <v>14</v>
      </c>
      <c r="G327" s="39" t="inlineStr">
        <is>
          <t>Warframe</t>
        </is>
      </c>
      <c r="H327" s="39" t="inlineStr">
        <is>
          <t>Yes</t>
        </is>
      </c>
      <c r="I327" s="39" t="inlineStr">
        <is>
          <t>+55% Ability Duration</t>
        </is>
      </c>
    </row>
    <row r="328">
      <c r="A328" s="39" t="inlineStr">
        <is>
          <t>Mag Prime</t>
        </is>
      </c>
      <c r="B328" s="39" t="inlineStr">
        <is>
          <t>Mod 4</t>
        </is>
      </c>
      <c r="C328" s="39" t="inlineStr">
        <is>
          <t>Stretch</t>
        </is>
      </c>
      <c r="D328" s="39" t="n">
        <v>5</v>
      </c>
      <c r="E328" s="39" t="inlineStr">
        <is>
          <t>Naramon</t>
        </is>
      </c>
      <c r="F328" s="39" t="n">
        <v>9</v>
      </c>
      <c r="G328" s="39" t="inlineStr">
        <is>
          <t>Warframe</t>
        </is>
      </c>
      <c r="H328" s="39" t="inlineStr">
        <is>
          <t>Yes</t>
        </is>
      </c>
      <c r="I328" s="39" t="inlineStr">
        <is>
          <t>+45% Ability Range</t>
        </is>
      </c>
    </row>
    <row r="329">
      <c r="A329" s="39" t="inlineStr">
        <is>
          <t>Mag Prime</t>
        </is>
      </c>
      <c r="B329" s="39" t="inlineStr">
        <is>
          <t>Mod 5</t>
        </is>
      </c>
      <c r="C329" s="39" t="inlineStr">
        <is>
          <t>Primed Flow</t>
        </is>
      </c>
      <c r="D329" s="39" t="n">
        <v>10</v>
      </c>
      <c r="E329" s="39" t="inlineStr">
        <is>
          <t>Naramon</t>
        </is>
      </c>
      <c r="F329" s="39" t="n">
        <v>14</v>
      </c>
      <c r="G329" s="39" t="inlineStr">
        <is>
          <t>Warframe</t>
        </is>
      </c>
      <c r="H329" s="39" t="inlineStr">
        <is>
          <t>Yes</t>
        </is>
      </c>
      <c r="I329" s="39" t="inlineStr">
        <is>
          <t>+185% Energy Max</t>
        </is>
      </c>
    </row>
    <row r="330">
      <c r="A330" s="39" t="inlineStr">
        <is>
          <t>Mag Prime</t>
        </is>
      </c>
      <c r="B330" s="39" t="inlineStr">
        <is>
          <t>Mod 6</t>
        </is>
      </c>
      <c r="C330" s="39" t="inlineStr">
        <is>
          <t>Streamline</t>
        </is>
      </c>
      <c r="D330" s="39" t="n">
        <v>5</v>
      </c>
      <c r="E330" s="39" t="inlineStr">
        <is>
          <t>Naramon</t>
        </is>
      </c>
      <c r="F330" s="39" t="n">
        <v>9</v>
      </c>
      <c r="G330" s="39" t="inlineStr">
        <is>
          <t>Warframe</t>
        </is>
      </c>
      <c r="H330" s="39" t="inlineStr">
        <is>
          <t>Yes</t>
        </is>
      </c>
      <c r="I330" s="39" t="inlineStr">
        <is>
          <t>+30% Ability Efficiency</t>
        </is>
      </c>
    </row>
    <row r="331">
      <c r="A331" s="39" t="inlineStr">
        <is>
          <t>Mag Prime</t>
        </is>
      </c>
      <c r="B331" s="39" t="inlineStr">
        <is>
          <t>Mod 7</t>
        </is>
      </c>
      <c r="C331" s="39" t="inlineStr">
        <is>
          <t>Umbral Vitality</t>
        </is>
      </c>
      <c r="D331" s="39" t="n">
        <v>10</v>
      </c>
      <c r="E331" s="39" t="inlineStr">
        <is>
          <t>Umbra</t>
        </is>
      </c>
      <c r="F331" s="39" t="n">
        <v>16</v>
      </c>
      <c r="G331" s="39" t="inlineStr">
        <is>
          <t>Warframe</t>
        </is>
      </c>
      <c r="H331" s="39" t="inlineStr">
        <is>
          <t>NO - account-bound</t>
        </is>
      </c>
      <c r="I331" s="39" t="inlineStr">
        <is>
          <t>+100% Health | +11% &lt;DT_SENTIENT&gt;Tau Resistance</t>
        </is>
      </c>
    </row>
    <row r="332">
      <c r="A332" s="39" t="inlineStr">
        <is>
          <t>Mag Prime</t>
        </is>
      </c>
      <c r="B332" s="39" t="inlineStr">
        <is>
          <t>Mod 8</t>
        </is>
      </c>
      <c r="C332" s="39" t="inlineStr">
        <is>
          <t>Fracturing Crush</t>
        </is>
      </c>
      <c r="D332" s="39" t="n">
        <v>3</v>
      </c>
      <c r="E332" s="39" t="inlineStr">
        <is>
          <t>Zenurik</t>
        </is>
      </c>
      <c r="F332" s="39" t="n">
        <v>9</v>
      </c>
      <c r="G332" s="39" t="inlineStr">
        <is>
          <t>Mag</t>
        </is>
      </c>
      <c r="H332" s="39" t="inlineStr">
        <is>
          <t>Yes</t>
        </is>
      </c>
      <c r="I332" s="39" t="inlineStr">
        <is>
          <t>Crush Augment: Crush gains +50% casting speed. The armor of surviving enemies decreases by 75% and they are unable to move for 7s.</t>
        </is>
      </c>
    </row>
    <row r="333">
      <c r="A333" s="39" t="inlineStr">
        <is>
          <t>Mesa Prime</t>
        </is>
      </c>
      <c r="B333" s="39" t="inlineStr">
        <is>
          <t>Aura</t>
        </is>
      </c>
      <c r="C333" s="39" t="inlineStr">
        <is>
          <t>Growing Power</t>
        </is>
      </c>
      <c r="D333" s="39" t="n">
        <v>5</v>
      </c>
      <c r="E333" s="39" t="inlineStr">
        <is>
          <t>Madurai</t>
        </is>
      </c>
      <c r="F333" s="39" t="n">
        <v>3</v>
      </c>
      <c r="G333" s="39" t="inlineStr">
        <is>
          <t>Aura</t>
        </is>
      </c>
      <c r="H333" s="39" t="inlineStr">
        <is>
          <t>Yes</t>
        </is>
      </c>
      <c r="I333" s="39" t="inlineStr">
        <is>
          <t>On Status Effect with Weapon: Squad increases personal Ability Strength by 25% for 6s.</t>
        </is>
      </c>
    </row>
    <row r="334">
      <c r="A334" s="39" t="inlineStr">
        <is>
          <t>Mesa Prime</t>
        </is>
      </c>
      <c r="B334" s="39" t="inlineStr">
        <is>
          <t>Exilus</t>
        </is>
      </c>
      <c r="C334" s="39" t="inlineStr">
        <is>
          <t>Mesa's Waltz</t>
        </is>
      </c>
      <c r="D334" s="39" t="n">
        <v>3</v>
      </c>
      <c r="E334" s="39" t="inlineStr">
        <is>
          <t>Zenurik</t>
        </is>
      </c>
      <c r="F334" s="39" t="n">
        <v>9</v>
      </c>
      <c r="G334" s="39" t="inlineStr">
        <is>
          <t>Mesa</t>
        </is>
      </c>
      <c r="H334" s="39" t="inlineStr">
        <is>
          <t>Yes</t>
        </is>
      </c>
      <c r="I334" s="39" t="inlineStr">
        <is>
          <t>Peacemaker Augment: Mesa can move at 50% Speed while using Peacemaker.</t>
        </is>
      </c>
    </row>
    <row r="335">
      <c r="A335" s="39" t="inlineStr">
        <is>
          <t>Mesa Prime</t>
        </is>
      </c>
      <c r="B335" s="39" t="inlineStr">
        <is>
          <t>Mod 1</t>
        </is>
      </c>
      <c r="C335" s="39" t="inlineStr">
        <is>
          <t>Umbral Intensify</t>
        </is>
      </c>
      <c r="D335" s="39" t="n">
        <v>10</v>
      </c>
      <c r="E335" s="39" t="inlineStr">
        <is>
          <t>Umbra</t>
        </is>
      </c>
      <c r="F335" s="39" t="n">
        <v>16</v>
      </c>
      <c r="G335" s="39" t="inlineStr">
        <is>
          <t>Warframe</t>
        </is>
      </c>
      <c r="H335" s="39" t="inlineStr">
        <is>
          <t>NO - account-bound</t>
        </is>
      </c>
      <c r="I335" s="39" t="inlineStr">
        <is>
          <t>+44% Ability Strength | +11% &lt;DT_SENTIENT&gt;Tau Resistance</t>
        </is>
      </c>
    </row>
    <row r="336">
      <c r="A336" s="39" t="inlineStr">
        <is>
          <t>Mesa Prime</t>
        </is>
      </c>
      <c r="B336" s="39" t="inlineStr">
        <is>
          <t>Mod 2</t>
        </is>
      </c>
      <c r="C336" s="39" t="inlineStr">
        <is>
          <t>Umbral Vitality</t>
        </is>
      </c>
      <c r="D336" s="39" t="n">
        <v>10</v>
      </c>
      <c r="E336" s="39" t="inlineStr">
        <is>
          <t>Umbra</t>
        </is>
      </c>
      <c r="F336" s="39" t="n">
        <v>16</v>
      </c>
      <c r="G336" s="39" t="inlineStr">
        <is>
          <t>Warframe</t>
        </is>
      </c>
      <c r="H336" s="39" t="inlineStr">
        <is>
          <t>NO - account-bound</t>
        </is>
      </c>
      <c r="I336" s="39" t="inlineStr">
        <is>
          <t>+100% Health | +11% &lt;DT_SENTIENT&gt;Tau Resistance</t>
        </is>
      </c>
    </row>
    <row r="337">
      <c r="A337" s="39" t="inlineStr">
        <is>
          <t>Mesa Prime</t>
        </is>
      </c>
      <c r="B337" s="39" t="inlineStr">
        <is>
          <t>Mod 3</t>
        </is>
      </c>
      <c r="C337" s="39" t="inlineStr">
        <is>
          <t>Umbral Fiber</t>
        </is>
      </c>
      <c r="D337" s="39" t="n">
        <v>10</v>
      </c>
      <c r="E337" s="39" t="inlineStr">
        <is>
          <t>Umbra</t>
        </is>
      </c>
      <c r="F337" s="39" t="n">
        <v>16</v>
      </c>
      <c r="G337" s="39" t="inlineStr">
        <is>
          <t>Warframe</t>
        </is>
      </c>
      <c r="H337" s="39" t="inlineStr">
        <is>
          <t>NO - account-bound</t>
        </is>
      </c>
      <c r="I337" s="39" t="inlineStr">
        <is>
          <t>+100% Armor | +11% &lt;DT_SENTIENT&gt;Tau Resistance</t>
        </is>
      </c>
    </row>
    <row r="338">
      <c r="A338" s="39" t="inlineStr">
        <is>
          <t>Mesa Prime</t>
        </is>
      </c>
      <c r="B338" s="39" t="inlineStr">
        <is>
          <t>Mod 4</t>
        </is>
      </c>
      <c r="C338" s="39" t="inlineStr">
        <is>
          <t>Primed Continuity</t>
        </is>
      </c>
      <c r="D338" s="39" t="n">
        <v>10</v>
      </c>
      <c r="E338" s="39" t="inlineStr">
        <is>
          <t>Madurai</t>
        </is>
      </c>
      <c r="F338" s="39" t="n">
        <v>14</v>
      </c>
      <c r="G338" s="39" t="inlineStr">
        <is>
          <t>Warframe</t>
        </is>
      </c>
      <c r="H338" s="39" t="inlineStr">
        <is>
          <t>Yes</t>
        </is>
      </c>
      <c r="I338" s="39" t="inlineStr">
        <is>
          <t>+55% Ability Duration</t>
        </is>
      </c>
    </row>
    <row r="339">
      <c r="A339" s="39" t="inlineStr">
        <is>
          <t>Mesa Prime</t>
        </is>
      </c>
      <c r="B339" s="39" t="inlineStr">
        <is>
          <t>Mod 5</t>
        </is>
      </c>
      <c r="C339" s="39" t="inlineStr">
        <is>
          <t>Stretch</t>
        </is>
      </c>
      <c r="D339" s="39" t="n">
        <v>5</v>
      </c>
      <c r="E339" s="39" t="inlineStr">
        <is>
          <t>Naramon</t>
        </is>
      </c>
      <c r="F339" s="39" t="n">
        <v>9</v>
      </c>
      <c r="G339" s="39" t="inlineStr">
        <is>
          <t>Warframe</t>
        </is>
      </c>
      <c r="H339" s="39" t="inlineStr">
        <is>
          <t>Yes</t>
        </is>
      </c>
      <c r="I339" s="39" t="inlineStr">
        <is>
          <t>+45% Ability Range</t>
        </is>
      </c>
    </row>
    <row r="340">
      <c r="A340" s="39" t="inlineStr">
        <is>
          <t>Mesa Prime</t>
        </is>
      </c>
      <c r="B340" s="39" t="inlineStr">
        <is>
          <t>Mod 6</t>
        </is>
      </c>
      <c r="C340" s="39" t="inlineStr">
        <is>
          <t>Primed Flow</t>
        </is>
      </c>
      <c r="D340" s="39" t="n">
        <v>10</v>
      </c>
      <c r="E340" s="39" t="inlineStr">
        <is>
          <t>Naramon</t>
        </is>
      </c>
      <c r="F340" s="39" t="n">
        <v>14</v>
      </c>
      <c r="G340" s="39" t="inlineStr">
        <is>
          <t>Warframe</t>
        </is>
      </c>
      <c r="H340" s="39" t="inlineStr">
        <is>
          <t>Yes</t>
        </is>
      </c>
      <c r="I340" s="39" t="inlineStr">
        <is>
          <t>+185% Energy Max</t>
        </is>
      </c>
    </row>
    <row r="341">
      <c r="A341" s="39" t="inlineStr">
        <is>
          <t>Mesa Prime</t>
        </is>
      </c>
      <c r="B341" s="39" t="inlineStr">
        <is>
          <t>Mod 7</t>
        </is>
      </c>
      <c r="C341" s="39" t="inlineStr">
        <is>
          <t>Streamline</t>
        </is>
      </c>
      <c r="D341" s="39" t="n">
        <v>5</v>
      </c>
      <c r="E341" s="39" t="inlineStr">
        <is>
          <t>Naramon</t>
        </is>
      </c>
      <c r="F341" s="39" t="n">
        <v>9</v>
      </c>
      <c r="G341" s="39" t="inlineStr">
        <is>
          <t>Warframe</t>
        </is>
      </c>
      <c r="H341" s="39" t="inlineStr">
        <is>
          <t>Yes</t>
        </is>
      </c>
      <c r="I341" s="39" t="inlineStr">
        <is>
          <t>+30% Ability Efficiency</t>
        </is>
      </c>
    </row>
    <row r="342">
      <c r="A342" s="39" t="inlineStr">
        <is>
          <t>Mesa Prime</t>
        </is>
      </c>
      <c r="B342" s="39" t="inlineStr">
        <is>
          <t>Mod 8</t>
        </is>
      </c>
      <c r="C342" s="39" t="inlineStr">
        <is>
          <t>Rolling Guard</t>
        </is>
      </c>
      <c r="D342" s="39" t="n">
        <v>10</v>
      </c>
      <c r="E342" s="39" t="inlineStr">
        <is>
          <t>Vazarin</t>
        </is>
      </c>
      <c r="F342" s="39" t="n">
        <v>12</v>
      </c>
      <c r="G342" s="39" t="inlineStr">
        <is>
          <t>Warframe</t>
        </is>
      </c>
      <c r="H342" s="39" t="inlineStr">
        <is>
          <t>Yes</t>
        </is>
      </c>
      <c r="I342" s="39" t="inlineStr">
        <is>
          <t>On Dodge: | Become invulnerable for 3s and remove all Status Effects. 7s cooldown.</t>
        </is>
      </c>
    </row>
    <row r="343">
      <c r="A343" s="39" t="inlineStr">
        <is>
          <t>Mirage Prime</t>
        </is>
      </c>
      <c r="B343" s="39" t="inlineStr">
        <is>
          <t>Aura</t>
        </is>
      </c>
      <c r="C343" s="39" t="inlineStr">
        <is>
          <t>Growing Power</t>
        </is>
      </c>
      <c r="D343" s="39" t="n">
        <v>5</v>
      </c>
      <c r="E343" s="39" t="inlineStr">
        <is>
          <t>Madurai</t>
        </is>
      </c>
      <c r="F343" s="39" t="n">
        <v>3</v>
      </c>
      <c r="G343" s="39" t="inlineStr">
        <is>
          <t>Aura</t>
        </is>
      </c>
      <c r="H343" s="39" t="inlineStr">
        <is>
          <t>Yes</t>
        </is>
      </c>
      <c r="I343" s="39" t="inlineStr">
        <is>
          <t>On Status Effect with Weapon: Squad increases personal Ability Strength by 25% for 6s.</t>
        </is>
      </c>
    </row>
    <row r="344">
      <c r="A344" s="39" t="inlineStr">
        <is>
          <t>Mirage Prime</t>
        </is>
      </c>
      <c r="B344" s="39" t="inlineStr">
        <is>
          <t>Exilus</t>
        </is>
      </c>
      <c r="C344" s="39" t="inlineStr">
        <is>
          <t>Power Drift</t>
        </is>
      </c>
      <c r="D344" s="39" t="n">
        <v>5</v>
      </c>
      <c r="E344" s="39" t="inlineStr">
        <is>
          <t>Zenurik</t>
        </is>
      </c>
      <c r="F344" s="39" t="n">
        <v>9</v>
      </c>
      <c r="G344" s="39" t="inlineStr">
        <is>
          <t>Warframe</t>
        </is>
      </c>
      <c r="H344" s="39" t="inlineStr">
        <is>
          <t>Yes</t>
        </is>
      </c>
      <c r="I344" s="39" t="inlineStr">
        <is>
          <t>+15% Ability Strength | +30% Chance to Resist Knockdown</t>
        </is>
      </c>
    </row>
    <row r="345">
      <c r="A345" s="39" t="inlineStr">
        <is>
          <t>Mirage Prime</t>
        </is>
      </c>
      <c r="B345" s="39" t="inlineStr">
        <is>
          <t>Mod 1</t>
        </is>
      </c>
      <c r="C345" s="39" t="inlineStr">
        <is>
          <t>Umbral Intensify</t>
        </is>
      </c>
      <c r="D345" s="39" t="n">
        <v>10</v>
      </c>
      <c r="E345" s="39" t="inlineStr">
        <is>
          <t>Umbra</t>
        </is>
      </c>
      <c r="F345" s="39" t="n">
        <v>16</v>
      </c>
      <c r="G345" s="39" t="inlineStr">
        <is>
          <t>Warframe</t>
        </is>
      </c>
      <c r="H345" s="39" t="inlineStr">
        <is>
          <t>NO - account-bound</t>
        </is>
      </c>
      <c r="I345" s="39" t="inlineStr">
        <is>
          <t>+44% Ability Strength | +11% &lt;DT_SENTIENT&gt;Tau Resistance</t>
        </is>
      </c>
    </row>
    <row r="346">
      <c r="A346" s="39" t="inlineStr">
        <is>
          <t>Mirage Prime</t>
        </is>
      </c>
      <c r="B346" s="39" t="inlineStr">
        <is>
          <t>Mod 2</t>
        </is>
      </c>
      <c r="C346" s="39" t="inlineStr">
        <is>
          <t>Umbral Vitality</t>
        </is>
      </c>
      <c r="D346" s="39" t="n">
        <v>10</v>
      </c>
      <c r="E346" s="39" t="inlineStr">
        <is>
          <t>Umbra</t>
        </is>
      </c>
      <c r="F346" s="39" t="n">
        <v>16</v>
      </c>
      <c r="G346" s="39" t="inlineStr">
        <is>
          <t>Warframe</t>
        </is>
      </c>
      <c r="H346" s="39" t="inlineStr">
        <is>
          <t>NO - account-bound</t>
        </is>
      </c>
      <c r="I346" s="39" t="inlineStr">
        <is>
          <t>+100% Health | +11% &lt;DT_SENTIENT&gt;Tau Resistance</t>
        </is>
      </c>
    </row>
    <row r="347">
      <c r="A347" s="39" t="inlineStr">
        <is>
          <t>Mirage Prime</t>
        </is>
      </c>
      <c r="B347" s="39" t="inlineStr">
        <is>
          <t>Mod 3</t>
        </is>
      </c>
      <c r="C347" s="39" t="inlineStr">
        <is>
          <t>Umbral Fiber</t>
        </is>
      </c>
      <c r="D347" s="39" t="n">
        <v>10</v>
      </c>
      <c r="E347" s="39" t="inlineStr">
        <is>
          <t>Umbra</t>
        </is>
      </c>
      <c r="F347" s="39" t="n">
        <v>16</v>
      </c>
      <c r="G347" s="39" t="inlineStr">
        <is>
          <t>Warframe</t>
        </is>
      </c>
      <c r="H347" s="39" t="inlineStr">
        <is>
          <t>NO - account-bound</t>
        </is>
      </c>
      <c r="I347" s="39" t="inlineStr">
        <is>
          <t>+100% Armor | +11% &lt;DT_SENTIENT&gt;Tau Resistance</t>
        </is>
      </c>
    </row>
    <row r="348">
      <c r="A348" s="39" t="inlineStr">
        <is>
          <t>Mirage Prime</t>
        </is>
      </c>
      <c r="B348" s="39" t="inlineStr">
        <is>
          <t>Mod 4</t>
        </is>
      </c>
      <c r="C348" s="39" t="inlineStr">
        <is>
          <t>Primed Continuity</t>
        </is>
      </c>
      <c r="D348" s="39" t="n">
        <v>10</v>
      </c>
      <c r="E348" s="39" t="inlineStr">
        <is>
          <t>Madurai</t>
        </is>
      </c>
      <c r="F348" s="39" t="n">
        <v>14</v>
      </c>
      <c r="G348" s="39" t="inlineStr">
        <is>
          <t>Warframe</t>
        </is>
      </c>
      <c r="H348" s="39" t="inlineStr">
        <is>
          <t>Yes</t>
        </is>
      </c>
      <c r="I348" s="39" t="inlineStr">
        <is>
          <t>+55% Ability Duration</t>
        </is>
      </c>
    </row>
    <row r="349">
      <c r="A349" s="39" t="inlineStr">
        <is>
          <t>Mirage Prime</t>
        </is>
      </c>
      <c r="B349" s="39" t="inlineStr">
        <is>
          <t>Mod 5</t>
        </is>
      </c>
      <c r="C349" s="39" t="inlineStr">
        <is>
          <t>Primed Flow</t>
        </is>
      </c>
      <c r="D349" s="39" t="n">
        <v>10</v>
      </c>
      <c r="E349" s="39" t="inlineStr">
        <is>
          <t>Naramon</t>
        </is>
      </c>
      <c r="F349" s="39" t="n">
        <v>14</v>
      </c>
      <c r="G349" s="39" t="inlineStr">
        <is>
          <t>Warframe</t>
        </is>
      </c>
      <c r="H349" s="39" t="inlineStr">
        <is>
          <t>Yes</t>
        </is>
      </c>
      <c r="I349" s="39" t="inlineStr">
        <is>
          <t>+185% Energy Max</t>
        </is>
      </c>
    </row>
    <row r="350">
      <c r="A350" s="39" t="inlineStr">
        <is>
          <t>Mirage Prime</t>
        </is>
      </c>
      <c r="B350" s="39" t="inlineStr">
        <is>
          <t>Mod 6</t>
        </is>
      </c>
      <c r="C350" s="39" t="inlineStr">
        <is>
          <t>Streamline</t>
        </is>
      </c>
      <c r="D350" s="39" t="n">
        <v>5</v>
      </c>
      <c r="E350" s="39" t="inlineStr">
        <is>
          <t>Naramon</t>
        </is>
      </c>
      <c r="F350" s="39" t="n">
        <v>9</v>
      </c>
      <c r="G350" s="39" t="inlineStr">
        <is>
          <t>Warframe</t>
        </is>
      </c>
      <c r="H350" s="39" t="inlineStr">
        <is>
          <t>Yes</t>
        </is>
      </c>
      <c r="I350" s="39" t="inlineStr">
        <is>
          <t>+30% Ability Efficiency</t>
        </is>
      </c>
    </row>
    <row r="351">
      <c r="A351" s="39" t="inlineStr">
        <is>
          <t>Mirage Prime</t>
        </is>
      </c>
      <c r="B351" s="39" t="inlineStr">
        <is>
          <t>Mod 7</t>
        </is>
      </c>
      <c r="C351" s="39" t="inlineStr">
        <is>
          <t>Stretch</t>
        </is>
      </c>
      <c r="D351" s="39" t="n">
        <v>5</v>
      </c>
      <c r="E351" s="39" t="inlineStr">
        <is>
          <t>Naramon</t>
        </is>
      </c>
      <c r="F351" s="39" t="n">
        <v>9</v>
      </c>
      <c r="G351" s="39" t="inlineStr">
        <is>
          <t>Warframe</t>
        </is>
      </c>
      <c r="H351" s="39" t="inlineStr">
        <is>
          <t>Yes</t>
        </is>
      </c>
      <c r="I351" s="39" t="inlineStr">
        <is>
          <t>+45% Ability Range</t>
        </is>
      </c>
    </row>
    <row r="352">
      <c r="A352" s="39" t="inlineStr">
        <is>
          <t>Mirage Prime</t>
        </is>
      </c>
      <c r="B352" s="39" t="inlineStr">
        <is>
          <t>Mod 8</t>
        </is>
      </c>
      <c r="C352" s="39" t="inlineStr">
        <is>
          <t>Total Eclipse</t>
        </is>
      </c>
      <c r="D352" s="39" t="n">
        <v>3</v>
      </c>
      <c r="E352" s="39" t="inlineStr">
        <is>
          <t>Zenurik</t>
        </is>
      </c>
      <c r="F352" s="39" t="n">
        <v>9</v>
      </c>
      <c r="G352" s="39" t="inlineStr">
        <is>
          <t>Mirage</t>
        </is>
      </c>
      <c r="H352" s="39" t="inlineStr">
        <is>
          <t>Yes</t>
        </is>
      </c>
      <c r="I352" s="39" t="inlineStr">
        <is>
          <t>Eclipse Augment: While active, allies within 15m benefit from Eclipse.</t>
        </is>
      </c>
    </row>
    <row r="353">
      <c r="A353" s="39" t="inlineStr">
        <is>
          <t>Narin</t>
        </is>
      </c>
      <c r="B353" s="39" t="inlineStr">
        <is>
          <t>Aura</t>
        </is>
      </c>
      <c r="C353" s="39" t="inlineStr">
        <is>
          <t>Growing Power</t>
        </is>
      </c>
      <c r="D353" s="39" t="n">
        <v>5</v>
      </c>
      <c r="E353" s="39" t="inlineStr">
        <is>
          <t>Madurai</t>
        </is>
      </c>
      <c r="F353" s="39" t="n">
        <v>3</v>
      </c>
      <c r="G353" s="39" t="inlineStr">
        <is>
          <t>Aura</t>
        </is>
      </c>
      <c r="H353" s="39" t="inlineStr">
        <is>
          <t>Yes</t>
        </is>
      </c>
      <c r="I353" s="39" t="inlineStr">
        <is>
          <t>On Status Effect with Weapon: Squad increases personal Ability Strength by 25% for 6s.</t>
        </is>
      </c>
    </row>
    <row r="354">
      <c r="A354" s="39" t="inlineStr">
        <is>
          <t>Narin</t>
        </is>
      </c>
      <c r="B354" s="39" t="inlineStr">
        <is>
          <t>Exilus</t>
        </is>
      </c>
      <c r="C354" s="39" t="inlineStr">
        <is>
          <t>Power Drift</t>
        </is>
      </c>
      <c r="D354" s="39" t="n">
        <v>5</v>
      </c>
      <c r="E354" s="39" t="inlineStr">
        <is>
          <t>Zenurik</t>
        </is>
      </c>
      <c r="F354" s="39" t="n">
        <v>9</v>
      </c>
      <c r="G354" s="39" t="inlineStr">
        <is>
          <t>Warframe</t>
        </is>
      </c>
      <c r="H354" s="39" t="inlineStr">
        <is>
          <t>Yes</t>
        </is>
      </c>
      <c r="I354" s="39" t="inlineStr">
        <is>
          <t>+15% Ability Strength | +30% Chance to Resist Knockdown</t>
        </is>
      </c>
    </row>
    <row r="355">
      <c r="A355" s="39" t="inlineStr">
        <is>
          <t>Narin</t>
        </is>
      </c>
      <c r="B355" s="39" t="inlineStr">
        <is>
          <t>Mod 1</t>
        </is>
      </c>
      <c r="C355" s="39" t="inlineStr">
        <is>
          <t>Umbral Intensify</t>
        </is>
      </c>
      <c r="D355" s="39" t="n">
        <v>10</v>
      </c>
      <c r="E355" s="39" t="inlineStr">
        <is>
          <t>Umbra</t>
        </is>
      </c>
      <c r="F355" s="39" t="n">
        <v>16</v>
      </c>
      <c r="G355" s="39" t="inlineStr">
        <is>
          <t>Warframe</t>
        </is>
      </c>
      <c r="H355" s="39" t="inlineStr">
        <is>
          <t>NO - account-bound</t>
        </is>
      </c>
      <c r="I355" s="39" t="inlineStr">
        <is>
          <t>+44% Ability Strength | +11% &lt;DT_SENTIENT&gt;Tau Resistance</t>
        </is>
      </c>
    </row>
    <row r="356">
      <c r="A356" s="39" t="inlineStr">
        <is>
          <t>Narin</t>
        </is>
      </c>
      <c r="B356" s="39" t="inlineStr">
        <is>
          <t>Mod 2</t>
        </is>
      </c>
      <c r="C356" s="39" t="inlineStr">
        <is>
          <t>Umbral Vitality</t>
        </is>
      </c>
      <c r="D356" s="39" t="n">
        <v>10</v>
      </c>
      <c r="E356" s="39" t="inlineStr">
        <is>
          <t>Umbra</t>
        </is>
      </c>
      <c r="F356" s="39" t="n">
        <v>16</v>
      </c>
      <c r="G356" s="39" t="inlineStr">
        <is>
          <t>Warframe</t>
        </is>
      </c>
      <c r="H356" s="39" t="inlineStr">
        <is>
          <t>NO - account-bound</t>
        </is>
      </c>
      <c r="I356" s="39" t="inlineStr">
        <is>
          <t>+100% Health | +11% &lt;DT_SENTIENT&gt;Tau Resistance</t>
        </is>
      </c>
    </row>
    <row r="357">
      <c r="A357" s="39" t="inlineStr">
        <is>
          <t>Narin</t>
        </is>
      </c>
      <c r="B357" s="39" t="inlineStr">
        <is>
          <t>Mod 3</t>
        </is>
      </c>
      <c r="C357" s="39" t="inlineStr">
        <is>
          <t>Umbral Fiber</t>
        </is>
      </c>
      <c r="D357" s="39" t="n">
        <v>10</v>
      </c>
      <c r="E357" s="39" t="inlineStr">
        <is>
          <t>Umbra</t>
        </is>
      </c>
      <c r="F357" s="39" t="n">
        <v>16</v>
      </c>
      <c r="G357" s="39" t="inlineStr">
        <is>
          <t>Warframe</t>
        </is>
      </c>
      <c r="H357" s="39" t="inlineStr">
        <is>
          <t>NO - account-bound</t>
        </is>
      </c>
      <c r="I357" s="39" t="inlineStr">
        <is>
          <t>+100% Armor | +11% &lt;DT_SENTIENT&gt;Tau Resistance</t>
        </is>
      </c>
    </row>
    <row r="358">
      <c r="A358" s="39" t="inlineStr">
        <is>
          <t>Narin</t>
        </is>
      </c>
      <c r="B358" s="39" t="inlineStr">
        <is>
          <t>Mod 4</t>
        </is>
      </c>
      <c r="C358" s="39" t="inlineStr">
        <is>
          <t>Primed Continuity</t>
        </is>
      </c>
      <c r="D358" s="39" t="n">
        <v>10</v>
      </c>
      <c r="E358" s="39" t="inlineStr">
        <is>
          <t>Madurai</t>
        </is>
      </c>
      <c r="F358" s="39" t="n">
        <v>14</v>
      </c>
      <c r="G358" s="39" t="inlineStr">
        <is>
          <t>Warframe</t>
        </is>
      </c>
      <c r="H358" s="39" t="inlineStr">
        <is>
          <t>Yes</t>
        </is>
      </c>
      <c r="I358" s="39" t="inlineStr">
        <is>
          <t>+55% Ability Duration</t>
        </is>
      </c>
    </row>
    <row r="359">
      <c r="A359" s="39" t="inlineStr">
        <is>
          <t>Narin</t>
        </is>
      </c>
      <c r="B359" s="39" t="inlineStr">
        <is>
          <t>Mod 5</t>
        </is>
      </c>
      <c r="C359" s="39" t="inlineStr">
        <is>
          <t>Stretch</t>
        </is>
      </c>
      <c r="D359" s="39" t="n">
        <v>5</v>
      </c>
      <c r="E359" s="39" t="inlineStr">
        <is>
          <t>Naramon</t>
        </is>
      </c>
      <c r="F359" s="39" t="n">
        <v>9</v>
      </c>
      <c r="G359" s="39" t="inlineStr">
        <is>
          <t>Warframe</t>
        </is>
      </c>
      <c r="H359" s="39" t="inlineStr">
        <is>
          <t>Yes</t>
        </is>
      </c>
      <c r="I359" s="39" t="inlineStr">
        <is>
          <t>+45% Ability Range</t>
        </is>
      </c>
    </row>
    <row r="360">
      <c r="A360" s="39" t="inlineStr">
        <is>
          <t>Narin</t>
        </is>
      </c>
      <c r="B360" s="39" t="inlineStr">
        <is>
          <t>Mod 6</t>
        </is>
      </c>
      <c r="C360" s="39" t="inlineStr">
        <is>
          <t>Primed Flow</t>
        </is>
      </c>
      <c r="D360" s="39" t="n">
        <v>10</v>
      </c>
      <c r="E360" s="39" t="inlineStr">
        <is>
          <t>Naramon</t>
        </is>
      </c>
      <c r="F360" s="39" t="n">
        <v>14</v>
      </c>
      <c r="G360" s="39" t="inlineStr">
        <is>
          <t>Warframe</t>
        </is>
      </c>
      <c r="H360" s="39" t="inlineStr">
        <is>
          <t>Yes</t>
        </is>
      </c>
      <c r="I360" s="39" t="inlineStr">
        <is>
          <t>+185% Energy Max</t>
        </is>
      </c>
    </row>
    <row r="361">
      <c r="A361" s="39" t="inlineStr">
        <is>
          <t>Narin</t>
        </is>
      </c>
      <c r="B361" s="39" t="inlineStr">
        <is>
          <t>Mod 7</t>
        </is>
      </c>
      <c r="C361" s="39" t="inlineStr">
        <is>
          <t>Streamline</t>
        </is>
      </c>
      <c r="D361" s="39" t="n">
        <v>5</v>
      </c>
      <c r="E361" s="39" t="inlineStr">
        <is>
          <t>Naramon</t>
        </is>
      </c>
      <c r="F361" s="39" t="n">
        <v>9</v>
      </c>
      <c r="G361" s="39" t="inlineStr">
        <is>
          <t>Warframe</t>
        </is>
      </c>
      <c r="H361" s="39" t="inlineStr">
        <is>
          <t>Yes</t>
        </is>
      </c>
      <c r="I361" s="39" t="inlineStr">
        <is>
          <t>+30% Ability Efficiency</t>
        </is>
      </c>
    </row>
    <row r="362">
      <c r="A362" s="39" t="inlineStr">
        <is>
          <t>Narin</t>
        </is>
      </c>
      <c r="B362" s="39" t="inlineStr">
        <is>
          <t>Mod 8</t>
        </is>
      </c>
      <c r="C362" s="39" t="inlineStr">
        <is>
          <t>Augur Secrets</t>
        </is>
      </c>
      <c r="D362" s="39" t="n">
        <v>5</v>
      </c>
      <c r="E362" s="39" t="inlineStr">
        <is>
          <t>Naramon</t>
        </is>
      </c>
      <c r="F362" s="39" t="n">
        <v>7</v>
      </c>
      <c r="G362" s="39" t="inlineStr">
        <is>
          <t>Warframe</t>
        </is>
      </c>
      <c r="H362" s="39" t="inlineStr">
        <is>
          <t>Yes</t>
        </is>
      </c>
      <c r="I362" s="39" t="inlineStr">
        <is>
          <t>+24% Ability Strength</t>
        </is>
      </c>
    </row>
    <row r="363">
      <c r="A363" s="39" t="inlineStr">
        <is>
          <t>Nekros Prime</t>
        </is>
      </c>
      <c r="B363" s="39" t="inlineStr">
        <is>
          <t>Aura</t>
        </is>
      </c>
      <c r="C363" s="39" t="inlineStr">
        <is>
          <t>Growing Power</t>
        </is>
      </c>
      <c r="D363" s="39" t="n">
        <v>5</v>
      </c>
      <c r="E363" s="39" t="inlineStr">
        <is>
          <t>Madurai</t>
        </is>
      </c>
      <c r="F363" s="39" t="n">
        <v>3</v>
      </c>
      <c r="G363" s="39" t="inlineStr">
        <is>
          <t>Aura</t>
        </is>
      </c>
      <c r="H363" s="39" t="inlineStr">
        <is>
          <t>Yes</t>
        </is>
      </c>
      <c r="I363" s="39" t="inlineStr">
        <is>
          <t>On Status Effect with Weapon: Squad increases personal Ability Strength by 25% for 6s.</t>
        </is>
      </c>
    </row>
    <row r="364">
      <c r="A364" s="39" t="inlineStr">
        <is>
          <t>Nekros Prime</t>
        </is>
      </c>
      <c r="B364" s="39" t="inlineStr">
        <is>
          <t>Exilus</t>
        </is>
      </c>
      <c r="C364" s="39" t="inlineStr">
        <is>
          <t>Power Drift</t>
        </is>
      </c>
      <c r="D364" s="39" t="n">
        <v>5</v>
      </c>
      <c r="E364" s="39" t="inlineStr">
        <is>
          <t>Zenurik</t>
        </is>
      </c>
      <c r="F364" s="39" t="n">
        <v>9</v>
      </c>
      <c r="G364" s="39" t="inlineStr">
        <is>
          <t>Warframe</t>
        </is>
      </c>
      <c r="H364" s="39" t="inlineStr">
        <is>
          <t>Yes</t>
        </is>
      </c>
      <c r="I364" s="39" t="inlineStr">
        <is>
          <t>+15% Ability Strength | +30% Chance to Resist Knockdown</t>
        </is>
      </c>
    </row>
    <row r="365">
      <c r="A365" s="39" t="inlineStr">
        <is>
          <t>Nekros Prime</t>
        </is>
      </c>
      <c r="B365" s="39" t="inlineStr">
        <is>
          <t>Mod 1</t>
        </is>
      </c>
      <c r="C365" s="39" t="inlineStr">
        <is>
          <t>Umbral Intensify</t>
        </is>
      </c>
      <c r="D365" s="39" t="n">
        <v>10</v>
      </c>
      <c r="E365" s="39" t="inlineStr">
        <is>
          <t>Umbra</t>
        </is>
      </c>
      <c r="F365" s="39" t="n">
        <v>16</v>
      </c>
      <c r="G365" s="39" t="inlineStr">
        <is>
          <t>Warframe</t>
        </is>
      </c>
      <c r="H365" s="39" t="inlineStr">
        <is>
          <t>NO - account-bound</t>
        </is>
      </c>
      <c r="I365" s="39" t="inlineStr">
        <is>
          <t>+44% Ability Strength | +11% &lt;DT_SENTIENT&gt;Tau Resistance</t>
        </is>
      </c>
    </row>
    <row r="366">
      <c r="A366" s="39" t="inlineStr">
        <is>
          <t>Nekros Prime</t>
        </is>
      </c>
      <c r="B366" s="39" t="inlineStr">
        <is>
          <t>Mod 2</t>
        </is>
      </c>
      <c r="C366" s="39" t="inlineStr">
        <is>
          <t>Umbral Vitality</t>
        </is>
      </c>
      <c r="D366" s="39" t="n">
        <v>10</v>
      </c>
      <c r="E366" s="39" t="inlineStr">
        <is>
          <t>Umbra</t>
        </is>
      </c>
      <c r="F366" s="39" t="n">
        <v>16</v>
      </c>
      <c r="G366" s="39" t="inlineStr">
        <is>
          <t>Warframe</t>
        </is>
      </c>
      <c r="H366" s="39" t="inlineStr">
        <is>
          <t>NO - account-bound</t>
        </is>
      </c>
      <c r="I366" s="39" t="inlineStr">
        <is>
          <t>+100% Health | +11% &lt;DT_SENTIENT&gt;Tau Resistance</t>
        </is>
      </c>
    </row>
    <row r="367">
      <c r="A367" s="39" t="inlineStr">
        <is>
          <t>Nekros Prime</t>
        </is>
      </c>
      <c r="B367" s="39" t="inlineStr">
        <is>
          <t>Mod 3</t>
        </is>
      </c>
      <c r="C367" s="39" t="inlineStr">
        <is>
          <t>Umbral Fiber</t>
        </is>
      </c>
      <c r="D367" s="39" t="n">
        <v>10</v>
      </c>
      <c r="E367" s="39" t="inlineStr">
        <is>
          <t>Umbra</t>
        </is>
      </c>
      <c r="F367" s="39" t="n">
        <v>16</v>
      </c>
      <c r="G367" s="39" t="inlineStr">
        <is>
          <t>Warframe</t>
        </is>
      </c>
      <c r="H367" s="39" t="inlineStr">
        <is>
          <t>NO - account-bound</t>
        </is>
      </c>
      <c r="I367" s="39" t="inlineStr">
        <is>
          <t>+100% Armor | +11% &lt;DT_SENTIENT&gt;Tau Resistance</t>
        </is>
      </c>
    </row>
    <row r="368">
      <c r="A368" s="39" t="inlineStr">
        <is>
          <t>Nekros Prime</t>
        </is>
      </c>
      <c r="B368" s="39" t="inlineStr">
        <is>
          <t>Mod 4</t>
        </is>
      </c>
      <c r="C368" s="39" t="inlineStr">
        <is>
          <t>Primed Continuity</t>
        </is>
      </c>
      <c r="D368" s="39" t="n">
        <v>10</v>
      </c>
      <c r="E368" s="39" t="inlineStr">
        <is>
          <t>Madurai</t>
        </is>
      </c>
      <c r="F368" s="39" t="n">
        <v>14</v>
      </c>
      <c r="G368" s="39" t="inlineStr">
        <is>
          <t>Warframe</t>
        </is>
      </c>
      <c r="H368" s="39" t="inlineStr">
        <is>
          <t>Yes</t>
        </is>
      </c>
      <c r="I368" s="39" t="inlineStr">
        <is>
          <t>+55% Ability Duration</t>
        </is>
      </c>
    </row>
    <row r="369">
      <c r="A369" s="39" t="inlineStr">
        <is>
          <t>Nekros Prime</t>
        </is>
      </c>
      <c r="B369" s="39" t="inlineStr">
        <is>
          <t>Mod 5</t>
        </is>
      </c>
      <c r="C369" s="39" t="inlineStr">
        <is>
          <t>Stretch</t>
        </is>
      </c>
      <c r="D369" s="39" t="n">
        <v>5</v>
      </c>
      <c r="E369" s="39" t="inlineStr">
        <is>
          <t>Naramon</t>
        </is>
      </c>
      <c r="F369" s="39" t="n">
        <v>9</v>
      </c>
      <c r="G369" s="39" t="inlineStr">
        <is>
          <t>Warframe</t>
        </is>
      </c>
      <c r="H369" s="39" t="inlineStr">
        <is>
          <t>Yes</t>
        </is>
      </c>
      <c r="I369" s="39" t="inlineStr">
        <is>
          <t>+45% Ability Range</t>
        </is>
      </c>
    </row>
    <row r="370">
      <c r="A370" s="39" t="inlineStr">
        <is>
          <t>Nekros Prime</t>
        </is>
      </c>
      <c r="B370" s="39" t="inlineStr">
        <is>
          <t>Mod 6</t>
        </is>
      </c>
      <c r="C370" s="39" t="inlineStr">
        <is>
          <t>Primed Flow</t>
        </is>
      </c>
      <c r="D370" s="39" t="n">
        <v>10</v>
      </c>
      <c r="E370" s="39" t="inlineStr">
        <is>
          <t>Naramon</t>
        </is>
      </c>
      <c r="F370" s="39" t="n">
        <v>14</v>
      </c>
      <c r="G370" s="39" t="inlineStr">
        <is>
          <t>Warframe</t>
        </is>
      </c>
      <c r="H370" s="39" t="inlineStr">
        <is>
          <t>Yes</t>
        </is>
      </c>
      <c r="I370" s="39" t="inlineStr">
        <is>
          <t>+185% Energy Max</t>
        </is>
      </c>
    </row>
    <row r="371">
      <c r="A371" s="39" t="inlineStr">
        <is>
          <t>Nekros Prime</t>
        </is>
      </c>
      <c r="B371" s="39" t="inlineStr">
        <is>
          <t>Mod 7</t>
        </is>
      </c>
      <c r="C371" s="39" t="inlineStr">
        <is>
          <t>Streamline</t>
        </is>
      </c>
      <c r="D371" s="39" t="n">
        <v>5</v>
      </c>
      <c r="E371" s="39" t="inlineStr">
        <is>
          <t>Naramon</t>
        </is>
      </c>
      <c r="F371" s="39" t="n">
        <v>9</v>
      </c>
      <c r="G371" s="39" t="inlineStr">
        <is>
          <t>Warframe</t>
        </is>
      </c>
      <c r="H371" s="39" t="inlineStr">
        <is>
          <t>Yes</t>
        </is>
      </c>
      <c r="I371" s="39" t="inlineStr">
        <is>
          <t>+30% Ability Efficiency</t>
        </is>
      </c>
    </row>
    <row r="372">
      <c r="A372" s="39" t="inlineStr">
        <is>
          <t>Nekros Prime</t>
        </is>
      </c>
      <c r="B372" s="39" t="inlineStr">
        <is>
          <t>Mod 8</t>
        </is>
      </c>
      <c r="C372" s="39" t="inlineStr">
        <is>
          <t>Shield of Shadows</t>
        </is>
      </c>
      <c r="D372" s="39" t="n">
        <v>3</v>
      </c>
      <c r="E372" s="39" t="inlineStr">
        <is>
          <t>Zenurik</t>
        </is>
      </c>
      <c r="F372" s="39" t="n">
        <v>9</v>
      </c>
      <c r="G372" s="39" t="inlineStr">
        <is>
          <t>Nekros</t>
        </is>
      </c>
      <c r="H372" s="39" t="inlineStr">
        <is>
          <t>Yes</t>
        </is>
      </c>
      <c r="I372" s="39" t="inlineStr">
        <is>
          <t>Shadows of the Dead Augment: Each Shadow within 50m take 6% of the Damage done to Nekros in his stead.</t>
        </is>
      </c>
    </row>
    <row r="373">
      <c r="A373" s="39" t="inlineStr">
        <is>
          <t>Nezha Prime</t>
        </is>
      </c>
      <c r="B373" s="39" t="inlineStr">
        <is>
          <t>Aura</t>
        </is>
      </c>
      <c r="C373" s="39" t="inlineStr">
        <is>
          <t>Growing Power</t>
        </is>
      </c>
      <c r="D373" s="39" t="n">
        <v>5</v>
      </c>
      <c r="E373" s="39" t="inlineStr">
        <is>
          <t>Madurai</t>
        </is>
      </c>
      <c r="F373" s="39" t="n">
        <v>3</v>
      </c>
      <c r="G373" s="39" t="inlineStr">
        <is>
          <t>Aura</t>
        </is>
      </c>
      <c r="H373" s="39" t="inlineStr">
        <is>
          <t>Yes</t>
        </is>
      </c>
      <c r="I373" s="39" t="inlineStr">
        <is>
          <t>On Status Effect with Weapon: Squad increases personal Ability Strength by 25% for 6s.</t>
        </is>
      </c>
    </row>
    <row r="374">
      <c r="A374" s="39" t="inlineStr">
        <is>
          <t>Nezha Prime</t>
        </is>
      </c>
      <c r="B374" s="39" t="inlineStr">
        <is>
          <t>Exilus</t>
        </is>
      </c>
      <c r="C374" s="39" t="inlineStr">
        <is>
          <t>Power Drift</t>
        </is>
      </c>
      <c r="D374" s="39" t="n">
        <v>5</v>
      </c>
      <c r="E374" s="39" t="inlineStr">
        <is>
          <t>Zenurik</t>
        </is>
      </c>
      <c r="F374" s="39" t="n">
        <v>9</v>
      </c>
      <c r="G374" s="39" t="inlineStr">
        <is>
          <t>Warframe</t>
        </is>
      </c>
      <c r="H374" s="39" t="inlineStr">
        <is>
          <t>Yes</t>
        </is>
      </c>
      <c r="I374" s="39" t="inlineStr">
        <is>
          <t>+15% Ability Strength | +30% Chance to Resist Knockdown</t>
        </is>
      </c>
    </row>
    <row r="375">
      <c r="A375" s="39" t="inlineStr">
        <is>
          <t>Nezha Prime</t>
        </is>
      </c>
      <c r="B375" s="39" t="inlineStr">
        <is>
          <t>Mod 1</t>
        </is>
      </c>
      <c r="C375" s="39" t="inlineStr">
        <is>
          <t>Umbral Intensify</t>
        </is>
      </c>
      <c r="D375" s="39" t="n">
        <v>10</v>
      </c>
      <c r="E375" s="39" t="inlineStr">
        <is>
          <t>Umbra</t>
        </is>
      </c>
      <c r="F375" s="39" t="n">
        <v>16</v>
      </c>
      <c r="G375" s="39" t="inlineStr">
        <is>
          <t>Warframe</t>
        </is>
      </c>
      <c r="H375" s="39" t="inlineStr">
        <is>
          <t>NO - account-bound</t>
        </is>
      </c>
      <c r="I375" s="39" t="inlineStr">
        <is>
          <t>+44% Ability Strength | +11% &lt;DT_SENTIENT&gt;Tau Resistance</t>
        </is>
      </c>
    </row>
    <row r="376">
      <c r="A376" s="39" t="inlineStr">
        <is>
          <t>Nezha Prime</t>
        </is>
      </c>
      <c r="B376" s="39" t="inlineStr">
        <is>
          <t>Mod 2</t>
        </is>
      </c>
      <c r="C376" s="39" t="inlineStr">
        <is>
          <t>Umbral Vitality</t>
        </is>
      </c>
      <c r="D376" s="39" t="n">
        <v>10</v>
      </c>
      <c r="E376" s="39" t="inlineStr">
        <is>
          <t>Umbra</t>
        </is>
      </c>
      <c r="F376" s="39" t="n">
        <v>16</v>
      </c>
      <c r="G376" s="39" t="inlineStr">
        <is>
          <t>Warframe</t>
        </is>
      </c>
      <c r="H376" s="39" t="inlineStr">
        <is>
          <t>NO - account-bound</t>
        </is>
      </c>
      <c r="I376" s="39" t="inlineStr">
        <is>
          <t>+100% Health | +11% &lt;DT_SENTIENT&gt;Tau Resistance</t>
        </is>
      </c>
    </row>
    <row r="377">
      <c r="A377" s="39" t="inlineStr">
        <is>
          <t>Nezha Prime</t>
        </is>
      </c>
      <c r="B377" s="39" t="inlineStr">
        <is>
          <t>Mod 3</t>
        </is>
      </c>
      <c r="C377" s="39" t="inlineStr">
        <is>
          <t>Umbral Fiber</t>
        </is>
      </c>
      <c r="D377" s="39" t="n">
        <v>10</v>
      </c>
      <c r="E377" s="39" t="inlineStr">
        <is>
          <t>Umbra</t>
        </is>
      </c>
      <c r="F377" s="39" t="n">
        <v>16</v>
      </c>
      <c r="G377" s="39" t="inlineStr">
        <is>
          <t>Warframe</t>
        </is>
      </c>
      <c r="H377" s="39" t="inlineStr">
        <is>
          <t>NO - account-bound</t>
        </is>
      </c>
      <c r="I377" s="39" t="inlineStr">
        <is>
          <t>+100% Armor | +11% &lt;DT_SENTIENT&gt;Tau Resistance</t>
        </is>
      </c>
    </row>
    <row r="378">
      <c r="A378" s="39" t="inlineStr">
        <is>
          <t>Nezha Prime</t>
        </is>
      </c>
      <c r="B378" s="39" t="inlineStr">
        <is>
          <t>Mod 4</t>
        </is>
      </c>
      <c r="C378" s="39" t="inlineStr">
        <is>
          <t>Primed Continuity</t>
        </is>
      </c>
      <c r="D378" s="39" t="n">
        <v>10</v>
      </c>
      <c r="E378" s="39" t="inlineStr">
        <is>
          <t>Madurai</t>
        </is>
      </c>
      <c r="F378" s="39" t="n">
        <v>14</v>
      </c>
      <c r="G378" s="39" t="inlineStr">
        <is>
          <t>Warframe</t>
        </is>
      </c>
      <c r="H378" s="39" t="inlineStr">
        <is>
          <t>Yes</t>
        </is>
      </c>
      <c r="I378" s="39" t="inlineStr">
        <is>
          <t>+55% Ability Duration</t>
        </is>
      </c>
    </row>
    <row r="379">
      <c r="A379" s="39" t="inlineStr">
        <is>
          <t>Nezha Prime</t>
        </is>
      </c>
      <c r="B379" s="39" t="inlineStr">
        <is>
          <t>Mod 5</t>
        </is>
      </c>
      <c r="C379" s="39" t="inlineStr">
        <is>
          <t>Stretch</t>
        </is>
      </c>
      <c r="D379" s="39" t="n">
        <v>5</v>
      </c>
      <c r="E379" s="39" t="inlineStr">
        <is>
          <t>Naramon</t>
        </is>
      </c>
      <c r="F379" s="39" t="n">
        <v>9</v>
      </c>
      <c r="G379" s="39" t="inlineStr">
        <is>
          <t>Warframe</t>
        </is>
      </c>
      <c r="H379" s="39" t="inlineStr">
        <is>
          <t>Yes</t>
        </is>
      </c>
      <c r="I379" s="39" t="inlineStr">
        <is>
          <t>+45% Ability Range</t>
        </is>
      </c>
    </row>
    <row r="380">
      <c r="A380" s="39" t="inlineStr">
        <is>
          <t>Nezha Prime</t>
        </is>
      </c>
      <c r="B380" s="39" t="inlineStr">
        <is>
          <t>Mod 6</t>
        </is>
      </c>
      <c r="C380" s="39" t="inlineStr">
        <is>
          <t>Primed Flow</t>
        </is>
      </c>
      <c r="D380" s="39" t="n">
        <v>10</v>
      </c>
      <c r="E380" s="39" t="inlineStr">
        <is>
          <t>Naramon</t>
        </is>
      </c>
      <c r="F380" s="39" t="n">
        <v>14</v>
      </c>
      <c r="G380" s="39" t="inlineStr">
        <is>
          <t>Warframe</t>
        </is>
      </c>
      <c r="H380" s="39" t="inlineStr">
        <is>
          <t>Yes</t>
        </is>
      </c>
      <c r="I380" s="39" t="inlineStr">
        <is>
          <t>+185% Energy Max</t>
        </is>
      </c>
    </row>
    <row r="381">
      <c r="A381" s="39" t="inlineStr">
        <is>
          <t>Nezha Prime</t>
        </is>
      </c>
      <c r="B381" s="39" t="inlineStr">
        <is>
          <t>Mod 7</t>
        </is>
      </c>
      <c r="C381" s="39" t="inlineStr">
        <is>
          <t>Streamline</t>
        </is>
      </c>
      <c r="D381" s="39" t="n">
        <v>5</v>
      </c>
      <c r="E381" s="39" t="inlineStr">
        <is>
          <t>Naramon</t>
        </is>
      </c>
      <c r="F381" s="39" t="n">
        <v>9</v>
      </c>
      <c r="G381" s="39" t="inlineStr">
        <is>
          <t>Warframe</t>
        </is>
      </c>
      <c r="H381" s="39" t="inlineStr">
        <is>
          <t>Yes</t>
        </is>
      </c>
      <c r="I381" s="39" t="inlineStr">
        <is>
          <t>+30% Ability Efficiency</t>
        </is>
      </c>
    </row>
    <row r="382">
      <c r="A382" s="39" t="inlineStr">
        <is>
          <t>Nezha Prime</t>
        </is>
      </c>
      <c r="B382" s="39" t="inlineStr">
        <is>
          <t>Mod 8</t>
        </is>
      </c>
      <c r="C382" s="39" t="inlineStr">
        <is>
          <t>Divine Retribution</t>
        </is>
      </c>
      <c r="D382" s="39" t="n">
        <v>3</v>
      </c>
      <c r="E382" s="39" t="inlineStr">
        <is>
          <t>Zenurik</t>
        </is>
      </c>
      <c r="F382" s="39" t="n">
        <v>9</v>
      </c>
      <c r="G382" s="39" t="inlineStr">
        <is>
          <t>Nezha</t>
        </is>
      </c>
      <c r="H382" s="39" t="inlineStr">
        <is>
          <t>Yes</t>
        </is>
      </c>
      <c r="I382" s="39" t="inlineStr">
        <is>
          <t>Divine Spears Augment: Status Effects spread to all speared enemies. Spear explosions scale by 1.5x of remaining &lt;DT_SLASH_COLOR&gt;Slash, &lt;DT_POISON_COLOR&gt;Toxin a</t>
        </is>
      </c>
    </row>
    <row r="383">
      <c r="A383" s="39" t="inlineStr">
        <is>
          <t>Nidus Prime</t>
        </is>
      </c>
      <c r="B383" s="39" t="inlineStr">
        <is>
          <t>Aura</t>
        </is>
      </c>
      <c r="C383" s="39" t="inlineStr">
        <is>
          <t>Growing Power</t>
        </is>
      </c>
      <c r="D383" s="39" t="n">
        <v>5</v>
      </c>
      <c r="E383" s="39" t="inlineStr">
        <is>
          <t>Madurai</t>
        </is>
      </c>
      <c r="F383" s="39" t="n">
        <v>3</v>
      </c>
      <c r="G383" s="39" t="inlineStr">
        <is>
          <t>Aura</t>
        </is>
      </c>
      <c r="H383" s="39" t="inlineStr">
        <is>
          <t>Yes</t>
        </is>
      </c>
      <c r="I383" s="39" t="inlineStr">
        <is>
          <t>On Status Effect with Weapon: Squad increases personal Ability Strength by 25% for 6s.</t>
        </is>
      </c>
    </row>
    <row r="384">
      <c r="A384" s="39" t="inlineStr">
        <is>
          <t>Nidus Prime</t>
        </is>
      </c>
      <c r="B384" s="39" t="inlineStr">
        <is>
          <t>Exilus</t>
        </is>
      </c>
      <c r="C384" s="39" t="inlineStr">
        <is>
          <t>Power Drift</t>
        </is>
      </c>
      <c r="D384" s="39" t="n">
        <v>5</v>
      </c>
      <c r="E384" s="39" t="inlineStr">
        <is>
          <t>Zenurik</t>
        </is>
      </c>
      <c r="F384" s="39" t="n">
        <v>9</v>
      </c>
      <c r="G384" s="39" t="inlineStr">
        <is>
          <t>Warframe</t>
        </is>
      </c>
      <c r="H384" s="39" t="inlineStr">
        <is>
          <t>Yes</t>
        </is>
      </c>
      <c r="I384" s="39" t="inlineStr">
        <is>
          <t>+15% Ability Strength | +30% Chance to Resist Knockdown</t>
        </is>
      </c>
    </row>
    <row r="385">
      <c r="A385" s="39" t="inlineStr">
        <is>
          <t>Nidus Prime</t>
        </is>
      </c>
      <c r="B385" s="39" t="inlineStr">
        <is>
          <t>Mod 1</t>
        </is>
      </c>
      <c r="C385" s="39" t="inlineStr">
        <is>
          <t>Umbral Intensify</t>
        </is>
      </c>
      <c r="D385" s="39" t="n">
        <v>10</v>
      </c>
      <c r="E385" s="39" t="inlineStr">
        <is>
          <t>Umbra</t>
        </is>
      </c>
      <c r="F385" s="39" t="n">
        <v>16</v>
      </c>
      <c r="G385" s="39" t="inlineStr">
        <is>
          <t>Warframe</t>
        </is>
      </c>
      <c r="H385" s="39" t="inlineStr">
        <is>
          <t>NO - account-bound</t>
        </is>
      </c>
      <c r="I385" s="39" t="inlineStr">
        <is>
          <t>+44% Ability Strength | +11% &lt;DT_SENTIENT&gt;Tau Resistance</t>
        </is>
      </c>
    </row>
    <row r="386">
      <c r="A386" s="39" t="inlineStr">
        <is>
          <t>Nidus Prime</t>
        </is>
      </c>
      <c r="B386" s="39" t="inlineStr">
        <is>
          <t>Mod 2</t>
        </is>
      </c>
      <c r="C386" s="39" t="inlineStr">
        <is>
          <t>Umbral Vitality</t>
        </is>
      </c>
      <c r="D386" s="39" t="n">
        <v>10</v>
      </c>
      <c r="E386" s="39" t="inlineStr">
        <is>
          <t>Umbra</t>
        </is>
      </c>
      <c r="F386" s="39" t="n">
        <v>16</v>
      </c>
      <c r="G386" s="39" t="inlineStr">
        <is>
          <t>Warframe</t>
        </is>
      </c>
      <c r="H386" s="39" t="inlineStr">
        <is>
          <t>NO - account-bound</t>
        </is>
      </c>
      <c r="I386" s="39" t="inlineStr">
        <is>
          <t>+100% Health | +11% &lt;DT_SENTIENT&gt;Tau Resistance</t>
        </is>
      </c>
    </row>
    <row r="387">
      <c r="A387" s="39" t="inlineStr">
        <is>
          <t>Nidus Prime</t>
        </is>
      </c>
      <c r="B387" s="39" t="inlineStr">
        <is>
          <t>Mod 3</t>
        </is>
      </c>
      <c r="C387" s="39" t="inlineStr">
        <is>
          <t>Umbral Fiber</t>
        </is>
      </c>
      <c r="D387" s="39" t="n">
        <v>10</v>
      </c>
      <c r="E387" s="39" t="inlineStr">
        <is>
          <t>Umbra</t>
        </is>
      </c>
      <c r="F387" s="39" t="n">
        <v>16</v>
      </c>
      <c r="G387" s="39" t="inlineStr">
        <is>
          <t>Warframe</t>
        </is>
      </c>
      <c r="H387" s="39" t="inlineStr">
        <is>
          <t>NO - account-bound</t>
        </is>
      </c>
      <c r="I387" s="39" t="inlineStr">
        <is>
          <t>+100% Armor | +11% &lt;DT_SENTIENT&gt;Tau Resistance</t>
        </is>
      </c>
    </row>
    <row r="388">
      <c r="A388" s="39" t="inlineStr">
        <is>
          <t>Nidus Prime</t>
        </is>
      </c>
      <c r="B388" s="39" t="inlineStr">
        <is>
          <t>Mod 4</t>
        </is>
      </c>
      <c r="C388" s="39" t="inlineStr">
        <is>
          <t>Primed Continuity</t>
        </is>
      </c>
      <c r="D388" s="39" t="n">
        <v>10</v>
      </c>
      <c r="E388" s="39" t="inlineStr">
        <is>
          <t>Madurai</t>
        </is>
      </c>
      <c r="F388" s="39" t="n">
        <v>14</v>
      </c>
      <c r="G388" s="39" t="inlineStr">
        <is>
          <t>Warframe</t>
        </is>
      </c>
      <c r="H388" s="39" t="inlineStr">
        <is>
          <t>Yes</t>
        </is>
      </c>
      <c r="I388" s="39" t="inlineStr">
        <is>
          <t>+55% Ability Duration</t>
        </is>
      </c>
    </row>
    <row r="389">
      <c r="A389" s="39" t="inlineStr">
        <is>
          <t>Nidus Prime</t>
        </is>
      </c>
      <c r="B389" s="39" t="inlineStr">
        <is>
          <t>Mod 5</t>
        </is>
      </c>
      <c r="C389" s="39" t="inlineStr">
        <is>
          <t>Stretch</t>
        </is>
      </c>
      <c r="D389" s="39" t="n">
        <v>5</v>
      </c>
      <c r="E389" s="39" t="inlineStr">
        <is>
          <t>Naramon</t>
        </is>
      </c>
      <c r="F389" s="39" t="n">
        <v>9</v>
      </c>
      <c r="G389" s="39" t="inlineStr">
        <is>
          <t>Warframe</t>
        </is>
      </c>
      <c r="H389" s="39" t="inlineStr">
        <is>
          <t>Yes</t>
        </is>
      </c>
      <c r="I389" s="39" t="inlineStr">
        <is>
          <t>+45% Ability Range</t>
        </is>
      </c>
    </row>
    <row r="390">
      <c r="A390" s="39" t="inlineStr">
        <is>
          <t>Nidus Prime</t>
        </is>
      </c>
      <c r="B390" s="39" t="inlineStr">
        <is>
          <t>Mod 6</t>
        </is>
      </c>
      <c r="C390" s="39" t="inlineStr">
        <is>
          <t>Primed Flow</t>
        </is>
      </c>
      <c r="D390" s="39" t="n">
        <v>10</v>
      </c>
      <c r="E390" s="39" t="inlineStr">
        <is>
          <t>Naramon</t>
        </is>
      </c>
      <c r="F390" s="39" t="n">
        <v>14</v>
      </c>
      <c r="G390" s="39" t="inlineStr">
        <is>
          <t>Warframe</t>
        </is>
      </c>
      <c r="H390" s="39" t="inlineStr">
        <is>
          <t>Yes</t>
        </is>
      </c>
      <c r="I390" s="39" t="inlineStr">
        <is>
          <t>+185% Energy Max</t>
        </is>
      </c>
    </row>
    <row r="391">
      <c r="A391" s="39" t="inlineStr">
        <is>
          <t>Nidus Prime</t>
        </is>
      </c>
      <c r="B391" s="39" t="inlineStr">
        <is>
          <t>Mod 7</t>
        </is>
      </c>
      <c r="C391" s="39" t="inlineStr">
        <is>
          <t>Streamline</t>
        </is>
      </c>
      <c r="D391" s="39" t="n">
        <v>5</v>
      </c>
      <c r="E391" s="39" t="inlineStr">
        <is>
          <t>Naramon</t>
        </is>
      </c>
      <c r="F391" s="39" t="n">
        <v>9</v>
      </c>
      <c r="G391" s="39" t="inlineStr">
        <is>
          <t>Warframe</t>
        </is>
      </c>
      <c r="H391" s="39" t="inlineStr">
        <is>
          <t>Yes</t>
        </is>
      </c>
      <c r="I391" s="39" t="inlineStr">
        <is>
          <t>+30% Ability Efficiency</t>
        </is>
      </c>
    </row>
    <row r="392">
      <c r="A392" s="39" t="inlineStr">
        <is>
          <t>Nidus Prime</t>
        </is>
      </c>
      <c r="B392" s="39" t="inlineStr">
        <is>
          <t>Mod 8</t>
        </is>
      </c>
      <c r="C392" s="39" t="inlineStr">
        <is>
          <t>Larva Burst</t>
        </is>
      </c>
      <c r="D392" s="39" t="n">
        <v>3</v>
      </c>
      <c r="E392" s="39" t="inlineStr">
        <is>
          <t>Zenurik</t>
        </is>
      </c>
      <c r="F392" s="39" t="n">
        <v>9</v>
      </c>
      <c r="G392" s="39" t="inlineStr">
        <is>
          <t>Nidus</t>
        </is>
      </c>
      <c r="H392" s="39" t="inlineStr">
        <is>
          <t>Yes</t>
        </is>
      </c>
      <c r="I392" s="39" t="inlineStr">
        <is>
          <t>Larva Augment: Reactivate Larva to detonate and deal 600 &lt;DT_POISON_COLOR&gt;Toxin Damage in a 8m radius. This damage and Status Effect stacks for every enemy grab</t>
        </is>
      </c>
    </row>
    <row r="393">
      <c r="A393" s="39" t="inlineStr">
        <is>
          <t>Nokko</t>
        </is>
      </c>
      <c r="B393" s="39" t="inlineStr">
        <is>
          <t>Aura</t>
        </is>
      </c>
      <c r="C393" s="39" t="inlineStr">
        <is>
          <t>Growing Power</t>
        </is>
      </c>
      <c r="D393" s="39" t="n">
        <v>5</v>
      </c>
      <c r="E393" s="39" t="inlineStr">
        <is>
          <t>Madurai</t>
        </is>
      </c>
      <c r="F393" s="39" t="n">
        <v>3</v>
      </c>
      <c r="G393" s="39" t="inlineStr">
        <is>
          <t>Aura</t>
        </is>
      </c>
      <c r="H393" s="39" t="inlineStr">
        <is>
          <t>Yes</t>
        </is>
      </c>
      <c r="I393" s="39" t="inlineStr">
        <is>
          <t>On Status Effect with Weapon: Squad increases personal Ability Strength by 25% for 6s.</t>
        </is>
      </c>
    </row>
    <row r="394">
      <c r="A394" s="39" t="inlineStr">
        <is>
          <t>Nokko</t>
        </is>
      </c>
      <c r="B394" s="39" t="inlineStr">
        <is>
          <t>Exilus</t>
        </is>
      </c>
      <c r="C394" s="39" t="inlineStr">
        <is>
          <t>Power Drift</t>
        </is>
      </c>
      <c r="D394" s="39" t="n">
        <v>5</v>
      </c>
      <c r="E394" s="39" t="inlineStr">
        <is>
          <t>Zenurik</t>
        </is>
      </c>
      <c r="F394" s="39" t="n">
        <v>9</v>
      </c>
      <c r="G394" s="39" t="inlineStr">
        <is>
          <t>Warframe</t>
        </is>
      </c>
      <c r="H394" s="39" t="inlineStr">
        <is>
          <t>Yes</t>
        </is>
      </c>
      <c r="I394" s="39" t="inlineStr">
        <is>
          <t>+15% Ability Strength | +30% Chance to Resist Knockdown</t>
        </is>
      </c>
    </row>
    <row r="395">
      <c r="A395" s="39" t="inlineStr">
        <is>
          <t>Nokko</t>
        </is>
      </c>
      <c r="B395" s="39" t="inlineStr">
        <is>
          <t>Mod 1</t>
        </is>
      </c>
      <c r="C395" s="39" t="inlineStr">
        <is>
          <t>Umbral Intensify</t>
        </is>
      </c>
      <c r="D395" s="39" t="n">
        <v>10</v>
      </c>
      <c r="E395" s="39" t="inlineStr">
        <is>
          <t>Umbra</t>
        </is>
      </c>
      <c r="F395" s="39" t="n">
        <v>16</v>
      </c>
      <c r="G395" s="39" t="inlineStr">
        <is>
          <t>Warframe</t>
        </is>
      </c>
      <c r="H395" s="39" t="inlineStr">
        <is>
          <t>NO - account-bound</t>
        </is>
      </c>
      <c r="I395" s="39" t="inlineStr">
        <is>
          <t>+44% Ability Strength | +11% &lt;DT_SENTIENT&gt;Tau Resistance</t>
        </is>
      </c>
    </row>
    <row r="396">
      <c r="A396" s="39" t="inlineStr">
        <is>
          <t>Nokko</t>
        </is>
      </c>
      <c r="B396" s="39" t="inlineStr">
        <is>
          <t>Mod 2</t>
        </is>
      </c>
      <c r="C396" s="39" t="inlineStr">
        <is>
          <t>Umbral Vitality</t>
        </is>
      </c>
      <c r="D396" s="39" t="n">
        <v>10</v>
      </c>
      <c r="E396" s="39" t="inlineStr">
        <is>
          <t>Umbra</t>
        </is>
      </c>
      <c r="F396" s="39" t="n">
        <v>16</v>
      </c>
      <c r="G396" s="39" t="inlineStr">
        <is>
          <t>Warframe</t>
        </is>
      </c>
      <c r="H396" s="39" t="inlineStr">
        <is>
          <t>NO - account-bound</t>
        </is>
      </c>
      <c r="I396" s="39" t="inlineStr">
        <is>
          <t>+100% Health | +11% &lt;DT_SENTIENT&gt;Tau Resistance</t>
        </is>
      </c>
    </row>
    <row r="397">
      <c r="A397" s="39" t="inlineStr">
        <is>
          <t>Nokko</t>
        </is>
      </c>
      <c r="B397" s="39" t="inlineStr">
        <is>
          <t>Mod 3</t>
        </is>
      </c>
      <c r="C397" s="39" t="inlineStr">
        <is>
          <t>Umbral Fiber</t>
        </is>
      </c>
      <c r="D397" s="39" t="n">
        <v>10</v>
      </c>
      <c r="E397" s="39" t="inlineStr">
        <is>
          <t>Umbra</t>
        </is>
      </c>
      <c r="F397" s="39" t="n">
        <v>16</v>
      </c>
      <c r="G397" s="39" t="inlineStr">
        <is>
          <t>Warframe</t>
        </is>
      </c>
      <c r="H397" s="39" t="inlineStr">
        <is>
          <t>NO - account-bound</t>
        </is>
      </c>
      <c r="I397" s="39" t="inlineStr">
        <is>
          <t>+100% Armor | +11% &lt;DT_SENTIENT&gt;Tau Resistance</t>
        </is>
      </c>
    </row>
    <row r="398">
      <c r="A398" s="39" t="inlineStr">
        <is>
          <t>Nokko</t>
        </is>
      </c>
      <c r="B398" s="39" t="inlineStr">
        <is>
          <t>Mod 4</t>
        </is>
      </c>
      <c r="C398" s="39" t="inlineStr">
        <is>
          <t>Primed Continuity</t>
        </is>
      </c>
      <c r="D398" s="39" t="n">
        <v>10</v>
      </c>
      <c r="E398" s="39" t="inlineStr">
        <is>
          <t>Madurai</t>
        </is>
      </c>
      <c r="F398" s="39" t="n">
        <v>14</v>
      </c>
      <c r="G398" s="39" t="inlineStr">
        <is>
          <t>Warframe</t>
        </is>
      </c>
      <c r="H398" s="39" t="inlineStr">
        <is>
          <t>Yes</t>
        </is>
      </c>
      <c r="I398" s="39" t="inlineStr">
        <is>
          <t>+55% Ability Duration</t>
        </is>
      </c>
    </row>
    <row r="399">
      <c r="A399" s="39" t="inlineStr">
        <is>
          <t>Nokko</t>
        </is>
      </c>
      <c r="B399" s="39" t="inlineStr">
        <is>
          <t>Mod 5</t>
        </is>
      </c>
      <c r="C399" s="39" t="inlineStr">
        <is>
          <t>Stretch</t>
        </is>
      </c>
      <c r="D399" s="39" t="n">
        <v>5</v>
      </c>
      <c r="E399" s="39" t="inlineStr">
        <is>
          <t>Naramon</t>
        </is>
      </c>
      <c r="F399" s="39" t="n">
        <v>9</v>
      </c>
      <c r="G399" s="39" t="inlineStr">
        <is>
          <t>Warframe</t>
        </is>
      </c>
      <c r="H399" s="39" t="inlineStr">
        <is>
          <t>Yes</t>
        </is>
      </c>
      <c r="I399" s="39" t="inlineStr">
        <is>
          <t>+45% Ability Range</t>
        </is>
      </c>
    </row>
    <row r="400">
      <c r="A400" s="39" t="inlineStr">
        <is>
          <t>Nokko</t>
        </is>
      </c>
      <c r="B400" s="39" t="inlineStr">
        <is>
          <t>Mod 6</t>
        </is>
      </c>
      <c r="C400" s="39" t="inlineStr">
        <is>
          <t>Primed Flow</t>
        </is>
      </c>
      <c r="D400" s="39" t="n">
        <v>10</v>
      </c>
      <c r="E400" s="39" t="inlineStr">
        <is>
          <t>Naramon</t>
        </is>
      </c>
      <c r="F400" s="39" t="n">
        <v>14</v>
      </c>
      <c r="G400" s="39" t="inlineStr">
        <is>
          <t>Warframe</t>
        </is>
      </c>
      <c r="H400" s="39" t="inlineStr">
        <is>
          <t>Yes</t>
        </is>
      </c>
      <c r="I400" s="39" t="inlineStr">
        <is>
          <t>+185% Energy Max</t>
        </is>
      </c>
    </row>
    <row r="401">
      <c r="A401" s="39" t="inlineStr">
        <is>
          <t>Nokko</t>
        </is>
      </c>
      <c r="B401" s="39" t="inlineStr">
        <is>
          <t>Mod 7</t>
        </is>
      </c>
      <c r="C401" s="39" t="inlineStr">
        <is>
          <t>Streamline</t>
        </is>
      </c>
      <c r="D401" s="39" t="n">
        <v>5</v>
      </c>
      <c r="E401" s="39" t="inlineStr">
        <is>
          <t>Naramon</t>
        </is>
      </c>
      <c r="F401" s="39" t="n">
        <v>9</v>
      </c>
      <c r="G401" s="39" t="inlineStr">
        <is>
          <t>Warframe</t>
        </is>
      </c>
      <c r="H401" s="39" t="inlineStr">
        <is>
          <t>Yes</t>
        </is>
      </c>
      <c r="I401" s="39" t="inlineStr">
        <is>
          <t>+30% Ability Efficiency</t>
        </is>
      </c>
    </row>
    <row r="402">
      <c r="A402" s="39" t="inlineStr">
        <is>
          <t>Nokko</t>
        </is>
      </c>
      <c r="B402" s="39" t="inlineStr">
        <is>
          <t>Mod 8</t>
        </is>
      </c>
      <c r="C402" s="39" t="inlineStr">
        <is>
          <t>Reroot Rampage</t>
        </is>
      </c>
      <c r="D402" s="39" t="n">
        <v>3</v>
      </c>
      <c r="E402" s="39" t="inlineStr">
        <is>
          <t>Zenurik</t>
        </is>
      </c>
      <c r="F402" s="39" t="n">
        <v>9</v>
      </c>
      <c r="G402" s="39" t="inlineStr">
        <is>
          <t>Nokko</t>
        </is>
      </c>
      <c r="H402" s="39" t="inlineStr">
        <is>
          <t>Yes</t>
        </is>
      </c>
      <c r="I402" s="39" t="inlineStr">
        <is>
          <t>Reroot Augment: Collecting Reroot orbs summons additional Sprodlings inflicting 250 &lt;DT_POISON_COLOR&gt; Toxin Damage with increased Critical Chance each hit.</t>
        </is>
      </c>
    </row>
    <row r="403">
      <c r="A403" s="39" t="inlineStr">
        <is>
          <t>Nova Prime</t>
        </is>
      </c>
      <c r="B403" s="39" t="inlineStr">
        <is>
          <t>Aura</t>
        </is>
      </c>
      <c r="C403" s="39" t="inlineStr">
        <is>
          <t>Growing Power</t>
        </is>
      </c>
      <c r="D403" s="39" t="n">
        <v>5</v>
      </c>
      <c r="E403" s="39" t="inlineStr">
        <is>
          <t>Madurai</t>
        </is>
      </c>
      <c r="F403" s="39" t="n">
        <v>3</v>
      </c>
      <c r="G403" s="39" t="inlineStr">
        <is>
          <t>Aura</t>
        </is>
      </c>
      <c r="H403" s="39" t="inlineStr">
        <is>
          <t>Yes</t>
        </is>
      </c>
      <c r="I403" s="39" t="inlineStr">
        <is>
          <t>On Status Effect with Weapon: Squad increases personal Ability Strength by 25% for 6s.</t>
        </is>
      </c>
    </row>
    <row r="404">
      <c r="A404" s="39" t="inlineStr">
        <is>
          <t>Nova Prime</t>
        </is>
      </c>
      <c r="B404" s="39" t="inlineStr">
        <is>
          <t>Exilus</t>
        </is>
      </c>
      <c r="C404" s="39" t="inlineStr">
        <is>
          <t>Power Drift</t>
        </is>
      </c>
      <c r="D404" s="39" t="n">
        <v>5</v>
      </c>
      <c r="E404" s="39" t="inlineStr">
        <is>
          <t>Zenurik</t>
        </is>
      </c>
      <c r="F404" s="39" t="n">
        <v>9</v>
      </c>
      <c r="G404" s="39" t="inlineStr">
        <is>
          <t>Warframe</t>
        </is>
      </c>
      <c r="H404" s="39" t="inlineStr">
        <is>
          <t>Yes</t>
        </is>
      </c>
      <c r="I404" s="39" t="inlineStr">
        <is>
          <t>+15% Ability Strength | +30% Chance to Resist Knockdown</t>
        </is>
      </c>
    </row>
    <row r="405">
      <c r="A405" s="39" t="inlineStr">
        <is>
          <t>Nova Prime</t>
        </is>
      </c>
      <c r="B405" s="39" t="inlineStr">
        <is>
          <t>Mod 1</t>
        </is>
      </c>
      <c r="C405" s="39" t="inlineStr">
        <is>
          <t>Umbral Intensify</t>
        </is>
      </c>
      <c r="D405" s="39" t="n">
        <v>10</v>
      </c>
      <c r="E405" s="39" t="inlineStr">
        <is>
          <t>Umbra</t>
        </is>
      </c>
      <c r="F405" s="39" t="n">
        <v>16</v>
      </c>
      <c r="G405" s="39" t="inlineStr">
        <is>
          <t>Warframe</t>
        </is>
      </c>
      <c r="H405" s="39" t="inlineStr">
        <is>
          <t>NO - account-bound</t>
        </is>
      </c>
      <c r="I405" s="39" t="inlineStr">
        <is>
          <t>+44% Ability Strength | +11% &lt;DT_SENTIENT&gt;Tau Resistance</t>
        </is>
      </c>
    </row>
    <row r="406">
      <c r="A406" s="39" t="inlineStr">
        <is>
          <t>Nova Prime</t>
        </is>
      </c>
      <c r="B406" s="39" t="inlineStr">
        <is>
          <t>Mod 2</t>
        </is>
      </c>
      <c r="C406" s="39" t="inlineStr">
        <is>
          <t>Primed Continuity</t>
        </is>
      </c>
      <c r="D406" s="39" t="n">
        <v>10</v>
      </c>
      <c r="E406" s="39" t="inlineStr">
        <is>
          <t>Madurai</t>
        </is>
      </c>
      <c r="F406" s="39" t="n">
        <v>14</v>
      </c>
      <c r="G406" s="39" t="inlineStr">
        <is>
          <t>Warframe</t>
        </is>
      </c>
      <c r="H406" s="39" t="inlineStr">
        <is>
          <t>Yes</t>
        </is>
      </c>
      <c r="I406" s="39" t="inlineStr">
        <is>
          <t>+55% Ability Duration</t>
        </is>
      </c>
    </row>
    <row r="407">
      <c r="A407" s="39" t="inlineStr">
        <is>
          <t>Nova Prime</t>
        </is>
      </c>
      <c r="B407" s="39" t="inlineStr">
        <is>
          <t>Mod 3</t>
        </is>
      </c>
      <c r="C407" s="39" t="inlineStr">
        <is>
          <t>Stretch</t>
        </is>
      </c>
      <c r="D407" s="39" t="n">
        <v>5</v>
      </c>
      <c r="E407" s="39" t="inlineStr">
        <is>
          <t>Naramon</t>
        </is>
      </c>
      <c r="F407" s="39" t="n">
        <v>9</v>
      </c>
      <c r="G407" s="39" t="inlineStr">
        <is>
          <t>Warframe</t>
        </is>
      </c>
      <c r="H407" s="39" t="inlineStr">
        <is>
          <t>Yes</t>
        </is>
      </c>
      <c r="I407" s="39" t="inlineStr">
        <is>
          <t>+45% Ability Range</t>
        </is>
      </c>
    </row>
    <row r="408">
      <c r="A408" s="39" t="inlineStr">
        <is>
          <t>Nova Prime</t>
        </is>
      </c>
      <c r="B408" s="39" t="inlineStr">
        <is>
          <t>Mod 4</t>
        </is>
      </c>
      <c r="C408" s="39" t="inlineStr">
        <is>
          <t>Augur Reach</t>
        </is>
      </c>
      <c r="D408" s="39" t="n">
        <v>5</v>
      </c>
      <c r="E408" s="39" t="inlineStr">
        <is>
          <t>Naramon</t>
        </is>
      </c>
      <c r="F408" s="39" t="n">
        <v>7</v>
      </c>
      <c r="G408" s="39" t="inlineStr">
        <is>
          <t>Warframe</t>
        </is>
      </c>
      <c r="H408" s="39" t="inlineStr">
        <is>
          <t>Yes</t>
        </is>
      </c>
      <c r="I408" s="39" t="inlineStr">
        <is>
          <t>+30% Ability Range</t>
        </is>
      </c>
    </row>
    <row r="409">
      <c r="A409" s="39" t="inlineStr">
        <is>
          <t>Nova Prime</t>
        </is>
      </c>
      <c r="B409" s="39" t="inlineStr">
        <is>
          <t>Mod 5</t>
        </is>
      </c>
      <c r="C409" s="39" t="inlineStr">
        <is>
          <t>Primed Flow</t>
        </is>
      </c>
      <c r="D409" s="39" t="n">
        <v>10</v>
      </c>
      <c r="E409" s="39" t="inlineStr">
        <is>
          <t>Naramon</t>
        </is>
      </c>
      <c r="F409" s="39" t="n">
        <v>14</v>
      </c>
      <c r="G409" s="39" t="inlineStr">
        <is>
          <t>Warframe</t>
        </is>
      </c>
      <c r="H409" s="39" t="inlineStr">
        <is>
          <t>Yes</t>
        </is>
      </c>
      <c r="I409" s="39" t="inlineStr">
        <is>
          <t>+185% Energy Max</t>
        </is>
      </c>
    </row>
    <row r="410">
      <c r="A410" s="39" t="inlineStr">
        <is>
          <t>Nova Prime</t>
        </is>
      </c>
      <c r="B410" s="39" t="inlineStr">
        <is>
          <t>Mod 6</t>
        </is>
      </c>
      <c r="C410" s="39" t="inlineStr">
        <is>
          <t>Streamline</t>
        </is>
      </c>
      <c r="D410" s="39" t="n">
        <v>5</v>
      </c>
      <c r="E410" s="39" t="inlineStr">
        <is>
          <t>Naramon</t>
        </is>
      </c>
      <c r="F410" s="39" t="n">
        <v>9</v>
      </c>
      <c r="G410" s="39" t="inlineStr">
        <is>
          <t>Warframe</t>
        </is>
      </c>
      <c r="H410" s="39" t="inlineStr">
        <is>
          <t>Yes</t>
        </is>
      </c>
      <c r="I410" s="39" t="inlineStr">
        <is>
          <t>+30% Ability Efficiency</t>
        </is>
      </c>
    </row>
    <row r="411">
      <c r="A411" s="39" t="inlineStr">
        <is>
          <t>Nova Prime</t>
        </is>
      </c>
      <c r="B411" s="39" t="inlineStr">
        <is>
          <t>Mod 7</t>
        </is>
      </c>
      <c r="C411" s="39" t="inlineStr">
        <is>
          <t>Umbral Vitality</t>
        </is>
      </c>
      <c r="D411" s="39" t="n">
        <v>10</v>
      </c>
      <c r="E411" s="39" t="inlineStr">
        <is>
          <t>Umbra</t>
        </is>
      </c>
      <c r="F411" s="39" t="n">
        <v>16</v>
      </c>
      <c r="G411" s="39" t="inlineStr">
        <is>
          <t>Warframe</t>
        </is>
      </c>
      <c r="H411" s="39" t="inlineStr">
        <is>
          <t>NO - account-bound</t>
        </is>
      </c>
      <c r="I411" s="39" t="inlineStr">
        <is>
          <t>+100% Health | +11% &lt;DT_SENTIENT&gt;Tau Resistance</t>
        </is>
      </c>
    </row>
    <row r="412">
      <c r="A412" s="39" t="inlineStr">
        <is>
          <t>Nova Prime</t>
        </is>
      </c>
      <c r="B412" s="39" t="inlineStr">
        <is>
          <t>Mod 8</t>
        </is>
      </c>
      <c r="C412" s="39" t="inlineStr">
        <is>
          <t>Molecular Fission</t>
        </is>
      </c>
      <c r="D412" s="39" t="n">
        <v>3</v>
      </c>
      <c r="E412" s="39" t="inlineStr">
        <is>
          <t>Zenurik</t>
        </is>
      </c>
      <c r="F412" s="39" t="n">
        <v>9</v>
      </c>
      <c r="G412" s="39" t="inlineStr">
        <is>
          <t>Nova</t>
        </is>
      </c>
      <c r="H412" s="39" t="inlineStr">
        <is>
          <t>Yes</t>
        </is>
      </c>
      <c r="I412" s="39" t="inlineStr">
        <is>
          <t>Molecular Prime Augment: Enemies hit by Null Stars are primed. When killed, primed enemies will restore a Null Star charge and have a 100% chance of restoring t</t>
        </is>
      </c>
    </row>
    <row r="413">
      <c r="A413" s="39" t="inlineStr">
        <is>
          <t>Nyx Prime</t>
        </is>
      </c>
      <c r="B413" s="39" t="inlineStr">
        <is>
          <t>Aura</t>
        </is>
      </c>
      <c r="C413" s="39" t="inlineStr">
        <is>
          <t>Growing Power</t>
        </is>
      </c>
      <c r="D413" s="39" t="n">
        <v>5</v>
      </c>
      <c r="E413" s="39" t="inlineStr">
        <is>
          <t>Madurai</t>
        </is>
      </c>
      <c r="F413" s="39" t="n">
        <v>3</v>
      </c>
      <c r="G413" s="39" t="inlineStr">
        <is>
          <t>Aura</t>
        </is>
      </c>
      <c r="H413" s="39" t="inlineStr">
        <is>
          <t>Yes</t>
        </is>
      </c>
      <c r="I413" s="39" t="inlineStr">
        <is>
          <t>On Status Effect with Weapon: Squad increases personal Ability Strength by 25% for 6s.</t>
        </is>
      </c>
    </row>
    <row r="414">
      <c r="A414" s="39" t="inlineStr">
        <is>
          <t>Nyx Prime</t>
        </is>
      </c>
      <c r="B414" s="39" t="inlineStr">
        <is>
          <t>Exilus</t>
        </is>
      </c>
      <c r="C414" s="39" t="inlineStr">
        <is>
          <t>Power Drift</t>
        </is>
      </c>
      <c r="D414" s="39" t="n">
        <v>5</v>
      </c>
      <c r="E414" s="39" t="inlineStr">
        <is>
          <t>Zenurik</t>
        </is>
      </c>
      <c r="F414" s="39" t="n">
        <v>9</v>
      </c>
      <c r="G414" s="39" t="inlineStr">
        <is>
          <t>Warframe</t>
        </is>
      </c>
      <c r="H414" s="39" t="inlineStr">
        <is>
          <t>Yes</t>
        </is>
      </c>
      <c r="I414" s="39" t="inlineStr">
        <is>
          <t>+15% Ability Strength | +30% Chance to Resist Knockdown</t>
        </is>
      </c>
    </row>
    <row r="415">
      <c r="A415" s="39" t="inlineStr">
        <is>
          <t>Nyx Prime</t>
        </is>
      </c>
      <c r="B415" s="39" t="inlineStr">
        <is>
          <t>Mod 1</t>
        </is>
      </c>
      <c r="C415" s="39" t="inlineStr">
        <is>
          <t>Umbral Intensify</t>
        </is>
      </c>
      <c r="D415" s="39" t="n">
        <v>10</v>
      </c>
      <c r="E415" s="39" t="inlineStr">
        <is>
          <t>Umbra</t>
        </is>
      </c>
      <c r="F415" s="39" t="n">
        <v>16</v>
      </c>
      <c r="G415" s="39" t="inlineStr">
        <is>
          <t>Warframe</t>
        </is>
      </c>
      <c r="H415" s="39" t="inlineStr">
        <is>
          <t>NO - account-bound</t>
        </is>
      </c>
      <c r="I415" s="39" t="inlineStr">
        <is>
          <t>+44% Ability Strength | +11% &lt;DT_SENTIENT&gt;Tau Resistance</t>
        </is>
      </c>
    </row>
    <row r="416">
      <c r="A416" s="39" t="inlineStr">
        <is>
          <t>Nyx Prime</t>
        </is>
      </c>
      <c r="B416" s="39" t="inlineStr">
        <is>
          <t>Mod 2</t>
        </is>
      </c>
      <c r="C416" s="39" t="inlineStr">
        <is>
          <t>Umbral Vitality</t>
        </is>
      </c>
      <c r="D416" s="39" t="n">
        <v>10</v>
      </c>
      <c r="E416" s="39" t="inlineStr">
        <is>
          <t>Umbra</t>
        </is>
      </c>
      <c r="F416" s="39" t="n">
        <v>16</v>
      </c>
      <c r="G416" s="39" t="inlineStr">
        <is>
          <t>Warframe</t>
        </is>
      </c>
      <c r="H416" s="39" t="inlineStr">
        <is>
          <t>NO - account-bound</t>
        </is>
      </c>
      <c r="I416" s="39" t="inlineStr">
        <is>
          <t>+100% Health | +11% &lt;DT_SENTIENT&gt;Tau Resistance</t>
        </is>
      </c>
    </row>
    <row r="417">
      <c r="A417" s="39" t="inlineStr">
        <is>
          <t>Nyx Prime</t>
        </is>
      </c>
      <c r="B417" s="39" t="inlineStr">
        <is>
          <t>Mod 3</t>
        </is>
      </c>
      <c r="C417" s="39" t="inlineStr">
        <is>
          <t>Umbral Fiber</t>
        </is>
      </c>
      <c r="D417" s="39" t="n">
        <v>10</v>
      </c>
      <c r="E417" s="39" t="inlineStr">
        <is>
          <t>Umbra</t>
        </is>
      </c>
      <c r="F417" s="39" t="n">
        <v>16</v>
      </c>
      <c r="G417" s="39" t="inlineStr">
        <is>
          <t>Warframe</t>
        </is>
      </c>
      <c r="H417" s="39" t="inlineStr">
        <is>
          <t>NO - account-bound</t>
        </is>
      </c>
      <c r="I417" s="39" t="inlineStr">
        <is>
          <t>+100% Armor | +11% &lt;DT_SENTIENT&gt;Tau Resistance</t>
        </is>
      </c>
    </row>
    <row r="418">
      <c r="A418" s="39" t="inlineStr">
        <is>
          <t>Nyx Prime</t>
        </is>
      </c>
      <c r="B418" s="39" t="inlineStr">
        <is>
          <t>Mod 4</t>
        </is>
      </c>
      <c r="C418" s="39" t="inlineStr">
        <is>
          <t>Primed Continuity</t>
        </is>
      </c>
      <c r="D418" s="39" t="n">
        <v>10</v>
      </c>
      <c r="E418" s="39" t="inlineStr">
        <is>
          <t>Madurai</t>
        </is>
      </c>
      <c r="F418" s="39" t="n">
        <v>14</v>
      </c>
      <c r="G418" s="39" t="inlineStr">
        <is>
          <t>Warframe</t>
        </is>
      </c>
      <c r="H418" s="39" t="inlineStr">
        <is>
          <t>Yes</t>
        </is>
      </c>
      <c r="I418" s="39" t="inlineStr">
        <is>
          <t>+55% Ability Duration</t>
        </is>
      </c>
    </row>
    <row r="419">
      <c r="A419" s="39" t="inlineStr">
        <is>
          <t>Nyx Prime</t>
        </is>
      </c>
      <c r="B419" s="39" t="inlineStr">
        <is>
          <t>Mod 5</t>
        </is>
      </c>
      <c r="C419" s="39" t="inlineStr">
        <is>
          <t>Stretch</t>
        </is>
      </c>
      <c r="D419" s="39" t="n">
        <v>5</v>
      </c>
      <c r="E419" s="39" t="inlineStr">
        <is>
          <t>Naramon</t>
        </is>
      </c>
      <c r="F419" s="39" t="n">
        <v>9</v>
      </c>
      <c r="G419" s="39" t="inlineStr">
        <is>
          <t>Warframe</t>
        </is>
      </c>
      <c r="H419" s="39" t="inlineStr">
        <is>
          <t>Yes</t>
        </is>
      </c>
      <c r="I419" s="39" t="inlineStr">
        <is>
          <t>+45% Ability Range</t>
        </is>
      </c>
    </row>
    <row r="420">
      <c r="A420" s="39" t="inlineStr">
        <is>
          <t>Nyx Prime</t>
        </is>
      </c>
      <c r="B420" s="39" t="inlineStr">
        <is>
          <t>Mod 6</t>
        </is>
      </c>
      <c r="C420" s="39" t="inlineStr">
        <is>
          <t>Primed Flow</t>
        </is>
      </c>
      <c r="D420" s="39" t="n">
        <v>10</v>
      </c>
      <c r="E420" s="39" t="inlineStr">
        <is>
          <t>Naramon</t>
        </is>
      </c>
      <c r="F420" s="39" t="n">
        <v>14</v>
      </c>
      <c r="G420" s="39" t="inlineStr">
        <is>
          <t>Warframe</t>
        </is>
      </c>
      <c r="H420" s="39" t="inlineStr">
        <is>
          <t>Yes</t>
        </is>
      </c>
      <c r="I420" s="39" t="inlineStr">
        <is>
          <t>+185% Energy Max</t>
        </is>
      </c>
    </row>
    <row r="421">
      <c r="A421" s="39" t="inlineStr">
        <is>
          <t>Nyx Prime</t>
        </is>
      </c>
      <c r="B421" s="39" t="inlineStr">
        <is>
          <t>Mod 7</t>
        </is>
      </c>
      <c r="C421" s="39" t="inlineStr">
        <is>
          <t>Streamline</t>
        </is>
      </c>
      <c r="D421" s="39" t="n">
        <v>5</v>
      </c>
      <c r="E421" s="39" t="inlineStr">
        <is>
          <t>Naramon</t>
        </is>
      </c>
      <c r="F421" s="39" t="n">
        <v>9</v>
      </c>
      <c r="G421" s="39" t="inlineStr">
        <is>
          <t>Warframe</t>
        </is>
      </c>
      <c r="H421" s="39" t="inlineStr">
        <is>
          <t>Yes</t>
        </is>
      </c>
      <c r="I421" s="39" t="inlineStr">
        <is>
          <t>+30% Ability Efficiency</t>
        </is>
      </c>
    </row>
    <row r="422">
      <c r="A422" s="39" t="inlineStr">
        <is>
          <t>Nyx Prime</t>
        </is>
      </c>
      <c r="B422" s="39" t="inlineStr">
        <is>
          <t>Mod 8</t>
        </is>
      </c>
      <c r="C422" s="39" t="inlineStr">
        <is>
          <t>Pacifying Bolts</t>
        </is>
      </c>
      <c r="D422" s="39" t="n">
        <v>3</v>
      </c>
      <c r="E422" s="39" t="inlineStr">
        <is>
          <t>Zenurik</t>
        </is>
      </c>
      <c r="F422" s="39" t="n">
        <v>9</v>
      </c>
      <c r="G422" s="39" t="inlineStr">
        <is>
          <t>Nyx</t>
        </is>
      </c>
      <c r="H422" s="39" t="inlineStr">
        <is>
          <t>Yes</t>
        </is>
      </c>
      <c r="I422" s="39" t="inlineStr">
        <is>
          <t>Psychic Bolts Augment: Throw an additional 3 force bolts with guaranteed &lt;DT_RADIATION_COLOR&gt;Radiation Status Effect. Enemies struck are confused for 10s.</t>
        </is>
      </c>
    </row>
    <row r="423">
      <c r="A423" s="39" t="inlineStr">
        <is>
          <t>Oberon Prime</t>
        </is>
      </c>
      <c r="B423" s="39" t="inlineStr">
        <is>
          <t>Aura</t>
        </is>
      </c>
      <c r="C423" s="39" t="inlineStr">
        <is>
          <t>Growing Power</t>
        </is>
      </c>
      <c r="D423" s="39" t="n">
        <v>5</v>
      </c>
      <c r="E423" s="39" t="inlineStr">
        <is>
          <t>Madurai</t>
        </is>
      </c>
      <c r="F423" s="39" t="n">
        <v>3</v>
      </c>
      <c r="G423" s="39" t="inlineStr">
        <is>
          <t>Aura</t>
        </is>
      </c>
      <c r="H423" s="39" t="inlineStr">
        <is>
          <t>Yes</t>
        </is>
      </c>
      <c r="I423" s="39" t="inlineStr">
        <is>
          <t>On Status Effect with Weapon: Squad increases personal Ability Strength by 25% for 6s.</t>
        </is>
      </c>
    </row>
    <row r="424">
      <c r="A424" s="39" t="inlineStr">
        <is>
          <t>Oberon Prime</t>
        </is>
      </c>
      <c r="B424" s="39" t="inlineStr">
        <is>
          <t>Exilus</t>
        </is>
      </c>
      <c r="C424" s="39" t="inlineStr">
        <is>
          <t>Power Drift</t>
        </is>
      </c>
      <c r="D424" s="39" t="n">
        <v>5</v>
      </c>
      <c r="E424" s="39" t="inlineStr">
        <is>
          <t>Zenurik</t>
        </is>
      </c>
      <c r="F424" s="39" t="n">
        <v>9</v>
      </c>
      <c r="G424" s="39" t="inlineStr">
        <is>
          <t>Warframe</t>
        </is>
      </c>
      <c r="H424" s="39" t="inlineStr">
        <is>
          <t>Yes</t>
        </is>
      </c>
      <c r="I424" s="39" t="inlineStr">
        <is>
          <t>+15% Ability Strength | +30% Chance to Resist Knockdown</t>
        </is>
      </c>
    </row>
    <row r="425">
      <c r="A425" s="39" t="inlineStr">
        <is>
          <t>Oberon Prime</t>
        </is>
      </c>
      <c r="B425" s="39" t="inlineStr">
        <is>
          <t>Mod 1</t>
        </is>
      </c>
      <c r="C425" s="39" t="inlineStr">
        <is>
          <t>Umbral Intensify</t>
        </is>
      </c>
      <c r="D425" s="39" t="n">
        <v>10</v>
      </c>
      <c r="E425" s="39" t="inlineStr">
        <is>
          <t>Umbra</t>
        </is>
      </c>
      <c r="F425" s="39" t="n">
        <v>16</v>
      </c>
      <c r="G425" s="39" t="inlineStr">
        <is>
          <t>Warframe</t>
        </is>
      </c>
      <c r="H425" s="39" t="inlineStr">
        <is>
          <t>NO - account-bound</t>
        </is>
      </c>
      <c r="I425" s="39" t="inlineStr">
        <is>
          <t>+44% Ability Strength | +11% &lt;DT_SENTIENT&gt;Tau Resistance</t>
        </is>
      </c>
    </row>
    <row r="426">
      <c r="A426" s="39" t="inlineStr">
        <is>
          <t>Oberon Prime</t>
        </is>
      </c>
      <c r="B426" s="39" t="inlineStr">
        <is>
          <t>Mod 2</t>
        </is>
      </c>
      <c r="C426" s="39" t="inlineStr">
        <is>
          <t>Umbral Vitality</t>
        </is>
      </c>
      <c r="D426" s="39" t="n">
        <v>10</v>
      </c>
      <c r="E426" s="39" t="inlineStr">
        <is>
          <t>Umbra</t>
        </is>
      </c>
      <c r="F426" s="39" t="n">
        <v>16</v>
      </c>
      <c r="G426" s="39" t="inlineStr">
        <is>
          <t>Warframe</t>
        </is>
      </c>
      <c r="H426" s="39" t="inlineStr">
        <is>
          <t>NO - account-bound</t>
        </is>
      </c>
      <c r="I426" s="39" t="inlineStr">
        <is>
          <t>+100% Health | +11% &lt;DT_SENTIENT&gt;Tau Resistance</t>
        </is>
      </c>
    </row>
    <row r="427">
      <c r="A427" s="39" t="inlineStr">
        <is>
          <t>Oberon Prime</t>
        </is>
      </c>
      <c r="B427" s="39" t="inlineStr">
        <is>
          <t>Mod 3</t>
        </is>
      </c>
      <c r="C427" s="39" t="inlineStr">
        <is>
          <t>Umbral Fiber</t>
        </is>
      </c>
      <c r="D427" s="39" t="n">
        <v>10</v>
      </c>
      <c r="E427" s="39" t="inlineStr">
        <is>
          <t>Umbra</t>
        </is>
      </c>
      <c r="F427" s="39" t="n">
        <v>16</v>
      </c>
      <c r="G427" s="39" t="inlineStr">
        <is>
          <t>Warframe</t>
        </is>
      </c>
      <c r="H427" s="39" t="inlineStr">
        <is>
          <t>NO - account-bound</t>
        </is>
      </c>
      <c r="I427" s="39" t="inlineStr">
        <is>
          <t>+100% Armor | +11% &lt;DT_SENTIENT&gt;Tau Resistance</t>
        </is>
      </c>
    </row>
    <row r="428">
      <c r="A428" s="39" t="inlineStr">
        <is>
          <t>Oberon Prime</t>
        </is>
      </c>
      <c r="B428" s="39" t="inlineStr">
        <is>
          <t>Mod 4</t>
        </is>
      </c>
      <c r="C428" s="39" t="inlineStr">
        <is>
          <t>Primed Continuity</t>
        </is>
      </c>
      <c r="D428" s="39" t="n">
        <v>10</v>
      </c>
      <c r="E428" s="39" t="inlineStr">
        <is>
          <t>Madurai</t>
        </is>
      </c>
      <c r="F428" s="39" t="n">
        <v>14</v>
      </c>
      <c r="G428" s="39" t="inlineStr">
        <is>
          <t>Warframe</t>
        </is>
      </c>
      <c r="H428" s="39" t="inlineStr">
        <is>
          <t>Yes</t>
        </is>
      </c>
      <c r="I428" s="39" t="inlineStr">
        <is>
          <t>+55% Ability Duration</t>
        </is>
      </c>
    </row>
    <row r="429">
      <c r="A429" s="39" t="inlineStr">
        <is>
          <t>Oberon Prime</t>
        </is>
      </c>
      <c r="B429" s="39" t="inlineStr">
        <is>
          <t>Mod 5</t>
        </is>
      </c>
      <c r="C429" s="39" t="inlineStr">
        <is>
          <t>Stretch</t>
        </is>
      </c>
      <c r="D429" s="39" t="n">
        <v>5</v>
      </c>
      <c r="E429" s="39" t="inlineStr">
        <is>
          <t>Naramon</t>
        </is>
      </c>
      <c r="F429" s="39" t="n">
        <v>9</v>
      </c>
      <c r="G429" s="39" t="inlineStr">
        <is>
          <t>Warframe</t>
        </is>
      </c>
      <c r="H429" s="39" t="inlineStr">
        <is>
          <t>Yes</t>
        </is>
      </c>
      <c r="I429" s="39" t="inlineStr">
        <is>
          <t>+45% Ability Range</t>
        </is>
      </c>
    </row>
    <row r="430">
      <c r="A430" s="39" t="inlineStr">
        <is>
          <t>Oberon Prime</t>
        </is>
      </c>
      <c r="B430" s="39" t="inlineStr">
        <is>
          <t>Mod 6</t>
        </is>
      </c>
      <c r="C430" s="39" t="inlineStr">
        <is>
          <t>Primed Flow</t>
        </is>
      </c>
      <c r="D430" s="39" t="n">
        <v>10</v>
      </c>
      <c r="E430" s="39" t="inlineStr">
        <is>
          <t>Naramon</t>
        </is>
      </c>
      <c r="F430" s="39" t="n">
        <v>14</v>
      </c>
      <c r="G430" s="39" t="inlineStr">
        <is>
          <t>Warframe</t>
        </is>
      </c>
      <c r="H430" s="39" t="inlineStr">
        <is>
          <t>Yes</t>
        </is>
      </c>
      <c r="I430" s="39" t="inlineStr">
        <is>
          <t>+185% Energy Max</t>
        </is>
      </c>
    </row>
    <row r="431">
      <c r="A431" s="39" t="inlineStr">
        <is>
          <t>Oberon Prime</t>
        </is>
      </c>
      <c r="B431" s="39" t="inlineStr">
        <is>
          <t>Mod 7</t>
        </is>
      </c>
      <c r="C431" s="39" t="inlineStr">
        <is>
          <t>Streamline</t>
        </is>
      </c>
      <c r="D431" s="39" t="n">
        <v>5</v>
      </c>
      <c r="E431" s="39" t="inlineStr">
        <is>
          <t>Naramon</t>
        </is>
      </c>
      <c r="F431" s="39" t="n">
        <v>9</v>
      </c>
      <c r="G431" s="39" t="inlineStr">
        <is>
          <t>Warframe</t>
        </is>
      </c>
      <c r="H431" s="39" t="inlineStr">
        <is>
          <t>Yes</t>
        </is>
      </c>
      <c r="I431" s="39" t="inlineStr">
        <is>
          <t>+30% Ability Efficiency</t>
        </is>
      </c>
    </row>
    <row r="432">
      <c r="A432" s="39" t="inlineStr">
        <is>
          <t>Oberon Prime</t>
        </is>
      </c>
      <c r="B432" s="39" t="inlineStr">
        <is>
          <t>Mod 8</t>
        </is>
      </c>
      <c r="C432" s="39" t="inlineStr">
        <is>
          <t>Hallowed Reckoning</t>
        </is>
      </c>
      <c r="D432" s="39" t="n">
        <v>3</v>
      </c>
      <c r="E432" s="39" t="inlineStr">
        <is>
          <t>Zenurik</t>
        </is>
      </c>
      <c r="F432" s="39" t="n">
        <v>9</v>
      </c>
      <c r="G432" s="39" t="inlineStr">
        <is>
          <t>Oberon</t>
        </is>
      </c>
      <c r="H432" s="39" t="inlineStr">
        <is>
          <t>Yes</t>
        </is>
      </c>
      <c r="I432" s="39" t="inlineStr">
        <is>
          <t>Reckoning Augment: Reckoning gains +40% range. A 3m radius around each affected enemy grants bonus armor to allies and deals 300 damage per second to enemies.</t>
        </is>
      </c>
    </row>
    <row r="433">
      <c r="A433" s="39" t="inlineStr">
        <is>
          <t>Octavia Prime</t>
        </is>
      </c>
      <c r="B433" s="39" t="inlineStr">
        <is>
          <t>Aura</t>
        </is>
      </c>
      <c r="C433" s="39" t="inlineStr">
        <is>
          <t>Growing Power</t>
        </is>
      </c>
      <c r="D433" s="39" t="n">
        <v>5</v>
      </c>
      <c r="E433" s="39" t="inlineStr">
        <is>
          <t>Madurai</t>
        </is>
      </c>
      <c r="F433" s="39" t="n">
        <v>3</v>
      </c>
      <c r="G433" s="39" t="inlineStr">
        <is>
          <t>Aura</t>
        </is>
      </c>
      <c r="H433" s="39" t="inlineStr">
        <is>
          <t>Yes</t>
        </is>
      </c>
      <c r="I433" s="39" t="inlineStr">
        <is>
          <t>On Status Effect with Weapon: Squad increases personal Ability Strength by 25% for 6s.</t>
        </is>
      </c>
    </row>
    <row r="434">
      <c r="A434" s="39" t="inlineStr">
        <is>
          <t>Octavia Prime</t>
        </is>
      </c>
      <c r="B434" s="39" t="inlineStr">
        <is>
          <t>Exilus</t>
        </is>
      </c>
      <c r="C434" s="39" t="inlineStr">
        <is>
          <t>Conductor</t>
        </is>
      </c>
      <c r="D434" s="39" t="n">
        <v>3</v>
      </c>
      <c r="E434" s="39" t="inlineStr">
        <is>
          <t>Zenurik</t>
        </is>
      </c>
      <c r="F434" s="39" t="n">
        <v>9</v>
      </c>
      <c r="G434" s="39" t="inlineStr">
        <is>
          <t>Octavia</t>
        </is>
      </c>
      <c r="H434" s="39" t="inlineStr">
        <is>
          <t>Yes</t>
        </is>
      </c>
      <c r="I434" s="39" t="inlineStr">
        <is>
          <t>Resonator Augment: Reactivate the ability to command Resonator to move to your aim point at 150% Speed.</t>
        </is>
      </c>
    </row>
    <row r="435">
      <c r="A435" s="39" t="inlineStr">
        <is>
          <t>Octavia Prime</t>
        </is>
      </c>
      <c r="B435" s="39" t="inlineStr">
        <is>
          <t>Mod 1</t>
        </is>
      </c>
      <c r="C435" s="39" t="inlineStr">
        <is>
          <t>Umbral Intensify</t>
        </is>
      </c>
      <c r="D435" s="39" t="n">
        <v>10</v>
      </c>
      <c r="E435" s="39" t="inlineStr">
        <is>
          <t>Umbra</t>
        </is>
      </c>
      <c r="F435" s="39" t="n">
        <v>16</v>
      </c>
      <c r="G435" s="39" t="inlineStr">
        <is>
          <t>Warframe</t>
        </is>
      </c>
      <c r="H435" s="39" t="inlineStr">
        <is>
          <t>NO - account-bound</t>
        </is>
      </c>
      <c r="I435" s="39" t="inlineStr">
        <is>
          <t>+44% Ability Strength | +11% &lt;DT_SENTIENT&gt;Tau Resistance</t>
        </is>
      </c>
    </row>
    <row r="436">
      <c r="A436" s="39" t="inlineStr">
        <is>
          <t>Octavia Prime</t>
        </is>
      </c>
      <c r="B436" s="39" t="inlineStr">
        <is>
          <t>Mod 2</t>
        </is>
      </c>
      <c r="C436" s="39" t="inlineStr">
        <is>
          <t>Primed Continuity</t>
        </is>
      </c>
      <c r="D436" s="39" t="n">
        <v>10</v>
      </c>
      <c r="E436" s="39" t="inlineStr">
        <is>
          <t>Madurai</t>
        </is>
      </c>
      <c r="F436" s="39" t="n">
        <v>14</v>
      </c>
      <c r="G436" s="39" t="inlineStr">
        <is>
          <t>Warframe</t>
        </is>
      </c>
      <c r="H436" s="39" t="inlineStr">
        <is>
          <t>Yes</t>
        </is>
      </c>
      <c r="I436" s="39" t="inlineStr">
        <is>
          <t>+55% Ability Duration</t>
        </is>
      </c>
    </row>
    <row r="437">
      <c r="A437" s="39" t="inlineStr">
        <is>
          <t>Octavia Prime</t>
        </is>
      </c>
      <c r="B437" s="39" t="inlineStr">
        <is>
          <t>Mod 3</t>
        </is>
      </c>
      <c r="C437" s="39" t="inlineStr">
        <is>
          <t>Stretch</t>
        </is>
      </c>
      <c r="D437" s="39" t="n">
        <v>5</v>
      </c>
      <c r="E437" s="39" t="inlineStr">
        <is>
          <t>Naramon</t>
        </is>
      </c>
      <c r="F437" s="39" t="n">
        <v>9</v>
      </c>
      <c r="G437" s="39" t="inlineStr">
        <is>
          <t>Warframe</t>
        </is>
      </c>
      <c r="H437" s="39" t="inlineStr">
        <is>
          <t>Yes</t>
        </is>
      </c>
      <c r="I437" s="39" t="inlineStr">
        <is>
          <t>+45% Ability Range</t>
        </is>
      </c>
    </row>
    <row r="438">
      <c r="A438" s="39" t="inlineStr">
        <is>
          <t>Octavia Prime</t>
        </is>
      </c>
      <c r="B438" s="39" t="inlineStr">
        <is>
          <t>Mod 4</t>
        </is>
      </c>
      <c r="C438" s="39" t="inlineStr">
        <is>
          <t>Augur Reach</t>
        </is>
      </c>
      <c r="D438" s="39" t="n">
        <v>5</v>
      </c>
      <c r="E438" s="39" t="inlineStr">
        <is>
          <t>Naramon</t>
        </is>
      </c>
      <c r="F438" s="39" t="n">
        <v>7</v>
      </c>
      <c r="G438" s="39" t="inlineStr">
        <is>
          <t>Warframe</t>
        </is>
      </c>
      <c r="H438" s="39" t="inlineStr">
        <is>
          <t>Yes</t>
        </is>
      </c>
      <c r="I438" s="39" t="inlineStr">
        <is>
          <t>+30% Ability Range</t>
        </is>
      </c>
    </row>
    <row r="439">
      <c r="A439" s="39" t="inlineStr">
        <is>
          <t>Octavia Prime</t>
        </is>
      </c>
      <c r="B439" s="39" t="inlineStr">
        <is>
          <t>Mod 5</t>
        </is>
      </c>
      <c r="C439" s="39" t="inlineStr">
        <is>
          <t>Primed Flow</t>
        </is>
      </c>
      <c r="D439" s="39" t="n">
        <v>10</v>
      </c>
      <c r="E439" s="39" t="inlineStr">
        <is>
          <t>Naramon</t>
        </is>
      </c>
      <c r="F439" s="39" t="n">
        <v>14</v>
      </c>
      <c r="G439" s="39" t="inlineStr">
        <is>
          <t>Warframe</t>
        </is>
      </c>
      <c r="H439" s="39" t="inlineStr">
        <is>
          <t>Yes</t>
        </is>
      </c>
      <c r="I439" s="39" t="inlineStr">
        <is>
          <t>+185% Energy Max</t>
        </is>
      </c>
    </row>
    <row r="440">
      <c r="A440" s="39" t="inlineStr">
        <is>
          <t>Octavia Prime</t>
        </is>
      </c>
      <c r="B440" s="39" t="inlineStr">
        <is>
          <t>Mod 6</t>
        </is>
      </c>
      <c r="C440" s="39" t="inlineStr">
        <is>
          <t>Streamline</t>
        </is>
      </c>
      <c r="D440" s="39" t="n">
        <v>5</v>
      </c>
      <c r="E440" s="39" t="inlineStr">
        <is>
          <t>Naramon</t>
        </is>
      </c>
      <c r="F440" s="39" t="n">
        <v>9</v>
      </c>
      <c r="G440" s="39" t="inlineStr">
        <is>
          <t>Warframe</t>
        </is>
      </c>
      <c r="H440" s="39" t="inlineStr">
        <is>
          <t>Yes</t>
        </is>
      </c>
      <c r="I440" s="39" t="inlineStr">
        <is>
          <t>+30% Ability Efficiency</t>
        </is>
      </c>
    </row>
    <row r="441">
      <c r="A441" s="39" t="inlineStr">
        <is>
          <t>Octavia Prime</t>
        </is>
      </c>
      <c r="B441" s="39" t="inlineStr">
        <is>
          <t>Mod 7</t>
        </is>
      </c>
      <c r="C441" s="39" t="inlineStr">
        <is>
          <t>Umbral Vitality</t>
        </is>
      </c>
      <c r="D441" s="39" t="n">
        <v>10</v>
      </c>
      <c r="E441" s="39" t="inlineStr">
        <is>
          <t>Umbra</t>
        </is>
      </c>
      <c r="F441" s="39" t="n">
        <v>16</v>
      </c>
      <c r="G441" s="39" t="inlineStr">
        <is>
          <t>Warframe</t>
        </is>
      </c>
      <c r="H441" s="39" t="inlineStr">
        <is>
          <t>NO - account-bound</t>
        </is>
      </c>
      <c r="I441" s="39" t="inlineStr">
        <is>
          <t>+100% Health | +11% &lt;DT_SENTIENT&gt;Tau Resistance</t>
        </is>
      </c>
    </row>
    <row r="442">
      <c r="A442" s="39" t="inlineStr">
        <is>
          <t>Octavia Prime</t>
        </is>
      </c>
      <c r="B442" s="39" t="inlineStr">
        <is>
          <t>Mod 8</t>
        </is>
      </c>
      <c r="C442" s="39" t="inlineStr">
        <is>
          <t>Partitioned Mallet</t>
        </is>
      </c>
      <c r="D442" s="39" t="n">
        <v>3</v>
      </c>
      <c r="E442" s="39" t="inlineStr">
        <is>
          <t>Zenurik</t>
        </is>
      </c>
      <c r="F442" s="39" t="n">
        <v>9</v>
      </c>
      <c r="G442" s="39" t="inlineStr">
        <is>
          <t>Octavia</t>
        </is>
      </c>
      <c r="H442" s="39" t="inlineStr">
        <is>
          <t>Yes</t>
        </is>
      </c>
      <c r="I442" s="39" t="inlineStr">
        <is>
          <t>Mallet Augment: Create an additional Mallet with 20% reduced range.</t>
        </is>
      </c>
    </row>
    <row r="443">
      <c r="A443" s="39" t="inlineStr">
        <is>
          <t>Oraxia</t>
        </is>
      </c>
      <c r="B443" s="39" t="inlineStr">
        <is>
          <t>Aura</t>
        </is>
      </c>
      <c r="C443" s="39" t="inlineStr">
        <is>
          <t>Growing Power</t>
        </is>
      </c>
      <c r="D443" s="39" t="n">
        <v>5</v>
      </c>
      <c r="E443" s="39" t="inlineStr">
        <is>
          <t>Madurai</t>
        </is>
      </c>
      <c r="F443" s="39" t="n">
        <v>3</v>
      </c>
      <c r="G443" s="39" t="inlineStr">
        <is>
          <t>Aura</t>
        </is>
      </c>
      <c r="H443" s="39" t="inlineStr">
        <is>
          <t>Yes</t>
        </is>
      </c>
      <c r="I443" s="39" t="inlineStr">
        <is>
          <t>On Status Effect with Weapon: Squad increases personal Ability Strength by 25% for 6s.</t>
        </is>
      </c>
    </row>
    <row r="444">
      <c r="A444" s="39" t="inlineStr">
        <is>
          <t>Oraxia</t>
        </is>
      </c>
      <c r="B444" s="39" t="inlineStr">
        <is>
          <t>Exilus</t>
        </is>
      </c>
      <c r="C444" s="39" t="inlineStr">
        <is>
          <t>Power Drift</t>
        </is>
      </c>
      <c r="D444" s="39" t="n">
        <v>5</v>
      </c>
      <c r="E444" s="39" t="inlineStr">
        <is>
          <t>Zenurik</t>
        </is>
      </c>
      <c r="F444" s="39" t="n">
        <v>9</v>
      </c>
      <c r="G444" s="39" t="inlineStr">
        <is>
          <t>Warframe</t>
        </is>
      </c>
      <c r="H444" s="39" t="inlineStr">
        <is>
          <t>Yes</t>
        </is>
      </c>
      <c r="I444" s="39" t="inlineStr">
        <is>
          <t>+15% Ability Strength | +30% Chance to Resist Knockdown</t>
        </is>
      </c>
    </row>
    <row r="445">
      <c r="A445" s="39" t="inlineStr">
        <is>
          <t>Oraxia</t>
        </is>
      </c>
      <c r="B445" s="39" t="inlineStr">
        <is>
          <t>Mod 1</t>
        </is>
      </c>
      <c r="C445" s="39" t="inlineStr">
        <is>
          <t>Umbral Intensify</t>
        </is>
      </c>
      <c r="D445" s="39" t="n">
        <v>10</v>
      </c>
      <c r="E445" s="39" t="inlineStr">
        <is>
          <t>Umbra</t>
        </is>
      </c>
      <c r="F445" s="39" t="n">
        <v>16</v>
      </c>
      <c r="G445" s="39" t="inlineStr">
        <is>
          <t>Warframe</t>
        </is>
      </c>
      <c r="H445" s="39" t="inlineStr">
        <is>
          <t>NO - account-bound</t>
        </is>
      </c>
      <c r="I445" s="39" t="inlineStr">
        <is>
          <t>+44% Ability Strength | +11% &lt;DT_SENTIENT&gt;Tau Resistance</t>
        </is>
      </c>
    </row>
    <row r="446">
      <c r="A446" s="39" t="inlineStr">
        <is>
          <t>Oraxia</t>
        </is>
      </c>
      <c r="B446" s="39" t="inlineStr">
        <is>
          <t>Mod 2</t>
        </is>
      </c>
      <c r="C446" s="39" t="inlineStr">
        <is>
          <t>Umbral Vitality</t>
        </is>
      </c>
      <c r="D446" s="39" t="n">
        <v>10</v>
      </c>
      <c r="E446" s="39" t="inlineStr">
        <is>
          <t>Umbra</t>
        </is>
      </c>
      <c r="F446" s="39" t="n">
        <v>16</v>
      </c>
      <c r="G446" s="39" t="inlineStr">
        <is>
          <t>Warframe</t>
        </is>
      </c>
      <c r="H446" s="39" t="inlineStr">
        <is>
          <t>NO - account-bound</t>
        </is>
      </c>
      <c r="I446" s="39" t="inlineStr">
        <is>
          <t>+100% Health | +11% &lt;DT_SENTIENT&gt;Tau Resistance</t>
        </is>
      </c>
    </row>
    <row r="447">
      <c r="A447" s="39" t="inlineStr">
        <is>
          <t>Oraxia</t>
        </is>
      </c>
      <c r="B447" s="39" t="inlineStr">
        <is>
          <t>Mod 3</t>
        </is>
      </c>
      <c r="C447" s="39" t="inlineStr">
        <is>
          <t>Umbral Fiber</t>
        </is>
      </c>
      <c r="D447" s="39" t="n">
        <v>10</v>
      </c>
      <c r="E447" s="39" t="inlineStr">
        <is>
          <t>Umbra</t>
        </is>
      </c>
      <c r="F447" s="39" t="n">
        <v>16</v>
      </c>
      <c r="G447" s="39" t="inlineStr">
        <is>
          <t>Warframe</t>
        </is>
      </c>
      <c r="H447" s="39" t="inlineStr">
        <is>
          <t>NO - account-bound</t>
        </is>
      </c>
      <c r="I447" s="39" t="inlineStr">
        <is>
          <t>+100% Armor | +11% &lt;DT_SENTIENT&gt;Tau Resistance</t>
        </is>
      </c>
    </row>
    <row r="448">
      <c r="A448" s="39" t="inlineStr">
        <is>
          <t>Oraxia</t>
        </is>
      </c>
      <c r="B448" s="39" t="inlineStr">
        <is>
          <t>Mod 4</t>
        </is>
      </c>
      <c r="C448" s="39" t="inlineStr">
        <is>
          <t>Primed Continuity</t>
        </is>
      </c>
      <c r="D448" s="39" t="n">
        <v>10</v>
      </c>
      <c r="E448" s="39" t="inlineStr">
        <is>
          <t>Madurai</t>
        </is>
      </c>
      <c r="F448" s="39" t="n">
        <v>14</v>
      </c>
      <c r="G448" s="39" t="inlineStr">
        <is>
          <t>Warframe</t>
        </is>
      </c>
      <c r="H448" s="39" t="inlineStr">
        <is>
          <t>Yes</t>
        </is>
      </c>
      <c r="I448" s="39" t="inlineStr">
        <is>
          <t>+55% Ability Duration</t>
        </is>
      </c>
    </row>
    <row r="449">
      <c r="A449" s="39" t="inlineStr">
        <is>
          <t>Oraxia</t>
        </is>
      </c>
      <c r="B449" s="39" t="inlineStr">
        <is>
          <t>Mod 5</t>
        </is>
      </c>
      <c r="C449" s="39" t="inlineStr">
        <is>
          <t>Stretch</t>
        </is>
      </c>
      <c r="D449" s="39" t="n">
        <v>5</v>
      </c>
      <c r="E449" s="39" t="inlineStr">
        <is>
          <t>Naramon</t>
        </is>
      </c>
      <c r="F449" s="39" t="n">
        <v>9</v>
      </c>
      <c r="G449" s="39" t="inlineStr">
        <is>
          <t>Warframe</t>
        </is>
      </c>
      <c r="H449" s="39" t="inlineStr">
        <is>
          <t>Yes</t>
        </is>
      </c>
      <c r="I449" s="39" t="inlineStr">
        <is>
          <t>+45% Ability Range</t>
        </is>
      </c>
    </row>
    <row r="450">
      <c r="A450" s="39" t="inlineStr">
        <is>
          <t>Oraxia</t>
        </is>
      </c>
      <c r="B450" s="39" t="inlineStr">
        <is>
          <t>Mod 6</t>
        </is>
      </c>
      <c r="C450" s="39" t="inlineStr">
        <is>
          <t>Primed Flow</t>
        </is>
      </c>
      <c r="D450" s="39" t="n">
        <v>10</v>
      </c>
      <c r="E450" s="39" t="inlineStr">
        <is>
          <t>Naramon</t>
        </is>
      </c>
      <c r="F450" s="39" t="n">
        <v>14</v>
      </c>
      <c r="G450" s="39" t="inlineStr">
        <is>
          <t>Warframe</t>
        </is>
      </c>
      <c r="H450" s="39" t="inlineStr">
        <is>
          <t>Yes</t>
        </is>
      </c>
      <c r="I450" s="39" t="inlineStr">
        <is>
          <t>+185% Energy Max</t>
        </is>
      </c>
    </row>
    <row r="451">
      <c r="A451" s="39" t="inlineStr">
        <is>
          <t>Oraxia</t>
        </is>
      </c>
      <c r="B451" s="39" t="inlineStr">
        <is>
          <t>Mod 7</t>
        </is>
      </c>
      <c r="C451" s="39" t="inlineStr">
        <is>
          <t>Streamline</t>
        </is>
      </c>
      <c r="D451" s="39" t="n">
        <v>5</v>
      </c>
      <c r="E451" s="39" t="inlineStr">
        <is>
          <t>Naramon</t>
        </is>
      </c>
      <c r="F451" s="39" t="n">
        <v>9</v>
      </c>
      <c r="G451" s="39" t="inlineStr">
        <is>
          <t>Warframe</t>
        </is>
      </c>
      <c r="H451" s="39" t="inlineStr">
        <is>
          <t>Yes</t>
        </is>
      </c>
      <c r="I451" s="39" t="inlineStr">
        <is>
          <t>+30% Ability Efficiency</t>
        </is>
      </c>
    </row>
    <row r="452">
      <c r="A452" s="39" t="inlineStr">
        <is>
          <t>Oraxia</t>
        </is>
      </c>
      <c r="B452" s="39" t="inlineStr">
        <is>
          <t>Mod 8</t>
        </is>
      </c>
      <c r="C452" s="39" t="inlineStr">
        <is>
          <t>Brood's Oversurge</t>
        </is>
      </c>
      <c r="D452" s="39" t="n">
        <v>3</v>
      </c>
      <c r="E452" s="39" t="inlineStr">
        <is>
          <t>Zenurik</t>
        </is>
      </c>
      <c r="F452" s="39" t="n">
        <v>9</v>
      </c>
      <c r="G452" s="39" t="inlineStr">
        <is>
          <t>Oraxia</t>
        </is>
      </c>
      <c r="H452" s="39" t="inlineStr">
        <is>
          <t>Yes</t>
        </is>
      </c>
      <c r="I452" s="39" t="inlineStr">
        <is>
          <t>Widow's Brood Augment: Scuttlers are galvanized with Electricity. Hold to direct all Scuttlers at the aimed target, inflicting 2000 &lt;DT_ELECTRICITY_COLOR&gt; Elect</t>
        </is>
      </c>
    </row>
    <row r="453">
      <c r="A453" s="39" t="inlineStr">
        <is>
          <t>Protea Prime</t>
        </is>
      </c>
      <c r="B453" s="39" t="inlineStr">
        <is>
          <t>Aura</t>
        </is>
      </c>
      <c r="C453" s="39" t="inlineStr">
        <is>
          <t>Growing Power</t>
        </is>
      </c>
      <c r="D453" s="39" t="n">
        <v>5</v>
      </c>
      <c r="E453" s="39" t="inlineStr">
        <is>
          <t>Madurai</t>
        </is>
      </c>
      <c r="F453" s="39" t="n">
        <v>3</v>
      </c>
      <c r="G453" s="39" t="inlineStr">
        <is>
          <t>Aura</t>
        </is>
      </c>
      <c r="H453" s="39" t="inlineStr">
        <is>
          <t>Yes</t>
        </is>
      </c>
      <c r="I453" s="39" t="inlineStr">
        <is>
          <t>On Status Effect with Weapon: Squad increases personal Ability Strength by 25% for 6s.</t>
        </is>
      </c>
    </row>
    <row r="454">
      <c r="A454" s="39" t="inlineStr">
        <is>
          <t>Protea Prime</t>
        </is>
      </c>
      <c r="B454" s="39" t="inlineStr">
        <is>
          <t>Exilus</t>
        </is>
      </c>
      <c r="C454" s="39" t="inlineStr">
        <is>
          <t>Power Drift</t>
        </is>
      </c>
      <c r="D454" s="39" t="n">
        <v>5</v>
      </c>
      <c r="E454" s="39" t="inlineStr">
        <is>
          <t>Zenurik</t>
        </is>
      </c>
      <c r="F454" s="39" t="n">
        <v>9</v>
      </c>
      <c r="G454" s="39" t="inlineStr">
        <is>
          <t>Warframe</t>
        </is>
      </c>
      <c r="H454" s="39" t="inlineStr">
        <is>
          <t>Yes</t>
        </is>
      </c>
      <c r="I454" s="39" t="inlineStr">
        <is>
          <t>+15% Ability Strength | +30% Chance to Resist Knockdown</t>
        </is>
      </c>
    </row>
    <row r="455">
      <c r="A455" s="39" t="inlineStr">
        <is>
          <t>Protea Prime</t>
        </is>
      </c>
      <c r="B455" s="39" t="inlineStr">
        <is>
          <t>Mod 1</t>
        </is>
      </c>
      <c r="C455" s="39" t="inlineStr">
        <is>
          <t>Umbral Intensify</t>
        </is>
      </c>
      <c r="D455" s="39" t="n">
        <v>10</v>
      </c>
      <c r="E455" s="39" t="inlineStr">
        <is>
          <t>Umbra</t>
        </is>
      </c>
      <c r="F455" s="39" t="n">
        <v>16</v>
      </c>
      <c r="G455" s="39" t="inlineStr">
        <is>
          <t>Warframe</t>
        </is>
      </c>
      <c r="H455" s="39" t="inlineStr">
        <is>
          <t>NO - account-bound</t>
        </is>
      </c>
      <c r="I455" s="39" t="inlineStr">
        <is>
          <t>+44% Ability Strength | +11% &lt;DT_SENTIENT&gt;Tau Resistance</t>
        </is>
      </c>
    </row>
    <row r="456">
      <c r="A456" s="39" t="inlineStr">
        <is>
          <t>Protea Prime</t>
        </is>
      </c>
      <c r="B456" s="39" t="inlineStr">
        <is>
          <t>Mod 2</t>
        </is>
      </c>
      <c r="C456" s="39" t="inlineStr">
        <is>
          <t>Umbral Vitality</t>
        </is>
      </c>
      <c r="D456" s="39" t="n">
        <v>10</v>
      </c>
      <c r="E456" s="39" t="inlineStr">
        <is>
          <t>Umbra</t>
        </is>
      </c>
      <c r="F456" s="39" t="n">
        <v>16</v>
      </c>
      <c r="G456" s="39" t="inlineStr">
        <is>
          <t>Warframe</t>
        </is>
      </c>
      <c r="H456" s="39" t="inlineStr">
        <is>
          <t>NO - account-bound</t>
        </is>
      </c>
      <c r="I456" s="39" t="inlineStr">
        <is>
          <t>+100% Health | +11% &lt;DT_SENTIENT&gt;Tau Resistance</t>
        </is>
      </c>
    </row>
    <row r="457">
      <c r="A457" s="39" t="inlineStr">
        <is>
          <t>Protea Prime</t>
        </is>
      </c>
      <c r="B457" s="39" t="inlineStr">
        <is>
          <t>Mod 3</t>
        </is>
      </c>
      <c r="C457" s="39" t="inlineStr">
        <is>
          <t>Umbral Fiber</t>
        </is>
      </c>
      <c r="D457" s="39" t="n">
        <v>10</v>
      </c>
      <c r="E457" s="39" t="inlineStr">
        <is>
          <t>Umbra</t>
        </is>
      </c>
      <c r="F457" s="39" t="n">
        <v>16</v>
      </c>
      <c r="G457" s="39" t="inlineStr">
        <is>
          <t>Warframe</t>
        </is>
      </c>
      <c r="H457" s="39" t="inlineStr">
        <is>
          <t>NO - account-bound</t>
        </is>
      </c>
      <c r="I457" s="39" t="inlineStr">
        <is>
          <t>+100% Armor | +11% &lt;DT_SENTIENT&gt;Tau Resistance</t>
        </is>
      </c>
    </row>
    <row r="458">
      <c r="A458" s="39" t="inlineStr">
        <is>
          <t>Protea Prime</t>
        </is>
      </c>
      <c r="B458" s="39" t="inlineStr">
        <is>
          <t>Mod 4</t>
        </is>
      </c>
      <c r="C458" s="39" t="inlineStr">
        <is>
          <t>Primed Continuity</t>
        </is>
      </c>
      <c r="D458" s="39" t="n">
        <v>10</v>
      </c>
      <c r="E458" s="39" t="inlineStr">
        <is>
          <t>Madurai</t>
        </is>
      </c>
      <c r="F458" s="39" t="n">
        <v>14</v>
      </c>
      <c r="G458" s="39" t="inlineStr">
        <is>
          <t>Warframe</t>
        </is>
      </c>
      <c r="H458" s="39" t="inlineStr">
        <is>
          <t>Yes</t>
        </is>
      </c>
      <c r="I458" s="39" t="inlineStr">
        <is>
          <t>+55% Ability Duration</t>
        </is>
      </c>
    </row>
    <row r="459">
      <c r="A459" s="39" t="inlineStr">
        <is>
          <t>Protea Prime</t>
        </is>
      </c>
      <c r="B459" s="39" t="inlineStr">
        <is>
          <t>Mod 5</t>
        </is>
      </c>
      <c r="C459" s="39" t="inlineStr">
        <is>
          <t>Stretch</t>
        </is>
      </c>
      <c r="D459" s="39" t="n">
        <v>5</v>
      </c>
      <c r="E459" s="39" t="inlineStr">
        <is>
          <t>Naramon</t>
        </is>
      </c>
      <c r="F459" s="39" t="n">
        <v>9</v>
      </c>
      <c r="G459" s="39" t="inlineStr">
        <is>
          <t>Warframe</t>
        </is>
      </c>
      <c r="H459" s="39" t="inlineStr">
        <is>
          <t>Yes</t>
        </is>
      </c>
      <c r="I459" s="39" t="inlineStr">
        <is>
          <t>+45% Ability Range</t>
        </is>
      </c>
    </row>
    <row r="460">
      <c r="A460" s="39" t="inlineStr">
        <is>
          <t>Protea Prime</t>
        </is>
      </c>
      <c r="B460" s="39" t="inlineStr">
        <is>
          <t>Mod 6</t>
        </is>
      </c>
      <c r="C460" s="39" t="inlineStr">
        <is>
          <t>Primed Flow</t>
        </is>
      </c>
      <c r="D460" s="39" t="n">
        <v>10</v>
      </c>
      <c r="E460" s="39" t="inlineStr">
        <is>
          <t>Naramon</t>
        </is>
      </c>
      <c r="F460" s="39" t="n">
        <v>14</v>
      </c>
      <c r="G460" s="39" t="inlineStr">
        <is>
          <t>Warframe</t>
        </is>
      </c>
      <c r="H460" s="39" t="inlineStr">
        <is>
          <t>Yes</t>
        </is>
      </c>
      <c r="I460" s="39" t="inlineStr">
        <is>
          <t>+185% Energy Max</t>
        </is>
      </c>
    </row>
    <row r="461">
      <c r="A461" s="39" t="inlineStr">
        <is>
          <t>Protea Prime</t>
        </is>
      </c>
      <c r="B461" s="39" t="inlineStr">
        <is>
          <t>Mod 7</t>
        </is>
      </c>
      <c r="C461" s="39" t="inlineStr">
        <is>
          <t>Streamline</t>
        </is>
      </c>
      <c r="D461" s="39" t="n">
        <v>5</v>
      </c>
      <c r="E461" s="39" t="inlineStr">
        <is>
          <t>Naramon</t>
        </is>
      </c>
      <c r="F461" s="39" t="n">
        <v>9</v>
      </c>
      <c r="G461" s="39" t="inlineStr">
        <is>
          <t>Warframe</t>
        </is>
      </c>
      <c r="H461" s="39" t="inlineStr">
        <is>
          <t>Yes</t>
        </is>
      </c>
      <c r="I461" s="39" t="inlineStr">
        <is>
          <t>+30% Ability Efficiency</t>
        </is>
      </c>
    </row>
    <row r="462">
      <c r="A462" s="39" t="inlineStr">
        <is>
          <t>Protea Prime</t>
        </is>
      </c>
      <c r="B462" s="39" t="inlineStr">
        <is>
          <t>Mod 8</t>
        </is>
      </c>
      <c r="C462" s="39" t="inlineStr">
        <is>
          <t>Temporal Artillery</t>
        </is>
      </c>
      <c r="D462" s="39" t="n">
        <v>3</v>
      </c>
      <c r="E462" s="39" t="inlineStr">
        <is>
          <t>Zenurik</t>
        </is>
      </c>
      <c r="F462" s="39" t="n">
        <v>9</v>
      </c>
      <c r="G462" s="39" t="inlineStr">
        <is>
          <t>Protea</t>
        </is>
      </c>
      <c r="H462" s="39" t="inlineStr">
        <is>
          <t>Yes</t>
        </is>
      </c>
      <c r="I462" s="39" t="inlineStr">
        <is>
          <t xml:space="preserve">Blaze Artillery Augment : When Temporal Anchor is activated, one existing Artillery unit will attach to Protea, halting its duration countdown. Max combo count </t>
        </is>
      </c>
    </row>
    <row r="463">
      <c r="A463" s="39" t="inlineStr">
        <is>
          <t>Qorvex</t>
        </is>
      </c>
      <c r="B463" s="39" t="inlineStr">
        <is>
          <t>Aura</t>
        </is>
      </c>
      <c r="C463" s="39" t="inlineStr">
        <is>
          <t>Growing Power</t>
        </is>
      </c>
      <c r="D463" s="39" t="n">
        <v>5</v>
      </c>
      <c r="E463" s="39" t="inlineStr">
        <is>
          <t>Madurai</t>
        </is>
      </c>
      <c r="F463" s="39" t="n">
        <v>3</v>
      </c>
      <c r="G463" s="39" t="inlineStr">
        <is>
          <t>Aura</t>
        </is>
      </c>
      <c r="H463" s="39" t="inlineStr">
        <is>
          <t>Yes</t>
        </is>
      </c>
      <c r="I463" s="39" t="inlineStr">
        <is>
          <t>On Status Effect with Weapon: Squad increases personal Ability Strength by 25% for 6s.</t>
        </is>
      </c>
    </row>
    <row r="464">
      <c r="A464" s="39" t="inlineStr">
        <is>
          <t>Qorvex</t>
        </is>
      </c>
      <c r="B464" s="39" t="inlineStr">
        <is>
          <t>Exilus</t>
        </is>
      </c>
      <c r="C464" s="39" t="inlineStr">
        <is>
          <t>Power Drift</t>
        </is>
      </c>
      <c r="D464" s="39" t="n">
        <v>5</v>
      </c>
      <c r="E464" s="39" t="inlineStr">
        <is>
          <t>Zenurik</t>
        </is>
      </c>
      <c r="F464" s="39" t="n">
        <v>9</v>
      </c>
      <c r="G464" s="39" t="inlineStr">
        <is>
          <t>Warframe</t>
        </is>
      </c>
      <c r="H464" s="39" t="inlineStr">
        <is>
          <t>Yes</t>
        </is>
      </c>
      <c r="I464" s="39" t="inlineStr">
        <is>
          <t>+15% Ability Strength | +30% Chance to Resist Knockdown</t>
        </is>
      </c>
    </row>
    <row r="465">
      <c r="A465" s="39" t="inlineStr">
        <is>
          <t>Qorvex</t>
        </is>
      </c>
      <c r="B465" s="39" t="inlineStr">
        <is>
          <t>Mod 1</t>
        </is>
      </c>
      <c r="C465" s="39" t="inlineStr">
        <is>
          <t>Umbral Intensify</t>
        </is>
      </c>
      <c r="D465" s="39" t="n">
        <v>10</v>
      </c>
      <c r="E465" s="39" t="inlineStr">
        <is>
          <t>Umbra</t>
        </is>
      </c>
      <c r="F465" s="39" t="n">
        <v>16</v>
      </c>
      <c r="G465" s="39" t="inlineStr">
        <is>
          <t>Warframe</t>
        </is>
      </c>
      <c r="H465" s="39" t="inlineStr">
        <is>
          <t>NO - account-bound</t>
        </is>
      </c>
      <c r="I465" s="39" t="inlineStr">
        <is>
          <t>+44% Ability Strength | +11% &lt;DT_SENTIENT&gt;Tau Resistance</t>
        </is>
      </c>
    </row>
    <row r="466">
      <c r="A466" s="39" t="inlineStr">
        <is>
          <t>Qorvex</t>
        </is>
      </c>
      <c r="B466" s="39" t="inlineStr">
        <is>
          <t>Mod 2</t>
        </is>
      </c>
      <c r="C466" s="39" t="inlineStr">
        <is>
          <t>Umbral Vitality</t>
        </is>
      </c>
      <c r="D466" s="39" t="n">
        <v>10</v>
      </c>
      <c r="E466" s="39" t="inlineStr">
        <is>
          <t>Umbra</t>
        </is>
      </c>
      <c r="F466" s="39" t="n">
        <v>16</v>
      </c>
      <c r="G466" s="39" t="inlineStr">
        <is>
          <t>Warframe</t>
        </is>
      </c>
      <c r="H466" s="39" t="inlineStr">
        <is>
          <t>NO - account-bound</t>
        </is>
      </c>
      <c r="I466" s="39" t="inlineStr">
        <is>
          <t>+100% Health | +11% &lt;DT_SENTIENT&gt;Tau Resistance</t>
        </is>
      </c>
    </row>
    <row r="467">
      <c r="A467" s="39" t="inlineStr">
        <is>
          <t>Qorvex</t>
        </is>
      </c>
      <c r="B467" s="39" t="inlineStr">
        <is>
          <t>Mod 3</t>
        </is>
      </c>
      <c r="C467" s="39" t="inlineStr">
        <is>
          <t>Umbral Fiber</t>
        </is>
      </c>
      <c r="D467" s="39" t="n">
        <v>10</v>
      </c>
      <c r="E467" s="39" t="inlineStr">
        <is>
          <t>Umbra</t>
        </is>
      </c>
      <c r="F467" s="39" t="n">
        <v>16</v>
      </c>
      <c r="G467" s="39" t="inlineStr">
        <is>
          <t>Warframe</t>
        </is>
      </c>
      <c r="H467" s="39" t="inlineStr">
        <is>
          <t>NO - account-bound</t>
        </is>
      </c>
      <c r="I467" s="39" t="inlineStr">
        <is>
          <t>+100% Armor | +11% &lt;DT_SENTIENT&gt;Tau Resistance</t>
        </is>
      </c>
    </row>
    <row r="468">
      <c r="A468" s="39" t="inlineStr">
        <is>
          <t>Qorvex</t>
        </is>
      </c>
      <c r="B468" s="39" t="inlineStr">
        <is>
          <t>Mod 4</t>
        </is>
      </c>
      <c r="C468" s="39" t="inlineStr">
        <is>
          <t>Primed Continuity</t>
        </is>
      </c>
      <c r="D468" s="39" t="n">
        <v>10</v>
      </c>
      <c r="E468" s="39" t="inlineStr">
        <is>
          <t>Madurai</t>
        </is>
      </c>
      <c r="F468" s="39" t="n">
        <v>14</v>
      </c>
      <c r="G468" s="39" t="inlineStr">
        <is>
          <t>Warframe</t>
        </is>
      </c>
      <c r="H468" s="39" t="inlineStr">
        <is>
          <t>Yes</t>
        </is>
      </c>
      <c r="I468" s="39" t="inlineStr">
        <is>
          <t>+55% Ability Duration</t>
        </is>
      </c>
    </row>
    <row r="469">
      <c r="A469" s="39" t="inlineStr">
        <is>
          <t>Qorvex</t>
        </is>
      </c>
      <c r="B469" s="39" t="inlineStr">
        <is>
          <t>Mod 5</t>
        </is>
      </c>
      <c r="C469" s="39" t="inlineStr">
        <is>
          <t>Stretch</t>
        </is>
      </c>
      <c r="D469" s="39" t="n">
        <v>5</v>
      </c>
      <c r="E469" s="39" t="inlineStr">
        <is>
          <t>Naramon</t>
        </is>
      </c>
      <c r="F469" s="39" t="n">
        <v>9</v>
      </c>
      <c r="G469" s="39" t="inlineStr">
        <is>
          <t>Warframe</t>
        </is>
      </c>
      <c r="H469" s="39" t="inlineStr">
        <is>
          <t>Yes</t>
        </is>
      </c>
      <c r="I469" s="39" t="inlineStr">
        <is>
          <t>+45% Ability Range</t>
        </is>
      </c>
    </row>
    <row r="470">
      <c r="A470" s="39" t="inlineStr">
        <is>
          <t>Qorvex</t>
        </is>
      </c>
      <c r="B470" s="39" t="inlineStr">
        <is>
          <t>Mod 6</t>
        </is>
      </c>
      <c r="C470" s="39" t="inlineStr">
        <is>
          <t>Primed Flow</t>
        </is>
      </c>
      <c r="D470" s="39" t="n">
        <v>10</v>
      </c>
      <c r="E470" s="39" t="inlineStr">
        <is>
          <t>Naramon</t>
        </is>
      </c>
      <c r="F470" s="39" t="n">
        <v>14</v>
      </c>
      <c r="G470" s="39" t="inlineStr">
        <is>
          <t>Warframe</t>
        </is>
      </c>
      <c r="H470" s="39" t="inlineStr">
        <is>
          <t>Yes</t>
        </is>
      </c>
      <c r="I470" s="39" t="inlineStr">
        <is>
          <t>+185% Energy Max</t>
        </is>
      </c>
    </row>
    <row r="471">
      <c r="A471" s="39" t="inlineStr">
        <is>
          <t>Qorvex</t>
        </is>
      </c>
      <c r="B471" s="39" t="inlineStr">
        <is>
          <t>Mod 7</t>
        </is>
      </c>
      <c r="C471" s="39" t="inlineStr">
        <is>
          <t>Streamline</t>
        </is>
      </c>
      <c r="D471" s="39" t="n">
        <v>5</v>
      </c>
      <c r="E471" s="39" t="inlineStr">
        <is>
          <t>Naramon</t>
        </is>
      </c>
      <c r="F471" s="39" t="n">
        <v>9</v>
      </c>
      <c r="G471" s="39" t="inlineStr">
        <is>
          <t>Warframe</t>
        </is>
      </c>
      <c r="H471" s="39" t="inlineStr">
        <is>
          <t>Yes</t>
        </is>
      </c>
      <c r="I471" s="39" t="inlineStr">
        <is>
          <t>+30% Ability Efficiency</t>
        </is>
      </c>
    </row>
    <row r="472">
      <c r="A472" s="39" t="inlineStr">
        <is>
          <t>Qorvex</t>
        </is>
      </c>
      <c r="B472" s="39" t="inlineStr">
        <is>
          <t>Mod 8</t>
        </is>
      </c>
      <c r="C472" s="39" t="inlineStr">
        <is>
          <t>Wrecking Wall</t>
        </is>
      </c>
      <c r="D472" s="39" t="n">
        <v>3</v>
      </c>
      <c r="E472" s="39" t="inlineStr">
        <is>
          <t>Zenurik</t>
        </is>
      </c>
      <c r="F472" s="39" t="n">
        <v>9</v>
      </c>
      <c r="G472" s="39" t="inlineStr">
        <is>
          <t>Qorvex</t>
        </is>
      </c>
      <c r="H472" s="39" t="inlineStr">
        <is>
          <t>Yes</t>
        </is>
      </c>
      <c r="I472" s="39" t="inlineStr">
        <is>
          <t>Containment Wall Augment: Strip 50% of armor and shields from struck enemies. Hitting 5 or more enemies will restart the duration of any Chyrinka Pillars and em</t>
        </is>
      </c>
    </row>
    <row r="473">
      <c r="A473" s="39" t="inlineStr">
        <is>
          <t>Revenant Prime</t>
        </is>
      </c>
      <c r="B473" s="39" t="inlineStr">
        <is>
          <t>Aura</t>
        </is>
      </c>
      <c r="C473" s="39" t="inlineStr">
        <is>
          <t>Growing Power</t>
        </is>
      </c>
      <c r="D473" s="39" t="n">
        <v>5</v>
      </c>
      <c r="E473" s="39" t="inlineStr">
        <is>
          <t>Madurai</t>
        </is>
      </c>
      <c r="F473" s="39" t="n">
        <v>3</v>
      </c>
      <c r="G473" s="39" t="inlineStr">
        <is>
          <t>Aura</t>
        </is>
      </c>
      <c r="H473" s="39" t="inlineStr">
        <is>
          <t>Yes</t>
        </is>
      </c>
      <c r="I473" s="39" t="inlineStr">
        <is>
          <t>On Status Effect with Weapon: Squad increases personal Ability Strength by 25% for 6s.</t>
        </is>
      </c>
    </row>
    <row r="474">
      <c r="A474" s="39" t="inlineStr">
        <is>
          <t>Revenant Prime</t>
        </is>
      </c>
      <c r="B474" s="39" t="inlineStr">
        <is>
          <t>Exilus</t>
        </is>
      </c>
      <c r="C474" s="39" t="inlineStr">
        <is>
          <t>Power Drift</t>
        </is>
      </c>
      <c r="D474" s="39" t="n">
        <v>5</v>
      </c>
      <c r="E474" s="39" t="inlineStr">
        <is>
          <t>Zenurik</t>
        </is>
      </c>
      <c r="F474" s="39" t="n">
        <v>9</v>
      </c>
      <c r="G474" s="39" t="inlineStr">
        <is>
          <t>Warframe</t>
        </is>
      </c>
      <c r="H474" s="39" t="inlineStr">
        <is>
          <t>Yes</t>
        </is>
      </c>
      <c r="I474" s="39" t="inlineStr">
        <is>
          <t>+15% Ability Strength | +30% Chance to Resist Knockdown</t>
        </is>
      </c>
    </row>
    <row r="475">
      <c r="A475" s="39" t="inlineStr">
        <is>
          <t>Revenant Prime</t>
        </is>
      </c>
      <c r="B475" s="39" t="inlineStr">
        <is>
          <t>Mod 1</t>
        </is>
      </c>
      <c r="C475" s="39" t="inlineStr">
        <is>
          <t>Umbral Intensify</t>
        </is>
      </c>
      <c r="D475" s="39" t="n">
        <v>10</v>
      </c>
      <c r="E475" s="39" t="inlineStr">
        <is>
          <t>Umbra</t>
        </is>
      </c>
      <c r="F475" s="39" t="n">
        <v>16</v>
      </c>
      <c r="G475" s="39" t="inlineStr">
        <is>
          <t>Warframe</t>
        </is>
      </c>
      <c r="H475" s="39" t="inlineStr">
        <is>
          <t>NO - account-bound</t>
        </is>
      </c>
      <c r="I475" s="39" t="inlineStr">
        <is>
          <t>+44% Ability Strength | +11% &lt;DT_SENTIENT&gt;Tau Resistance</t>
        </is>
      </c>
    </row>
    <row r="476">
      <c r="A476" s="39" t="inlineStr">
        <is>
          <t>Revenant Prime</t>
        </is>
      </c>
      <c r="B476" s="39" t="inlineStr">
        <is>
          <t>Mod 2</t>
        </is>
      </c>
      <c r="C476" s="39" t="inlineStr">
        <is>
          <t>Umbral Vitality</t>
        </is>
      </c>
      <c r="D476" s="39" t="n">
        <v>10</v>
      </c>
      <c r="E476" s="39" t="inlineStr">
        <is>
          <t>Umbra</t>
        </is>
      </c>
      <c r="F476" s="39" t="n">
        <v>16</v>
      </c>
      <c r="G476" s="39" t="inlineStr">
        <is>
          <t>Warframe</t>
        </is>
      </c>
      <c r="H476" s="39" t="inlineStr">
        <is>
          <t>NO - account-bound</t>
        </is>
      </c>
      <c r="I476" s="39" t="inlineStr">
        <is>
          <t>+100% Health | +11% &lt;DT_SENTIENT&gt;Tau Resistance</t>
        </is>
      </c>
    </row>
    <row r="477">
      <c r="A477" s="39" t="inlineStr">
        <is>
          <t>Revenant Prime</t>
        </is>
      </c>
      <c r="B477" s="39" t="inlineStr">
        <is>
          <t>Mod 3</t>
        </is>
      </c>
      <c r="C477" s="39" t="inlineStr">
        <is>
          <t>Umbral Fiber</t>
        </is>
      </c>
      <c r="D477" s="39" t="n">
        <v>10</v>
      </c>
      <c r="E477" s="39" t="inlineStr">
        <is>
          <t>Umbra</t>
        </is>
      </c>
      <c r="F477" s="39" t="n">
        <v>16</v>
      </c>
      <c r="G477" s="39" t="inlineStr">
        <is>
          <t>Warframe</t>
        </is>
      </c>
      <c r="H477" s="39" t="inlineStr">
        <is>
          <t>NO - account-bound</t>
        </is>
      </c>
      <c r="I477" s="39" t="inlineStr">
        <is>
          <t>+100% Armor | +11% &lt;DT_SENTIENT&gt;Tau Resistance</t>
        </is>
      </c>
    </row>
    <row r="478">
      <c r="A478" s="39" t="inlineStr">
        <is>
          <t>Revenant Prime</t>
        </is>
      </c>
      <c r="B478" s="39" t="inlineStr">
        <is>
          <t>Mod 4</t>
        </is>
      </c>
      <c r="C478" s="39" t="inlineStr">
        <is>
          <t>Primed Continuity</t>
        </is>
      </c>
      <c r="D478" s="39" t="n">
        <v>10</v>
      </c>
      <c r="E478" s="39" t="inlineStr">
        <is>
          <t>Madurai</t>
        </is>
      </c>
      <c r="F478" s="39" t="n">
        <v>14</v>
      </c>
      <c r="G478" s="39" t="inlineStr">
        <is>
          <t>Warframe</t>
        </is>
      </c>
      <c r="H478" s="39" t="inlineStr">
        <is>
          <t>Yes</t>
        </is>
      </c>
      <c r="I478" s="39" t="inlineStr">
        <is>
          <t>+55% Ability Duration</t>
        </is>
      </c>
    </row>
    <row r="479">
      <c r="A479" s="39" t="inlineStr">
        <is>
          <t>Revenant Prime</t>
        </is>
      </c>
      <c r="B479" s="39" t="inlineStr">
        <is>
          <t>Mod 5</t>
        </is>
      </c>
      <c r="C479" s="39" t="inlineStr">
        <is>
          <t>Stretch</t>
        </is>
      </c>
      <c r="D479" s="39" t="n">
        <v>5</v>
      </c>
      <c r="E479" s="39" t="inlineStr">
        <is>
          <t>Naramon</t>
        </is>
      </c>
      <c r="F479" s="39" t="n">
        <v>9</v>
      </c>
      <c r="G479" s="39" t="inlineStr">
        <is>
          <t>Warframe</t>
        </is>
      </c>
      <c r="H479" s="39" t="inlineStr">
        <is>
          <t>Yes</t>
        </is>
      </c>
      <c r="I479" s="39" t="inlineStr">
        <is>
          <t>+45% Ability Range</t>
        </is>
      </c>
    </row>
    <row r="480">
      <c r="A480" s="39" t="inlineStr">
        <is>
          <t>Revenant Prime</t>
        </is>
      </c>
      <c r="B480" s="39" t="inlineStr">
        <is>
          <t>Mod 6</t>
        </is>
      </c>
      <c r="C480" s="39" t="inlineStr">
        <is>
          <t>Primed Flow</t>
        </is>
      </c>
      <c r="D480" s="39" t="n">
        <v>10</v>
      </c>
      <c r="E480" s="39" t="inlineStr">
        <is>
          <t>Naramon</t>
        </is>
      </c>
      <c r="F480" s="39" t="n">
        <v>14</v>
      </c>
      <c r="G480" s="39" t="inlineStr">
        <is>
          <t>Warframe</t>
        </is>
      </c>
      <c r="H480" s="39" t="inlineStr">
        <is>
          <t>Yes</t>
        </is>
      </c>
      <c r="I480" s="39" t="inlineStr">
        <is>
          <t>+185% Energy Max</t>
        </is>
      </c>
    </row>
    <row r="481">
      <c r="A481" s="39" t="inlineStr">
        <is>
          <t>Revenant Prime</t>
        </is>
      </c>
      <c r="B481" s="39" t="inlineStr">
        <is>
          <t>Mod 7</t>
        </is>
      </c>
      <c r="C481" s="39" t="inlineStr">
        <is>
          <t>Streamline</t>
        </is>
      </c>
      <c r="D481" s="39" t="n">
        <v>5</v>
      </c>
      <c r="E481" s="39" t="inlineStr">
        <is>
          <t>Naramon</t>
        </is>
      </c>
      <c r="F481" s="39" t="n">
        <v>9</v>
      </c>
      <c r="G481" s="39" t="inlineStr">
        <is>
          <t>Warframe</t>
        </is>
      </c>
      <c r="H481" s="39" t="inlineStr">
        <is>
          <t>Yes</t>
        </is>
      </c>
      <c r="I481" s="39" t="inlineStr">
        <is>
          <t>+30% Ability Efficiency</t>
        </is>
      </c>
    </row>
    <row r="482">
      <c r="A482" s="39" t="inlineStr">
        <is>
          <t>Revenant Prime</t>
        </is>
      </c>
      <c r="B482" s="39" t="inlineStr">
        <is>
          <t>Mod 8</t>
        </is>
      </c>
      <c r="C482" s="39" t="inlineStr">
        <is>
          <t>Mesmer Shield</t>
        </is>
      </c>
      <c r="D482" s="39" t="n">
        <v>3</v>
      </c>
      <c r="E482" s="39" t="inlineStr">
        <is>
          <t>Zenurik</t>
        </is>
      </c>
      <c r="F482" s="39" t="n">
        <v>9</v>
      </c>
      <c r="G482" s="39" t="inlineStr">
        <is>
          <t>Revenant</t>
        </is>
      </c>
      <c r="H482" s="39" t="inlineStr">
        <is>
          <t>Yes</t>
        </is>
      </c>
      <c r="I482" s="39" t="inlineStr">
        <is>
          <t>Mesmer Skin Augment: Revenant receives +50% Mesmer Skin Strength and allies within Affinity Range are granted a maximum of 5 charges.</t>
        </is>
      </c>
    </row>
    <row r="483">
      <c r="A483" s="39" t="inlineStr">
        <is>
          <t>Rhino Prime</t>
        </is>
      </c>
      <c r="B483" s="39" t="inlineStr">
        <is>
          <t>Aura</t>
        </is>
      </c>
      <c r="C483" s="39" t="inlineStr">
        <is>
          <t>Growing Power</t>
        </is>
      </c>
      <c r="D483" s="39" t="n">
        <v>5</v>
      </c>
      <c r="E483" s="39" t="inlineStr">
        <is>
          <t>Madurai</t>
        </is>
      </c>
      <c r="F483" s="39" t="n">
        <v>3</v>
      </c>
      <c r="G483" s="39" t="inlineStr">
        <is>
          <t>Aura</t>
        </is>
      </c>
      <c r="H483" s="39" t="inlineStr">
        <is>
          <t>Yes</t>
        </is>
      </c>
      <c r="I483" s="39" t="inlineStr">
        <is>
          <t>On Status Effect with Weapon: Squad increases personal Ability Strength by 25% for 6s.</t>
        </is>
      </c>
    </row>
    <row r="484">
      <c r="A484" s="39" t="inlineStr">
        <is>
          <t>Rhino Prime</t>
        </is>
      </c>
      <c r="B484" s="39" t="inlineStr">
        <is>
          <t>Exilus</t>
        </is>
      </c>
      <c r="C484" s="39" t="inlineStr">
        <is>
          <t>Power Drift</t>
        </is>
      </c>
      <c r="D484" s="39" t="n">
        <v>5</v>
      </c>
      <c r="E484" s="39" t="inlineStr">
        <is>
          <t>Zenurik</t>
        </is>
      </c>
      <c r="F484" s="39" t="n">
        <v>9</v>
      </c>
      <c r="G484" s="39" t="inlineStr">
        <is>
          <t>Warframe</t>
        </is>
      </c>
      <c r="H484" s="39" t="inlineStr">
        <is>
          <t>Yes</t>
        </is>
      </c>
      <c r="I484" s="39" t="inlineStr">
        <is>
          <t>+15% Ability Strength | +30% Chance to Resist Knockdown</t>
        </is>
      </c>
    </row>
    <row r="485">
      <c r="A485" s="39" t="inlineStr">
        <is>
          <t>Rhino Prime</t>
        </is>
      </c>
      <c r="B485" s="39" t="inlineStr">
        <is>
          <t>Mod 1</t>
        </is>
      </c>
      <c r="C485" s="39" t="inlineStr">
        <is>
          <t>Umbral Intensify</t>
        </is>
      </c>
      <c r="D485" s="39" t="n">
        <v>10</v>
      </c>
      <c r="E485" s="39" t="inlineStr">
        <is>
          <t>Umbra</t>
        </is>
      </c>
      <c r="F485" s="39" t="n">
        <v>16</v>
      </c>
      <c r="G485" s="39" t="inlineStr">
        <is>
          <t>Warframe</t>
        </is>
      </c>
      <c r="H485" s="39" t="inlineStr">
        <is>
          <t>NO - account-bound</t>
        </is>
      </c>
      <c r="I485" s="39" t="inlineStr">
        <is>
          <t>+44% Ability Strength | +11% &lt;DT_SENTIENT&gt;Tau Resistance</t>
        </is>
      </c>
    </row>
    <row r="486">
      <c r="A486" s="39" t="inlineStr">
        <is>
          <t>Rhino Prime</t>
        </is>
      </c>
      <c r="B486" s="39" t="inlineStr">
        <is>
          <t>Mod 2</t>
        </is>
      </c>
      <c r="C486" s="39" t="inlineStr">
        <is>
          <t>Umbral Vitality</t>
        </is>
      </c>
      <c r="D486" s="39" t="n">
        <v>10</v>
      </c>
      <c r="E486" s="39" t="inlineStr">
        <is>
          <t>Umbra</t>
        </is>
      </c>
      <c r="F486" s="39" t="n">
        <v>16</v>
      </c>
      <c r="G486" s="39" t="inlineStr">
        <is>
          <t>Warframe</t>
        </is>
      </c>
      <c r="H486" s="39" t="inlineStr">
        <is>
          <t>NO - account-bound</t>
        </is>
      </c>
      <c r="I486" s="39" t="inlineStr">
        <is>
          <t>+100% Health | +11% &lt;DT_SENTIENT&gt;Tau Resistance</t>
        </is>
      </c>
    </row>
    <row r="487">
      <c r="A487" s="39" t="inlineStr">
        <is>
          <t>Rhino Prime</t>
        </is>
      </c>
      <c r="B487" s="39" t="inlineStr">
        <is>
          <t>Mod 3</t>
        </is>
      </c>
      <c r="C487" s="39" t="inlineStr">
        <is>
          <t>Umbral Fiber</t>
        </is>
      </c>
      <c r="D487" s="39" t="n">
        <v>10</v>
      </c>
      <c r="E487" s="39" t="inlineStr">
        <is>
          <t>Umbra</t>
        </is>
      </c>
      <c r="F487" s="39" t="n">
        <v>16</v>
      </c>
      <c r="G487" s="39" t="inlineStr">
        <is>
          <t>Warframe</t>
        </is>
      </c>
      <c r="H487" s="39" t="inlineStr">
        <is>
          <t>NO - account-bound</t>
        </is>
      </c>
      <c r="I487" s="39" t="inlineStr">
        <is>
          <t>+100% Armor | +11% &lt;DT_SENTIENT&gt;Tau Resistance</t>
        </is>
      </c>
    </row>
    <row r="488">
      <c r="A488" s="39" t="inlineStr">
        <is>
          <t>Rhino Prime</t>
        </is>
      </c>
      <c r="B488" s="39" t="inlineStr">
        <is>
          <t>Mod 4</t>
        </is>
      </c>
      <c r="C488" s="39" t="inlineStr">
        <is>
          <t>Primed Continuity</t>
        </is>
      </c>
      <c r="D488" s="39" t="n">
        <v>10</v>
      </c>
      <c r="E488" s="39" t="inlineStr">
        <is>
          <t>Madurai</t>
        </is>
      </c>
      <c r="F488" s="39" t="n">
        <v>14</v>
      </c>
      <c r="G488" s="39" t="inlineStr">
        <is>
          <t>Warframe</t>
        </is>
      </c>
      <c r="H488" s="39" t="inlineStr">
        <is>
          <t>Yes</t>
        </is>
      </c>
      <c r="I488" s="39" t="inlineStr">
        <is>
          <t>+55% Ability Duration</t>
        </is>
      </c>
    </row>
    <row r="489">
      <c r="A489" s="39" t="inlineStr">
        <is>
          <t>Rhino Prime</t>
        </is>
      </c>
      <c r="B489" s="39" t="inlineStr">
        <is>
          <t>Mod 5</t>
        </is>
      </c>
      <c r="C489" s="39" t="inlineStr">
        <is>
          <t>Stretch</t>
        </is>
      </c>
      <c r="D489" s="39" t="n">
        <v>5</v>
      </c>
      <c r="E489" s="39" t="inlineStr">
        <is>
          <t>Naramon</t>
        </is>
      </c>
      <c r="F489" s="39" t="n">
        <v>9</v>
      </c>
      <c r="G489" s="39" t="inlineStr">
        <is>
          <t>Warframe</t>
        </is>
      </c>
      <c r="H489" s="39" t="inlineStr">
        <is>
          <t>Yes</t>
        </is>
      </c>
      <c r="I489" s="39" t="inlineStr">
        <is>
          <t>+45% Ability Range</t>
        </is>
      </c>
    </row>
    <row r="490">
      <c r="A490" s="39" t="inlineStr">
        <is>
          <t>Rhino Prime</t>
        </is>
      </c>
      <c r="B490" s="39" t="inlineStr">
        <is>
          <t>Mod 6</t>
        </is>
      </c>
      <c r="C490" s="39" t="inlineStr">
        <is>
          <t>Primed Flow</t>
        </is>
      </c>
      <c r="D490" s="39" t="n">
        <v>10</v>
      </c>
      <c r="E490" s="39" t="inlineStr">
        <is>
          <t>Naramon</t>
        </is>
      </c>
      <c r="F490" s="39" t="n">
        <v>14</v>
      </c>
      <c r="G490" s="39" t="inlineStr">
        <is>
          <t>Warframe</t>
        </is>
      </c>
      <c r="H490" s="39" t="inlineStr">
        <is>
          <t>Yes</t>
        </is>
      </c>
      <c r="I490" s="39" t="inlineStr">
        <is>
          <t>+185% Energy Max</t>
        </is>
      </c>
    </row>
    <row r="491">
      <c r="A491" s="39" t="inlineStr">
        <is>
          <t>Rhino Prime</t>
        </is>
      </c>
      <c r="B491" s="39" t="inlineStr">
        <is>
          <t>Mod 7</t>
        </is>
      </c>
      <c r="C491" s="39" t="inlineStr">
        <is>
          <t>Streamline</t>
        </is>
      </c>
      <c r="D491" s="39" t="n">
        <v>5</v>
      </c>
      <c r="E491" s="39" t="inlineStr">
        <is>
          <t>Naramon</t>
        </is>
      </c>
      <c r="F491" s="39" t="n">
        <v>9</v>
      </c>
      <c r="G491" s="39" t="inlineStr">
        <is>
          <t>Warframe</t>
        </is>
      </c>
      <c r="H491" s="39" t="inlineStr">
        <is>
          <t>Yes</t>
        </is>
      </c>
      <c r="I491" s="39" t="inlineStr">
        <is>
          <t>+30% Ability Efficiency</t>
        </is>
      </c>
    </row>
    <row r="492">
      <c r="A492" s="39" t="inlineStr">
        <is>
          <t>Rhino Prime</t>
        </is>
      </c>
      <c r="B492" s="39" t="inlineStr">
        <is>
          <t>Mod 8</t>
        </is>
      </c>
      <c r="C492" s="39" t="inlineStr">
        <is>
          <t>Reinforcing Stomp</t>
        </is>
      </c>
      <c r="D492" s="39" t="n">
        <v>3</v>
      </c>
      <c r="E492" s="39" t="inlineStr">
        <is>
          <t>Zenurik</t>
        </is>
      </c>
      <c r="F492" s="39" t="n">
        <v>9</v>
      </c>
      <c r="G492" s="39" t="inlineStr">
        <is>
          <t>Rhino</t>
        </is>
      </c>
      <c r="H492" s="39" t="inlineStr">
        <is>
          <t>Yes</t>
        </is>
      </c>
      <c r="I492" s="39" t="inlineStr">
        <is>
          <t>Rhino Stomp Augment: Iron Skin Health is replenished by 4% for each enemy affected.</t>
        </is>
      </c>
    </row>
    <row r="493">
      <c r="A493" s="39" t="inlineStr">
        <is>
          <t>Saryn Prime</t>
        </is>
      </c>
      <c r="B493" s="39" t="inlineStr">
        <is>
          <t>Aura</t>
        </is>
      </c>
      <c r="C493" s="39" t="inlineStr">
        <is>
          <t>Growing Power</t>
        </is>
      </c>
      <c r="D493" s="39" t="n">
        <v>5</v>
      </c>
      <c r="E493" s="39" t="inlineStr">
        <is>
          <t>Madurai</t>
        </is>
      </c>
      <c r="F493" s="39" t="n">
        <v>3</v>
      </c>
      <c r="G493" s="39" t="inlineStr">
        <is>
          <t>Aura</t>
        </is>
      </c>
      <c r="H493" s="39" t="inlineStr">
        <is>
          <t>Yes</t>
        </is>
      </c>
      <c r="I493" s="39" t="inlineStr">
        <is>
          <t>On Status Effect with Weapon: Squad increases personal Ability Strength by 25% for 6s.</t>
        </is>
      </c>
    </row>
    <row r="494">
      <c r="A494" s="39" t="inlineStr">
        <is>
          <t>Saryn Prime</t>
        </is>
      </c>
      <c r="B494" s="39" t="inlineStr">
        <is>
          <t>Exilus</t>
        </is>
      </c>
      <c r="C494" s="39" t="inlineStr">
        <is>
          <t>Power Drift</t>
        </is>
      </c>
      <c r="D494" s="39" t="n">
        <v>5</v>
      </c>
      <c r="E494" s="39" t="inlineStr">
        <is>
          <t>Zenurik</t>
        </is>
      </c>
      <c r="F494" s="39" t="n">
        <v>9</v>
      </c>
      <c r="G494" s="39" t="inlineStr">
        <is>
          <t>Warframe</t>
        </is>
      </c>
      <c r="H494" s="39" t="inlineStr">
        <is>
          <t>Yes</t>
        </is>
      </c>
      <c r="I494" s="39" t="inlineStr">
        <is>
          <t>+15% Ability Strength | +30% Chance to Resist Knockdown</t>
        </is>
      </c>
    </row>
    <row r="495">
      <c r="A495" s="39" t="inlineStr">
        <is>
          <t>Saryn Prime</t>
        </is>
      </c>
      <c r="B495" s="39" t="inlineStr">
        <is>
          <t>Mod 1</t>
        </is>
      </c>
      <c r="C495" s="39" t="inlineStr">
        <is>
          <t>Umbral Intensify</t>
        </is>
      </c>
      <c r="D495" s="39" t="n">
        <v>10</v>
      </c>
      <c r="E495" s="39" t="inlineStr">
        <is>
          <t>Umbra</t>
        </is>
      </c>
      <c r="F495" s="39" t="n">
        <v>16</v>
      </c>
      <c r="G495" s="39" t="inlineStr">
        <is>
          <t>Warframe</t>
        </is>
      </c>
      <c r="H495" s="39" t="inlineStr">
        <is>
          <t>NO - account-bound</t>
        </is>
      </c>
      <c r="I495" s="39" t="inlineStr">
        <is>
          <t>+44% Ability Strength | +11% &lt;DT_SENTIENT&gt;Tau Resistance</t>
        </is>
      </c>
    </row>
    <row r="496">
      <c r="A496" s="39" t="inlineStr">
        <is>
          <t>Saryn Prime</t>
        </is>
      </c>
      <c r="B496" s="39" t="inlineStr">
        <is>
          <t>Mod 2</t>
        </is>
      </c>
      <c r="C496" s="39" t="inlineStr">
        <is>
          <t>Umbral Vitality</t>
        </is>
      </c>
      <c r="D496" s="39" t="n">
        <v>10</v>
      </c>
      <c r="E496" s="39" t="inlineStr">
        <is>
          <t>Umbra</t>
        </is>
      </c>
      <c r="F496" s="39" t="n">
        <v>16</v>
      </c>
      <c r="G496" s="39" t="inlineStr">
        <is>
          <t>Warframe</t>
        </is>
      </c>
      <c r="H496" s="39" t="inlineStr">
        <is>
          <t>NO - account-bound</t>
        </is>
      </c>
      <c r="I496" s="39" t="inlineStr">
        <is>
          <t>+100% Health | +11% &lt;DT_SENTIENT&gt;Tau Resistance</t>
        </is>
      </c>
    </row>
    <row r="497">
      <c r="A497" s="39" t="inlineStr">
        <is>
          <t>Saryn Prime</t>
        </is>
      </c>
      <c r="B497" s="39" t="inlineStr">
        <is>
          <t>Mod 3</t>
        </is>
      </c>
      <c r="C497" s="39" t="inlineStr">
        <is>
          <t>Umbral Fiber</t>
        </is>
      </c>
      <c r="D497" s="39" t="n">
        <v>10</v>
      </c>
      <c r="E497" s="39" t="inlineStr">
        <is>
          <t>Umbra</t>
        </is>
      </c>
      <c r="F497" s="39" t="n">
        <v>16</v>
      </c>
      <c r="G497" s="39" t="inlineStr">
        <is>
          <t>Warframe</t>
        </is>
      </c>
      <c r="H497" s="39" t="inlineStr">
        <is>
          <t>NO - account-bound</t>
        </is>
      </c>
      <c r="I497" s="39" t="inlineStr">
        <is>
          <t>+100% Armor | +11% &lt;DT_SENTIENT&gt;Tau Resistance</t>
        </is>
      </c>
    </row>
    <row r="498">
      <c r="A498" s="39" t="inlineStr">
        <is>
          <t>Saryn Prime</t>
        </is>
      </c>
      <c r="B498" s="39" t="inlineStr">
        <is>
          <t>Mod 4</t>
        </is>
      </c>
      <c r="C498" s="39" t="inlineStr">
        <is>
          <t>Primed Continuity</t>
        </is>
      </c>
      <c r="D498" s="39" t="n">
        <v>10</v>
      </c>
      <c r="E498" s="39" t="inlineStr">
        <is>
          <t>Madurai</t>
        </is>
      </c>
      <c r="F498" s="39" t="n">
        <v>14</v>
      </c>
      <c r="G498" s="39" t="inlineStr">
        <is>
          <t>Warframe</t>
        </is>
      </c>
      <c r="H498" s="39" t="inlineStr">
        <is>
          <t>Yes</t>
        </is>
      </c>
      <c r="I498" s="39" t="inlineStr">
        <is>
          <t>+55% Ability Duration</t>
        </is>
      </c>
    </row>
    <row r="499">
      <c r="A499" s="39" t="inlineStr">
        <is>
          <t>Saryn Prime</t>
        </is>
      </c>
      <c r="B499" s="39" t="inlineStr">
        <is>
          <t>Mod 5</t>
        </is>
      </c>
      <c r="C499" s="39" t="inlineStr">
        <is>
          <t>Stretch</t>
        </is>
      </c>
      <c r="D499" s="39" t="n">
        <v>5</v>
      </c>
      <c r="E499" s="39" t="inlineStr">
        <is>
          <t>Naramon</t>
        </is>
      </c>
      <c r="F499" s="39" t="n">
        <v>9</v>
      </c>
      <c r="G499" s="39" t="inlineStr">
        <is>
          <t>Warframe</t>
        </is>
      </c>
      <c r="H499" s="39" t="inlineStr">
        <is>
          <t>Yes</t>
        </is>
      </c>
      <c r="I499" s="39" t="inlineStr">
        <is>
          <t>+45% Ability Range</t>
        </is>
      </c>
    </row>
    <row r="500">
      <c r="A500" s="39" t="inlineStr">
        <is>
          <t>Saryn Prime</t>
        </is>
      </c>
      <c r="B500" s="39" t="inlineStr">
        <is>
          <t>Mod 6</t>
        </is>
      </c>
      <c r="C500" s="39" t="inlineStr">
        <is>
          <t>Primed Flow</t>
        </is>
      </c>
      <c r="D500" s="39" t="n">
        <v>10</v>
      </c>
      <c r="E500" s="39" t="inlineStr">
        <is>
          <t>Naramon</t>
        </is>
      </c>
      <c r="F500" s="39" t="n">
        <v>14</v>
      </c>
      <c r="G500" s="39" t="inlineStr">
        <is>
          <t>Warframe</t>
        </is>
      </c>
      <c r="H500" s="39" t="inlineStr">
        <is>
          <t>Yes</t>
        </is>
      </c>
      <c r="I500" s="39" t="inlineStr">
        <is>
          <t>+185% Energy Max</t>
        </is>
      </c>
    </row>
    <row r="501">
      <c r="A501" s="39" t="inlineStr">
        <is>
          <t>Saryn Prime</t>
        </is>
      </c>
      <c r="B501" s="39" t="inlineStr">
        <is>
          <t>Mod 7</t>
        </is>
      </c>
      <c r="C501" s="39" t="inlineStr">
        <is>
          <t>Streamline</t>
        </is>
      </c>
      <c r="D501" s="39" t="n">
        <v>5</v>
      </c>
      <c r="E501" s="39" t="inlineStr">
        <is>
          <t>Naramon</t>
        </is>
      </c>
      <c r="F501" s="39" t="n">
        <v>9</v>
      </c>
      <c r="G501" s="39" t="inlineStr">
        <is>
          <t>Warframe</t>
        </is>
      </c>
      <c r="H501" s="39" t="inlineStr">
        <is>
          <t>Yes</t>
        </is>
      </c>
      <c r="I501" s="39" t="inlineStr">
        <is>
          <t>+30% Ability Efficiency</t>
        </is>
      </c>
    </row>
    <row r="502">
      <c r="A502" s="39" t="inlineStr">
        <is>
          <t>Saryn Prime</t>
        </is>
      </c>
      <c r="B502" s="39" t="inlineStr">
        <is>
          <t>Mod 8</t>
        </is>
      </c>
      <c r="C502" s="39" t="inlineStr">
        <is>
          <t>Venom Dose</t>
        </is>
      </c>
      <c r="D502" s="39" t="n">
        <v>3</v>
      </c>
      <c r="E502" s="39" t="inlineStr">
        <is>
          <t>Zenurik</t>
        </is>
      </c>
      <c r="F502" s="39" t="n">
        <v>9</v>
      </c>
      <c r="G502" s="39" t="inlineStr">
        <is>
          <t>Saryn</t>
        </is>
      </c>
      <c r="H502" s="39" t="inlineStr">
        <is>
          <t>Yes</t>
        </is>
      </c>
      <c r="I502" s="39" t="inlineStr">
        <is>
          <t>Spores Augment: Hold to cast will grant all allies within 15m an additional 100% &lt;DT_CORROSIVE_COLOR&gt;Corrosive Damage to their attacks for 40s.</t>
        </is>
      </c>
    </row>
    <row r="503">
      <c r="A503" s="39" t="inlineStr">
        <is>
          <t>Sevagoth Prime</t>
        </is>
      </c>
      <c r="B503" s="39" t="inlineStr">
        <is>
          <t>Aura</t>
        </is>
      </c>
      <c r="C503" s="39" t="inlineStr">
        <is>
          <t>Growing Power</t>
        </is>
      </c>
      <c r="D503" s="39" t="n">
        <v>5</v>
      </c>
      <c r="E503" s="39" t="inlineStr">
        <is>
          <t>Madurai</t>
        </is>
      </c>
      <c r="F503" s="39" t="n">
        <v>3</v>
      </c>
      <c r="G503" s="39" t="inlineStr">
        <is>
          <t>Aura</t>
        </is>
      </c>
      <c r="H503" s="39" t="inlineStr">
        <is>
          <t>Yes</t>
        </is>
      </c>
      <c r="I503" s="39" t="inlineStr">
        <is>
          <t>On Status Effect with Weapon: Squad increases personal Ability Strength by 25% for 6s.</t>
        </is>
      </c>
    </row>
    <row r="504">
      <c r="A504" s="39" t="inlineStr">
        <is>
          <t>Sevagoth Prime</t>
        </is>
      </c>
      <c r="B504" s="39" t="inlineStr">
        <is>
          <t>Exilus</t>
        </is>
      </c>
      <c r="C504" s="39" t="inlineStr">
        <is>
          <t>Power Drift</t>
        </is>
      </c>
      <c r="D504" s="39" t="n">
        <v>5</v>
      </c>
      <c r="E504" s="39" t="inlineStr">
        <is>
          <t>Zenurik</t>
        </is>
      </c>
      <c r="F504" s="39" t="n">
        <v>9</v>
      </c>
      <c r="G504" s="39" t="inlineStr">
        <is>
          <t>Warframe</t>
        </is>
      </c>
      <c r="H504" s="39" t="inlineStr">
        <is>
          <t>Yes</t>
        </is>
      </c>
      <c r="I504" s="39" t="inlineStr">
        <is>
          <t>+15% Ability Strength | +30% Chance to Resist Knockdown</t>
        </is>
      </c>
    </row>
    <row r="505">
      <c r="A505" s="39" t="inlineStr">
        <is>
          <t>Sevagoth Prime</t>
        </is>
      </c>
      <c r="B505" s="39" t="inlineStr">
        <is>
          <t>Mod 1</t>
        </is>
      </c>
      <c r="C505" s="39" t="inlineStr">
        <is>
          <t>Umbral Intensify</t>
        </is>
      </c>
      <c r="D505" s="39" t="n">
        <v>10</v>
      </c>
      <c r="E505" s="39" t="inlineStr">
        <is>
          <t>Umbra</t>
        </is>
      </c>
      <c r="F505" s="39" t="n">
        <v>16</v>
      </c>
      <c r="G505" s="39" t="inlineStr">
        <is>
          <t>Warframe</t>
        </is>
      </c>
      <c r="H505" s="39" t="inlineStr">
        <is>
          <t>NO - account-bound</t>
        </is>
      </c>
      <c r="I505" s="39" t="inlineStr">
        <is>
          <t>+44% Ability Strength | +11% &lt;DT_SENTIENT&gt;Tau Resistance</t>
        </is>
      </c>
    </row>
    <row r="506">
      <c r="A506" s="39" t="inlineStr">
        <is>
          <t>Sevagoth Prime</t>
        </is>
      </c>
      <c r="B506" s="39" t="inlineStr">
        <is>
          <t>Mod 2</t>
        </is>
      </c>
      <c r="C506" s="39" t="inlineStr">
        <is>
          <t>Umbral Vitality</t>
        </is>
      </c>
      <c r="D506" s="39" t="n">
        <v>10</v>
      </c>
      <c r="E506" s="39" t="inlineStr">
        <is>
          <t>Umbra</t>
        </is>
      </c>
      <c r="F506" s="39" t="n">
        <v>16</v>
      </c>
      <c r="G506" s="39" t="inlineStr">
        <is>
          <t>Warframe</t>
        </is>
      </c>
      <c r="H506" s="39" t="inlineStr">
        <is>
          <t>NO - account-bound</t>
        </is>
      </c>
      <c r="I506" s="39" t="inlineStr">
        <is>
          <t>+100% Health | +11% &lt;DT_SENTIENT&gt;Tau Resistance</t>
        </is>
      </c>
    </row>
    <row r="507">
      <c r="A507" s="39" t="inlineStr">
        <is>
          <t>Sevagoth Prime</t>
        </is>
      </c>
      <c r="B507" s="39" t="inlineStr">
        <is>
          <t>Mod 3</t>
        </is>
      </c>
      <c r="C507" s="39" t="inlineStr">
        <is>
          <t>Umbral Fiber</t>
        </is>
      </c>
      <c r="D507" s="39" t="n">
        <v>10</v>
      </c>
      <c r="E507" s="39" t="inlineStr">
        <is>
          <t>Umbra</t>
        </is>
      </c>
      <c r="F507" s="39" t="n">
        <v>16</v>
      </c>
      <c r="G507" s="39" t="inlineStr">
        <is>
          <t>Warframe</t>
        </is>
      </c>
      <c r="H507" s="39" t="inlineStr">
        <is>
          <t>NO - account-bound</t>
        </is>
      </c>
      <c r="I507" s="39" t="inlineStr">
        <is>
          <t>+100% Armor | +11% &lt;DT_SENTIENT&gt;Tau Resistance</t>
        </is>
      </c>
    </row>
    <row r="508">
      <c r="A508" s="39" t="inlineStr">
        <is>
          <t>Sevagoth Prime</t>
        </is>
      </c>
      <c r="B508" s="39" t="inlineStr">
        <is>
          <t>Mod 4</t>
        </is>
      </c>
      <c r="C508" s="39" t="inlineStr">
        <is>
          <t>Primed Continuity</t>
        </is>
      </c>
      <c r="D508" s="39" t="n">
        <v>10</v>
      </c>
      <c r="E508" s="39" t="inlineStr">
        <is>
          <t>Madurai</t>
        </is>
      </c>
      <c r="F508" s="39" t="n">
        <v>14</v>
      </c>
      <c r="G508" s="39" t="inlineStr">
        <is>
          <t>Warframe</t>
        </is>
      </c>
      <c r="H508" s="39" t="inlineStr">
        <is>
          <t>Yes</t>
        </is>
      </c>
      <c r="I508" s="39" t="inlineStr">
        <is>
          <t>+55% Ability Duration</t>
        </is>
      </c>
    </row>
    <row r="509">
      <c r="A509" s="39" t="inlineStr">
        <is>
          <t>Sevagoth Prime</t>
        </is>
      </c>
      <c r="B509" s="39" t="inlineStr">
        <is>
          <t>Mod 5</t>
        </is>
      </c>
      <c r="C509" s="39" t="inlineStr">
        <is>
          <t>Stretch</t>
        </is>
      </c>
      <c r="D509" s="39" t="n">
        <v>5</v>
      </c>
      <c r="E509" s="39" t="inlineStr">
        <is>
          <t>Naramon</t>
        </is>
      </c>
      <c r="F509" s="39" t="n">
        <v>9</v>
      </c>
      <c r="G509" s="39" t="inlineStr">
        <is>
          <t>Warframe</t>
        </is>
      </c>
      <c r="H509" s="39" t="inlineStr">
        <is>
          <t>Yes</t>
        </is>
      </c>
      <c r="I509" s="39" t="inlineStr">
        <is>
          <t>+45% Ability Range</t>
        </is>
      </c>
    </row>
    <row r="510">
      <c r="A510" s="39" t="inlineStr">
        <is>
          <t>Sevagoth Prime</t>
        </is>
      </c>
      <c r="B510" s="39" t="inlineStr">
        <is>
          <t>Mod 6</t>
        </is>
      </c>
      <c r="C510" s="39" t="inlineStr">
        <is>
          <t>Primed Flow</t>
        </is>
      </c>
      <c r="D510" s="39" t="n">
        <v>10</v>
      </c>
      <c r="E510" s="39" t="inlineStr">
        <is>
          <t>Naramon</t>
        </is>
      </c>
      <c r="F510" s="39" t="n">
        <v>14</v>
      </c>
      <c r="G510" s="39" t="inlineStr">
        <is>
          <t>Warframe</t>
        </is>
      </c>
      <c r="H510" s="39" t="inlineStr">
        <is>
          <t>Yes</t>
        </is>
      </c>
      <c r="I510" s="39" t="inlineStr">
        <is>
          <t>+185% Energy Max</t>
        </is>
      </c>
    </row>
    <row r="511">
      <c r="A511" s="39" t="inlineStr">
        <is>
          <t>Sevagoth Prime</t>
        </is>
      </c>
      <c r="B511" s="39" t="inlineStr">
        <is>
          <t>Mod 7</t>
        </is>
      </c>
      <c r="C511" s="39" t="inlineStr">
        <is>
          <t>Streamline</t>
        </is>
      </c>
      <c r="D511" s="39" t="n">
        <v>5</v>
      </c>
      <c r="E511" s="39" t="inlineStr">
        <is>
          <t>Naramon</t>
        </is>
      </c>
      <c r="F511" s="39" t="n">
        <v>9</v>
      </c>
      <c r="G511" s="39" t="inlineStr">
        <is>
          <t>Warframe</t>
        </is>
      </c>
      <c r="H511" s="39" t="inlineStr">
        <is>
          <t>Yes</t>
        </is>
      </c>
      <c r="I511" s="39" t="inlineStr">
        <is>
          <t>+30% Ability Efficiency</t>
        </is>
      </c>
    </row>
    <row r="512">
      <c r="A512" s="39" t="inlineStr">
        <is>
          <t>Sevagoth Prime</t>
        </is>
      </c>
      <c r="B512" s="39" t="inlineStr">
        <is>
          <t>Mod 8</t>
        </is>
      </c>
      <c r="C512" s="39" t="inlineStr">
        <is>
          <t>Shadow Haze</t>
        </is>
      </c>
      <c r="D512" s="39" t="n">
        <v>3</v>
      </c>
      <c r="E512" s="39" t="inlineStr">
        <is>
          <t>Zenurik</t>
        </is>
      </c>
      <c r="F512" s="39" t="n">
        <v>9</v>
      </c>
      <c r="G512" s="39" t="inlineStr">
        <is>
          <t>Sevagoth</t>
        </is>
      </c>
      <c r="H512" s="39" t="inlineStr">
        <is>
          <t>Yes</t>
        </is>
      </c>
      <c r="I512" s="39" t="inlineStr">
        <is>
          <t>Reap Augment: Increase Critical Chance by 50% on enemies inflicted with Death Harvest. A new Shadow emerges from those enemies when they perish. Limit of 3 Shad</t>
        </is>
      </c>
    </row>
    <row r="513">
      <c r="A513" s="39" t="inlineStr">
        <is>
          <t>Sirius &amp; Orion</t>
        </is>
      </c>
      <c r="B513" s="39" t="inlineStr">
        <is>
          <t>Aura</t>
        </is>
      </c>
      <c r="C513" s="39" t="inlineStr">
        <is>
          <t>Growing Power</t>
        </is>
      </c>
      <c r="D513" s="39" t="n">
        <v>5</v>
      </c>
      <c r="E513" s="39" t="inlineStr">
        <is>
          <t>Madurai</t>
        </is>
      </c>
      <c r="F513" s="39" t="n">
        <v>3</v>
      </c>
      <c r="G513" s="39" t="inlineStr">
        <is>
          <t>Aura</t>
        </is>
      </c>
      <c r="H513" s="39" t="inlineStr">
        <is>
          <t>Yes</t>
        </is>
      </c>
      <c r="I513" s="39" t="inlineStr">
        <is>
          <t>On Status Effect with Weapon: Squad increases personal Ability Strength by 25% for 6s.</t>
        </is>
      </c>
    </row>
    <row r="514">
      <c r="A514" s="39" t="inlineStr">
        <is>
          <t>Sirius &amp; Orion</t>
        </is>
      </c>
      <c r="B514" s="39" t="inlineStr">
        <is>
          <t>Exilus</t>
        </is>
      </c>
      <c r="C514" s="39" t="inlineStr">
        <is>
          <t>Power Drift</t>
        </is>
      </c>
      <c r="D514" s="39" t="n">
        <v>5</v>
      </c>
      <c r="E514" s="39" t="inlineStr">
        <is>
          <t>Zenurik</t>
        </is>
      </c>
      <c r="F514" s="39" t="n">
        <v>9</v>
      </c>
      <c r="G514" s="39" t="inlineStr">
        <is>
          <t>Warframe</t>
        </is>
      </c>
      <c r="H514" s="39" t="inlineStr">
        <is>
          <t>Yes</t>
        </is>
      </c>
      <c r="I514" s="39" t="inlineStr">
        <is>
          <t>+15% Ability Strength | +30% Chance to Resist Knockdown</t>
        </is>
      </c>
    </row>
    <row r="515">
      <c r="A515" s="39" t="inlineStr">
        <is>
          <t>Sirius &amp; Orion</t>
        </is>
      </c>
      <c r="B515" s="39" t="inlineStr">
        <is>
          <t>Mod 1</t>
        </is>
      </c>
      <c r="C515" s="39" t="inlineStr">
        <is>
          <t>Umbral Intensify</t>
        </is>
      </c>
      <c r="D515" s="39" t="n">
        <v>10</v>
      </c>
      <c r="E515" s="39" t="inlineStr">
        <is>
          <t>Umbra</t>
        </is>
      </c>
      <c r="F515" s="39" t="n">
        <v>16</v>
      </c>
      <c r="G515" s="39" t="inlineStr">
        <is>
          <t>Warframe</t>
        </is>
      </c>
      <c r="H515" s="39" t="inlineStr">
        <is>
          <t>NO - account-bound</t>
        </is>
      </c>
      <c r="I515" s="39" t="inlineStr">
        <is>
          <t>+44% Ability Strength | +11% &lt;DT_SENTIENT&gt;Tau Resistance</t>
        </is>
      </c>
    </row>
    <row r="516">
      <c r="A516" s="39" t="inlineStr">
        <is>
          <t>Sirius &amp; Orion</t>
        </is>
      </c>
      <c r="B516" s="39" t="inlineStr">
        <is>
          <t>Mod 2</t>
        </is>
      </c>
      <c r="C516" s="39" t="inlineStr">
        <is>
          <t>Umbral Vitality</t>
        </is>
      </c>
      <c r="D516" s="39" t="n">
        <v>10</v>
      </c>
      <c r="E516" s="39" t="inlineStr">
        <is>
          <t>Umbra</t>
        </is>
      </c>
      <c r="F516" s="39" t="n">
        <v>16</v>
      </c>
      <c r="G516" s="39" t="inlineStr">
        <is>
          <t>Warframe</t>
        </is>
      </c>
      <c r="H516" s="39" t="inlineStr">
        <is>
          <t>NO - account-bound</t>
        </is>
      </c>
      <c r="I516" s="39" t="inlineStr">
        <is>
          <t>+100% Health | +11% &lt;DT_SENTIENT&gt;Tau Resistance</t>
        </is>
      </c>
    </row>
    <row r="517">
      <c r="A517" s="39" t="inlineStr">
        <is>
          <t>Sirius &amp; Orion</t>
        </is>
      </c>
      <c r="B517" s="39" t="inlineStr">
        <is>
          <t>Mod 3</t>
        </is>
      </c>
      <c r="C517" s="39" t="inlineStr">
        <is>
          <t>Umbral Fiber</t>
        </is>
      </c>
      <c r="D517" s="39" t="n">
        <v>10</v>
      </c>
      <c r="E517" s="39" t="inlineStr">
        <is>
          <t>Umbra</t>
        </is>
      </c>
      <c r="F517" s="39" t="n">
        <v>16</v>
      </c>
      <c r="G517" s="39" t="inlineStr">
        <is>
          <t>Warframe</t>
        </is>
      </c>
      <c r="H517" s="39" t="inlineStr">
        <is>
          <t>NO - account-bound</t>
        </is>
      </c>
      <c r="I517" s="39" t="inlineStr">
        <is>
          <t>+100% Armor | +11% &lt;DT_SENTIENT&gt;Tau Resistance</t>
        </is>
      </c>
    </row>
    <row r="518">
      <c r="A518" s="39" t="inlineStr">
        <is>
          <t>Sirius &amp; Orion</t>
        </is>
      </c>
      <c r="B518" s="39" t="inlineStr">
        <is>
          <t>Mod 4</t>
        </is>
      </c>
      <c r="C518" s="39" t="inlineStr">
        <is>
          <t>Primed Continuity</t>
        </is>
      </c>
      <c r="D518" s="39" t="n">
        <v>10</v>
      </c>
      <c r="E518" s="39" t="inlineStr">
        <is>
          <t>Madurai</t>
        </is>
      </c>
      <c r="F518" s="39" t="n">
        <v>14</v>
      </c>
      <c r="G518" s="39" t="inlineStr">
        <is>
          <t>Warframe</t>
        </is>
      </c>
      <c r="H518" s="39" t="inlineStr">
        <is>
          <t>Yes</t>
        </is>
      </c>
      <c r="I518" s="39" t="inlineStr">
        <is>
          <t>+55% Ability Duration</t>
        </is>
      </c>
    </row>
    <row r="519">
      <c r="A519" s="39" t="inlineStr">
        <is>
          <t>Sirius &amp; Orion</t>
        </is>
      </c>
      <c r="B519" s="39" t="inlineStr">
        <is>
          <t>Mod 5</t>
        </is>
      </c>
      <c r="C519" s="39" t="inlineStr">
        <is>
          <t>Stretch</t>
        </is>
      </c>
      <c r="D519" s="39" t="n">
        <v>5</v>
      </c>
      <c r="E519" s="39" t="inlineStr">
        <is>
          <t>Naramon</t>
        </is>
      </c>
      <c r="F519" s="39" t="n">
        <v>9</v>
      </c>
      <c r="G519" s="39" t="inlineStr">
        <is>
          <t>Warframe</t>
        </is>
      </c>
      <c r="H519" s="39" t="inlineStr">
        <is>
          <t>Yes</t>
        </is>
      </c>
      <c r="I519" s="39" t="inlineStr">
        <is>
          <t>+45% Ability Range</t>
        </is>
      </c>
    </row>
    <row r="520">
      <c r="A520" s="39" t="inlineStr">
        <is>
          <t>Sirius &amp; Orion</t>
        </is>
      </c>
      <c r="B520" s="39" t="inlineStr">
        <is>
          <t>Mod 6</t>
        </is>
      </c>
      <c r="C520" s="39" t="inlineStr">
        <is>
          <t>Primed Flow</t>
        </is>
      </c>
      <c r="D520" s="39" t="n">
        <v>10</v>
      </c>
      <c r="E520" s="39" t="inlineStr">
        <is>
          <t>Naramon</t>
        </is>
      </c>
      <c r="F520" s="39" t="n">
        <v>14</v>
      </c>
      <c r="G520" s="39" t="inlineStr">
        <is>
          <t>Warframe</t>
        </is>
      </c>
      <c r="H520" s="39" t="inlineStr">
        <is>
          <t>Yes</t>
        </is>
      </c>
      <c r="I520" s="39" t="inlineStr">
        <is>
          <t>+185% Energy Max</t>
        </is>
      </c>
    </row>
    <row r="521">
      <c r="A521" s="39" t="inlineStr">
        <is>
          <t>Sirius &amp; Orion</t>
        </is>
      </c>
      <c r="B521" s="39" t="inlineStr">
        <is>
          <t>Mod 7</t>
        </is>
      </c>
      <c r="C521" s="39" t="inlineStr">
        <is>
          <t>Streamline</t>
        </is>
      </c>
      <c r="D521" s="39" t="n">
        <v>5</v>
      </c>
      <c r="E521" s="39" t="inlineStr">
        <is>
          <t>Naramon</t>
        </is>
      </c>
      <c r="F521" s="39" t="n">
        <v>9</v>
      </c>
      <c r="G521" s="39" t="inlineStr">
        <is>
          <t>Warframe</t>
        </is>
      </c>
      <c r="H521" s="39" t="inlineStr">
        <is>
          <t>Yes</t>
        </is>
      </c>
      <c r="I521" s="39" t="inlineStr">
        <is>
          <t>+30% Ability Efficiency</t>
        </is>
      </c>
    </row>
    <row r="522">
      <c r="A522" s="39" t="inlineStr">
        <is>
          <t>Sirius &amp; Orion</t>
        </is>
      </c>
      <c r="B522" s="39" t="inlineStr">
        <is>
          <t>Mod 8</t>
        </is>
      </c>
      <c r="C522" s="39" t="inlineStr">
        <is>
          <t>Augur Secrets</t>
        </is>
      </c>
      <c r="D522" s="39" t="n">
        <v>5</v>
      </c>
      <c r="E522" s="39" t="inlineStr">
        <is>
          <t>Naramon</t>
        </is>
      </c>
      <c r="F522" s="39" t="n">
        <v>7</v>
      </c>
      <c r="G522" s="39" t="inlineStr">
        <is>
          <t>Warframe</t>
        </is>
      </c>
      <c r="H522" s="39" t="inlineStr">
        <is>
          <t>Yes</t>
        </is>
      </c>
      <c r="I522" s="39" t="inlineStr">
        <is>
          <t>+24% Ability Strength</t>
        </is>
      </c>
    </row>
    <row r="523">
      <c r="A523" s="39" t="inlineStr">
        <is>
          <t>Styanax Prime</t>
        </is>
      </c>
      <c r="B523" s="39" t="inlineStr">
        <is>
          <t>Aura</t>
        </is>
      </c>
      <c r="C523" s="39" t="inlineStr">
        <is>
          <t>Growing Power</t>
        </is>
      </c>
      <c r="D523" s="39" t="n">
        <v>5</v>
      </c>
      <c r="E523" s="39" t="inlineStr">
        <is>
          <t>Madurai</t>
        </is>
      </c>
      <c r="F523" s="39" t="n">
        <v>3</v>
      </c>
      <c r="G523" s="39" t="inlineStr">
        <is>
          <t>Aura</t>
        </is>
      </c>
      <c r="H523" s="39" t="inlineStr">
        <is>
          <t>Yes</t>
        </is>
      </c>
      <c r="I523" s="39" t="inlineStr">
        <is>
          <t>On Status Effect with Weapon: Squad increases personal Ability Strength by 25% for 6s.</t>
        </is>
      </c>
    </row>
    <row r="524">
      <c r="A524" s="39" t="inlineStr">
        <is>
          <t>Styanax Prime</t>
        </is>
      </c>
      <c r="B524" s="39" t="inlineStr">
        <is>
          <t>Exilus</t>
        </is>
      </c>
      <c r="C524" s="39" t="inlineStr">
        <is>
          <t>Power Drift</t>
        </is>
      </c>
      <c r="D524" s="39" t="n">
        <v>5</v>
      </c>
      <c r="E524" s="39" t="inlineStr">
        <is>
          <t>Zenurik</t>
        </is>
      </c>
      <c r="F524" s="39" t="n">
        <v>9</v>
      </c>
      <c r="G524" s="39" t="inlineStr">
        <is>
          <t>Warframe</t>
        </is>
      </c>
      <c r="H524" s="39" t="inlineStr">
        <is>
          <t>Yes</t>
        </is>
      </c>
      <c r="I524" s="39" t="inlineStr">
        <is>
          <t>+15% Ability Strength | +30% Chance to Resist Knockdown</t>
        </is>
      </c>
    </row>
    <row r="525">
      <c r="A525" s="39" t="inlineStr">
        <is>
          <t>Styanax Prime</t>
        </is>
      </c>
      <c r="B525" s="39" t="inlineStr">
        <is>
          <t>Mod 1</t>
        </is>
      </c>
      <c r="C525" s="39" t="inlineStr">
        <is>
          <t>Umbral Intensify</t>
        </is>
      </c>
      <c r="D525" s="39" t="n">
        <v>10</v>
      </c>
      <c r="E525" s="39" t="inlineStr">
        <is>
          <t>Umbra</t>
        </is>
      </c>
      <c r="F525" s="39" t="n">
        <v>16</v>
      </c>
      <c r="G525" s="39" t="inlineStr">
        <is>
          <t>Warframe</t>
        </is>
      </c>
      <c r="H525" s="39" t="inlineStr">
        <is>
          <t>NO - account-bound</t>
        </is>
      </c>
      <c r="I525" s="39" t="inlineStr">
        <is>
          <t>+44% Ability Strength | +11% &lt;DT_SENTIENT&gt;Tau Resistance</t>
        </is>
      </c>
    </row>
    <row r="526">
      <c r="A526" s="39" t="inlineStr">
        <is>
          <t>Styanax Prime</t>
        </is>
      </c>
      <c r="B526" s="39" t="inlineStr">
        <is>
          <t>Mod 2</t>
        </is>
      </c>
      <c r="C526" s="39" t="inlineStr">
        <is>
          <t>Umbral Vitality</t>
        </is>
      </c>
      <c r="D526" s="39" t="n">
        <v>10</v>
      </c>
      <c r="E526" s="39" t="inlineStr">
        <is>
          <t>Umbra</t>
        </is>
      </c>
      <c r="F526" s="39" t="n">
        <v>16</v>
      </c>
      <c r="G526" s="39" t="inlineStr">
        <is>
          <t>Warframe</t>
        </is>
      </c>
      <c r="H526" s="39" t="inlineStr">
        <is>
          <t>NO - account-bound</t>
        </is>
      </c>
      <c r="I526" s="39" t="inlineStr">
        <is>
          <t>+100% Health | +11% &lt;DT_SENTIENT&gt;Tau Resistance</t>
        </is>
      </c>
    </row>
    <row r="527">
      <c r="A527" s="39" t="inlineStr">
        <is>
          <t>Styanax Prime</t>
        </is>
      </c>
      <c r="B527" s="39" t="inlineStr">
        <is>
          <t>Mod 3</t>
        </is>
      </c>
      <c r="C527" s="39" t="inlineStr">
        <is>
          <t>Umbral Fiber</t>
        </is>
      </c>
      <c r="D527" s="39" t="n">
        <v>10</v>
      </c>
      <c r="E527" s="39" t="inlineStr">
        <is>
          <t>Umbra</t>
        </is>
      </c>
      <c r="F527" s="39" t="n">
        <v>16</v>
      </c>
      <c r="G527" s="39" t="inlineStr">
        <is>
          <t>Warframe</t>
        </is>
      </c>
      <c r="H527" s="39" t="inlineStr">
        <is>
          <t>NO - account-bound</t>
        </is>
      </c>
      <c r="I527" s="39" t="inlineStr">
        <is>
          <t>+100% Armor | +11% &lt;DT_SENTIENT&gt;Tau Resistance</t>
        </is>
      </c>
    </row>
    <row r="528">
      <c r="A528" s="39" t="inlineStr">
        <is>
          <t>Styanax Prime</t>
        </is>
      </c>
      <c r="B528" s="39" t="inlineStr">
        <is>
          <t>Mod 4</t>
        </is>
      </c>
      <c r="C528" s="39" t="inlineStr">
        <is>
          <t>Primed Continuity</t>
        </is>
      </c>
      <c r="D528" s="39" t="n">
        <v>10</v>
      </c>
      <c r="E528" s="39" t="inlineStr">
        <is>
          <t>Madurai</t>
        </is>
      </c>
      <c r="F528" s="39" t="n">
        <v>14</v>
      </c>
      <c r="G528" s="39" t="inlineStr">
        <is>
          <t>Warframe</t>
        </is>
      </c>
      <c r="H528" s="39" t="inlineStr">
        <is>
          <t>Yes</t>
        </is>
      </c>
      <c r="I528" s="39" t="inlineStr">
        <is>
          <t>+55% Ability Duration</t>
        </is>
      </c>
    </row>
    <row r="529">
      <c r="A529" s="39" t="inlineStr">
        <is>
          <t>Styanax Prime</t>
        </is>
      </c>
      <c r="B529" s="39" t="inlineStr">
        <is>
          <t>Mod 5</t>
        </is>
      </c>
      <c r="C529" s="39" t="inlineStr">
        <is>
          <t>Stretch</t>
        </is>
      </c>
      <c r="D529" s="39" t="n">
        <v>5</v>
      </c>
      <c r="E529" s="39" t="inlineStr">
        <is>
          <t>Naramon</t>
        </is>
      </c>
      <c r="F529" s="39" t="n">
        <v>9</v>
      </c>
      <c r="G529" s="39" t="inlineStr">
        <is>
          <t>Warframe</t>
        </is>
      </c>
      <c r="H529" s="39" t="inlineStr">
        <is>
          <t>Yes</t>
        </is>
      </c>
      <c r="I529" s="39" t="inlineStr">
        <is>
          <t>+45% Ability Range</t>
        </is>
      </c>
    </row>
    <row r="530">
      <c r="A530" s="39" t="inlineStr">
        <is>
          <t>Styanax Prime</t>
        </is>
      </c>
      <c r="B530" s="39" t="inlineStr">
        <is>
          <t>Mod 6</t>
        </is>
      </c>
      <c r="C530" s="39" t="inlineStr">
        <is>
          <t>Primed Flow</t>
        </is>
      </c>
      <c r="D530" s="39" t="n">
        <v>10</v>
      </c>
      <c r="E530" s="39" t="inlineStr">
        <is>
          <t>Naramon</t>
        </is>
      </c>
      <c r="F530" s="39" t="n">
        <v>14</v>
      </c>
      <c r="G530" s="39" t="inlineStr">
        <is>
          <t>Warframe</t>
        </is>
      </c>
      <c r="H530" s="39" t="inlineStr">
        <is>
          <t>Yes</t>
        </is>
      </c>
      <c r="I530" s="39" t="inlineStr">
        <is>
          <t>+185% Energy Max</t>
        </is>
      </c>
    </row>
    <row r="531">
      <c r="A531" s="39" t="inlineStr">
        <is>
          <t>Styanax Prime</t>
        </is>
      </c>
      <c r="B531" s="39" t="inlineStr">
        <is>
          <t>Mod 7</t>
        </is>
      </c>
      <c r="C531" s="39" t="inlineStr">
        <is>
          <t>Streamline</t>
        </is>
      </c>
      <c r="D531" s="39" t="n">
        <v>5</v>
      </c>
      <c r="E531" s="39" t="inlineStr">
        <is>
          <t>Naramon</t>
        </is>
      </c>
      <c r="F531" s="39" t="n">
        <v>9</v>
      </c>
      <c r="G531" s="39" t="inlineStr">
        <is>
          <t>Warframe</t>
        </is>
      </c>
      <c r="H531" s="39" t="inlineStr">
        <is>
          <t>Yes</t>
        </is>
      </c>
      <c r="I531" s="39" t="inlineStr">
        <is>
          <t>+30% Ability Efficiency</t>
        </is>
      </c>
    </row>
    <row r="532">
      <c r="A532" s="39" t="inlineStr">
        <is>
          <t>Styanax Prime</t>
        </is>
      </c>
      <c r="B532" s="39" t="inlineStr">
        <is>
          <t>Mod 8</t>
        </is>
      </c>
      <c r="C532" s="39" t="inlineStr">
        <is>
          <t>Tharros Lethality</t>
        </is>
      </c>
      <c r="D532" s="39" t="n">
        <v>3</v>
      </c>
      <c r="E532" s="39" t="inlineStr">
        <is>
          <t>Zenurik</t>
        </is>
      </c>
      <c r="F532" s="39" t="n">
        <v>9</v>
      </c>
      <c r="G532" s="39" t="inlineStr">
        <is>
          <t>Styanax</t>
        </is>
      </c>
      <c r="H532" s="39" t="inlineStr">
        <is>
          <t>Yes</t>
        </is>
      </c>
      <c r="I532" s="39" t="inlineStr">
        <is>
          <t>Tharros Strike Augment: Increases Critical Damage by 100% on enemies you hit. Critical Damage bonus is doubled for Spearguns.</t>
        </is>
      </c>
    </row>
    <row r="533">
      <c r="A533" s="39" t="inlineStr">
        <is>
          <t>Temple</t>
        </is>
      </c>
      <c r="B533" s="39" t="inlineStr">
        <is>
          <t>Aura</t>
        </is>
      </c>
      <c r="C533" s="39" t="inlineStr">
        <is>
          <t>Growing Power</t>
        </is>
      </c>
      <c r="D533" s="39" t="n">
        <v>5</v>
      </c>
      <c r="E533" s="39" t="inlineStr">
        <is>
          <t>Madurai</t>
        </is>
      </c>
      <c r="F533" s="39" t="n">
        <v>3</v>
      </c>
      <c r="G533" s="39" t="inlineStr">
        <is>
          <t>Aura</t>
        </is>
      </c>
      <c r="H533" s="39" t="inlineStr">
        <is>
          <t>Yes</t>
        </is>
      </c>
      <c r="I533" s="39" t="inlineStr">
        <is>
          <t>On Status Effect with Weapon: Squad increases personal Ability Strength by 25% for 6s.</t>
        </is>
      </c>
    </row>
    <row r="534">
      <c r="A534" s="39" t="inlineStr">
        <is>
          <t>Temple</t>
        </is>
      </c>
      <c r="B534" s="39" t="inlineStr">
        <is>
          <t>Exilus</t>
        </is>
      </c>
      <c r="C534" s="39" t="inlineStr">
        <is>
          <t>Power Drift</t>
        </is>
      </c>
      <c r="D534" s="39" t="n">
        <v>5</v>
      </c>
      <c r="E534" s="39" t="inlineStr">
        <is>
          <t>Zenurik</t>
        </is>
      </c>
      <c r="F534" s="39" t="n">
        <v>9</v>
      </c>
      <c r="G534" s="39" t="inlineStr">
        <is>
          <t>Warframe</t>
        </is>
      </c>
      <c r="H534" s="39" t="inlineStr">
        <is>
          <t>Yes</t>
        </is>
      </c>
      <c r="I534" s="39" t="inlineStr">
        <is>
          <t>+15% Ability Strength | +30% Chance to Resist Knockdown</t>
        </is>
      </c>
    </row>
    <row r="535">
      <c r="A535" s="39" t="inlineStr">
        <is>
          <t>Temple</t>
        </is>
      </c>
      <c r="B535" s="39" t="inlineStr">
        <is>
          <t>Mod 1</t>
        </is>
      </c>
      <c r="C535" s="39" t="inlineStr">
        <is>
          <t>Umbral Intensify</t>
        </is>
      </c>
      <c r="D535" s="39" t="n">
        <v>10</v>
      </c>
      <c r="E535" s="39" t="inlineStr">
        <is>
          <t>Umbra</t>
        </is>
      </c>
      <c r="F535" s="39" t="n">
        <v>16</v>
      </c>
      <c r="G535" s="39" t="inlineStr">
        <is>
          <t>Warframe</t>
        </is>
      </c>
      <c r="H535" s="39" t="inlineStr">
        <is>
          <t>NO - account-bound</t>
        </is>
      </c>
      <c r="I535" s="39" t="inlineStr">
        <is>
          <t>+44% Ability Strength | +11% &lt;DT_SENTIENT&gt;Tau Resistance</t>
        </is>
      </c>
    </row>
    <row r="536">
      <c r="A536" s="39" t="inlineStr">
        <is>
          <t>Temple</t>
        </is>
      </c>
      <c r="B536" s="39" t="inlineStr">
        <is>
          <t>Mod 2</t>
        </is>
      </c>
      <c r="C536" s="39" t="inlineStr">
        <is>
          <t>Umbral Vitality</t>
        </is>
      </c>
      <c r="D536" s="39" t="n">
        <v>10</v>
      </c>
      <c r="E536" s="39" t="inlineStr">
        <is>
          <t>Umbra</t>
        </is>
      </c>
      <c r="F536" s="39" t="n">
        <v>16</v>
      </c>
      <c r="G536" s="39" t="inlineStr">
        <is>
          <t>Warframe</t>
        </is>
      </c>
      <c r="H536" s="39" t="inlineStr">
        <is>
          <t>NO - account-bound</t>
        </is>
      </c>
      <c r="I536" s="39" t="inlineStr">
        <is>
          <t>+100% Health | +11% &lt;DT_SENTIENT&gt;Tau Resistance</t>
        </is>
      </c>
    </row>
    <row r="537">
      <c r="A537" s="39" t="inlineStr">
        <is>
          <t>Temple</t>
        </is>
      </c>
      <c r="B537" s="39" t="inlineStr">
        <is>
          <t>Mod 3</t>
        </is>
      </c>
      <c r="C537" s="39" t="inlineStr">
        <is>
          <t>Umbral Fiber</t>
        </is>
      </c>
      <c r="D537" s="39" t="n">
        <v>10</v>
      </c>
      <c r="E537" s="39" t="inlineStr">
        <is>
          <t>Umbra</t>
        </is>
      </c>
      <c r="F537" s="39" t="n">
        <v>16</v>
      </c>
      <c r="G537" s="39" t="inlineStr">
        <is>
          <t>Warframe</t>
        </is>
      </c>
      <c r="H537" s="39" t="inlineStr">
        <is>
          <t>NO - account-bound</t>
        </is>
      </c>
      <c r="I537" s="39" t="inlineStr">
        <is>
          <t>+100% Armor | +11% &lt;DT_SENTIENT&gt;Tau Resistance</t>
        </is>
      </c>
    </row>
    <row r="538">
      <c r="A538" s="39" t="inlineStr">
        <is>
          <t>Temple</t>
        </is>
      </c>
      <c r="B538" s="39" t="inlineStr">
        <is>
          <t>Mod 4</t>
        </is>
      </c>
      <c r="C538" s="39" t="inlineStr">
        <is>
          <t>Primed Continuity</t>
        </is>
      </c>
      <c r="D538" s="39" t="n">
        <v>10</v>
      </c>
      <c r="E538" s="39" t="inlineStr">
        <is>
          <t>Madurai</t>
        </is>
      </c>
      <c r="F538" s="39" t="n">
        <v>14</v>
      </c>
      <c r="G538" s="39" t="inlineStr">
        <is>
          <t>Warframe</t>
        </is>
      </c>
      <c r="H538" s="39" t="inlineStr">
        <is>
          <t>Yes</t>
        </is>
      </c>
      <c r="I538" s="39" t="inlineStr">
        <is>
          <t>+55% Ability Duration</t>
        </is>
      </c>
    </row>
    <row r="539">
      <c r="A539" s="39" t="inlineStr">
        <is>
          <t>Temple</t>
        </is>
      </c>
      <c r="B539" s="39" t="inlineStr">
        <is>
          <t>Mod 5</t>
        </is>
      </c>
      <c r="C539" s="39" t="inlineStr">
        <is>
          <t>Stretch</t>
        </is>
      </c>
      <c r="D539" s="39" t="n">
        <v>5</v>
      </c>
      <c r="E539" s="39" t="inlineStr">
        <is>
          <t>Naramon</t>
        </is>
      </c>
      <c r="F539" s="39" t="n">
        <v>9</v>
      </c>
      <c r="G539" s="39" t="inlineStr">
        <is>
          <t>Warframe</t>
        </is>
      </c>
      <c r="H539" s="39" t="inlineStr">
        <is>
          <t>Yes</t>
        </is>
      </c>
      <c r="I539" s="39" t="inlineStr">
        <is>
          <t>+45% Ability Range</t>
        </is>
      </c>
    </row>
    <row r="540">
      <c r="A540" s="39" t="inlineStr">
        <is>
          <t>Temple</t>
        </is>
      </c>
      <c r="B540" s="39" t="inlineStr">
        <is>
          <t>Mod 6</t>
        </is>
      </c>
      <c r="C540" s="39" t="inlineStr">
        <is>
          <t>Primed Flow</t>
        </is>
      </c>
      <c r="D540" s="39" t="n">
        <v>10</v>
      </c>
      <c r="E540" s="39" t="inlineStr">
        <is>
          <t>Naramon</t>
        </is>
      </c>
      <c r="F540" s="39" t="n">
        <v>14</v>
      </c>
      <c r="G540" s="39" t="inlineStr">
        <is>
          <t>Warframe</t>
        </is>
      </c>
      <c r="H540" s="39" t="inlineStr">
        <is>
          <t>Yes</t>
        </is>
      </c>
      <c r="I540" s="39" t="inlineStr">
        <is>
          <t>+185% Energy Max</t>
        </is>
      </c>
    </row>
    <row r="541">
      <c r="A541" s="39" t="inlineStr">
        <is>
          <t>Temple</t>
        </is>
      </c>
      <c r="B541" s="39" t="inlineStr">
        <is>
          <t>Mod 7</t>
        </is>
      </c>
      <c r="C541" s="39" t="inlineStr">
        <is>
          <t>Streamline</t>
        </is>
      </c>
      <c r="D541" s="39" t="n">
        <v>5</v>
      </c>
      <c r="E541" s="39" t="inlineStr">
        <is>
          <t>Naramon</t>
        </is>
      </c>
      <c r="F541" s="39" t="n">
        <v>9</v>
      </c>
      <c r="G541" s="39" t="inlineStr">
        <is>
          <t>Warframe</t>
        </is>
      </c>
      <c r="H541" s="39" t="inlineStr">
        <is>
          <t>Yes</t>
        </is>
      </c>
      <c r="I541" s="39" t="inlineStr">
        <is>
          <t>+30% Ability Efficiency</t>
        </is>
      </c>
    </row>
    <row r="542">
      <c r="A542" s="39" t="inlineStr">
        <is>
          <t>Temple</t>
        </is>
      </c>
      <c r="B542" s="39" t="inlineStr">
        <is>
          <t>Mod 8</t>
        </is>
      </c>
      <c r="C542" s="39" t="inlineStr">
        <is>
          <t>Rhythm Guard</t>
        </is>
      </c>
      <c r="D542" s="39" t="n">
        <v>3</v>
      </c>
      <c r="E542" s="39" t="inlineStr">
        <is>
          <t>Zenurik</t>
        </is>
      </c>
      <c r="F542" s="39" t="n">
        <v>9</v>
      </c>
      <c r="G542" s="39" t="inlineStr">
        <is>
          <t>Temple</t>
        </is>
      </c>
      <c r="H542" s="39" t="inlineStr">
        <is>
          <t>Yes</t>
        </is>
      </c>
      <c r="I542" s="39" t="inlineStr">
        <is>
          <t>Passive Augment: Gain 100 Overguard when using an Ability on the Backbeat. Amount doubles up to 1600 per Beat, but resets if the Beat is missed.</t>
        </is>
      </c>
    </row>
    <row r="543">
      <c r="A543" s="39" t="inlineStr">
        <is>
          <t>Titania Prime</t>
        </is>
      </c>
      <c r="B543" s="39" t="inlineStr">
        <is>
          <t>Aura</t>
        </is>
      </c>
      <c r="C543" s="39" t="inlineStr">
        <is>
          <t>Growing Power</t>
        </is>
      </c>
      <c r="D543" s="39" t="n">
        <v>5</v>
      </c>
      <c r="E543" s="39" t="inlineStr">
        <is>
          <t>Madurai</t>
        </is>
      </c>
      <c r="F543" s="39" t="n">
        <v>3</v>
      </c>
      <c r="G543" s="39" t="inlineStr">
        <is>
          <t>Aura</t>
        </is>
      </c>
      <c r="H543" s="39" t="inlineStr">
        <is>
          <t>Yes</t>
        </is>
      </c>
      <c r="I543" s="39" t="inlineStr">
        <is>
          <t>On Status Effect with Weapon: Squad increases personal Ability Strength by 25% for 6s.</t>
        </is>
      </c>
    </row>
    <row r="544">
      <c r="A544" s="39" t="inlineStr">
        <is>
          <t>Titania Prime</t>
        </is>
      </c>
      <c r="B544" s="39" t="inlineStr">
        <is>
          <t>Exilus</t>
        </is>
      </c>
      <c r="C544" s="39" t="inlineStr">
        <is>
          <t>Power Drift</t>
        </is>
      </c>
      <c r="D544" s="39" t="n">
        <v>5</v>
      </c>
      <c r="E544" s="39" t="inlineStr">
        <is>
          <t>Zenurik</t>
        </is>
      </c>
      <c r="F544" s="39" t="n">
        <v>9</v>
      </c>
      <c r="G544" s="39" t="inlineStr">
        <is>
          <t>Warframe</t>
        </is>
      </c>
      <c r="H544" s="39" t="inlineStr">
        <is>
          <t>Yes</t>
        </is>
      </c>
      <c r="I544" s="39" t="inlineStr">
        <is>
          <t>+15% Ability Strength | +30% Chance to Resist Knockdown</t>
        </is>
      </c>
    </row>
    <row r="545">
      <c r="A545" s="39" t="inlineStr">
        <is>
          <t>Titania Prime</t>
        </is>
      </c>
      <c r="B545" s="39" t="inlineStr">
        <is>
          <t>Mod 1</t>
        </is>
      </c>
      <c r="C545" s="39" t="inlineStr">
        <is>
          <t>Umbral Intensify</t>
        </is>
      </c>
      <c r="D545" s="39" t="n">
        <v>10</v>
      </c>
      <c r="E545" s="39" t="inlineStr">
        <is>
          <t>Umbra</t>
        </is>
      </c>
      <c r="F545" s="39" t="n">
        <v>16</v>
      </c>
      <c r="G545" s="39" t="inlineStr">
        <is>
          <t>Warframe</t>
        </is>
      </c>
      <c r="H545" s="39" t="inlineStr">
        <is>
          <t>NO - account-bound</t>
        </is>
      </c>
      <c r="I545" s="39" t="inlineStr">
        <is>
          <t>+44% Ability Strength | +11% &lt;DT_SENTIENT&gt;Tau Resistance</t>
        </is>
      </c>
    </row>
    <row r="546">
      <c r="A546" s="39" t="inlineStr">
        <is>
          <t>Titania Prime</t>
        </is>
      </c>
      <c r="B546" s="39" t="inlineStr">
        <is>
          <t>Mod 2</t>
        </is>
      </c>
      <c r="C546" s="39" t="inlineStr">
        <is>
          <t>Umbral Vitality</t>
        </is>
      </c>
      <c r="D546" s="39" t="n">
        <v>10</v>
      </c>
      <c r="E546" s="39" t="inlineStr">
        <is>
          <t>Umbra</t>
        </is>
      </c>
      <c r="F546" s="39" t="n">
        <v>16</v>
      </c>
      <c r="G546" s="39" t="inlineStr">
        <is>
          <t>Warframe</t>
        </is>
      </c>
      <c r="H546" s="39" t="inlineStr">
        <is>
          <t>NO - account-bound</t>
        </is>
      </c>
      <c r="I546" s="39" t="inlineStr">
        <is>
          <t>+100% Health | +11% &lt;DT_SENTIENT&gt;Tau Resistance</t>
        </is>
      </c>
    </row>
    <row r="547">
      <c r="A547" s="39" t="inlineStr">
        <is>
          <t>Titania Prime</t>
        </is>
      </c>
      <c r="B547" s="39" t="inlineStr">
        <is>
          <t>Mod 3</t>
        </is>
      </c>
      <c r="C547" s="39" t="inlineStr">
        <is>
          <t>Umbral Fiber</t>
        </is>
      </c>
      <c r="D547" s="39" t="n">
        <v>10</v>
      </c>
      <c r="E547" s="39" t="inlineStr">
        <is>
          <t>Umbra</t>
        </is>
      </c>
      <c r="F547" s="39" t="n">
        <v>16</v>
      </c>
      <c r="G547" s="39" t="inlineStr">
        <is>
          <t>Warframe</t>
        </is>
      </c>
      <c r="H547" s="39" t="inlineStr">
        <is>
          <t>NO - account-bound</t>
        </is>
      </c>
      <c r="I547" s="39" t="inlineStr">
        <is>
          <t>+100% Armor | +11% &lt;DT_SENTIENT&gt;Tau Resistance</t>
        </is>
      </c>
    </row>
    <row r="548">
      <c r="A548" s="39" t="inlineStr">
        <is>
          <t>Titania Prime</t>
        </is>
      </c>
      <c r="B548" s="39" t="inlineStr">
        <is>
          <t>Mod 4</t>
        </is>
      </c>
      <c r="C548" s="39" t="inlineStr">
        <is>
          <t>Primed Continuity</t>
        </is>
      </c>
      <c r="D548" s="39" t="n">
        <v>10</v>
      </c>
      <c r="E548" s="39" t="inlineStr">
        <is>
          <t>Madurai</t>
        </is>
      </c>
      <c r="F548" s="39" t="n">
        <v>14</v>
      </c>
      <c r="G548" s="39" t="inlineStr">
        <is>
          <t>Warframe</t>
        </is>
      </c>
      <c r="H548" s="39" t="inlineStr">
        <is>
          <t>Yes</t>
        </is>
      </c>
      <c r="I548" s="39" t="inlineStr">
        <is>
          <t>+55% Ability Duration</t>
        </is>
      </c>
    </row>
    <row r="549">
      <c r="A549" s="39" t="inlineStr">
        <is>
          <t>Titania Prime</t>
        </is>
      </c>
      <c r="B549" s="39" t="inlineStr">
        <is>
          <t>Mod 5</t>
        </is>
      </c>
      <c r="C549" s="39" t="inlineStr">
        <is>
          <t>Primed Flow</t>
        </is>
      </c>
      <c r="D549" s="39" t="n">
        <v>10</v>
      </c>
      <c r="E549" s="39" t="inlineStr">
        <is>
          <t>Naramon</t>
        </is>
      </c>
      <c r="F549" s="39" t="n">
        <v>14</v>
      </c>
      <c r="G549" s="39" t="inlineStr">
        <is>
          <t>Warframe</t>
        </is>
      </c>
      <c r="H549" s="39" t="inlineStr">
        <is>
          <t>Yes</t>
        </is>
      </c>
      <c r="I549" s="39" t="inlineStr">
        <is>
          <t>+185% Energy Max</t>
        </is>
      </c>
    </row>
    <row r="550">
      <c r="A550" s="39" t="inlineStr">
        <is>
          <t>Titania Prime</t>
        </is>
      </c>
      <c r="B550" s="39" t="inlineStr">
        <is>
          <t>Mod 6</t>
        </is>
      </c>
      <c r="C550" s="39" t="inlineStr">
        <is>
          <t>Streamline</t>
        </is>
      </c>
      <c r="D550" s="39" t="n">
        <v>5</v>
      </c>
      <c r="E550" s="39" t="inlineStr">
        <is>
          <t>Naramon</t>
        </is>
      </c>
      <c r="F550" s="39" t="n">
        <v>9</v>
      </c>
      <c r="G550" s="39" t="inlineStr">
        <is>
          <t>Warframe</t>
        </is>
      </c>
      <c r="H550" s="39" t="inlineStr">
        <is>
          <t>Yes</t>
        </is>
      </c>
      <c r="I550" s="39" t="inlineStr">
        <is>
          <t>+30% Ability Efficiency</t>
        </is>
      </c>
    </row>
    <row r="551">
      <c r="A551" s="39" t="inlineStr">
        <is>
          <t>Titania Prime</t>
        </is>
      </c>
      <c r="B551" s="39" t="inlineStr">
        <is>
          <t>Mod 7</t>
        </is>
      </c>
      <c r="C551" s="39" t="inlineStr">
        <is>
          <t>Stretch</t>
        </is>
      </c>
      <c r="D551" s="39" t="n">
        <v>5</v>
      </c>
      <c r="E551" s="39" t="inlineStr">
        <is>
          <t>Naramon</t>
        </is>
      </c>
      <c r="F551" s="39" t="n">
        <v>9</v>
      </c>
      <c r="G551" s="39" t="inlineStr">
        <is>
          <t>Warframe</t>
        </is>
      </c>
      <c r="H551" s="39" t="inlineStr">
        <is>
          <t>Yes</t>
        </is>
      </c>
      <c r="I551" s="39" t="inlineStr">
        <is>
          <t>+45% Ability Range</t>
        </is>
      </c>
    </row>
    <row r="552">
      <c r="A552" s="39" t="inlineStr">
        <is>
          <t>Titania Prime</t>
        </is>
      </c>
      <c r="B552" s="39" t="inlineStr">
        <is>
          <t>Mod 8</t>
        </is>
      </c>
      <c r="C552" s="39" t="inlineStr">
        <is>
          <t>Razorwing Blitz</t>
        </is>
      </c>
      <c r="D552" s="39" t="n">
        <v>3</v>
      </c>
      <c r="E552" s="39" t="inlineStr">
        <is>
          <t>Zenurik</t>
        </is>
      </c>
      <c r="F552" s="39" t="n">
        <v>9</v>
      </c>
      <c r="G552" s="39" t="inlineStr">
        <is>
          <t>Titania</t>
        </is>
      </c>
      <c r="H552" s="39" t="inlineStr">
        <is>
          <t>Yes</t>
        </is>
      </c>
      <c r="I552" s="39" t="inlineStr">
        <is>
          <t>Razorwing Augment: Flight Speed increased by 25% and Fire Rate increased by 25% for 8s when using abilities. Stacks up to 4x.</t>
        </is>
      </c>
    </row>
    <row r="553">
      <c r="A553" s="39" t="inlineStr">
        <is>
          <t>Trinity Prime</t>
        </is>
      </c>
      <c r="B553" s="39" t="inlineStr">
        <is>
          <t>Aura</t>
        </is>
      </c>
      <c r="C553" s="39" t="inlineStr">
        <is>
          <t>Growing Power</t>
        </is>
      </c>
      <c r="D553" s="39" t="n">
        <v>5</v>
      </c>
      <c r="E553" s="39" t="inlineStr">
        <is>
          <t>Madurai</t>
        </is>
      </c>
      <c r="F553" s="39" t="n">
        <v>3</v>
      </c>
      <c r="G553" s="39" t="inlineStr">
        <is>
          <t>Aura</t>
        </is>
      </c>
      <c r="H553" s="39" t="inlineStr">
        <is>
          <t>Yes</t>
        </is>
      </c>
      <c r="I553" s="39" t="inlineStr">
        <is>
          <t>On Status Effect with Weapon: Squad increases personal Ability Strength by 25% for 6s.</t>
        </is>
      </c>
    </row>
    <row r="554">
      <c r="A554" s="39" t="inlineStr">
        <is>
          <t>Trinity Prime</t>
        </is>
      </c>
      <c r="B554" s="39" t="inlineStr">
        <is>
          <t>Exilus</t>
        </is>
      </c>
      <c r="C554" s="39" t="inlineStr">
        <is>
          <t>Power Drift</t>
        </is>
      </c>
      <c r="D554" s="39" t="n">
        <v>5</v>
      </c>
      <c r="E554" s="39" t="inlineStr">
        <is>
          <t>Zenurik</t>
        </is>
      </c>
      <c r="F554" s="39" t="n">
        <v>9</v>
      </c>
      <c r="G554" s="39" t="inlineStr">
        <is>
          <t>Warframe</t>
        </is>
      </c>
      <c r="H554" s="39" t="inlineStr">
        <is>
          <t>Yes</t>
        </is>
      </c>
      <c r="I554" s="39" t="inlineStr">
        <is>
          <t>+15% Ability Strength | +30% Chance to Resist Knockdown</t>
        </is>
      </c>
    </row>
    <row r="555">
      <c r="A555" s="39" t="inlineStr">
        <is>
          <t>Trinity Prime</t>
        </is>
      </c>
      <c r="B555" s="39" t="inlineStr">
        <is>
          <t>Mod 1</t>
        </is>
      </c>
      <c r="C555" s="39" t="inlineStr">
        <is>
          <t>Umbral Intensify</t>
        </is>
      </c>
      <c r="D555" s="39" t="n">
        <v>10</v>
      </c>
      <c r="E555" s="39" t="inlineStr">
        <is>
          <t>Umbra</t>
        </is>
      </c>
      <c r="F555" s="39" t="n">
        <v>16</v>
      </c>
      <c r="G555" s="39" t="inlineStr">
        <is>
          <t>Warframe</t>
        </is>
      </c>
      <c r="H555" s="39" t="inlineStr">
        <is>
          <t>NO - account-bound</t>
        </is>
      </c>
      <c r="I555" s="39" t="inlineStr">
        <is>
          <t>+44% Ability Strength | +11% &lt;DT_SENTIENT&gt;Tau Resistance</t>
        </is>
      </c>
    </row>
    <row r="556">
      <c r="A556" s="39" t="inlineStr">
        <is>
          <t>Trinity Prime</t>
        </is>
      </c>
      <c r="B556" s="39" t="inlineStr">
        <is>
          <t>Mod 2</t>
        </is>
      </c>
      <c r="C556" s="39" t="inlineStr">
        <is>
          <t>Umbral Vitality</t>
        </is>
      </c>
      <c r="D556" s="39" t="n">
        <v>10</v>
      </c>
      <c r="E556" s="39" t="inlineStr">
        <is>
          <t>Umbra</t>
        </is>
      </c>
      <c r="F556" s="39" t="n">
        <v>16</v>
      </c>
      <c r="G556" s="39" t="inlineStr">
        <is>
          <t>Warframe</t>
        </is>
      </c>
      <c r="H556" s="39" t="inlineStr">
        <is>
          <t>NO - account-bound</t>
        </is>
      </c>
      <c r="I556" s="39" t="inlineStr">
        <is>
          <t>+100% Health | +11% &lt;DT_SENTIENT&gt;Tau Resistance</t>
        </is>
      </c>
    </row>
    <row r="557">
      <c r="A557" s="39" t="inlineStr">
        <is>
          <t>Trinity Prime</t>
        </is>
      </c>
      <c r="B557" s="39" t="inlineStr">
        <is>
          <t>Mod 3</t>
        </is>
      </c>
      <c r="C557" s="39" t="inlineStr">
        <is>
          <t>Umbral Fiber</t>
        </is>
      </c>
      <c r="D557" s="39" t="n">
        <v>10</v>
      </c>
      <c r="E557" s="39" t="inlineStr">
        <is>
          <t>Umbra</t>
        </is>
      </c>
      <c r="F557" s="39" t="n">
        <v>16</v>
      </c>
      <c r="G557" s="39" t="inlineStr">
        <is>
          <t>Warframe</t>
        </is>
      </c>
      <c r="H557" s="39" t="inlineStr">
        <is>
          <t>NO - account-bound</t>
        </is>
      </c>
      <c r="I557" s="39" t="inlineStr">
        <is>
          <t>+100% Armor | +11% &lt;DT_SENTIENT&gt;Tau Resistance</t>
        </is>
      </c>
    </row>
    <row r="558">
      <c r="A558" s="39" t="inlineStr">
        <is>
          <t>Trinity Prime</t>
        </is>
      </c>
      <c r="B558" s="39" t="inlineStr">
        <is>
          <t>Mod 4</t>
        </is>
      </c>
      <c r="C558" s="39" t="inlineStr">
        <is>
          <t>Primed Continuity</t>
        </is>
      </c>
      <c r="D558" s="39" t="n">
        <v>10</v>
      </c>
      <c r="E558" s="39" t="inlineStr">
        <is>
          <t>Madurai</t>
        </is>
      </c>
      <c r="F558" s="39" t="n">
        <v>14</v>
      </c>
      <c r="G558" s="39" t="inlineStr">
        <is>
          <t>Warframe</t>
        </is>
      </c>
      <c r="H558" s="39" t="inlineStr">
        <is>
          <t>Yes</t>
        </is>
      </c>
      <c r="I558" s="39" t="inlineStr">
        <is>
          <t>+55% Ability Duration</t>
        </is>
      </c>
    </row>
    <row r="559">
      <c r="A559" s="39" t="inlineStr">
        <is>
          <t>Trinity Prime</t>
        </is>
      </c>
      <c r="B559" s="39" t="inlineStr">
        <is>
          <t>Mod 5</t>
        </is>
      </c>
      <c r="C559" s="39" t="inlineStr">
        <is>
          <t>Stretch</t>
        </is>
      </c>
      <c r="D559" s="39" t="n">
        <v>5</v>
      </c>
      <c r="E559" s="39" t="inlineStr">
        <is>
          <t>Naramon</t>
        </is>
      </c>
      <c r="F559" s="39" t="n">
        <v>9</v>
      </c>
      <c r="G559" s="39" t="inlineStr">
        <is>
          <t>Warframe</t>
        </is>
      </c>
      <c r="H559" s="39" t="inlineStr">
        <is>
          <t>Yes</t>
        </is>
      </c>
      <c r="I559" s="39" t="inlineStr">
        <is>
          <t>+45% Ability Range</t>
        </is>
      </c>
    </row>
    <row r="560">
      <c r="A560" s="39" t="inlineStr">
        <is>
          <t>Trinity Prime</t>
        </is>
      </c>
      <c r="B560" s="39" t="inlineStr">
        <is>
          <t>Mod 6</t>
        </is>
      </c>
      <c r="C560" s="39" t="inlineStr">
        <is>
          <t>Primed Flow</t>
        </is>
      </c>
      <c r="D560" s="39" t="n">
        <v>10</v>
      </c>
      <c r="E560" s="39" t="inlineStr">
        <is>
          <t>Naramon</t>
        </is>
      </c>
      <c r="F560" s="39" t="n">
        <v>14</v>
      </c>
      <c r="G560" s="39" t="inlineStr">
        <is>
          <t>Warframe</t>
        </is>
      </c>
      <c r="H560" s="39" t="inlineStr">
        <is>
          <t>Yes</t>
        </is>
      </c>
      <c r="I560" s="39" t="inlineStr">
        <is>
          <t>+185% Energy Max</t>
        </is>
      </c>
    </row>
    <row r="561">
      <c r="A561" s="39" t="inlineStr">
        <is>
          <t>Trinity Prime</t>
        </is>
      </c>
      <c r="B561" s="39" t="inlineStr">
        <is>
          <t>Mod 7</t>
        </is>
      </c>
      <c r="C561" s="39" t="inlineStr">
        <is>
          <t>Streamline</t>
        </is>
      </c>
      <c r="D561" s="39" t="n">
        <v>5</v>
      </c>
      <c r="E561" s="39" t="inlineStr">
        <is>
          <t>Naramon</t>
        </is>
      </c>
      <c r="F561" s="39" t="n">
        <v>9</v>
      </c>
      <c r="G561" s="39" t="inlineStr">
        <is>
          <t>Warframe</t>
        </is>
      </c>
      <c r="H561" s="39" t="inlineStr">
        <is>
          <t>Yes</t>
        </is>
      </c>
      <c r="I561" s="39" t="inlineStr">
        <is>
          <t>+30% Ability Efficiency</t>
        </is>
      </c>
    </row>
    <row r="562">
      <c r="A562" s="39" t="inlineStr">
        <is>
          <t>Trinity Prime</t>
        </is>
      </c>
      <c r="B562" s="39" t="inlineStr">
        <is>
          <t>Mod 8</t>
        </is>
      </c>
      <c r="C562" s="39" t="inlineStr">
        <is>
          <t>Champion's Blessing</t>
        </is>
      </c>
      <c r="D562" s="39" t="n">
        <v>3</v>
      </c>
      <c r="E562" s="39" t="inlineStr">
        <is>
          <t>Zenurik</t>
        </is>
      </c>
      <c r="F562" s="39" t="n">
        <v>9</v>
      </c>
      <c r="G562" s="39" t="inlineStr">
        <is>
          <t>Trinity</t>
        </is>
      </c>
      <c r="H562" s="39" t="inlineStr">
        <is>
          <t>Yes</t>
        </is>
      </c>
      <c r="I562" s="39" t="inlineStr">
        <is>
          <t>Blessing Augment: Gain Primary and Secondary Critical Chance for 30s for each percent you heal on allies up to 350%.</t>
        </is>
      </c>
    </row>
    <row r="563">
      <c r="A563" s="39" t="inlineStr">
        <is>
          <t>Uriel</t>
        </is>
      </c>
      <c r="B563" s="39" t="inlineStr">
        <is>
          <t>Aura</t>
        </is>
      </c>
      <c r="C563" s="39" t="inlineStr">
        <is>
          <t>Growing Power</t>
        </is>
      </c>
      <c r="D563" s="39" t="n">
        <v>5</v>
      </c>
      <c r="E563" s="39" t="inlineStr">
        <is>
          <t>Madurai</t>
        </is>
      </c>
      <c r="F563" s="39" t="n">
        <v>3</v>
      </c>
      <c r="G563" s="39" t="inlineStr">
        <is>
          <t>Aura</t>
        </is>
      </c>
      <c r="H563" s="39" t="inlineStr">
        <is>
          <t>Yes</t>
        </is>
      </c>
      <c r="I563" s="39" t="inlineStr">
        <is>
          <t>On Status Effect with Weapon: Squad increases personal Ability Strength by 25% for 6s.</t>
        </is>
      </c>
    </row>
    <row r="564">
      <c r="A564" s="39" t="inlineStr">
        <is>
          <t>Uriel</t>
        </is>
      </c>
      <c r="B564" s="39" t="inlineStr">
        <is>
          <t>Exilus</t>
        </is>
      </c>
      <c r="C564" s="39" t="inlineStr">
        <is>
          <t>Power Drift</t>
        </is>
      </c>
      <c r="D564" s="39" t="n">
        <v>5</v>
      </c>
      <c r="E564" s="39" t="inlineStr">
        <is>
          <t>Zenurik</t>
        </is>
      </c>
      <c r="F564" s="39" t="n">
        <v>9</v>
      </c>
      <c r="G564" s="39" t="inlineStr">
        <is>
          <t>Warframe</t>
        </is>
      </c>
      <c r="H564" s="39" t="inlineStr">
        <is>
          <t>Yes</t>
        </is>
      </c>
      <c r="I564" s="39" t="inlineStr">
        <is>
          <t>+15% Ability Strength | +30% Chance to Resist Knockdown</t>
        </is>
      </c>
    </row>
    <row r="565">
      <c r="A565" s="39" t="inlineStr">
        <is>
          <t>Uriel</t>
        </is>
      </c>
      <c r="B565" s="39" t="inlineStr">
        <is>
          <t>Mod 1</t>
        </is>
      </c>
      <c r="C565" s="39" t="inlineStr">
        <is>
          <t>Umbral Intensify</t>
        </is>
      </c>
      <c r="D565" s="39" t="n">
        <v>10</v>
      </c>
      <c r="E565" s="39" t="inlineStr">
        <is>
          <t>Umbra</t>
        </is>
      </c>
      <c r="F565" s="39" t="n">
        <v>16</v>
      </c>
      <c r="G565" s="39" t="inlineStr">
        <is>
          <t>Warframe</t>
        </is>
      </c>
      <c r="H565" s="39" t="inlineStr">
        <is>
          <t>NO - account-bound</t>
        </is>
      </c>
      <c r="I565" s="39" t="inlineStr">
        <is>
          <t>+44% Ability Strength | +11% &lt;DT_SENTIENT&gt;Tau Resistance</t>
        </is>
      </c>
    </row>
    <row r="566">
      <c r="A566" s="39" t="inlineStr">
        <is>
          <t>Uriel</t>
        </is>
      </c>
      <c r="B566" s="39" t="inlineStr">
        <is>
          <t>Mod 2</t>
        </is>
      </c>
      <c r="C566" s="39" t="inlineStr">
        <is>
          <t>Umbral Vitality</t>
        </is>
      </c>
      <c r="D566" s="39" t="n">
        <v>10</v>
      </c>
      <c r="E566" s="39" t="inlineStr">
        <is>
          <t>Umbra</t>
        </is>
      </c>
      <c r="F566" s="39" t="n">
        <v>16</v>
      </c>
      <c r="G566" s="39" t="inlineStr">
        <is>
          <t>Warframe</t>
        </is>
      </c>
      <c r="H566" s="39" t="inlineStr">
        <is>
          <t>NO - account-bound</t>
        </is>
      </c>
      <c r="I566" s="39" t="inlineStr">
        <is>
          <t>+100% Health | +11% &lt;DT_SENTIENT&gt;Tau Resistance</t>
        </is>
      </c>
    </row>
    <row r="567">
      <c r="A567" s="39" t="inlineStr">
        <is>
          <t>Uriel</t>
        </is>
      </c>
      <c r="B567" s="39" t="inlineStr">
        <is>
          <t>Mod 3</t>
        </is>
      </c>
      <c r="C567" s="39" t="inlineStr">
        <is>
          <t>Umbral Fiber</t>
        </is>
      </c>
      <c r="D567" s="39" t="n">
        <v>10</v>
      </c>
      <c r="E567" s="39" t="inlineStr">
        <is>
          <t>Umbra</t>
        </is>
      </c>
      <c r="F567" s="39" t="n">
        <v>16</v>
      </c>
      <c r="G567" s="39" t="inlineStr">
        <is>
          <t>Warframe</t>
        </is>
      </c>
      <c r="H567" s="39" t="inlineStr">
        <is>
          <t>NO - account-bound</t>
        </is>
      </c>
      <c r="I567" s="39" t="inlineStr">
        <is>
          <t>+100% Armor | +11% &lt;DT_SENTIENT&gt;Tau Resistance</t>
        </is>
      </c>
    </row>
    <row r="568">
      <c r="A568" s="39" t="inlineStr">
        <is>
          <t>Uriel</t>
        </is>
      </c>
      <c r="B568" s="39" t="inlineStr">
        <is>
          <t>Mod 4</t>
        </is>
      </c>
      <c r="C568" s="39" t="inlineStr">
        <is>
          <t>Primed Continuity</t>
        </is>
      </c>
      <c r="D568" s="39" t="n">
        <v>10</v>
      </c>
      <c r="E568" s="39" t="inlineStr">
        <is>
          <t>Madurai</t>
        </is>
      </c>
      <c r="F568" s="39" t="n">
        <v>14</v>
      </c>
      <c r="G568" s="39" t="inlineStr">
        <is>
          <t>Warframe</t>
        </is>
      </c>
      <c r="H568" s="39" t="inlineStr">
        <is>
          <t>Yes</t>
        </is>
      </c>
      <c r="I568" s="39" t="inlineStr">
        <is>
          <t>+55% Ability Duration</t>
        </is>
      </c>
    </row>
    <row r="569">
      <c r="A569" s="39" t="inlineStr">
        <is>
          <t>Uriel</t>
        </is>
      </c>
      <c r="B569" s="39" t="inlineStr">
        <is>
          <t>Mod 5</t>
        </is>
      </c>
      <c r="C569" s="39" t="inlineStr">
        <is>
          <t>Stretch</t>
        </is>
      </c>
      <c r="D569" s="39" t="n">
        <v>5</v>
      </c>
      <c r="E569" s="39" t="inlineStr">
        <is>
          <t>Naramon</t>
        </is>
      </c>
      <c r="F569" s="39" t="n">
        <v>9</v>
      </c>
      <c r="G569" s="39" t="inlineStr">
        <is>
          <t>Warframe</t>
        </is>
      </c>
      <c r="H569" s="39" t="inlineStr">
        <is>
          <t>Yes</t>
        </is>
      </c>
      <c r="I569" s="39" t="inlineStr">
        <is>
          <t>+45% Ability Range</t>
        </is>
      </c>
    </row>
    <row r="570">
      <c r="A570" s="39" t="inlineStr">
        <is>
          <t>Uriel</t>
        </is>
      </c>
      <c r="B570" s="39" t="inlineStr">
        <is>
          <t>Mod 6</t>
        </is>
      </c>
      <c r="C570" s="39" t="inlineStr">
        <is>
          <t>Primed Flow</t>
        </is>
      </c>
      <c r="D570" s="39" t="n">
        <v>10</v>
      </c>
      <c r="E570" s="39" t="inlineStr">
        <is>
          <t>Naramon</t>
        </is>
      </c>
      <c r="F570" s="39" t="n">
        <v>14</v>
      </c>
      <c r="G570" s="39" t="inlineStr">
        <is>
          <t>Warframe</t>
        </is>
      </c>
      <c r="H570" s="39" t="inlineStr">
        <is>
          <t>Yes</t>
        </is>
      </c>
      <c r="I570" s="39" t="inlineStr">
        <is>
          <t>+185% Energy Max</t>
        </is>
      </c>
    </row>
    <row r="571">
      <c r="A571" s="39" t="inlineStr">
        <is>
          <t>Uriel</t>
        </is>
      </c>
      <c r="B571" s="39" t="inlineStr">
        <is>
          <t>Mod 7</t>
        </is>
      </c>
      <c r="C571" s="39" t="inlineStr">
        <is>
          <t>Streamline</t>
        </is>
      </c>
      <c r="D571" s="39" t="n">
        <v>5</v>
      </c>
      <c r="E571" s="39" t="inlineStr">
        <is>
          <t>Naramon</t>
        </is>
      </c>
      <c r="F571" s="39" t="n">
        <v>9</v>
      </c>
      <c r="G571" s="39" t="inlineStr">
        <is>
          <t>Warframe</t>
        </is>
      </c>
      <c r="H571" s="39" t="inlineStr">
        <is>
          <t>Yes</t>
        </is>
      </c>
      <c r="I571" s="39" t="inlineStr">
        <is>
          <t>+30% Ability Efficiency</t>
        </is>
      </c>
    </row>
    <row r="572">
      <c r="A572" s="39" t="inlineStr">
        <is>
          <t>Uriel</t>
        </is>
      </c>
      <c r="B572" s="39" t="inlineStr">
        <is>
          <t>Mod 8</t>
        </is>
      </c>
      <c r="C572" s="39" t="inlineStr">
        <is>
          <t>Infernum</t>
        </is>
      </c>
      <c r="D572" s="39" t="n">
        <v>3</v>
      </c>
      <c r="E572" s="39" t="inlineStr">
        <is>
          <t>Zenurik</t>
        </is>
      </c>
      <c r="F572" s="39" t="n">
        <v>9</v>
      </c>
      <c r="G572" s="39" t="inlineStr">
        <is>
          <t>Uriel</t>
        </is>
      </c>
      <c r="H572" s="39" t="inlineStr">
        <is>
          <t>Yes</t>
        </is>
      </c>
      <c r="I572" s="39" t="inlineStr">
        <is>
          <t xml:space="preserve">Infernalis Augment: Release Fireballs for 1500 &lt;DT_FIRE_COLOR&gt; Heat Damage with larger volleys when grabbing Vythelas' Runes during flight. Hits from Fireballs </t>
        </is>
      </c>
    </row>
    <row r="573">
      <c r="A573" s="39" t="inlineStr">
        <is>
          <t>Valkyr Prime</t>
        </is>
      </c>
      <c r="B573" s="39" t="inlineStr">
        <is>
          <t>Aura</t>
        </is>
      </c>
      <c r="C573" s="39" t="inlineStr">
        <is>
          <t>Growing Power</t>
        </is>
      </c>
      <c r="D573" s="39" t="n">
        <v>5</v>
      </c>
      <c r="E573" s="39" t="inlineStr">
        <is>
          <t>Madurai</t>
        </is>
      </c>
      <c r="F573" s="39" t="n">
        <v>3</v>
      </c>
      <c r="G573" s="39" t="inlineStr">
        <is>
          <t>Aura</t>
        </is>
      </c>
      <c r="H573" s="39" t="inlineStr">
        <is>
          <t>Yes</t>
        </is>
      </c>
      <c r="I573" s="39" t="inlineStr">
        <is>
          <t>On Status Effect with Weapon: Squad increases personal Ability Strength by 25% for 6s.</t>
        </is>
      </c>
    </row>
    <row r="574">
      <c r="A574" s="39" t="inlineStr">
        <is>
          <t>Valkyr Prime</t>
        </is>
      </c>
      <c r="B574" s="39" t="inlineStr">
        <is>
          <t>Exilus</t>
        </is>
      </c>
      <c r="C574" s="39" t="inlineStr">
        <is>
          <t>Power Drift</t>
        </is>
      </c>
      <c r="D574" s="39" t="n">
        <v>5</v>
      </c>
      <c r="E574" s="39" t="inlineStr">
        <is>
          <t>Zenurik</t>
        </is>
      </c>
      <c r="F574" s="39" t="n">
        <v>9</v>
      </c>
      <c r="G574" s="39" t="inlineStr">
        <is>
          <t>Warframe</t>
        </is>
      </c>
      <c r="H574" s="39" t="inlineStr">
        <is>
          <t>Yes</t>
        </is>
      </c>
      <c r="I574" s="39" t="inlineStr">
        <is>
          <t>+15% Ability Strength | +30% Chance to Resist Knockdown</t>
        </is>
      </c>
    </row>
    <row r="575">
      <c r="A575" s="39" t="inlineStr">
        <is>
          <t>Valkyr Prime</t>
        </is>
      </c>
      <c r="B575" s="39" t="inlineStr">
        <is>
          <t>Mod 1</t>
        </is>
      </c>
      <c r="C575" s="39" t="inlineStr">
        <is>
          <t>Umbral Intensify</t>
        </is>
      </c>
      <c r="D575" s="39" t="n">
        <v>10</v>
      </c>
      <c r="E575" s="39" t="inlineStr">
        <is>
          <t>Umbra</t>
        </is>
      </c>
      <c r="F575" s="39" t="n">
        <v>16</v>
      </c>
      <c r="G575" s="39" t="inlineStr">
        <is>
          <t>Warframe</t>
        </is>
      </c>
      <c r="H575" s="39" t="inlineStr">
        <is>
          <t>NO - account-bound</t>
        </is>
      </c>
      <c r="I575" s="39" t="inlineStr">
        <is>
          <t>+44% Ability Strength | +11% &lt;DT_SENTIENT&gt;Tau Resistance</t>
        </is>
      </c>
    </row>
    <row r="576">
      <c r="A576" s="39" t="inlineStr">
        <is>
          <t>Valkyr Prime</t>
        </is>
      </c>
      <c r="B576" s="39" t="inlineStr">
        <is>
          <t>Mod 2</t>
        </is>
      </c>
      <c r="C576" s="39" t="inlineStr">
        <is>
          <t>Umbral Vitality</t>
        </is>
      </c>
      <c r="D576" s="39" t="n">
        <v>10</v>
      </c>
      <c r="E576" s="39" t="inlineStr">
        <is>
          <t>Umbra</t>
        </is>
      </c>
      <c r="F576" s="39" t="n">
        <v>16</v>
      </c>
      <c r="G576" s="39" t="inlineStr">
        <is>
          <t>Warframe</t>
        </is>
      </c>
      <c r="H576" s="39" t="inlineStr">
        <is>
          <t>NO - account-bound</t>
        </is>
      </c>
      <c r="I576" s="39" t="inlineStr">
        <is>
          <t>+100% Health | +11% &lt;DT_SENTIENT&gt;Tau Resistance</t>
        </is>
      </c>
    </row>
    <row r="577">
      <c r="A577" s="39" t="inlineStr">
        <is>
          <t>Valkyr Prime</t>
        </is>
      </c>
      <c r="B577" s="39" t="inlineStr">
        <is>
          <t>Mod 3</t>
        </is>
      </c>
      <c r="C577" s="39" t="inlineStr">
        <is>
          <t>Umbral Fiber</t>
        </is>
      </c>
      <c r="D577" s="39" t="n">
        <v>10</v>
      </c>
      <c r="E577" s="39" t="inlineStr">
        <is>
          <t>Umbra</t>
        </is>
      </c>
      <c r="F577" s="39" t="n">
        <v>16</v>
      </c>
      <c r="G577" s="39" t="inlineStr">
        <is>
          <t>Warframe</t>
        </is>
      </c>
      <c r="H577" s="39" t="inlineStr">
        <is>
          <t>NO - account-bound</t>
        </is>
      </c>
      <c r="I577" s="39" t="inlineStr">
        <is>
          <t>+100% Armor | +11% &lt;DT_SENTIENT&gt;Tau Resistance</t>
        </is>
      </c>
    </row>
    <row r="578">
      <c r="A578" s="39" t="inlineStr">
        <is>
          <t>Valkyr Prime</t>
        </is>
      </c>
      <c r="B578" s="39" t="inlineStr">
        <is>
          <t>Mod 4</t>
        </is>
      </c>
      <c r="C578" s="39" t="inlineStr">
        <is>
          <t>Primed Continuity</t>
        </is>
      </c>
      <c r="D578" s="39" t="n">
        <v>10</v>
      </c>
      <c r="E578" s="39" t="inlineStr">
        <is>
          <t>Madurai</t>
        </is>
      </c>
      <c r="F578" s="39" t="n">
        <v>14</v>
      </c>
      <c r="G578" s="39" t="inlineStr">
        <is>
          <t>Warframe</t>
        </is>
      </c>
      <c r="H578" s="39" t="inlineStr">
        <is>
          <t>Yes</t>
        </is>
      </c>
      <c r="I578" s="39" t="inlineStr">
        <is>
          <t>+55% Ability Duration</t>
        </is>
      </c>
    </row>
    <row r="579">
      <c r="A579" s="39" t="inlineStr">
        <is>
          <t>Valkyr Prime</t>
        </is>
      </c>
      <c r="B579" s="39" t="inlineStr">
        <is>
          <t>Mod 5</t>
        </is>
      </c>
      <c r="C579" s="39" t="inlineStr">
        <is>
          <t>Primed Flow</t>
        </is>
      </c>
      <c r="D579" s="39" t="n">
        <v>10</v>
      </c>
      <c r="E579" s="39" t="inlineStr">
        <is>
          <t>Naramon</t>
        </is>
      </c>
      <c r="F579" s="39" t="n">
        <v>14</v>
      </c>
      <c r="G579" s="39" t="inlineStr">
        <is>
          <t>Warframe</t>
        </is>
      </c>
      <c r="H579" s="39" t="inlineStr">
        <is>
          <t>Yes</t>
        </is>
      </c>
      <c r="I579" s="39" t="inlineStr">
        <is>
          <t>+185% Energy Max</t>
        </is>
      </c>
    </row>
    <row r="580">
      <c r="A580" s="39" t="inlineStr">
        <is>
          <t>Valkyr Prime</t>
        </is>
      </c>
      <c r="B580" s="39" t="inlineStr">
        <is>
          <t>Mod 6</t>
        </is>
      </c>
      <c r="C580" s="39" t="inlineStr">
        <is>
          <t>Streamline</t>
        </is>
      </c>
      <c r="D580" s="39" t="n">
        <v>5</v>
      </c>
      <c r="E580" s="39" t="inlineStr">
        <is>
          <t>Naramon</t>
        </is>
      </c>
      <c r="F580" s="39" t="n">
        <v>9</v>
      </c>
      <c r="G580" s="39" t="inlineStr">
        <is>
          <t>Warframe</t>
        </is>
      </c>
      <c r="H580" s="39" t="inlineStr">
        <is>
          <t>Yes</t>
        </is>
      </c>
      <c r="I580" s="39" t="inlineStr">
        <is>
          <t>+30% Ability Efficiency</t>
        </is>
      </c>
    </row>
    <row r="581">
      <c r="A581" s="39" t="inlineStr">
        <is>
          <t>Valkyr Prime</t>
        </is>
      </c>
      <c r="B581" s="39" t="inlineStr">
        <is>
          <t>Mod 7</t>
        </is>
      </c>
      <c r="C581" s="39" t="inlineStr">
        <is>
          <t>Stretch</t>
        </is>
      </c>
      <c r="D581" s="39" t="n">
        <v>5</v>
      </c>
      <c r="E581" s="39" t="inlineStr">
        <is>
          <t>Naramon</t>
        </is>
      </c>
      <c r="F581" s="39" t="n">
        <v>9</v>
      </c>
      <c r="G581" s="39" t="inlineStr">
        <is>
          <t>Warframe</t>
        </is>
      </c>
      <c r="H581" s="39" t="inlineStr">
        <is>
          <t>Yes</t>
        </is>
      </c>
      <c r="I581" s="39" t="inlineStr">
        <is>
          <t>+45% Ability Range</t>
        </is>
      </c>
    </row>
    <row r="582">
      <c r="A582" s="39" t="inlineStr">
        <is>
          <t>Valkyr Prime</t>
        </is>
      </c>
      <c r="B582" s="39" t="inlineStr">
        <is>
          <t>Mod 8</t>
        </is>
      </c>
      <c r="C582" s="39" t="inlineStr">
        <is>
          <t>Eternal War</t>
        </is>
      </c>
      <c r="D582" s="39" t="n">
        <v>3</v>
      </c>
      <c r="E582" s="39" t="inlineStr">
        <is>
          <t>Zenurik</t>
        </is>
      </c>
      <c r="F582" s="39" t="n">
        <v>9</v>
      </c>
      <c r="G582" s="39" t="inlineStr">
        <is>
          <t>Valkyr</t>
        </is>
      </c>
      <c r="H582" s="39" t="inlineStr">
        <is>
          <t>Yes</t>
        </is>
      </c>
      <c r="I582" s="39" t="inlineStr">
        <is>
          <t>Warcry Augment: While active, Warcry's duration is increased by 2s for each Melee Kill.</t>
        </is>
      </c>
    </row>
    <row r="583">
      <c r="A583" s="39" t="inlineStr">
        <is>
          <t>Vauban Prime</t>
        </is>
      </c>
      <c r="B583" s="39" t="inlineStr">
        <is>
          <t>Aura</t>
        </is>
      </c>
      <c r="C583" s="39" t="inlineStr">
        <is>
          <t>Growing Power</t>
        </is>
      </c>
      <c r="D583" s="39" t="n">
        <v>5</v>
      </c>
      <c r="E583" s="39" t="inlineStr">
        <is>
          <t>Madurai</t>
        </is>
      </c>
      <c r="F583" s="39" t="n">
        <v>3</v>
      </c>
      <c r="G583" s="39" t="inlineStr">
        <is>
          <t>Aura</t>
        </is>
      </c>
      <c r="H583" s="39" t="inlineStr">
        <is>
          <t>Yes</t>
        </is>
      </c>
      <c r="I583" s="39" t="inlineStr">
        <is>
          <t>On Status Effect with Weapon: Squad increases personal Ability Strength by 25% for 6s.</t>
        </is>
      </c>
    </row>
    <row r="584">
      <c r="A584" s="39" t="inlineStr">
        <is>
          <t>Vauban Prime</t>
        </is>
      </c>
      <c r="B584" s="39" t="inlineStr">
        <is>
          <t>Exilus</t>
        </is>
      </c>
      <c r="C584" s="39" t="inlineStr">
        <is>
          <t>Power Drift</t>
        </is>
      </c>
      <c r="D584" s="39" t="n">
        <v>5</v>
      </c>
      <c r="E584" s="39" t="inlineStr">
        <is>
          <t>Zenurik</t>
        </is>
      </c>
      <c r="F584" s="39" t="n">
        <v>9</v>
      </c>
      <c r="G584" s="39" t="inlineStr">
        <is>
          <t>Warframe</t>
        </is>
      </c>
      <c r="H584" s="39" t="inlineStr">
        <is>
          <t>Yes</t>
        </is>
      </c>
      <c r="I584" s="39" t="inlineStr">
        <is>
          <t>+15% Ability Strength | +30% Chance to Resist Knockdown</t>
        </is>
      </c>
    </row>
    <row r="585">
      <c r="A585" s="39" t="inlineStr">
        <is>
          <t>Vauban Prime</t>
        </is>
      </c>
      <c r="B585" s="39" t="inlineStr">
        <is>
          <t>Mod 1</t>
        </is>
      </c>
      <c r="C585" s="39" t="inlineStr">
        <is>
          <t>Umbral Intensify</t>
        </is>
      </c>
      <c r="D585" s="39" t="n">
        <v>10</v>
      </c>
      <c r="E585" s="39" t="inlineStr">
        <is>
          <t>Umbra</t>
        </is>
      </c>
      <c r="F585" s="39" t="n">
        <v>16</v>
      </c>
      <c r="G585" s="39" t="inlineStr">
        <is>
          <t>Warframe</t>
        </is>
      </c>
      <c r="H585" s="39" t="inlineStr">
        <is>
          <t>NO - account-bound</t>
        </is>
      </c>
      <c r="I585" s="39" t="inlineStr">
        <is>
          <t>+44% Ability Strength | +11% &lt;DT_SENTIENT&gt;Tau Resistance</t>
        </is>
      </c>
    </row>
    <row r="586">
      <c r="A586" s="39" t="inlineStr">
        <is>
          <t>Vauban Prime</t>
        </is>
      </c>
      <c r="B586" s="39" t="inlineStr">
        <is>
          <t>Mod 2</t>
        </is>
      </c>
      <c r="C586" s="39" t="inlineStr">
        <is>
          <t>Primed Continuity</t>
        </is>
      </c>
      <c r="D586" s="39" t="n">
        <v>10</v>
      </c>
      <c r="E586" s="39" t="inlineStr">
        <is>
          <t>Madurai</t>
        </is>
      </c>
      <c r="F586" s="39" t="n">
        <v>14</v>
      </c>
      <c r="G586" s="39" t="inlineStr">
        <is>
          <t>Warframe</t>
        </is>
      </c>
      <c r="H586" s="39" t="inlineStr">
        <is>
          <t>Yes</t>
        </is>
      </c>
      <c r="I586" s="39" t="inlineStr">
        <is>
          <t>+55% Ability Duration</t>
        </is>
      </c>
    </row>
    <row r="587">
      <c r="A587" s="39" t="inlineStr">
        <is>
          <t>Vauban Prime</t>
        </is>
      </c>
      <c r="B587" s="39" t="inlineStr">
        <is>
          <t>Mod 3</t>
        </is>
      </c>
      <c r="C587" s="39" t="inlineStr">
        <is>
          <t>Stretch</t>
        </is>
      </c>
      <c r="D587" s="39" t="n">
        <v>5</v>
      </c>
      <c r="E587" s="39" t="inlineStr">
        <is>
          <t>Naramon</t>
        </is>
      </c>
      <c r="F587" s="39" t="n">
        <v>9</v>
      </c>
      <c r="G587" s="39" t="inlineStr">
        <is>
          <t>Warframe</t>
        </is>
      </c>
      <c r="H587" s="39" t="inlineStr">
        <is>
          <t>Yes</t>
        </is>
      </c>
      <c r="I587" s="39" t="inlineStr">
        <is>
          <t>+45% Ability Range</t>
        </is>
      </c>
    </row>
    <row r="588">
      <c r="A588" s="39" t="inlineStr">
        <is>
          <t>Vauban Prime</t>
        </is>
      </c>
      <c r="B588" s="39" t="inlineStr">
        <is>
          <t>Mod 4</t>
        </is>
      </c>
      <c r="C588" s="39" t="inlineStr">
        <is>
          <t>Augur Reach</t>
        </is>
      </c>
      <c r="D588" s="39" t="n">
        <v>5</v>
      </c>
      <c r="E588" s="39" t="inlineStr">
        <is>
          <t>Naramon</t>
        </is>
      </c>
      <c r="F588" s="39" t="n">
        <v>7</v>
      </c>
      <c r="G588" s="39" t="inlineStr">
        <is>
          <t>Warframe</t>
        </is>
      </c>
      <c r="H588" s="39" t="inlineStr">
        <is>
          <t>Yes</t>
        </is>
      </c>
      <c r="I588" s="39" t="inlineStr">
        <is>
          <t>+30% Ability Range</t>
        </is>
      </c>
    </row>
    <row r="589">
      <c r="A589" s="39" t="inlineStr">
        <is>
          <t>Vauban Prime</t>
        </is>
      </c>
      <c r="B589" s="39" t="inlineStr">
        <is>
          <t>Mod 5</t>
        </is>
      </c>
      <c r="C589" s="39" t="inlineStr">
        <is>
          <t>Primed Flow</t>
        </is>
      </c>
      <c r="D589" s="39" t="n">
        <v>10</v>
      </c>
      <c r="E589" s="39" t="inlineStr">
        <is>
          <t>Naramon</t>
        </is>
      </c>
      <c r="F589" s="39" t="n">
        <v>14</v>
      </c>
      <c r="G589" s="39" t="inlineStr">
        <is>
          <t>Warframe</t>
        </is>
      </c>
      <c r="H589" s="39" t="inlineStr">
        <is>
          <t>Yes</t>
        </is>
      </c>
      <c r="I589" s="39" t="inlineStr">
        <is>
          <t>+185% Energy Max</t>
        </is>
      </c>
    </row>
    <row r="590">
      <c r="A590" s="39" t="inlineStr">
        <is>
          <t>Vauban Prime</t>
        </is>
      </c>
      <c r="B590" s="39" t="inlineStr">
        <is>
          <t>Mod 6</t>
        </is>
      </c>
      <c r="C590" s="39" t="inlineStr">
        <is>
          <t>Streamline</t>
        </is>
      </c>
      <c r="D590" s="39" t="n">
        <v>5</v>
      </c>
      <c r="E590" s="39" t="inlineStr">
        <is>
          <t>Naramon</t>
        </is>
      </c>
      <c r="F590" s="39" t="n">
        <v>9</v>
      </c>
      <c r="G590" s="39" t="inlineStr">
        <is>
          <t>Warframe</t>
        </is>
      </c>
      <c r="H590" s="39" t="inlineStr">
        <is>
          <t>Yes</t>
        </is>
      </c>
      <c r="I590" s="39" t="inlineStr">
        <is>
          <t>+30% Ability Efficiency</t>
        </is>
      </c>
    </row>
    <row r="591">
      <c r="A591" s="39" t="inlineStr">
        <is>
          <t>Vauban Prime</t>
        </is>
      </c>
      <c r="B591" s="39" t="inlineStr">
        <is>
          <t>Mod 7</t>
        </is>
      </c>
      <c r="C591" s="39" t="inlineStr">
        <is>
          <t>Umbral Vitality</t>
        </is>
      </c>
      <c r="D591" s="39" t="n">
        <v>10</v>
      </c>
      <c r="E591" s="39" t="inlineStr">
        <is>
          <t>Umbra</t>
        </is>
      </c>
      <c r="F591" s="39" t="n">
        <v>16</v>
      </c>
      <c r="G591" s="39" t="inlineStr">
        <is>
          <t>Warframe</t>
        </is>
      </c>
      <c r="H591" s="39" t="inlineStr">
        <is>
          <t>NO - account-bound</t>
        </is>
      </c>
      <c r="I591" s="39" t="inlineStr">
        <is>
          <t>+100% Health | +11% &lt;DT_SENTIENT&gt;Tau Resistance</t>
        </is>
      </c>
    </row>
    <row r="592">
      <c r="A592" s="39" t="inlineStr">
        <is>
          <t>Vauban Prime</t>
        </is>
      </c>
      <c r="B592" s="39" t="inlineStr">
        <is>
          <t>Mod 8</t>
        </is>
      </c>
      <c r="C592" s="39" t="inlineStr">
        <is>
          <t>Enduring Bastille</t>
        </is>
      </c>
      <c r="D592" s="39" t="n">
        <v>3</v>
      </c>
      <c r="E592" s="39" t="inlineStr">
        <is>
          <t>Zenurik</t>
        </is>
      </c>
      <c r="F592" s="39" t="n">
        <v>9</v>
      </c>
      <c r="G592" s="39" t="inlineStr">
        <is>
          <t>Vauban</t>
        </is>
      </c>
      <c r="H592" s="39" t="inlineStr">
        <is>
          <t>Yes</t>
        </is>
      </c>
      <c r="I592" s="39" t="inlineStr">
        <is>
          <t>Bastille Augment: Killing an enemy in Bastille extends the duration by 2s. Vortex's duration is increased by 70% of its Maximum Duration for each additional Vor</t>
        </is>
      </c>
    </row>
    <row r="593">
      <c r="A593" s="39" t="inlineStr">
        <is>
          <t>Volt Prime</t>
        </is>
      </c>
      <c r="B593" s="39" t="inlineStr">
        <is>
          <t>Aura</t>
        </is>
      </c>
      <c r="C593" s="39" t="inlineStr">
        <is>
          <t>Growing Power</t>
        </is>
      </c>
      <c r="D593" s="39" t="n">
        <v>5</v>
      </c>
      <c r="E593" s="39" t="inlineStr">
        <is>
          <t>Madurai</t>
        </is>
      </c>
      <c r="F593" s="39" t="n">
        <v>3</v>
      </c>
      <c r="G593" s="39" t="inlineStr">
        <is>
          <t>Aura</t>
        </is>
      </c>
      <c r="H593" s="39" t="inlineStr">
        <is>
          <t>Yes</t>
        </is>
      </c>
      <c r="I593" s="39" t="inlineStr">
        <is>
          <t>On Status Effect with Weapon: Squad increases personal Ability Strength by 25% for 6s.</t>
        </is>
      </c>
    </row>
    <row r="594">
      <c r="A594" s="39" t="inlineStr">
        <is>
          <t>Volt Prime</t>
        </is>
      </c>
      <c r="B594" s="39" t="inlineStr">
        <is>
          <t>Exilus</t>
        </is>
      </c>
      <c r="C594" s="39" t="inlineStr">
        <is>
          <t>Power Drift</t>
        </is>
      </c>
      <c r="D594" s="39" t="n">
        <v>5</v>
      </c>
      <c r="E594" s="39" t="inlineStr">
        <is>
          <t>Zenurik</t>
        </is>
      </c>
      <c r="F594" s="39" t="n">
        <v>9</v>
      </c>
      <c r="G594" s="39" t="inlineStr">
        <is>
          <t>Warframe</t>
        </is>
      </c>
      <c r="H594" s="39" t="inlineStr">
        <is>
          <t>Yes</t>
        </is>
      </c>
      <c r="I594" s="39" t="inlineStr">
        <is>
          <t>+15% Ability Strength | +30% Chance to Resist Knockdown</t>
        </is>
      </c>
    </row>
    <row r="595">
      <c r="A595" s="39" t="inlineStr">
        <is>
          <t>Volt Prime</t>
        </is>
      </c>
      <c r="B595" s="39" t="inlineStr">
        <is>
          <t>Mod 1</t>
        </is>
      </c>
      <c r="C595" s="39" t="inlineStr">
        <is>
          <t>Umbral Intensify</t>
        </is>
      </c>
      <c r="D595" s="39" t="n">
        <v>10</v>
      </c>
      <c r="E595" s="39" t="inlineStr">
        <is>
          <t>Umbra</t>
        </is>
      </c>
      <c r="F595" s="39" t="n">
        <v>16</v>
      </c>
      <c r="G595" s="39" t="inlineStr">
        <is>
          <t>Warframe</t>
        </is>
      </c>
      <c r="H595" s="39" t="inlineStr">
        <is>
          <t>NO - account-bound</t>
        </is>
      </c>
      <c r="I595" s="39" t="inlineStr">
        <is>
          <t>+44% Ability Strength | +11% &lt;DT_SENTIENT&gt;Tau Resistance</t>
        </is>
      </c>
    </row>
    <row r="596">
      <c r="A596" s="39" t="inlineStr">
        <is>
          <t>Volt Prime</t>
        </is>
      </c>
      <c r="B596" s="39" t="inlineStr">
        <is>
          <t>Mod 2</t>
        </is>
      </c>
      <c r="C596" s="39" t="inlineStr">
        <is>
          <t>Primed Continuity</t>
        </is>
      </c>
      <c r="D596" s="39" t="n">
        <v>10</v>
      </c>
      <c r="E596" s="39" t="inlineStr">
        <is>
          <t>Madurai</t>
        </is>
      </c>
      <c r="F596" s="39" t="n">
        <v>14</v>
      </c>
      <c r="G596" s="39" t="inlineStr">
        <is>
          <t>Warframe</t>
        </is>
      </c>
      <c r="H596" s="39" t="inlineStr">
        <is>
          <t>Yes</t>
        </is>
      </c>
      <c r="I596" s="39" t="inlineStr">
        <is>
          <t>+55% Ability Duration</t>
        </is>
      </c>
    </row>
    <row r="597">
      <c r="A597" s="39" t="inlineStr">
        <is>
          <t>Volt Prime</t>
        </is>
      </c>
      <c r="B597" s="39" t="inlineStr">
        <is>
          <t>Mod 3</t>
        </is>
      </c>
      <c r="C597" s="39" t="inlineStr">
        <is>
          <t>Stretch</t>
        </is>
      </c>
      <c r="D597" s="39" t="n">
        <v>5</v>
      </c>
      <c r="E597" s="39" t="inlineStr">
        <is>
          <t>Naramon</t>
        </is>
      </c>
      <c r="F597" s="39" t="n">
        <v>9</v>
      </c>
      <c r="G597" s="39" t="inlineStr">
        <is>
          <t>Warframe</t>
        </is>
      </c>
      <c r="H597" s="39" t="inlineStr">
        <is>
          <t>Yes</t>
        </is>
      </c>
      <c r="I597" s="39" t="inlineStr">
        <is>
          <t>+45% Ability Range</t>
        </is>
      </c>
    </row>
    <row r="598">
      <c r="A598" s="39" t="inlineStr">
        <is>
          <t>Volt Prime</t>
        </is>
      </c>
      <c r="B598" s="39" t="inlineStr">
        <is>
          <t>Mod 4</t>
        </is>
      </c>
      <c r="C598" s="39" t="inlineStr">
        <is>
          <t>Augur Reach</t>
        </is>
      </c>
      <c r="D598" s="39" t="n">
        <v>5</v>
      </c>
      <c r="E598" s="39" t="inlineStr">
        <is>
          <t>Naramon</t>
        </is>
      </c>
      <c r="F598" s="39" t="n">
        <v>7</v>
      </c>
      <c r="G598" s="39" t="inlineStr">
        <is>
          <t>Warframe</t>
        </is>
      </c>
      <c r="H598" s="39" t="inlineStr">
        <is>
          <t>Yes</t>
        </is>
      </c>
      <c r="I598" s="39" t="inlineStr">
        <is>
          <t>+30% Ability Range</t>
        </is>
      </c>
    </row>
    <row r="599">
      <c r="A599" s="39" t="inlineStr">
        <is>
          <t>Volt Prime</t>
        </is>
      </c>
      <c r="B599" s="39" t="inlineStr">
        <is>
          <t>Mod 5</t>
        </is>
      </c>
      <c r="C599" s="39" t="inlineStr">
        <is>
          <t>Primed Flow</t>
        </is>
      </c>
      <c r="D599" s="39" t="n">
        <v>10</v>
      </c>
      <c r="E599" s="39" t="inlineStr">
        <is>
          <t>Naramon</t>
        </is>
      </c>
      <c r="F599" s="39" t="n">
        <v>14</v>
      </c>
      <c r="G599" s="39" t="inlineStr">
        <is>
          <t>Warframe</t>
        </is>
      </c>
      <c r="H599" s="39" t="inlineStr">
        <is>
          <t>Yes</t>
        </is>
      </c>
      <c r="I599" s="39" t="inlineStr">
        <is>
          <t>+185% Energy Max</t>
        </is>
      </c>
    </row>
    <row r="600">
      <c r="A600" s="39" t="inlineStr">
        <is>
          <t>Volt Prime</t>
        </is>
      </c>
      <c r="B600" s="39" t="inlineStr">
        <is>
          <t>Mod 6</t>
        </is>
      </c>
      <c r="C600" s="39" t="inlineStr">
        <is>
          <t>Streamline</t>
        </is>
      </c>
      <c r="D600" s="39" t="n">
        <v>5</v>
      </c>
      <c r="E600" s="39" t="inlineStr">
        <is>
          <t>Naramon</t>
        </is>
      </c>
      <c r="F600" s="39" t="n">
        <v>9</v>
      </c>
      <c r="G600" s="39" t="inlineStr">
        <is>
          <t>Warframe</t>
        </is>
      </c>
      <c r="H600" s="39" t="inlineStr">
        <is>
          <t>Yes</t>
        </is>
      </c>
      <c r="I600" s="39" t="inlineStr">
        <is>
          <t>+30% Ability Efficiency</t>
        </is>
      </c>
    </row>
    <row r="601">
      <c r="A601" s="39" t="inlineStr">
        <is>
          <t>Volt Prime</t>
        </is>
      </c>
      <c r="B601" s="39" t="inlineStr">
        <is>
          <t>Mod 7</t>
        </is>
      </c>
      <c r="C601" s="39" t="inlineStr">
        <is>
          <t>Umbral Vitality</t>
        </is>
      </c>
      <c r="D601" s="39" t="n">
        <v>10</v>
      </c>
      <c r="E601" s="39" t="inlineStr">
        <is>
          <t>Umbra</t>
        </is>
      </c>
      <c r="F601" s="39" t="n">
        <v>16</v>
      </c>
      <c r="G601" s="39" t="inlineStr">
        <is>
          <t>Warframe</t>
        </is>
      </c>
      <c r="H601" s="39" t="inlineStr">
        <is>
          <t>NO - account-bound</t>
        </is>
      </c>
      <c r="I601" s="39" t="inlineStr">
        <is>
          <t>+100% Health | +11% &lt;DT_SENTIENT&gt;Tau Resistance</t>
        </is>
      </c>
    </row>
    <row r="602">
      <c r="A602" s="39" t="inlineStr">
        <is>
          <t>Volt Prime</t>
        </is>
      </c>
      <c r="B602" s="39" t="inlineStr">
        <is>
          <t>Mod 8</t>
        </is>
      </c>
      <c r="C602" s="39" t="inlineStr">
        <is>
          <t>Capacitance</t>
        </is>
      </c>
      <c r="D602" s="39" t="n">
        <v>3</v>
      </c>
      <c r="E602" s="39" t="inlineStr">
        <is>
          <t>Zenurik</t>
        </is>
      </c>
      <c r="F602" s="39" t="n">
        <v>9</v>
      </c>
      <c r="G602" s="39" t="inlineStr">
        <is>
          <t>Volt</t>
        </is>
      </c>
      <c r="H602" s="39" t="inlineStr">
        <is>
          <t>Yes</t>
        </is>
      </c>
      <c r="I602" s="39" t="inlineStr">
        <is>
          <t>Discharge Augment: Converts 3% of Damage dealt into Shields split between Volt and Squadmates.</t>
        </is>
      </c>
    </row>
    <row r="603">
      <c r="A603" s="39" t="inlineStr">
        <is>
          <t>Voruna Prime</t>
        </is>
      </c>
      <c r="B603" s="39" t="inlineStr">
        <is>
          <t>Aura</t>
        </is>
      </c>
      <c r="C603" s="39" t="inlineStr">
        <is>
          <t>Growing Power</t>
        </is>
      </c>
      <c r="D603" s="39" t="n">
        <v>5</v>
      </c>
      <c r="E603" s="39" t="inlineStr">
        <is>
          <t>Madurai</t>
        </is>
      </c>
      <c r="F603" s="39" t="n">
        <v>3</v>
      </c>
      <c r="G603" s="39" t="inlineStr">
        <is>
          <t>Aura</t>
        </is>
      </c>
      <c r="H603" s="39" t="inlineStr">
        <is>
          <t>Yes</t>
        </is>
      </c>
      <c r="I603" s="39" t="inlineStr">
        <is>
          <t>On Status Effect with Weapon: Squad increases personal Ability Strength by 25% for 6s.</t>
        </is>
      </c>
    </row>
    <row r="604">
      <c r="A604" s="39" t="inlineStr">
        <is>
          <t>Voruna Prime</t>
        </is>
      </c>
      <c r="B604" s="39" t="inlineStr">
        <is>
          <t>Exilus</t>
        </is>
      </c>
      <c r="C604" s="39" t="inlineStr">
        <is>
          <t>Power Drift</t>
        </is>
      </c>
      <c r="D604" s="39" t="n">
        <v>5</v>
      </c>
      <c r="E604" s="39" t="inlineStr">
        <is>
          <t>Zenurik</t>
        </is>
      </c>
      <c r="F604" s="39" t="n">
        <v>9</v>
      </c>
      <c r="G604" s="39" t="inlineStr">
        <is>
          <t>Warframe</t>
        </is>
      </c>
      <c r="H604" s="39" t="inlineStr">
        <is>
          <t>Yes</t>
        </is>
      </c>
      <c r="I604" s="39" t="inlineStr">
        <is>
          <t>+15% Ability Strength | +30% Chance to Resist Knockdown</t>
        </is>
      </c>
    </row>
    <row r="605">
      <c r="A605" s="39" t="inlineStr">
        <is>
          <t>Voruna Prime</t>
        </is>
      </c>
      <c r="B605" s="39" t="inlineStr">
        <is>
          <t>Mod 1</t>
        </is>
      </c>
      <c r="C605" s="39" t="inlineStr">
        <is>
          <t>Umbral Intensify</t>
        </is>
      </c>
      <c r="D605" s="39" t="n">
        <v>10</v>
      </c>
      <c r="E605" s="39" t="inlineStr">
        <is>
          <t>Umbra</t>
        </is>
      </c>
      <c r="F605" s="39" t="n">
        <v>16</v>
      </c>
      <c r="G605" s="39" t="inlineStr">
        <is>
          <t>Warframe</t>
        </is>
      </c>
      <c r="H605" s="39" t="inlineStr">
        <is>
          <t>NO - account-bound</t>
        </is>
      </c>
      <c r="I605" s="39" t="inlineStr">
        <is>
          <t>+44% Ability Strength | +11% &lt;DT_SENTIENT&gt;Tau Resistance</t>
        </is>
      </c>
    </row>
    <row r="606">
      <c r="A606" s="39" t="inlineStr">
        <is>
          <t>Voruna Prime</t>
        </is>
      </c>
      <c r="B606" s="39" t="inlineStr">
        <is>
          <t>Mod 2</t>
        </is>
      </c>
      <c r="C606" s="39" t="inlineStr">
        <is>
          <t>Umbral Vitality</t>
        </is>
      </c>
      <c r="D606" s="39" t="n">
        <v>10</v>
      </c>
      <c r="E606" s="39" t="inlineStr">
        <is>
          <t>Umbra</t>
        </is>
      </c>
      <c r="F606" s="39" t="n">
        <v>16</v>
      </c>
      <c r="G606" s="39" t="inlineStr">
        <is>
          <t>Warframe</t>
        </is>
      </c>
      <c r="H606" s="39" t="inlineStr">
        <is>
          <t>NO - account-bound</t>
        </is>
      </c>
      <c r="I606" s="39" t="inlineStr">
        <is>
          <t>+100% Health | +11% &lt;DT_SENTIENT&gt;Tau Resistance</t>
        </is>
      </c>
    </row>
    <row r="607">
      <c r="A607" s="39" t="inlineStr">
        <is>
          <t>Voruna Prime</t>
        </is>
      </c>
      <c r="B607" s="39" t="inlineStr">
        <is>
          <t>Mod 3</t>
        </is>
      </c>
      <c r="C607" s="39" t="inlineStr">
        <is>
          <t>Umbral Fiber</t>
        </is>
      </c>
      <c r="D607" s="39" t="n">
        <v>10</v>
      </c>
      <c r="E607" s="39" t="inlineStr">
        <is>
          <t>Umbra</t>
        </is>
      </c>
      <c r="F607" s="39" t="n">
        <v>16</v>
      </c>
      <c r="G607" s="39" t="inlineStr">
        <is>
          <t>Warframe</t>
        </is>
      </c>
      <c r="H607" s="39" t="inlineStr">
        <is>
          <t>NO - account-bound</t>
        </is>
      </c>
      <c r="I607" s="39" t="inlineStr">
        <is>
          <t>+100% Armor | +11% &lt;DT_SENTIENT&gt;Tau Resistance</t>
        </is>
      </c>
    </row>
    <row r="608">
      <c r="A608" s="39" t="inlineStr">
        <is>
          <t>Voruna Prime</t>
        </is>
      </c>
      <c r="B608" s="39" t="inlineStr">
        <is>
          <t>Mod 4</t>
        </is>
      </c>
      <c r="C608" s="39" t="inlineStr">
        <is>
          <t>Primed Continuity</t>
        </is>
      </c>
      <c r="D608" s="39" t="n">
        <v>10</v>
      </c>
      <c r="E608" s="39" t="inlineStr">
        <is>
          <t>Madurai</t>
        </is>
      </c>
      <c r="F608" s="39" t="n">
        <v>14</v>
      </c>
      <c r="G608" s="39" t="inlineStr">
        <is>
          <t>Warframe</t>
        </is>
      </c>
      <c r="H608" s="39" t="inlineStr">
        <is>
          <t>Yes</t>
        </is>
      </c>
      <c r="I608" s="39" t="inlineStr">
        <is>
          <t>+55% Ability Duration</t>
        </is>
      </c>
    </row>
    <row r="609">
      <c r="A609" s="39" t="inlineStr">
        <is>
          <t>Voruna Prime</t>
        </is>
      </c>
      <c r="B609" s="39" t="inlineStr">
        <is>
          <t>Mod 5</t>
        </is>
      </c>
      <c r="C609" s="39" t="inlineStr">
        <is>
          <t>Stretch</t>
        </is>
      </c>
      <c r="D609" s="39" t="n">
        <v>5</v>
      </c>
      <c r="E609" s="39" t="inlineStr">
        <is>
          <t>Naramon</t>
        </is>
      </c>
      <c r="F609" s="39" t="n">
        <v>9</v>
      </c>
      <c r="G609" s="39" t="inlineStr">
        <is>
          <t>Warframe</t>
        </is>
      </c>
      <c r="H609" s="39" t="inlineStr">
        <is>
          <t>Yes</t>
        </is>
      </c>
      <c r="I609" s="39" t="inlineStr">
        <is>
          <t>+45% Ability Range</t>
        </is>
      </c>
    </row>
    <row r="610">
      <c r="A610" s="39" t="inlineStr">
        <is>
          <t>Voruna Prime</t>
        </is>
      </c>
      <c r="B610" s="39" t="inlineStr">
        <is>
          <t>Mod 6</t>
        </is>
      </c>
      <c r="C610" s="39" t="inlineStr">
        <is>
          <t>Primed Flow</t>
        </is>
      </c>
      <c r="D610" s="39" t="n">
        <v>10</v>
      </c>
      <c r="E610" s="39" t="inlineStr">
        <is>
          <t>Naramon</t>
        </is>
      </c>
      <c r="F610" s="39" t="n">
        <v>14</v>
      </c>
      <c r="G610" s="39" t="inlineStr">
        <is>
          <t>Warframe</t>
        </is>
      </c>
      <c r="H610" s="39" t="inlineStr">
        <is>
          <t>Yes</t>
        </is>
      </c>
      <c r="I610" s="39" t="inlineStr">
        <is>
          <t>+185% Energy Max</t>
        </is>
      </c>
    </row>
    <row r="611">
      <c r="A611" s="39" t="inlineStr">
        <is>
          <t>Voruna Prime</t>
        </is>
      </c>
      <c r="B611" s="39" t="inlineStr">
        <is>
          <t>Mod 7</t>
        </is>
      </c>
      <c r="C611" s="39" t="inlineStr">
        <is>
          <t>Streamline</t>
        </is>
      </c>
      <c r="D611" s="39" t="n">
        <v>5</v>
      </c>
      <c r="E611" s="39" t="inlineStr">
        <is>
          <t>Naramon</t>
        </is>
      </c>
      <c r="F611" s="39" t="n">
        <v>9</v>
      </c>
      <c r="G611" s="39" t="inlineStr">
        <is>
          <t>Warframe</t>
        </is>
      </c>
      <c r="H611" s="39" t="inlineStr">
        <is>
          <t>Yes</t>
        </is>
      </c>
      <c r="I611" s="39" t="inlineStr">
        <is>
          <t>+30% Ability Efficiency</t>
        </is>
      </c>
    </row>
    <row r="612">
      <c r="A612" s="39" t="inlineStr">
        <is>
          <t>Voruna Prime</t>
        </is>
      </c>
      <c r="B612" s="39" t="inlineStr">
        <is>
          <t>Mod 8</t>
        </is>
      </c>
      <c r="C612" s="39" t="inlineStr">
        <is>
          <t>Ulfrun's Endurance</t>
        </is>
      </c>
      <c r="D612" s="39" t="n">
        <v>3</v>
      </c>
      <c r="E612" s="39" t="inlineStr">
        <is>
          <t>Zenurik</t>
        </is>
      </c>
      <c r="F612" s="39" t="n">
        <v>9</v>
      </c>
      <c r="G612" s="39" t="inlineStr">
        <is>
          <t>Voruna</t>
        </is>
      </c>
      <c r="H612" s="39" t="inlineStr">
        <is>
          <t>Yes</t>
        </is>
      </c>
      <c r="I612" s="39" t="inlineStr">
        <is>
          <t>Ulfrun's Descent Augment: During Ulfrun's attack, enemies that die from &lt;DT_SLASH_COLOR&gt;Slash Status within 20m restore Voruna's charges.</t>
        </is>
      </c>
    </row>
    <row r="613">
      <c r="A613" s="39" t="inlineStr">
        <is>
          <t>Wisp Prime</t>
        </is>
      </c>
      <c r="B613" s="39" t="inlineStr">
        <is>
          <t>Aura</t>
        </is>
      </c>
      <c r="C613" s="39" t="inlineStr">
        <is>
          <t>Growing Power</t>
        </is>
      </c>
      <c r="D613" s="39" t="n">
        <v>5</v>
      </c>
      <c r="E613" s="39" t="inlineStr">
        <is>
          <t>Madurai</t>
        </is>
      </c>
      <c r="F613" s="39" t="n">
        <v>3</v>
      </c>
      <c r="G613" s="39" t="inlineStr">
        <is>
          <t>Aura</t>
        </is>
      </c>
      <c r="H613" s="39" t="inlineStr">
        <is>
          <t>Yes</t>
        </is>
      </c>
      <c r="I613" s="39" t="inlineStr">
        <is>
          <t>On Status Effect with Weapon: Squad increases personal Ability Strength by 25% for 6s.</t>
        </is>
      </c>
    </row>
    <row r="614">
      <c r="A614" s="39" t="inlineStr">
        <is>
          <t>Wisp Prime</t>
        </is>
      </c>
      <c r="B614" s="39" t="inlineStr">
        <is>
          <t>Exilus</t>
        </is>
      </c>
      <c r="C614" s="39" t="inlineStr">
        <is>
          <t>Fused Reservoir</t>
        </is>
      </c>
      <c r="D614" s="39" t="n">
        <v>3</v>
      </c>
      <c r="E614" s="39" t="inlineStr">
        <is>
          <t>Zenurik</t>
        </is>
      </c>
      <c r="F614" s="39" t="n">
        <v>9</v>
      </c>
      <c r="G614" s="39" t="inlineStr">
        <is>
          <t>Wisp</t>
        </is>
      </c>
      <c r="H614" s="39" t="inlineStr">
        <is>
          <t>Yes</t>
        </is>
      </c>
      <c r="I614" s="39" t="inlineStr">
        <is>
          <t>Reservoirs Augment: Adds a fourth reservoir that gives the effects of all three. Costs 200% more Energy.</t>
        </is>
      </c>
    </row>
    <row r="615">
      <c r="A615" s="39" t="inlineStr">
        <is>
          <t>Wisp Prime</t>
        </is>
      </c>
      <c r="B615" s="39" t="inlineStr">
        <is>
          <t>Mod 1</t>
        </is>
      </c>
      <c r="C615" s="39" t="inlineStr">
        <is>
          <t>Umbral Intensify</t>
        </is>
      </c>
      <c r="D615" s="39" t="n">
        <v>10</v>
      </c>
      <c r="E615" s="39" t="inlineStr">
        <is>
          <t>Umbra</t>
        </is>
      </c>
      <c r="F615" s="39" t="n">
        <v>16</v>
      </c>
      <c r="G615" s="39" t="inlineStr">
        <is>
          <t>Warframe</t>
        </is>
      </c>
      <c r="H615" s="39" t="inlineStr">
        <is>
          <t>NO - account-bound</t>
        </is>
      </c>
      <c r="I615" s="39" t="inlineStr">
        <is>
          <t>+44% Ability Strength | +11% &lt;DT_SENTIENT&gt;Tau Resistance</t>
        </is>
      </c>
    </row>
    <row r="616">
      <c r="A616" s="39" t="inlineStr">
        <is>
          <t>Wisp Prime</t>
        </is>
      </c>
      <c r="B616" s="39" t="inlineStr">
        <is>
          <t>Mod 2</t>
        </is>
      </c>
      <c r="C616" s="39" t="inlineStr">
        <is>
          <t>Umbral Vitality</t>
        </is>
      </c>
      <c r="D616" s="39" t="n">
        <v>10</v>
      </c>
      <c r="E616" s="39" t="inlineStr">
        <is>
          <t>Umbra</t>
        </is>
      </c>
      <c r="F616" s="39" t="n">
        <v>16</v>
      </c>
      <c r="G616" s="39" t="inlineStr">
        <is>
          <t>Warframe</t>
        </is>
      </c>
      <c r="H616" s="39" t="inlineStr">
        <is>
          <t>NO - account-bound</t>
        </is>
      </c>
      <c r="I616" s="39" t="inlineStr">
        <is>
          <t>+100% Health | +11% &lt;DT_SENTIENT&gt;Tau Resistance</t>
        </is>
      </c>
    </row>
    <row r="617">
      <c r="A617" s="39" t="inlineStr">
        <is>
          <t>Wisp Prime</t>
        </is>
      </c>
      <c r="B617" s="39" t="inlineStr">
        <is>
          <t>Mod 3</t>
        </is>
      </c>
      <c r="C617" s="39" t="inlineStr">
        <is>
          <t>Umbral Fiber</t>
        </is>
      </c>
      <c r="D617" s="39" t="n">
        <v>10</v>
      </c>
      <c r="E617" s="39" t="inlineStr">
        <is>
          <t>Umbra</t>
        </is>
      </c>
      <c r="F617" s="39" t="n">
        <v>16</v>
      </c>
      <c r="G617" s="39" t="inlineStr">
        <is>
          <t>Warframe</t>
        </is>
      </c>
      <c r="H617" s="39" t="inlineStr">
        <is>
          <t>NO - account-bound</t>
        </is>
      </c>
      <c r="I617" s="39" t="inlineStr">
        <is>
          <t>+100% Armor | +11% &lt;DT_SENTIENT&gt;Tau Resistance</t>
        </is>
      </c>
    </row>
    <row r="618">
      <c r="A618" s="39" t="inlineStr">
        <is>
          <t>Wisp Prime</t>
        </is>
      </c>
      <c r="B618" s="39" t="inlineStr">
        <is>
          <t>Mod 4</t>
        </is>
      </c>
      <c r="C618" s="39" t="inlineStr">
        <is>
          <t>Primed Continuity</t>
        </is>
      </c>
      <c r="D618" s="39" t="n">
        <v>10</v>
      </c>
      <c r="E618" s="39" t="inlineStr">
        <is>
          <t>Madurai</t>
        </is>
      </c>
      <c r="F618" s="39" t="n">
        <v>14</v>
      </c>
      <c r="G618" s="39" t="inlineStr">
        <is>
          <t>Warframe</t>
        </is>
      </c>
      <c r="H618" s="39" t="inlineStr">
        <is>
          <t>Yes</t>
        </is>
      </c>
      <c r="I618" s="39" t="inlineStr">
        <is>
          <t>+55% Ability Duration</t>
        </is>
      </c>
    </row>
    <row r="619">
      <c r="A619" s="39" t="inlineStr">
        <is>
          <t>Wisp Prime</t>
        </is>
      </c>
      <c r="B619" s="39" t="inlineStr">
        <is>
          <t>Mod 5</t>
        </is>
      </c>
      <c r="C619" s="39" t="inlineStr">
        <is>
          <t>Stretch</t>
        </is>
      </c>
      <c r="D619" s="39" t="n">
        <v>5</v>
      </c>
      <c r="E619" s="39" t="inlineStr">
        <is>
          <t>Naramon</t>
        </is>
      </c>
      <c r="F619" s="39" t="n">
        <v>9</v>
      </c>
      <c r="G619" s="39" t="inlineStr">
        <is>
          <t>Warframe</t>
        </is>
      </c>
      <c r="H619" s="39" t="inlineStr">
        <is>
          <t>Yes</t>
        </is>
      </c>
      <c r="I619" s="39" t="inlineStr">
        <is>
          <t>+45% Ability Range</t>
        </is>
      </c>
    </row>
    <row r="620">
      <c r="A620" s="39" t="inlineStr">
        <is>
          <t>Wisp Prime</t>
        </is>
      </c>
      <c r="B620" s="39" t="inlineStr">
        <is>
          <t>Mod 6</t>
        </is>
      </c>
      <c r="C620" s="39" t="inlineStr">
        <is>
          <t>Primed Flow</t>
        </is>
      </c>
      <c r="D620" s="39" t="n">
        <v>10</v>
      </c>
      <c r="E620" s="39" t="inlineStr">
        <is>
          <t>Naramon</t>
        </is>
      </c>
      <c r="F620" s="39" t="n">
        <v>14</v>
      </c>
      <c r="G620" s="39" t="inlineStr">
        <is>
          <t>Warframe</t>
        </is>
      </c>
      <c r="H620" s="39" t="inlineStr">
        <is>
          <t>Yes</t>
        </is>
      </c>
      <c r="I620" s="39" t="inlineStr">
        <is>
          <t>+185% Energy Max</t>
        </is>
      </c>
    </row>
    <row r="621">
      <c r="A621" s="39" t="inlineStr">
        <is>
          <t>Wisp Prime</t>
        </is>
      </c>
      <c r="B621" s="39" t="inlineStr">
        <is>
          <t>Mod 7</t>
        </is>
      </c>
      <c r="C621" s="39" t="inlineStr">
        <is>
          <t>Streamline</t>
        </is>
      </c>
      <c r="D621" s="39" t="n">
        <v>5</v>
      </c>
      <c r="E621" s="39" t="inlineStr">
        <is>
          <t>Naramon</t>
        </is>
      </c>
      <c r="F621" s="39" t="n">
        <v>9</v>
      </c>
      <c r="G621" s="39" t="inlineStr">
        <is>
          <t>Warframe</t>
        </is>
      </c>
      <c r="H621" s="39" t="inlineStr">
        <is>
          <t>Yes</t>
        </is>
      </c>
      <c r="I621" s="39" t="inlineStr">
        <is>
          <t>+30% Ability Efficiency</t>
        </is>
      </c>
    </row>
    <row r="622">
      <c r="A622" s="39" t="inlineStr">
        <is>
          <t>Wisp Prime</t>
        </is>
      </c>
      <c r="B622" s="39" t="inlineStr">
        <is>
          <t>Mod 8</t>
        </is>
      </c>
      <c r="C622" s="39" t="inlineStr">
        <is>
          <t>Critical Surge</t>
        </is>
      </c>
      <c r="D622" s="39" t="n">
        <v>3</v>
      </c>
      <c r="E622" s="39" t="inlineStr">
        <is>
          <t>Zenurik</t>
        </is>
      </c>
      <c r="F622" s="39" t="n">
        <v>9</v>
      </c>
      <c r="G622" s="39" t="inlineStr">
        <is>
          <t>Wisp</t>
        </is>
      </c>
      <c r="H622" s="39" t="inlineStr">
        <is>
          <t>Yes</t>
        </is>
      </c>
      <c r="I622" s="39" t="inlineStr">
        <is>
          <t>Breach Surge Augment: Teleporting to a Reservoir costs 50% Energy and grants 10% Critical Chance to Primary Weapons per meter traveled for 9s. Maximum 250% Crit</t>
        </is>
      </c>
    </row>
    <row r="623">
      <c r="A623" s="39" t="inlineStr">
        <is>
          <t>Wukong Prime</t>
        </is>
      </c>
      <c r="B623" s="39" t="inlineStr">
        <is>
          <t>Aura</t>
        </is>
      </c>
      <c r="C623" s="39" t="inlineStr">
        <is>
          <t>Growing Power</t>
        </is>
      </c>
      <c r="D623" s="39" t="n">
        <v>5</v>
      </c>
      <c r="E623" s="39" t="inlineStr">
        <is>
          <t>Madurai</t>
        </is>
      </c>
      <c r="F623" s="39" t="n">
        <v>3</v>
      </c>
      <c r="G623" s="39" t="inlineStr">
        <is>
          <t>Aura</t>
        </is>
      </c>
      <c r="H623" s="39" t="inlineStr">
        <is>
          <t>Yes</t>
        </is>
      </c>
      <c r="I623" s="39" t="inlineStr">
        <is>
          <t>On Status Effect with Weapon: Squad increases personal Ability Strength by 25% for 6s.</t>
        </is>
      </c>
    </row>
    <row r="624">
      <c r="A624" s="39" t="inlineStr">
        <is>
          <t>Wukong Prime</t>
        </is>
      </c>
      <c r="B624" s="39" t="inlineStr">
        <is>
          <t>Exilus</t>
        </is>
      </c>
      <c r="C624" s="39" t="inlineStr">
        <is>
          <t>Power Drift</t>
        </is>
      </c>
      <c r="D624" s="39" t="n">
        <v>5</v>
      </c>
      <c r="E624" s="39" t="inlineStr">
        <is>
          <t>Zenurik</t>
        </is>
      </c>
      <c r="F624" s="39" t="n">
        <v>9</v>
      </c>
      <c r="G624" s="39" t="inlineStr">
        <is>
          <t>Warframe</t>
        </is>
      </c>
      <c r="H624" s="39" t="inlineStr">
        <is>
          <t>Yes</t>
        </is>
      </c>
      <c r="I624" s="39" t="inlineStr">
        <is>
          <t>+15% Ability Strength | +30% Chance to Resist Knockdown</t>
        </is>
      </c>
    </row>
    <row r="625">
      <c r="A625" s="39" t="inlineStr">
        <is>
          <t>Wukong Prime</t>
        </is>
      </c>
      <c r="B625" s="39" t="inlineStr">
        <is>
          <t>Mod 1</t>
        </is>
      </c>
      <c r="C625" s="39" t="inlineStr">
        <is>
          <t>Umbral Intensify</t>
        </is>
      </c>
      <c r="D625" s="39" t="n">
        <v>10</v>
      </c>
      <c r="E625" s="39" t="inlineStr">
        <is>
          <t>Umbra</t>
        </is>
      </c>
      <c r="F625" s="39" t="n">
        <v>16</v>
      </c>
      <c r="G625" s="39" t="inlineStr">
        <is>
          <t>Warframe</t>
        </is>
      </c>
      <c r="H625" s="39" t="inlineStr">
        <is>
          <t>NO - account-bound</t>
        </is>
      </c>
      <c r="I625" s="39" t="inlineStr">
        <is>
          <t>+44% Ability Strength | +11% &lt;DT_SENTIENT&gt;Tau Resistance</t>
        </is>
      </c>
    </row>
    <row r="626">
      <c r="A626" s="39" t="inlineStr">
        <is>
          <t>Wukong Prime</t>
        </is>
      </c>
      <c r="B626" s="39" t="inlineStr">
        <is>
          <t>Mod 2</t>
        </is>
      </c>
      <c r="C626" s="39" t="inlineStr">
        <is>
          <t>Umbral Vitality</t>
        </is>
      </c>
      <c r="D626" s="39" t="n">
        <v>10</v>
      </c>
      <c r="E626" s="39" t="inlineStr">
        <is>
          <t>Umbra</t>
        </is>
      </c>
      <c r="F626" s="39" t="n">
        <v>16</v>
      </c>
      <c r="G626" s="39" t="inlineStr">
        <is>
          <t>Warframe</t>
        </is>
      </c>
      <c r="H626" s="39" t="inlineStr">
        <is>
          <t>NO - account-bound</t>
        </is>
      </c>
      <c r="I626" s="39" t="inlineStr">
        <is>
          <t>+100% Health | +11% &lt;DT_SENTIENT&gt;Tau Resistance</t>
        </is>
      </c>
    </row>
    <row r="627">
      <c r="A627" s="39" t="inlineStr">
        <is>
          <t>Wukong Prime</t>
        </is>
      </c>
      <c r="B627" s="39" t="inlineStr">
        <is>
          <t>Mod 3</t>
        </is>
      </c>
      <c r="C627" s="39" t="inlineStr">
        <is>
          <t>Umbral Fiber</t>
        </is>
      </c>
      <c r="D627" s="39" t="n">
        <v>10</v>
      </c>
      <c r="E627" s="39" t="inlineStr">
        <is>
          <t>Umbra</t>
        </is>
      </c>
      <c r="F627" s="39" t="n">
        <v>16</v>
      </c>
      <c r="G627" s="39" t="inlineStr">
        <is>
          <t>Warframe</t>
        </is>
      </c>
      <c r="H627" s="39" t="inlineStr">
        <is>
          <t>NO - account-bound</t>
        </is>
      </c>
      <c r="I627" s="39" t="inlineStr">
        <is>
          <t>+100% Armor | +11% &lt;DT_SENTIENT&gt;Tau Resistance</t>
        </is>
      </c>
    </row>
    <row r="628">
      <c r="A628" s="39" t="inlineStr">
        <is>
          <t>Wukong Prime</t>
        </is>
      </c>
      <c r="B628" s="39" t="inlineStr">
        <is>
          <t>Mod 4</t>
        </is>
      </c>
      <c r="C628" s="39" t="inlineStr">
        <is>
          <t>Primed Continuity</t>
        </is>
      </c>
      <c r="D628" s="39" t="n">
        <v>10</v>
      </c>
      <c r="E628" s="39" t="inlineStr">
        <is>
          <t>Madurai</t>
        </is>
      </c>
      <c r="F628" s="39" t="n">
        <v>14</v>
      </c>
      <c r="G628" s="39" t="inlineStr">
        <is>
          <t>Warframe</t>
        </is>
      </c>
      <c r="H628" s="39" t="inlineStr">
        <is>
          <t>Yes</t>
        </is>
      </c>
      <c r="I628" s="39" t="inlineStr">
        <is>
          <t>+55% Ability Duration</t>
        </is>
      </c>
    </row>
    <row r="629">
      <c r="A629" s="39" t="inlineStr">
        <is>
          <t>Wukong Prime</t>
        </is>
      </c>
      <c r="B629" s="39" t="inlineStr">
        <is>
          <t>Mod 5</t>
        </is>
      </c>
      <c r="C629" s="39" t="inlineStr">
        <is>
          <t>Primed Flow</t>
        </is>
      </c>
      <c r="D629" s="39" t="n">
        <v>10</v>
      </c>
      <c r="E629" s="39" t="inlineStr">
        <is>
          <t>Naramon</t>
        </is>
      </c>
      <c r="F629" s="39" t="n">
        <v>14</v>
      </c>
      <c r="G629" s="39" t="inlineStr">
        <is>
          <t>Warframe</t>
        </is>
      </c>
      <c r="H629" s="39" t="inlineStr">
        <is>
          <t>Yes</t>
        </is>
      </c>
      <c r="I629" s="39" t="inlineStr">
        <is>
          <t>+185% Energy Max</t>
        </is>
      </c>
    </row>
    <row r="630">
      <c r="A630" s="39" t="inlineStr">
        <is>
          <t>Wukong Prime</t>
        </is>
      </c>
      <c r="B630" s="39" t="inlineStr">
        <is>
          <t>Mod 6</t>
        </is>
      </c>
      <c r="C630" s="39" t="inlineStr">
        <is>
          <t>Streamline</t>
        </is>
      </c>
      <c r="D630" s="39" t="n">
        <v>5</v>
      </c>
      <c r="E630" s="39" t="inlineStr">
        <is>
          <t>Naramon</t>
        </is>
      </c>
      <c r="F630" s="39" t="n">
        <v>9</v>
      </c>
      <c r="G630" s="39" t="inlineStr">
        <is>
          <t>Warframe</t>
        </is>
      </c>
      <c r="H630" s="39" t="inlineStr">
        <is>
          <t>Yes</t>
        </is>
      </c>
      <c r="I630" s="39" t="inlineStr">
        <is>
          <t>+30% Ability Efficiency</t>
        </is>
      </c>
    </row>
    <row r="631">
      <c r="A631" s="39" t="inlineStr">
        <is>
          <t>Wukong Prime</t>
        </is>
      </c>
      <c r="B631" s="39" t="inlineStr">
        <is>
          <t>Mod 7</t>
        </is>
      </c>
      <c r="C631" s="39" t="inlineStr">
        <is>
          <t>Stretch</t>
        </is>
      </c>
      <c r="D631" s="39" t="n">
        <v>5</v>
      </c>
      <c r="E631" s="39" t="inlineStr">
        <is>
          <t>Naramon</t>
        </is>
      </c>
      <c r="F631" s="39" t="n">
        <v>9</v>
      </c>
      <c r="G631" s="39" t="inlineStr">
        <is>
          <t>Warframe</t>
        </is>
      </c>
      <c r="H631" s="39" t="inlineStr">
        <is>
          <t>Yes</t>
        </is>
      </c>
      <c r="I631" s="39" t="inlineStr">
        <is>
          <t>+45% Ability Range</t>
        </is>
      </c>
    </row>
    <row r="632">
      <c r="A632" s="39" t="inlineStr">
        <is>
          <t>Wukong Prime</t>
        </is>
      </c>
      <c r="B632" s="39" t="inlineStr">
        <is>
          <t>Mod 8</t>
        </is>
      </c>
      <c r="C632" s="39" t="inlineStr">
        <is>
          <t>Primal Rage</t>
        </is>
      </c>
      <c r="D632" s="39" t="n">
        <v>3</v>
      </c>
      <c r="E632" s="39" t="inlineStr">
        <is>
          <t>Zenurik</t>
        </is>
      </c>
      <c r="F632" s="39" t="n">
        <v>9</v>
      </c>
      <c r="G632" s="39" t="inlineStr">
        <is>
          <t>Wukong</t>
        </is>
      </c>
      <c r="H632" s="39" t="inlineStr">
        <is>
          <t>Yes</t>
        </is>
      </c>
      <c r="I632" s="39" t="inlineStr">
        <is>
          <t>Primal Fury Augment: Killing an enemy increases Critical Chance by 15%. The increase decays by 1%/s</t>
        </is>
      </c>
    </row>
    <row r="633">
      <c r="A633" s="39" t="inlineStr">
        <is>
          <t>Xaku Prime</t>
        </is>
      </c>
      <c r="B633" s="39" t="inlineStr">
        <is>
          <t>Aura</t>
        </is>
      </c>
      <c r="C633" s="39" t="inlineStr">
        <is>
          <t>Growing Power</t>
        </is>
      </c>
      <c r="D633" s="39" t="n">
        <v>5</v>
      </c>
      <c r="E633" s="39" t="inlineStr">
        <is>
          <t>Madurai</t>
        </is>
      </c>
      <c r="F633" s="39" t="n">
        <v>3</v>
      </c>
      <c r="G633" s="39" t="inlineStr">
        <is>
          <t>Aura</t>
        </is>
      </c>
      <c r="H633" s="39" t="inlineStr">
        <is>
          <t>Yes</t>
        </is>
      </c>
      <c r="I633" s="39" t="inlineStr">
        <is>
          <t>On Status Effect with Weapon: Squad increases personal Ability Strength by 25% for 6s.</t>
        </is>
      </c>
    </row>
    <row r="634">
      <c r="A634" s="39" t="inlineStr">
        <is>
          <t>Xaku Prime</t>
        </is>
      </c>
      <c r="B634" s="39" t="inlineStr">
        <is>
          <t>Exilus</t>
        </is>
      </c>
      <c r="C634" s="39" t="inlineStr">
        <is>
          <t>Power Drift</t>
        </is>
      </c>
      <c r="D634" s="39" t="n">
        <v>5</v>
      </c>
      <c r="E634" s="39" t="inlineStr">
        <is>
          <t>Zenurik</t>
        </is>
      </c>
      <c r="F634" s="39" t="n">
        <v>9</v>
      </c>
      <c r="G634" s="39" t="inlineStr">
        <is>
          <t>Warframe</t>
        </is>
      </c>
      <c r="H634" s="39" t="inlineStr">
        <is>
          <t>Yes</t>
        </is>
      </c>
      <c r="I634" s="39" t="inlineStr">
        <is>
          <t>+15% Ability Strength | +30% Chance to Resist Knockdown</t>
        </is>
      </c>
    </row>
    <row r="635">
      <c r="A635" s="39" t="inlineStr">
        <is>
          <t>Xaku Prime</t>
        </is>
      </c>
      <c r="B635" s="39" t="inlineStr">
        <is>
          <t>Mod 1</t>
        </is>
      </c>
      <c r="C635" s="39" t="inlineStr">
        <is>
          <t>Umbral Intensify</t>
        </is>
      </c>
      <c r="D635" s="39" t="n">
        <v>10</v>
      </c>
      <c r="E635" s="39" t="inlineStr">
        <is>
          <t>Umbra</t>
        </is>
      </c>
      <c r="F635" s="39" t="n">
        <v>16</v>
      </c>
      <c r="G635" s="39" t="inlineStr">
        <is>
          <t>Warframe</t>
        </is>
      </c>
      <c r="H635" s="39" t="inlineStr">
        <is>
          <t>NO - account-bound</t>
        </is>
      </c>
      <c r="I635" s="39" t="inlineStr">
        <is>
          <t>+44% Ability Strength | +11% &lt;DT_SENTIENT&gt;Tau Resistance</t>
        </is>
      </c>
    </row>
    <row r="636">
      <c r="A636" s="39" t="inlineStr">
        <is>
          <t>Xaku Prime</t>
        </is>
      </c>
      <c r="B636" s="39" t="inlineStr">
        <is>
          <t>Mod 2</t>
        </is>
      </c>
      <c r="C636" s="39" t="inlineStr">
        <is>
          <t>Umbral Vitality</t>
        </is>
      </c>
      <c r="D636" s="39" t="n">
        <v>10</v>
      </c>
      <c r="E636" s="39" t="inlineStr">
        <is>
          <t>Umbra</t>
        </is>
      </c>
      <c r="F636" s="39" t="n">
        <v>16</v>
      </c>
      <c r="G636" s="39" t="inlineStr">
        <is>
          <t>Warframe</t>
        </is>
      </c>
      <c r="H636" s="39" t="inlineStr">
        <is>
          <t>NO - account-bound</t>
        </is>
      </c>
      <c r="I636" s="39" t="inlineStr">
        <is>
          <t>+100% Health | +11% &lt;DT_SENTIENT&gt;Tau Resistance</t>
        </is>
      </c>
    </row>
    <row r="637">
      <c r="A637" s="39" t="inlineStr">
        <is>
          <t>Xaku Prime</t>
        </is>
      </c>
      <c r="B637" s="39" t="inlineStr">
        <is>
          <t>Mod 3</t>
        </is>
      </c>
      <c r="C637" s="39" t="inlineStr">
        <is>
          <t>Umbral Fiber</t>
        </is>
      </c>
      <c r="D637" s="39" t="n">
        <v>10</v>
      </c>
      <c r="E637" s="39" t="inlineStr">
        <is>
          <t>Umbra</t>
        </is>
      </c>
      <c r="F637" s="39" t="n">
        <v>16</v>
      </c>
      <c r="G637" s="39" t="inlineStr">
        <is>
          <t>Warframe</t>
        </is>
      </c>
      <c r="H637" s="39" t="inlineStr">
        <is>
          <t>NO - account-bound</t>
        </is>
      </c>
      <c r="I637" s="39" t="inlineStr">
        <is>
          <t>+100% Armor | +11% &lt;DT_SENTIENT&gt;Tau Resistance</t>
        </is>
      </c>
    </row>
    <row r="638">
      <c r="A638" s="39" t="inlineStr">
        <is>
          <t>Xaku Prime</t>
        </is>
      </c>
      <c r="B638" s="39" t="inlineStr">
        <is>
          <t>Mod 4</t>
        </is>
      </c>
      <c r="C638" s="39" t="inlineStr">
        <is>
          <t>Primed Continuity</t>
        </is>
      </c>
      <c r="D638" s="39" t="n">
        <v>10</v>
      </c>
      <c r="E638" s="39" t="inlineStr">
        <is>
          <t>Madurai</t>
        </is>
      </c>
      <c r="F638" s="39" t="n">
        <v>14</v>
      </c>
      <c r="G638" s="39" t="inlineStr">
        <is>
          <t>Warframe</t>
        </is>
      </c>
      <c r="H638" s="39" t="inlineStr">
        <is>
          <t>Yes</t>
        </is>
      </c>
      <c r="I638" s="39" t="inlineStr">
        <is>
          <t>+55% Ability Duration</t>
        </is>
      </c>
    </row>
    <row r="639">
      <c r="A639" s="39" t="inlineStr">
        <is>
          <t>Xaku Prime</t>
        </is>
      </c>
      <c r="B639" s="39" t="inlineStr">
        <is>
          <t>Mod 5</t>
        </is>
      </c>
      <c r="C639" s="39" t="inlineStr">
        <is>
          <t>Stretch</t>
        </is>
      </c>
      <c r="D639" s="39" t="n">
        <v>5</v>
      </c>
      <c r="E639" s="39" t="inlineStr">
        <is>
          <t>Naramon</t>
        </is>
      </c>
      <c r="F639" s="39" t="n">
        <v>9</v>
      </c>
      <c r="G639" s="39" t="inlineStr">
        <is>
          <t>Warframe</t>
        </is>
      </c>
      <c r="H639" s="39" t="inlineStr">
        <is>
          <t>Yes</t>
        </is>
      </c>
      <c r="I639" s="39" t="inlineStr">
        <is>
          <t>+45% Ability Range</t>
        </is>
      </c>
    </row>
    <row r="640">
      <c r="A640" s="39" t="inlineStr">
        <is>
          <t>Xaku Prime</t>
        </is>
      </c>
      <c r="B640" s="39" t="inlineStr">
        <is>
          <t>Mod 6</t>
        </is>
      </c>
      <c r="C640" s="39" t="inlineStr">
        <is>
          <t>Primed Flow</t>
        </is>
      </c>
      <c r="D640" s="39" t="n">
        <v>10</v>
      </c>
      <c r="E640" s="39" t="inlineStr">
        <is>
          <t>Naramon</t>
        </is>
      </c>
      <c r="F640" s="39" t="n">
        <v>14</v>
      </c>
      <c r="G640" s="39" t="inlineStr">
        <is>
          <t>Warframe</t>
        </is>
      </c>
      <c r="H640" s="39" t="inlineStr">
        <is>
          <t>Yes</t>
        </is>
      </c>
      <c r="I640" s="39" t="inlineStr">
        <is>
          <t>+185% Energy Max</t>
        </is>
      </c>
    </row>
    <row r="641">
      <c r="A641" s="39" t="inlineStr">
        <is>
          <t>Xaku Prime</t>
        </is>
      </c>
      <c r="B641" s="39" t="inlineStr">
        <is>
          <t>Mod 7</t>
        </is>
      </c>
      <c r="C641" s="39" t="inlineStr">
        <is>
          <t>Streamline</t>
        </is>
      </c>
      <c r="D641" s="39" t="n">
        <v>5</v>
      </c>
      <c r="E641" s="39" t="inlineStr">
        <is>
          <t>Naramon</t>
        </is>
      </c>
      <c r="F641" s="39" t="n">
        <v>9</v>
      </c>
      <c r="G641" s="39" t="inlineStr">
        <is>
          <t>Warframe</t>
        </is>
      </c>
      <c r="H641" s="39" t="inlineStr">
        <is>
          <t>Yes</t>
        </is>
      </c>
      <c r="I641" s="39" t="inlineStr">
        <is>
          <t>+30% Ability Efficiency</t>
        </is>
      </c>
    </row>
    <row r="642">
      <c r="A642" s="39" t="inlineStr">
        <is>
          <t>Xaku Prime</t>
        </is>
      </c>
      <c r="B642" s="39" t="inlineStr">
        <is>
          <t>Mod 8</t>
        </is>
      </c>
      <c r="C642" s="39" t="inlineStr">
        <is>
          <t>Untime Rift</t>
        </is>
      </c>
      <c r="D642" s="39" t="n">
        <v>3</v>
      </c>
      <c r="E642" s="39" t="inlineStr">
        <is>
          <t>Zenurik</t>
        </is>
      </c>
      <c r="F642" s="39" t="n">
        <v>9</v>
      </c>
      <c r="G642" s="39" t="inlineStr">
        <is>
          <t>Xaku</t>
        </is>
      </c>
      <c r="H642" s="39" t="inlineStr">
        <is>
          <t>Yes</t>
        </is>
      </c>
      <c r="I642" s="39" t="inlineStr">
        <is>
          <t>The Vast Untime Augment: Creates a Rift that connects to enemies suffering from &lt;DT_RADIANT_COLOR&gt; Void Status Effect within 15m, doubling debuffs applied by Th</t>
        </is>
      </c>
    </row>
    <row r="643">
      <c r="A643" s="39" t="inlineStr">
        <is>
          <t>Yareli Prime</t>
        </is>
      </c>
      <c r="B643" s="39" t="inlineStr">
        <is>
          <t>Aura</t>
        </is>
      </c>
      <c r="C643" s="39" t="inlineStr">
        <is>
          <t>Growing Power</t>
        </is>
      </c>
      <c r="D643" s="39" t="n">
        <v>5</v>
      </c>
      <c r="E643" s="39" t="inlineStr">
        <is>
          <t>Madurai</t>
        </is>
      </c>
      <c r="F643" s="39" t="n">
        <v>3</v>
      </c>
      <c r="G643" s="39" t="inlineStr">
        <is>
          <t>Aura</t>
        </is>
      </c>
      <c r="H643" s="39" t="inlineStr">
        <is>
          <t>Yes</t>
        </is>
      </c>
      <c r="I643" s="39" t="inlineStr">
        <is>
          <t>On Status Effect with Weapon: Squad increases personal Ability Strength by 25% for 6s.</t>
        </is>
      </c>
    </row>
    <row r="644">
      <c r="A644" s="39" t="inlineStr">
        <is>
          <t>Yareli Prime</t>
        </is>
      </c>
      <c r="B644" s="39" t="inlineStr">
        <is>
          <t>Exilus</t>
        </is>
      </c>
      <c r="C644" s="39" t="inlineStr">
        <is>
          <t>Power Drift</t>
        </is>
      </c>
      <c r="D644" s="39" t="n">
        <v>5</v>
      </c>
      <c r="E644" s="39" t="inlineStr">
        <is>
          <t>Zenurik</t>
        </is>
      </c>
      <c r="F644" s="39" t="n">
        <v>9</v>
      </c>
      <c r="G644" s="39" t="inlineStr">
        <is>
          <t>Warframe</t>
        </is>
      </c>
      <c r="H644" s="39" t="inlineStr">
        <is>
          <t>Yes</t>
        </is>
      </c>
      <c r="I644" s="39" t="inlineStr">
        <is>
          <t>+15% Ability Strength | +30% Chance to Resist Knockdown</t>
        </is>
      </c>
    </row>
    <row r="645">
      <c r="A645" s="39" t="inlineStr">
        <is>
          <t>Yareli Prime</t>
        </is>
      </c>
      <c r="B645" s="39" t="inlineStr">
        <is>
          <t>Mod 1</t>
        </is>
      </c>
      <c r="C645" s="39" t="inlineStr">
        <is>
          <t>Umbral Intensify</t>
        </is>
      </c>
      <c r="D645" s="39" t="n">
        <v>10</v>
      </c>
      <c r="E645" s="39" t="inlineStr">
        <is>
          <t>Umbra</t>
        </is>
      </c>
      <c r="F645" s="39" t="n">
        <v>16</v>
      </c>
      <c r="G645" s="39" t="inlineStr">
        <is>
          <t>Warframe</t>
        </is>
      </c>
      <c r="H645" s="39" t="inlineStr">
        <is>
          <t>NO - account-bound</t>
        </is>
      </c>
      <c r="I645" s="39" t="inlineStr">
        <is>
          <t>+44% Ability Strength | +11% &lt;DT_SENTIENT&gt;Tau Resistance</t>
        </is>
      </c>
    </row>
    <row r="646">
      <c r="A646" s="39" t="inlineStr">
        <is>
          <t>Yareli Prime</t>
        </is>
      </c>
      <c r="B646" s="39" t="inlineStr">
        <is>
          <t>Mod 2</t>
        </is>
      </c>
      <c r="C646" s="39" t="inlineStr">
        <is>
          <t>Umbral Vitality</t>
        </is>
      </c>
      <c r="D646" s="39" t="n">
        <v>10</v>
      </c>
      <c r="E646" s="39" t="inlineStr">
        <is>
          <t>Umbra</t>
        </is>
      </c>
      <c r="F646" s="39" t="n">
        <v>16</v>
      </c>
      <c r="G646" s="39" t="inlineStr">
        <is>
          <t>Warframe</t>
        </is>
      </c>
      <c r="H646" s="39" t="inlineStr">
        <is>
          <t>NO - account-bound</t>
        </is>
      </c>
      <c r="I646" s="39" t="inlineStr">
        <is>
          <t>+100% Health | +11% &lt;DT_SENTIENT&gt;Tau Resistance</t>
        </is>
      </c>
    </row>
    <row r="647">
      <c r="A647" s="39" t="inlineStr">
        <is>
          <t>Yareli Prime</t>
        </is>
      </c>
      <c r="B647" s="39" t="inlineStr">
        <is>
          <t>Mod 3</t>
        </is>
      </c>
      <c r="C647" s="39" t="inlineStr">
        <is>
          <t>Umbral Fiber</t>
        </is>
      </c>
      <c r="D647" s="39" t="n">
        <v>10</v>
      </c>
      <c r="E647" s="39" t="inlineStr">
        <is>
          <t>Umbra</t>
        </is>
      </c>
      <c r="F647" s="39" t="n">
        <v>16</v>
      </c>
      <c r="G647" s="39" t="inlineStr">
        <is>
          <t>Warframe</t>
        </is>
      </c>
      <c r="H647" s="39" t="inlineStr">
        <is>
          <t>NO - account-bound</t>
        </is>
      </c>
      <c r="I647" s="39" t="inlineStr">
        <is>
          <t>+100% Armor | +11% &lt;DT_SENTIENT&gt;Tau Resistance</t>
        </is>
      </c>
    </row>
    <row r="648">
      <c r="A648" s="39" t="inlineStr">
        <is>
          <t>Yareli Prime</t>
        </is>
      </c>
      <c r="B648" s="39" t="inlineStr">
        <is>
          <t>Mod 4</t>
        </is>
      </c>
      <c r="C648" s="39" t="inlineStr">
        <is>
          <t>Primed Continuity</t>
        </is>
      </c>
      <c r="D648" s="39" t="n">
        <v>10</v>
      </c>
      <c r="E648" s="39" t="inlineStr">
        <is>
          <t>Madurai</t>
        </is>
      </c>
      <c r="F648" s="39" t="n">
        <v>14</v>
      </c>
      <c r="G648" s="39" t="inlineStr">
        <is>
          <t>Warframe</t>
        </is>
      </c>
      <c r="H648" s="39" t="inlineStr">
        <is>
          <t>Yes</t>
        </is>
      </c>
      <c r="I648" s="39" t="inlineStr">
        <is>
          <t>+55% Ability Duration</t>
        </is>
      </c>
    </row>
    <row r="649">
      <c r="A649" s="39" t="inlineStr">
        <is>
          <t>Yareli Prime</t>
        </is>
      </c>
      <c r="B649" s="39" t="inlineStr">
        <is>
          <t>Mod 5</t>
        </is>
      </c>
      <c r="C649" s="39" t="inlineStr">
        <is>
          <t>Stretch</t>
        </is>
      </c>
      <c r="D649" s="39" t="n">
        <v>5</v>
      </c>
      <c r="E649" s="39" t="inlineStr">
        <is>
          <t>Naramon</t>
        </is>
      </c>
      <c r="F649" s="39" t="n">
        <v>9</v>
      </c>
      <c r="G649" s="39" t="inlineStr">
        <is>
          <t>Warframe</t>
        </is>
      </c>
      <c r="H649" s="39" t="inlineStr">
        <is>
          <t>Yes</t>
        </is>
      </c>
      <c r="I649" s="39" t="inlineStr">
        <is>
          <t>+45% Ability Range</t>
        </is>
      </c>
    </row>
    <row r="650">
      <c r="A650" s="39" t="inlineStr">
        <is>
          <t>Yareli Prime</t>
        </is>
      </c>
      <c r="B650" s="39" t="inlineStr">
        <is>
          <t>Mod 6</t>
        </is>
      </c>
      <c r="C650" s="39" t="inlineStr">
        <is>
          <t>Primed Flow</t>
        </is>
      </c>
      <c r="D650" s="39" t="n">
        <v>10</v>
      </c>
      <c r="E650" s="39" t="inlineStr">
        <is>
          <t>Naramon</t>
        </is>
      </c>
      <c r="F650" s="39" t="n">
        <v>14</v>
      </c>
      <c r="G650" s="39" t="inlineStr">
        <is>
          <t>Warframe</t>
        </is>
      </c>
      <c r="H650" s="39" t="inlineStr">
        <is>
          <t>Yes</t>
        </is>
      </c>
      <c r="I650" s="39" t="inlineStr">
        <is>
          <t>+185% Energy Max</t>
        </is>
      </c>
    </row>
    <row r="651">
      <c r="A651" s="39" t="inlineStr">
        <is>
          <t>Yareli Prime</t>
        </is>
      </c>
      <c r="B651" s="39" t="inlineStr">
        <is>
          <t>Mod 7</t>
        </is>
      </c>
      <c r="C651" s="39" t="inlineStr">
        <is>
          <t>Streamline</t>
        </is>
      </c>
      <c r="D651" s="39" t="n">
        <v>5</v>
      </c>
      <c r="E651" s="39" t="inlineStr">
        <is>
          <t>Naramon</t>
        </is>
      </c>
      <c r="F651" s="39" t="n">
        <v>9</v>
      </c>
      <c r="G651" s="39" t="inlineStr">
        <is>
          <t>Warframe</t>
        </is>
      </c>
      <c r="H651" s="39" t="inlineStr">
        <is>
          <t>Yes</t>
        </is>
      </c>
      <c r="I651" s="39" t="inlineStr">
        <is>
          <t>+30% Ability Efficiency</t>
        </is>
      </c>
    </row>
    <row r="652">
      <c r="A652" s="39" t="inlineStr">
        <is>
          <t>Yareli Prime</t>
        </is>
      </c>
      <c r="B652" s="39" t="inlineStr">
        <is>
          <t>Mod 8</t>
        </is>
      </c>
      <c r="C652" s="39" t="inlineStr">
        <is>
          <t>Merulina Guardian</t>
        </is>
      </c>
      <c r="D652" s="39" t="n">
        <v>3</v>
      </c>
      <c r="E652" s="39" t="inlineStr">
        <is>
          <t>Zenurik</t>
        </is>
      </c>
      <c r="F652" s="39" t="n">
        <v>9</v>
      </c>
      <c r="G652" s="39" t="inlineStr">
        <is>
          <t>Yareli</t>
        </is>
      </c>
      <c r="H652" s="39" t="inlineStr">
        <is>
          <t>Yes</t>
        </is>
      </c>
      <c r="I652" s="39" t="inlineStr">
        <is>
          <t>Merulina Augment: Enemies eliminated during Sea Snares heal 20% of Merulina's health. Upon healing, gain +200% Reload Speed and Fire Rate on Secondary weapons f</t>
        </is>
      </c>
    </row>
    <row r="653">
      <c r="A653" s="39" t="inlineStr">
        <is>
          <t>Zephyr Prime</t>
        </is>
      </c>
      <c r="B653" s="39" t="inlineStr">
        <is>
          <t>Aura</t>
        </is>
      </c>
      <c r="C653" s="39" t="inlineStr">
        <is>
          <t>Growing Power</t>
        </is>
      </c>
      <c r="D653" s="39" t="n">
        <v>5</v>
      </c>
      <c r="E653" s="39" t="inlineStr">
        <is>
          <t>Madurai</t>
        </is>
      </c>
      <c r="F653" s="39" t="n">
        <v>3</v>
      </c>
      <c r="G653" s="39" t="inlineStr">
        <is>
          <t>Aura</t>
        </is>
      </c>
      <c r="H653" s="39" t="inlineStr">
        <is>
          <t>Yes</t>
        </is>
      </c>
      <c r="I653" s="39" t="inlineStr">
        <is>
          <t>On Status Effect with Weapon: Squad increases personal Ability Strength by 25% for 6s.</t>
        </is>
      </c>
    </row>
    <row r="654">
      <c r="A654" s="39" t="inlineStr">
        <is>
          <t>Zephyr Prime</t>
        </is>
      </c>
      <c r="B654" s="39" t="inlineStr">
        <is>
          <t>Exilus</t>
        </is>
      </c>
      <c r="C654" s="39" t="inlineStr">
        <is>
          <t>Power Drift</t>
        </is>
      </c>
      <c r="D654" s="39" t="n">
        <v>5</v>
      </c>
      <c r="E654" s="39" t="inlineStr">
        <is>
          <t>Zenurik</t>
        </is>
      </c>
      <c r="F654" s="39" t="n">
        <v>9</v>
      </c>
      <c r="G654" s="39" t="inlineStr">
        <is>
          <t>Warframe</t>
        </is>
      </c>
      <c r="H654" s="39" t="inlineStr">
        <is>
          <t>Yes</t>
        </is>
      </c>
      <c r="I654" s="39" t="inlineStr">
        <is>
          <t>+15% Ability Strength | +30% Chance to Resist Knockdown</t>
        </is>
      </c>
    </row>
    <row r="655">
      <c r="A655" s="39" t="inlineStr">
        <is>
          <t>Zephyr Prime</t>
        </is>
      </c>
      <c r="B655" s="39" t="inlineStr">
        <is>
          <t>Mod 1</t>
        </is>
      </c>
      <c r="C655" s="39" t="inlineStr">
        <is>
          <t>Umbral Intensify</t>
        </is>
      </c>
      <c r="D655" s="39" t="n">
        <v>10</v>
      </c>
      <c r="E655" s="39" t="inlineStr">
        <is>
          <t>Umbra</t>
        </is>
      </c>
      <c r="F655" s="39" t="n">
        <v>16</v>
      </c>
      <c r="G655" s="39" t="inlineStr">
        <is>
          <t>Warframe</t>
        </is>
      </c>
      <c r="H655" s="39" t="inlineStr">
        <is>
          <t>NO - account-bound</t>
        </is>
      </c>
      <c r="I655" s="39" t="inlineStr">
        <is>
          <t>+44% Ability Strength | +11% &lt;DT_SENTIENT&gt;Tau Resistance</t>
        </is>
      </c>
    </row>
    <row r="656">
      <c r="A656" s="39" t="inlineStr">
        <is>
          <t>Zephyr Prime</t>
        </is>
      </c>
      <c r="B656" s="39" t="inlineStr">
        <is>
          <t>Mod 2</t>
        </is>
      </c>
      <c r="C656" s="39" t="inlineStr">
        <is>
          <t>Umbral Vitality</t>
        </is>
      </c>
      <c r="D656" s="39" t="n">
        <v>10</v>
      </c>
      <c r="E656" s="39" t="inlineStr">
        <is>
          <t>Umbra</t>
        </is>
      </c>
      <c r="F656" s="39" t="n">
        <v>16</v>
      </c>
      <c r="G656" s="39" t="inlineStr">
        <is>
          <t>Warframe</t>
        </is>
      </c>
      <c r="H656" s="39" t="inlineStr">
        <is>
          <t>NO - account-bound</t>
        </is>
      </c>
      <c r="I656" s="39" t="inlineStr">
        <is>
          <t>+100% Health | +11% &lt;DT_SENTIENT&gt;Tau Resistance</t>
        </is>
      </c>
    </row>
    <row r="657">
      <c r="A657" s="39" t="inlineStr">
        <is>
          <t>Zephyr Prime</t>
        </is>
      </c>
      <c r="B657" s="39" t="inlineStr">
        <is>
          <t>Mod 3</t>
        </is>
      </c>
      <c r="C657" s="39" t="inlineStr">
        <is>
          <t>Umbral Fiber</t>
        </is>
      </c>
      <c r="D657" s="39" t="n">
        <v>10</v>
      </c>
      <c r="E657" s="39" t="inlineStr">
        <is>
          <t>Umbra</t>
        </is>
      </c>
      <c r="F657" s="39" t="n">
        <v>16</v>
      </c>
      <c r="G657" s="39" t="inlineStr">
        <is>
          <t>Warframe</t>
        </is>
      </c>
      <c r="H657" s="39" t="inlineStr">
        <is>
          <t>NO - account-bound</t>
        </is>
      </c>
      <c r="I657" s="39" t="inlineStr">
        <is>
          <t>+100% Armor | +11% &lt;DT_SENTIENT&gt;Tau Resistance</t>
        </is>
      </c>
    </row>
    <row r="658">
      <c r="A658" s="39" t="inlineStr">
        <is>
          <t>Zephyr Prime</t>
        </is>
      </c>
      <c r="B658" s="39" t="inlineStr">
        <is>
          <t>Mod 4</t>
        </is>
      </c>
      <c r="C658" s="39" t="inlineStr">
        <is>
          <t>Primed Continuity</t>
        </is>
      </c>
      <c r="D658" s="39" t="n">
        <v>10</v>
      </c>
      <c r="E658" s="39" t="inlineStr">
        <is>
          <t>Madurai</t>
        </is>
      </c>
      <c r="F658" s="39" t="n">
        <v>14</v>
      </c>
      <c r="G658" s="39" t="inlineStr">
        <is>
          <t>Warframe</t>
        </is>
      </c>
      <c r="H658" s="39" t="inlineStr">
        <is>
          <t>Yes</t>
        </is>
      </c>
      <c r="I658" s="39" t="inlineStr">
        <is>
          <t>+55% Ability Duration</t>
        </is>
      </c>
    </row>
    <row r="659">
      <c r="A659" s="39" t="inlineStr">
        <is>
          <t>Zephyr Prime</t>
        </is>
      </c>
      <c r="B659" s="39" t="inlineStr">
        <is>
          <t>Mod 5</t>
        </is>
      </c>
      <c r="C659" s="39" t="inlineStr">
        <is>
          <t>Stretch</t>
        </is>
      </c>
      <c r="D659" s="39" t="n">
        <v>5</v>
      </c>
      <c r="E659" s="39" t="inlineStr">
        <is>
          <t>Naramon</t>
        </is>
      </c>
      <c r="F659" s="39" t="n">
        <v>9</v>
      </c>
      <c r="G659" s="39" t="inlineStr">
        <is>
          <t>Warframe</t>
        </is>
      </c>
      <c r="H659" s="39" t="inlineStr">
        <is>
          <t>Yes</t>
        </is>
      </c>
      <c r="I659" s="39" t="inlineStr">
        <is>
          <t>+45% Ability Range</t>
        </is>
      </c>
    </row>
    <row r="660">
      <c r="A660" s="39" t="inlineStr">
        <is>
          <t>Zephyr Prime</t>
        </is>
      </c>
      <c r="B660" s="39" t="inlineStr">
        <is>
          <t>Mod 6</t>
        </is>
      </c>
      <c r="C660" s="39" t="inlineStr">
        <is>
          <t>Primed Flow</t>
        </is>
      </c>
      <c r="D660" s="39" t="n">
        <v>10</v>
      </c>
      <c r="E660" s="39" t="inlineStr">
        <is>
          <t>Naramon</t>
        </is>
      </c>
      <c r="F660" s="39" t="n">
        <v>14</v>
      </c>
      <c r="G660" s="39" t="inlineStr">
        <is>
          <t>Warframe</t>
        </is>
      </c>
      <c r="H660" s="39" t="inlineStr">
        <is>
          <t>Yes</t>
        </is>
      </c>
      <c r="I660" s="39" t="inlineStr">
        <is>
          <t>+185% Energy Max</t>
        </is>
      </c>
    </row>
    <row r="661">
      <c r="A661" s="39" t="inlineStr">
        <is>
          <t>Zephyr Prime</t>
        </is>
      </c>
      <c r="B661" s="39" t="inlineStr">
        <is>
          <t>Mod 7</t>
        </is>
      </c>
      <c r="C661" s="39" t="inlineStr">
        <is>
          <t>Streamline</t>
        </is>
      </c>
      <c r="D661" s="39" t="n">
        <v>5</v>
      </c>
      <c r="E661" s="39" t="inlineStr">
        <is>
          <t>Naramon</t>
        </is>
      </c>
      <c r="F661" s="39" t="n">
        <v>9</v>
      </c>
      <c r="G661" s="39" t="inlineStr">
        <is>
          <t>Warframe</t>
        </is>
      </c>
      <c r="H661" s="39" t="inlineStr">
        <is>
          <t>Yes</t>
        </is>
      </c>
      <c r="I661" s="39" t="inlineStr">
        <is>
          <t>+30% Ability Efficiency</t>
        </is>
      </c>
    </row>
    <row r="662">
      <c r="A662" s="39" t="inlineStr">
        <is>
          <t>Zephyr Prime</t>
        </is>
      </c>
      <c r="B662" s="39" t="inlineStr">
        <is>
          <t>Mod 8</t>
        </is>
      </c>
      <c r="C662" s="39" t="inlineStr">
        <is>
          <t>Jet Stream</t>
        </is>
      </c>
      <c r="D662" s="39" t="n">
        <v>3</v>
      </c>
      <c r="E662" s="39" t="inlineStr">
        <is>
          <t>Zenurik</t>
        </is>
      </c>
      <c r="F662" s="39" t="n">
        <v>9</v>
      </c>
      <c r="G662" s="39" t="inlineStr">
        <is>
          <t>Zephyr</t>
        </is>
      </c>
      <c r="H662" s="39" t="inlineStr">
        <is>
          <t>Yes</t>
        </is>
      </c>
      <c r="I662" s="39" t="inlineStr">
        <is>
          <t>Turbulence Augment: Turbulence increases Movement Speed by 40% and Projectile Speed by 100% for Zephyr and her allies.</t>
        </is>
      </c>
    </row>
    <row r="663">
      <c r="A663" s="39" t="inlineStr">
        <is>
          <t>Sevagoth Prime's Shadow</t>
        </is>
      </c>
      <c r="B663" s="39" t="inlineStr">
        <is>
          <t>Aura</t>
        </is>
      </c>
      <c r="C663" s="39" t="inlineStr">
        <is>
          <t>Steel Charge</t>
        </is>
      </c>
      <c r="D663" s="39" t="n">
        <v>5</v>
      </c>
      <c r="E663" s="39" t="inlineStr">
        <is>
          <t>Madurai</t>
        </is>
      </c>
      <c r="F663" s="39" t="n">
        <v>1</v>
      </c>
      <c r="G663" s="39" t="inlineStr">
        <is>
          <t>Aura</t>
        </is>
      </c>
      <c r="H663" s="39" t="inlineStr">
        <is>
          <t>Yes</t>
        </is>
      </c>
      <c r="I663" s="39" t="inlineStr">
        <is>
          <t>Squad receives +60% Melee Damage</t>
        </is>
      </c>
    </row>
    <row r="664">
      <c r="A664" s="39" t="inlineStr">
        <is>
          <t>Sevagoth Prime's Shadow</t>
        </is>
      </c>
      <c r="B664" s="39" t="inlineStr">
        <is>
          <t>Mod 1</t>
        </is>
      </c>
      <c r="C664" s="39" t="inlineStr">
        <is>
          <t>Umbral Intensify</t>
        </is>
      </c>
      <c r="D664" s="39" t="n">
        <v>10</v>
      </c>
      <c r="E664" s="39" t="inlineStr">
        <is>
          <t>Umbra</t>
        </is>
      </c>
      <c r="F664" s="39" t="n">
        <v>16</v>
      </c>
      <c r="G664" s="39" t="inlineStr">
        <is>
          <t>Warframe</t>
        </is>
      </c>
      <c r="H664" s="39" t="inlineStr">
        <is>
          <t>NO - account-bound</t>
        </is>
      </c>
      <c r="I664" s="39" t="inlineStr">
        <is>
          <t>+44% Ability Strength | +11% &lt;DT_SENTIENT&gt;Tau Resistance</t>
        </is>
      </c>
    </row>
    <row r="665">
      <c r="A665" s="39" t="inlineStr">
        <is>
          <t>Sevagoth Prime's Shadow</t>
        </is>
      </c>
      <c r="B665" s="39" t="inlineStr">
        <is>
          <t>Mod 2</t>
        </is>
      </c>
      <c r="C665" s="39" t="inlineStr">
        <is>
          <t>Umbral Vitality</t>
        </is>
      </c>
      <c r="D665" s="39" t="n">
        <v>10</v>
      </c>
      <c r="E665" s="39" t="inlineStr">
        <is>
          <t>Umbra</t>
        </is>
      </c>
      <c r="F665" s="39" t="n">
        <v>16</v>
      </c>
      <c r="G665" s="39" t="inlineStr">
        <is>
          <t>Warframe</t>
        </is>
      </c>
      <c r="H665" s="39" t="inlineStr">
        <is>
          <t>NO - account-bound</t>
        </is>
      </c>
      <c r="I665" s="39" t="inlineStr">
        <is>
          <t>+100% Health | +11% &lt;DT_SENTIENT&gt;Tau Resistance</t>
        </is>
      </c>
    </row>
    <row r="666">
      <c r="A666" s="39" t="inlineStr">
        <is>
          <t>Sevagoth Prime's Shadow</t>
        </is>
      </c>
      <c r="B666" s="39" t="inlineStr">
        <is>
          <t>Mod 3</t>
        </is>
      </c>
      <c r="C666" s="39" t="inlineStr">
        <is>
          <t>Umbral Fiber</t>
        </is>
      </c>
      <c r="D666" s="39" t="n">
        <v>10</v>
      </c>
      <c r="E666" s="39" t="inlineStr">
        <is>
          <t>Umbra</t>
        </is>
      </c>
      <c r="F666" s="39" t="n">
        <v>16</v>
      </c>
      <c r="G666" s="39" t="inlineStr">
        <is>
          <t>Warframe</t>
        </is>
      </c>
      <c r="H666" s="39" t="inlineStr">
        <is>
          <t>NO - account-bound</t>
        </is>
      </c>
      <c r="I666" s="39" t="inlineStr">
        <is>
          <t>+100% Armor | +11% &lt;DT_SENTIENT&gt;Tau Resistance</t>
        </is>
      </c>
    </row>
    <row r="667">
      <c r="A667" s="39" t="inlineStr">
        <is>
          <t>Sevagoth Prime's Shadow</t>
        </is>
      </c>
      <c r="B667" s="39" t="inlineStr">
        <is>
          <t>Mod 4</t>
        </is>
      </c>
      <c r="C667" s="39" t="inlineStr">
        <is>
          <t>Primed Continuity</t>
        </is>
      </c>
      <c r="D667" s="39" t="n">
        <v>10</v>
      </c>
      <c r="E667" s="39" t="inlineStr">
        <is>
          <t>Madurai</t>
        </is>
      </c>
      <c r="F667" s="39" t="n">
        <v>14</v>
      </c>
      <c r="G667" s="39" t="inlineStr">
        <is>
          <t>Warframe</t>
        </is>
      </c>
      <c r="H667" s="39" t="inlineStr">
        <is>
          <t>Yes</t>
        </is>
      </c>
      <c r="I667" s="39" t="inlineStr">
        <is>
          <t>+55% Ability Duration</t>
        </is>
      </c>
    </row>
    <row r="668">
      <c r="A668" s="39" t="inlineStr">
        <is>
          <t>Sevagoth Prime's Shadow</t>
        </is>
      </c>
      <c r="B668" s="39" t="inlineStr">
        <is>
          <t>Mod 5</t>
        </is>
      </c>
      <c r="C668" s="39" t="inlineStr">
        <is>
          <t>Stretch</t>
        </is>
      </c>
      <c r="D668" s="39" t="n">
        <v>5</v>
      </c>
      <c r="E668" s="39" t="inlineStr">
        <is>
          <t>Naramon</t>
        </is>
      </c>
      <c r="F668" s="39" t="n">
        <v>9</v>
      </c>
      <c r="G668" s="39" t="inlineStr">
        <is>
          <t>Warframe</t>
        </is>
      </c>
      <c r="H668" s="39" t="inlineStr">
        <is>
          <t>Yes</t>
        </is>
      </c>
      <c r="I668" s="39" t="inlineStr">
        <is>
          <t>+45% Ability Range</t>
        </is>
      </c>
    </row>
    <row r="669">
      <c r="A669" s="39" t="inlineStr">
        <is>
          <t>Sevagoth Prime's Shadow</t>
        </is>
      </c>
      <c r="B669" s="39" t="inlineStr">
        <is>
          <t>Mod 6</t>
        </is>
      </c>
      <c r="C669" s="39" t="inlineStr">
        <is>
          <t>Primed Flow</t>
        </is>
      </c>
      <c r="D669" s="39" t="n">
        <v>10</v>
      </c>
      <c r="E669" s="39" t="inlineStr">
        <is>
          <t>Naramon</t>
        </is>
      </c>
      <c r="F669" s="39" t="n">
        <v>14</v>
      </c>
      <c r="G669" s="39" t="inlineStr">
        <is>
          <t>Warframe</t>
        </is>
      </c>
      <c r="H669" s="39" t="inlineStr">
        <is>
          <t>Yes</t>
        </is>
      </c>
      <c r="I669" s="39" t="inlineStr">
        <is>
          <t>+185% Energy Max</t>
        </is>
      </c>
    </row>
    <row r="670">
      <c r="A670" s="39" t="inlineStr">
        <is>
          <t>Sevagoth Prime's Shadow</t>
        </is>
      </c>
      <c r="B670" s="39" t="inlineStr">
        <is>
          <t>Mod 7</t>
        </is>
      </c>
      <c r="C670" s="39" t="inlineStr">
        <is>
          <t>Streamline</t>
        </is>
      </c>
      <c r="D670" s="39" t="n">
        <v>5</v>
      </c>
      <c r="E670" s="39" t="inlineStr">
        <is>
          <t>Naramon</t>
        </is>
      </c>
      <c r="F670" s="39" t="n">
        <v>9</v>
      </c>
      <c r="G670" s="39" t="inlineStr">
        <is>
          <t>Warframe</t>
        </is>
      </c>
      <c r="H670" s="39" t="inlineStr">
        <is>
          <t>Yes</t>
        </is>
      </c>
      <c r="I670" s="39" t="inlineStr">
        <is>
          <t>+30% Ability Efficiency</t>
        </is>
      </c>
    </row>
    <row r="671">
      <c r="A671" s="39" t="inlineStr">
        <is>
          <t>Sevagoth Prime's Shadow</t>
        </is>
      </c>
      <c r="B671" s="39" t="inlineStr">
        <is>
          <t>Mod 8</t>
        </is>
      </c>
      <c r="C671" s="39" t="inlineStr">
        <is>
          <t>Rolling Guard</t>
        </is>
      </c>
      <c r="D671" s="39" t="n">
        <v>10</v>
      </c>
      <c r="E671" s="39" t="inlineStr">
        <is>
          <t>Vazarin</t>
        </is>
      </c>
      <c r="F671" s="39" t="n">
        <v>12</v>
      </c>
      <c r="G671" s="39" t="inlineStr">
        <is>
          <t>Warframe</t>
        </is>
      </c>
      <c r="H671" s="39" t="inlineStr">
        <is>
          <t>Yes</t>
        </is>
      </c>
      <c r="I671" s="39" t="inlineStr">
        <is>
          <t>On Dodge: | Become invulnerable for 3s and remove all Status Effects. 7s cooldown.</t>
        </is>
      </c>
    </row>
    <row r="672">
      <c r="A672" s="39" t="inlineStr">
        <is>
          <t>Orion</t>
        </is>
      </c>
      <c r="B672" s="39" t="inlineStr">
        <is>
          <t>Aura</t>
        </is>
      </c>
      <c r="C672" s="39" t="inlineStr">
        <is>
          <t>Growing Power</t>
        </is>
      </c>
      <c r="D672" s="39" t="n">
        <v>5</v>
      </c>
      <c r="E672" s="39" t="inlineStr">
        <is>
          <t>Madurai</t>
        </is>
      </c>
      <c r="F672" s="39" t="n">
        <v>3</v>
      </c>
      <c r="G672" s="39" t="inlineStr">
        <is>
          <t>Aura</t>
        </is>
      </c>
      <c r="H672" s="39" t="inlineStr">
        <is>
          <t>Yes</t>
        </is>
      </c>
      <c r="I672" s="39" t="inlineStr">
        <is>
          <t>On Status Effect with Weapon: Squad increases personal Ability Strength by 25% for 6s.</t>
        </is>
      </c>
    </row>
    <row r="673">
      <c r="A673" s="39" t="inlineStr">
        <is>
          <t>Orion</t>
        </is>
      </c>
      <c r="B673" s="39" t="inlineStr">
        <is>
          <t>Exilus</t>
        </is>
      </c>
      <c r="C673" s="39" t="inlineStr">
        <is>
          <t>Power Drift</t>
        </is>
      </c>
      <c r="D673" s="39" t="n">
        <v>5</v>
      </c>
      <c r="E673" s="39" t="inlineStr">
        <is>
          <t>Zenurik</t>
        </is>
      </c>
      <c r="F673" s="39" t="n">
        <v>9</v>
      </c>
      <c r="G673" s="39" t="inlineStr">
        <is>
          <t>Warframe</t>
        </is>
      </c>
      <c r="H673" s="39" t="inlineStr">
        <is>
          <t>Yes</t>
        </is>
      </c>
      <c r="I673" s="39" t="inlineStr">
        <is>
          <t>+15% Ability Strength | +30% Chance to Resist Knockdown</t>
        </is>
      </c>
    </row>
    <row r="674">
      <c r="A674" s="39" t="inlineStr">
        <is>
          <t>Orion</t>
        </is>
      </c>
      <c r="B674" s="39" t="inlineStr">
        <is>
          <t>Mod 1</t>
        </is>
      </c>
      <c r="C674" s="39" t="inlineStr">
        <is>
          <t>Umbral Intensify</t>
        </is>
      </c>
      <c r="D674" s="39" t="n">
        <v>10</v>
      </c>
      <c r="E674" s="39" t="inlineStr">
        <is>
          <t>Umbra</t>
        </is>
      </c>
      <c r="F674" s="39" t="n">
        <v>16</v>
      </c>
      <c r="G674" s="39" t="inlineStr">
        <is>
          <t>Warframe</t>
        </is>
      </c>
      <c r="H674" s="39" t="inlineStr">
        <is>
          <t>NO - account-bound</t>
        </is>
      </c>
      <c r="I674" s="39" t="inlineStr">
        <is>
          <t>+44% Ability Strength | +11% &lt;DT_SENTIENT&gt;Tau Resistance</t>
        </is>
      </c>
    </row>
    <row r="675">
      <c r="A675" s="39" t="inlineStr">
        <is>
          <t>Orion</t>
        </is>
      </c>
      <c r="B675" s="39" t="inlineStr">
        <is>
          <t>Mod 2</t>
        </is>
      </c>
      <c r="C675" s="39" t="inlineStr">
        <is>
          <t>Umbral Vitality</t>
        </is>
      </c>
      <c r="D675" s="39" t="n">
        <v>10</v>
      </c>
      <c r="E675" s="39" t="inlineStr">
        <is>
          <t>Umbra</t>
        </is>
      </c>
      <c r="F675" s="39" t="n">
        <v>16</v>
      </c>
      <c r="G675" s="39" t="inlineStr">
        <is>
          <t>Warframe</t>
        </is>
      </c>
      <c r="H675" s="39" t="inlineStr">
        <is>
          <t>NO - account-bound</t>
        </is>
      </c>
      <c r="I675" s="39" t="inlineStr">
        <is>
          <t>+100% Health | +11% &lt;DT_SENTIENT&gt;Tau Resistance</t>
        </is>
      </c>
    </row>
    <row r="676">
      <c r="A676" s="39" t="inlineStr">
        <is>
          <t>Orion</t>
        </is>
      </c>
      <c r="B676" s="39" t="inlineStr">
        <is>
          <t>Mod 3</t>
        </is>
      </c>
      <c r="C676" s="39" t="inlineStr">
        <is>
          <t>Umbral Fiber</t>
        </is>
      </c>
      <c r="D676" s="39" t="n">
        <v>10</v>
      </c>
      <c r="E676" s="39" t="inlineStr">
        <is>
          <t>Umbra</t>
        </is>
      </c>
      <c r="F676" s="39" t="n">
        <v>16</v>
      </c>
      <c r="G676" s="39" t="inlineStr">
        <is>
          <t>Warframe</t>
        </is>
      </c>
      <c r="H676" s="39" t="inlineStr">
        <is>
          <t>NO - account-bound</t>
        </is>
      </c>
      <c r="I676" s="39" t="inlineStr">
        <is>
          <t>+100% Armor | +11% &lt;DT_SENTIENT&gt;Tau Resistance</t>
        </is>
      </c>
    </row>
    <row r="677">
      <c r="A677" s="39" t="inlineStr">
        <is>
          <t>Orion</t>
        </is>
      </c>
      <c r="B677" s="39" t="inlineStr">
        <is>
          <t>Mod 4</t>
        </is>
      </c>
      <c r="C677" s="39" t="inlineStr">
        <is>
          <t>Primed Continuity</t>
        </is>
      </c>
      <c r="D677" s="39" t="n">
        <v>10</v>
      </c>
      <c r="E677" s="39" t="inlineStr">
        <is>
          <t>Madurai</t>
        </is>
      </c>
      <c r="F677" s="39" t="n">
        <v>14</v>
      </c>
      <c r="G677" s="39" t="inlineStr">
        <is>
          <t>Warframe</t>
        </is>
      </c>
      <c r="H677" s="39" t="inlineStr">
        <is>
          <t>Yes</t>
        </is>
      </c>
      <c r="I677" s="39" t="inlineStr">
        <is>
          <t>+55% Ability Duration</t>
        </is>
      </c>
    </row>
    <row r="678">
      <c r="A678" s="39" t="inlineStr">
        <is>
          <t>Orion</t>
        </is>
      </c>
      <c r="B678" s="39" t="inlineStr">
        <is>
          <t>Mod 5</t>
        </is>
      </c>
      <c r="C678" s="39" t="inlineStr">
        <is>
          <t>Stretch</t>
        </is>
      </c>
      <c r="D678" s="39" t="n">
        <v>5</v>
      </c>
      <c r="E678" s="39" t="inlineStr">
        <is>
          <t>Naramon</t>
        </is>
      </c>
      <c r="F678" s="39" t="n">
        <v>9</v>
      </c>
      <c r="G678" s="39" t="inlineStr">
        <is>
          <t>Warframe</t>
        </is>
      </c>
      <c r="H678" s="39" t="inlineStr">
        <is>
          <t>Yes</t>
        </is>
      </c>
      <c r="I678" s="39" t="inlineStr">
        <is>
          <t>+45% Ability Range</t>
        </is>
      </c>
    </row>
    <row r="679">
      <c r="A679" s="39" t="inlineStr">
        <is>
          <t>Orion</t>
        </is>
      </c>
      <c r="B679" s="39" t="inlineStr">
        <is>
          <t>Mod 6</t>
        </is>
      </c>
      <c r="C679" s="39" t="inlineStr">
        <is>
          <t>Primed Flow</t>
        </is>
      </c>
      <c r="D679" s="39" t="n">
        <v>10</v>
      </c>
      <c r="E679" s="39" t="inlineStr">
        <is>
          <t>Naramon</t>
        </is>
      </c>
      <c r="F679" s="39" t="n">
        <v>14</v>
      </c>
      <c r="G679" s="39" t="inlineStr">
        <is>
          <t>Warframe</t>
        </is>
      </c>
      <c r="H679" s="39" t="inlineStr">
        <is>
          <t>Yes</t>
        </is>
      </c>
      <c r="I679" s="39" t="inlineStr">
        <is>
          <t>+185% Energy Max</t>
        </is>
      </c>
    </row>
    <row r="680">
      <c r="A680" s="39" t="inlineStr">
        <is>
          <t>Orion</t>
        </is>
      </c>
      <c r="B680" s="39" t="inlineStr">
        <is>
          <t>Mod 7</t>
        </is>
      </c>
      <c r="C680" s="39" t="inlineStr">
        <is>
          <t>Streamline</t>
        </is>
      </c>
      <c r="D680" s="39" t="n">
        <v>5</v>
      </c>
      <c r="E680" s="39" t="inlineStr">
        <is>
          <t>Naramon</t>
        </is>
      </c>
      <c r="F680" s="39" t="n">
        <v>9</v>
      </c>
      <c r="G680" s="39" t="inlineStr">
        <is>
          <t>Warframe</t>
        </is>
      </c>
      <c r="H680" s="39" t="inlineStr">
        <is>
          <t>Yes</t>
        </is>
      </c>
      <c r="I680" s="39" t="inlineStr">
        <is>
          <t>+30% Ability Efficiency</t>
        </is>
      </c>
    </row>
    <row r="681">
      <c r="A681" s="39" t="inlineStr">
        <is>
          <t>Orion</t>
        </is>
      </c>
      <c r="B681" s="39" t="inlineStr">
        <is>
          <t>Mod 8</t>
        </is>
      </c>
      <c r="C681" s="39" t="inlineStr">
        <is>
          <t>Augur Secrets</t>
        </is>
      </c>
      <c r="D681" s="39" t="n">
        <v>5</v>
      </c>
      <c r="E681" s="39" t="inlineStr">
        <is>
          <t>Naramon</t>
        </is>
      </c>
      <c r="F681" s="39" t="n">
        <v>7</v>
      </c>
      <c r="G681" s="39" t="inlineStr">
        <is>
          <t>Warframe</t>
        </is>
      </c>
      <c r="H681" s="39" t="inlineStr">
        <is>
          <t>Yes</t>
        </is>
      </c>
      <c r="I681" s="39" t="inlineStr">
        <is>
          <t>+24% Ability Strength</t>
        </is>
      </c>
    </row>
  </sheetData>
  <autoFilter ref="A1:I6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6" min="1" max="1"/>
    <col width="10" customWidth="1" style="26" min="2" max="2"/>
    <col width="10" customWidth="1" style="26" min="3" max="3"/>
    <col width="34" customWidth="1" style="26" min="4" max="4"/>
    <col width="20" customWidth="1" style="26" min="5" max="5"/>
    <col width="10" customWidth="1" style="26" min="6" max="6"/>
    <col width="45" customWidth="1" style="26" min="7" max="7"/>
  </cols>
  <sheetData>
    <row r="1">
      <c r="A1" s="51" t="inlineStr">
        <is>
          <t>Frame</t>
        </is>
      </c>
      <c r="B1" s="51" t="inlineStr">
        <is>
          <t>Position</t>
        </is>
      </c>
      <c r="C1" s="51" t="inlineStr">
        <is>
          <t>Color</t>
        </is>
      </c>
      <c r="D1" s="51" t="inlineStr">
        <is>
          <t>Stat</t>
        </is>
      </c>
      <c r="E1" s="51" t="inlineStr">
        <is>
          <t>Normal / Tauforged</t>
        </is>
      </c>
      <c r="F1" s="51" t="inlineStr">
        <is>
          <t>Value</t>
        </is>
      </c>
      <c r="G1" s="51" t="inlineStr">
        <is>
          <t>Tau decision note</t>
        </is>
      </c>
    </row>
    <row r="2">
      <c r="A2" s="39" t="inlineStr">
        <is>
          <t>Ash Prime</t>
        </is>
      </c>
      <c r="B2" s="39" t="n">
        <v>1</v>
      </c>
      <c r="C2" s="39" t="inlineStr">
        <is>
          <t>Crimson</t>
        </is>
      </c>
      <c r="D2" s="39" t="inlineStr">
        <is>
          <t>Ability Strength</t>
        </is>
      </c>
      <c r="E2" s="39" t="inlineStr">
        <is>
          <t>Tauforged</t>
        </is>
      </c>
      <c r="F2" s="39" t="n">
        <v>15</v>
      </c>
      <c r="G2" s="39" t="inlineStr"/>
    </row>
    <row r="3">
      <c r="A3" s="39" t="inlineStr">
        <is>
          <t>Ash Prime</t>
        </is>
      </c>
      <c r="B3" s="39" t="n">
        <v>2</v>
      </c>
      <c r="C3" s="39" t="inlineStr">
        <is>
          <t>Crimson</t>
        </is>
      </c>
      <c r="D3" s="39" t="inlineStr">
        <is>
          <t>Ability Strength</t>
        </is>
      </c>
      <c r="E3" s="39" t="inlineStr">
        <is>
          <t>Normal</t>
        </is>
      </c>
      <c r="F3" s="39" t="n">
        <v>10</v>
      </c>
      <c r="G3" s="39" t="inlineStr"/>
    </row>
    <row r="4">
      <c r="A4" s="39" t="inlineStr">
        <is>
          <t>Ash Prime</t>
        </is>
      </c>
      <c r="B4" s="39" t="n">
        <v>3</v>
      </c>
      <c r="C4" s="39" t="inlineStr">
        <is>
          <t>Crimson</t>
        </is>
      </c>
      <c r="D4" s="39" t="inlineStr">
        <is>
          <t>Melee Critical Damage</t>
        </is>
      </c>
      <c r="E4" s="39" t="inlineStr">
        <is>
          <t>Tauforged</t>
        </is>
      </c>
      <c r="F4" s="39" t="n">
        <v>37.5</v>
      </c>
      <c r="G4" s="39" t="inlineStr"/>
    </row>
    <row r="5">
      <c r="A5" s="39" t="inlineStr">
        <is>
          <t>Ash Prime</t>
        </is>
      </c>
      <c r="B5" s="39" t="n">
        <v>4</v>
      </c>
      <c r="C5" s="39" t="inlineStr">
        <is>
          <t>Azure</t>
        </is>
      </c>
      <c r="D5" s="39" t="inlineStr">
        <is>
          <t>Armor</t>
        </is>
      </c>
      <c r="E5" s="39" t="inlineStr">
        <is>
          <t>Normal</t>
        </is>
      </c>
      <c r="F5" s="39" t="n">
        <v>150</v>
      </c>
      <c r="G5" s="39" t="inlineStr"/>
    </row>
    <row r="6">
      <c r="A6" s="39" t="inlineStr">
        <is>
          <t>Ash Prime</t>
        </is>
      </c>
      <c r="B6" s="39" t="n">
        <v>5</v>
      </c>
      <c r="C6" s="39" t="inlineStr">
        <is>
          <t>Amber</t>
        </is>
      </c>
      <c r="D6" s="39" t="inlineStr">
        <is>
          <t>Casting Speed</t>
        </is>
      </c>
      <c r="E6" s="39" t="inlineStr">
        <is>
          <t>Normal</t>
        </is>
      </c>
      <c r="F6" s="39" t="n">
        <v>25</v>
      </c>
      <c r="G6" s="39" t="inlineStr"/>
    </row>
    <row r="7">
      <c r="A7" s="39" t="inlineStr">
        <is>
          <t>Atlas Prime</t>
        </is>
      </c>
      <c r="B7" s="39" t="n">
        <v>1</v>
      </c>
      <c r="C7" s="39" t="inlineStr">
        <is>
          <t>Crimson</t>
        </is>
      </c>
      <c r="D7" s="39" t="inlineStr">
        <is>
          <t>Ability Strength</t>
        </is>
      </c>
      <c r="E7" s="39" t="inlineStr">
        <is>
          <t>Tauforged</t>
        </is>
      </c>
      <c r="F7" s="39" t="n">
        <v>15</v>
      </c>
      <c r="G7" s="39" t="inlineStr"/>
    </row>
    <row r="8">
      <c r="A8" s="39" t="inlineStr">
        <is>
          <t>Atlas Prime</t>
        </is>
      </c>
      <c r="B8" s="39" t="n">
        <v>2</v>
      </c>
      <c r="C8" s="39" t="inlineStr">
        <is>
          <t>Crimson</t>
        </is>
      </c>
      <c r="D8" s="39" t="inlineStr">
        <is>
          <t>Ability Strength</t>
        </is>
      </c>
      <c r="E8" s="39" t="inlineStr">
        <is>
          <t>Normal</t>
        </is>
      </c>
      <c r="F8" s="39" t="n">
        <v>10</v>
      </c>
      <c r="G8" s="39" t="inlineStr"/>
    </row>
    <row r="9">
      <c r="A9" s="39" t="inlineStr">
        <is>
          <t>Atlas Prime</t>
        </is>
      </c>
      <c r="B9" s="39" t="n">
        <v>3</v>
      </c>
      <c r="C9" s="39" t="inlineStr">
        <is>
          <t>Azure</t>
        </is>
      </c>
      <c r="D9" s="39" t="inlineStr">
        <is>
          <t>Armor</t>
        </is>
      </c>
      <c r="E9" s="39" t="inlineStr">
        <is>
          <t>Normal</t>
        </is>
      </c>
      <c r="F9" s="39" t="n">
        <v>150</v>
      </c>
      <c r="G9" s="39" t="inlineStr"/>
    </row>
    <row r="10">
      <c r="A10" s="39" t="inlineStr">
        <is>
          <t>Atlas Prime</t>
        </is>
      </c>
      <c r="B10" s="39" t="n">
        <v>4</v>
      </c>
      <c r="C10" s="39" t="inlineStr">
        <is>
          <t>Azure</t>
        </is>
      </c>
      <c r="D10" s="39" t="inlineStr">
        <is>
          <t>Armor</t>
        </is>
      </c>
      <c r="E10" s="39" t="inlineStr">
        <is>
          <t>Normal</t>
        </is>
      </c>
      <c r="F10" s="39" t="n">
        <v>150</v>
      </c>
      <c r="G10" s="39" t="inlineStr"/>
    </row>
    <row r="11">
      <c r="A11" s="39" t="inlineStr">
        <is>
          <t>Atlas Prime</t>
        </is>
      </c>
      <c r="B11" s="39" t="n">
        <v>5</v>
      </c>
      <c r="C11" s="39" t="inlineStr">
        <is>
          <t>Amber</t>
        </is>
      </c>
      <c r="D11" s="39" t="inlineStr">
        <is>
          <t>Casting Speed</t>
        </is>
      </c>
      <c r="E11" s="39" t="inlineStr">
        <is>
          <t>Normal</t>
        </is>
      </c>
      <c r="F11" s="39" t="n">
        <v>25</v>
      </c>
      <c r="G11" s="39" t="inlineStr"/>
    </row>
    <row r="12">
      <c r="A12" s="39" t="inlineStr">
        <is>
          <t>Banshee Prime</t>
        </is>
      </c>
      <c r="B12" s="39" t="n">
        <v>1</v>
      </c>
      <c r="C12" s="39" t="inlineStr">
        <is>
          <t>Crimson</t>
        </is>
      </c>
      <c r="D12" s="39" t="inlineStr">
        <is>
          <t>Ability Strength</t>
        </is>
      </c>
      <c r="E12" s="39" t="inlineStr">
        <is>
          <t>Tauforged</t>
        </is>
      </c>
      <c r="F12" s="39" t="n">
        <v>15</v>
      </c>
      <c r="G12" s="39" t="inlineStr"/>
    </row>
    <row r="13">
      <c r="A13" s="39" t="inlineStr">
        <is>
          <t>Banshee Prime</t>
        </is>
      </c>
      <c r="B13" s="39" t="n">
        <v>2</v>
      </c>
      <c r="C13" s="39" t="inlineStr">
        <is>
          <t>Crimson</t>
        </is>
      </c>
      <c r="D13" s="39" t="inlineStr">
        <is>
          <t>Ability Strength</t>
        </is>
      </c>
      <c r="E13" s="39" t="inlineStr">
        <is>
          <t>Tauforged</t>
        </is>
      </c>
      <c r="F13" s="39" t="n">
        <v>15</v>
      </c>
      <c r="G13" s="39" t="inlineStr"/>
    </row>
    <row r="14">
      <c r="A14" s="39" t="inlineStr">
        <is>
          <t>Banshee Prime</t>
        </is>
      </c>
      <c r="B14" s="39" t="n">
        <v>3</v>
      </c>
      <c r="C14" s="39" t="inlineStr">
        <is>
          <t>Crimson</t>
        </is>
      </c>
      <c r="D14" s="39" t="inlineStr">
        <is>
          <t>Ability Duration</t>
        </is>
      </c>
      <c r="E14" s="39" t="inlineStr">
        <is>
          <t>Normal</t>
        </is>
      </c>
      <c r="F14" s="39" t="n">
        <v>10</v>
      </c>
      <c r="G14" s="39" t="inlineStr"/>
    </row>
    <row r="15">
      <c r="A15" s="39" t="inlineStr">
        <is>
          <t>Banshee Prime</t>
        </is>
      </c>
      <c r="B15" s="39" t="n">
        <v>4</v>
      </c>
      <c r="C15" s="39" t="inlineStr">
        <is>
          <t>Amber</t>
        </is>
      </c>
      <c r="D15" s="39" t="inlineStr">
        <is>
          <t>Casting Speed</t>
        </is>
      </c>
      <c r="E15" s="39" t="inlineStr">
        <is>
          <t>Normal</t>
        </is>
      </c>
      <c r="F15" s="39" t="n">
        <v>25</v>
      </c>
      <c r="G15" s="39" t="inlineStr"/>
    </row>
    <row r="16">
      <c r="A16" s="39" t="inlineStr">
        <is>
          <t>Banshee Prime</t>
        </is>
      </c>
      <c r="B16" s="39" t="n">
        <v>5</v>
      </c>
      <c r="C16" s="39" t="inlineStr">
        <is>
          <t>Azure</t>
        </is>
      </c>
      <c r="D16" s="39" t="inlineStr">
        <is>
          <t>Health</t>
        </is>
      </c>
      <c r="E16" s="39" t="inlineStr">
        <is>
          <t>Normal</t>
        </is>
      </c>
      <c r="F16" s="39" t="n">
        <v>150</v>
      </c>
      <c r="G16" s="39" t="inlineStr"/>
    </row>
    <row r="17">
      <c r="A17" s="39" t="inlineStr">
        <is>
          <t>Baruuk Prime</t>
        </is>
      </c>
      <c r="B17" s="39" t="n">
        <v>1</v>
      </c>
      <c r="C17" s="39" t="inlineStr">
        <is>
          <t>Crimson</t>
        </is>
      </c>
      <c r="D17" s="39" t="inlineStr">
        <is>
          <t>Ability Strength</t>
        </is>
      </c>
      <c r="E17" s="39" t="inlineStr">
        <is>
          <t>Tauforged</t>
        </is>
      </c>
      <c r="F17" s="39" t="n">
        <v>15</v>
      </c>
      <c r="G17" s="39" t="inlineStr"/>
    </row>
    <row r="18">
      <c r="A18" s="39" t="inlineStr">
        <is>
          <t>Baruuk Prime</t>
        </is>
      </c>
      <c r="B18" s="39" t="n">
        <v>2</v>
      </c>
      <c r="C18" s="39" t="inlineStr">
        <is>
          <t>Crimson</t>
        </is>
      </c>
      <c r="D18" s="39" t="inlineStr">
        <is>
          <t>Ability Strength</t>
        </is>
      </c>
      <c r="E18" s="39" t="inlineStr">
        <is>
          <t>Normal</t>
        </is>
      </c>
      <c r="F18" s="39" t="n">
        <v>10</v>
      </c>
      <c r="G18" s="39" t="inlineStr"/>
    </row>
    <row r="19">
      <c r="A19" s="39" t="inlineStr">
        <is>
          <t>Baruuk Prime</t>
        </is>
      </c>
      <c r="B19" s="39" t="n">
        <v>3</v>
      </c>
      <c r="C19" s="39" t="inlineStr">
        <is>
          <t>Crimson</t>
        </is>
      </c>
      <c r="D19" s="39" t="inlineStr">
        <is>
          <t>Melee Critical Damage</t>
        </is>
      </c>
      <c r="E19" s="39" t="inlineStr">
        <is>
          <t>Tauforged</t>
        </is>
      </c>
      <c r="F19" s="39" t="n">
        <v>37.5</v>
      </c>
      <c r="G19" s="39" t="inlineStr"/>
    </row>
    <row r="20">
      <c r="A20" s="39" t="inlineStr">
        <is>
          <t>Baruuk Prime</t>
        </is>
      </c>
      <c r="B20" s="39" t="n">
        <v>4</v>
      </c>
      <c r="C20" s="39" t="inlineStr">
        <is>
          <t>Azure</t>
        </is>
      </c>
      <c r="D20" s="39" t="inlineStr">
        <is>
          <t>Armor</t>
        </is>
      </c>
      <c r="E20" s="39" t="inlineStr">
        <is>
          <t>Normal</t>
        </is>
      </c>
      <c r="F20" s="39" t="n">
        <v>150</v>
      </c>
      <c r="G20" s="39" t="inlineStr"/>
    </row>
    <row r="21">
      <c r="A21" s="39" t="inlineStr">
        <is>
          <t>Baruuk Prime</t>
        </is>
      </c>
      <c r="B21" s="39" t="n">
        <v>5</v>
      </c>
      <c r="C21" s="39" t="inlineStr">
        <is>
          <t>Azure</t>
        </is>
      </c>
      <c r="D21" s="39" t="inlineStr">
        <is>
          <t>Health</t>
        </is>
      </c>
      <c r="E21" s="39" t="inlineStr">
        <is>
          <t>Normal</t>
        </is>
      </c>
      <c r="F21" s="39" t="n">
        <v>150</v>
      </c>
      <c r="G21" s="39" t="inlineStr"/>
    </row>
    <row r="22">
      <c r="A22" s="39" t="inlineStr">
        <is>
          <t>Caliban Prime</t>
        </is>
      </c>
      <c r="B22" s="39" t="n">
        <v>1</v>
      </c>
      <c r="C22" s="39" t="inlineStr">
        <is>
          <t>Crimson</t>
        </is>
      </c>
      <c r="D22" s="39" t="inlineStr">
        <is>
          <t>Ability Strength</t>
        </is>
      </c>
      <c r="E22" s="39" t="inlineStr">
        <is>
          <t>Tauforged</t>
        </is>
      </c>
      <c r="F22" s="39" t="n">
        <v>15</v>
      </c>
      <c r="G22" s="39" t="inlineStr"/>
    </row>
    <row r="23">
      <c r="A23" s="39" t="inlineStr">
        <is>
          <t>Caliban Prime</t>
        </is>
      </c>
      <c r="B23" s="39" t="n">
        <v>2</v>
      </c>
      <c r="C23" s="39" t="inlineStr">
        <is>
          <t>Crimson</t>
        </is>
      </c>
      <c r="D23" s="39" t="inlineStr">
        <is>
          <t>Ability Strength</t>
        </is>
      </c>
      <c r="E23" s="39" t="inlineStr">
        <is>
          <t>Normal</t>
        </is>
      </c>
      <c r="F23" s="39" t="n">
        <v>10</v>
      </c>
      <c r="G23" s="39" t="inlineStr"/>
    </row>
    <row r="24">
      <c r="A24" s="39" t="inlineStr">
        <is>
          <t>Caliban Prime</t>
        </is>
      </c>
      <c r="B24" s="39" t="n">
        <v>3</v>
      </c>
      <c r="C24" s="39" t="inlineStr">
        <is>
          <t>Azure</t>
        </is>
      </c>
      <c r="D24" s="39" t="inlineStr">
        <is>
          <t>Armor</t>
        </is>
      </c>
      <c r="E24" s="39" t="inlineStr">
        <is>
          <t>Normal</t>
        </is>
      </c>
      <c r="F24" s="39" t="n">
        <v>150</v>
      </c>
      <c r="G24" s="39" t="inlineStr"/>
    </row>
    <row r="25">
      <c r="A25" s="39" t="inlineStr">
        <is>
          <t>Caliban Prime</t>
        </is>
      </c>
      <c r="B25" s="39" t="n">
        <v>4</v>
      </c>
      <c r="C25" s="39" t="inlineStr">
        <is>
          <t>Azure</t>
        </is>
      </c>
      <c r="D25" s="39" t="inlineStr">
        <is>
          <t>Health</t>
        </is>
      </c>
      <c r="E25" s="39" t="inlineStr">
        <is>
          <t>Normal</t>
        </is>
      </c>
      <c r="F25" s="39" t="n">
        <v>150</v>
      </c>
      <c r="G25" s="39" t="inlineStr"/>
    </row>
    <row r="26">
      <c r="A26" s="39" t="inlineStr">
        <is>
          <t>Caliban Prime</t>
        </is>
      </c>
      <c r="B26" s="39" t="n">
        <v>5</v>
      </c>
      <c r="C26" s="39" t="inlineStr">
        <is>
          <t>Amber</t>
        </is>
      </c>
      <c r="D26" s="39" t="inlineStr">
        <is>
          <t>Casting Speed</t>
        </is>
      </c>
      <c r="E26" s="39" t="inlineStr">
        <is>
          <t>Normal</t>
        </is>
      </c>
      <c r="F26" s="39" t="n">
        <v>25</v>
      </c>
      <c r="G26" s="39" t="inlineStr"/>
    </row>
    <row r="27">
      <c r="A27" s="39" t="inlineStr">
        <is>
          <t>Chroma Prime</t>
        </is>
      </c>
      <c r="B27" s="39" t="n">
        <v>1</v>
      </c>
      <c r="C27" s="39" t="inlineStr">
        <is>
          <t>Crimson</t>
        </is>
      </c>
      <c r="D27" s="39" t="inlineStr">
        <is>
          <t>Ability Strength</t>
        </is>
      </c>
      <c r="E27" s="39" t="inlineStr">
        <is>
          <t>Tauforged</t>
        </is>
      </c>
      <c r="F27" s="39" t="n">
        <v>15</v>
      </c>
      <c r="G27" s="39" t="inlineStr"/>
    </row>
    <row r="28">
      <c r="A28" s="39" t="inlineStr">
        <is>
          <t>Chroma Prime</t>
        </is>
      </c>
      <c r="B28" s="39" t="n">
        <v>2</v>
      </c>
      <c r="C28" s="39" t="inlineStr">
        <is>
          <t>Crimson</t>
        </is>
      </c>
      <c r="D28" s="39" t="inlineStr">
        <is>
          <t>Ability Strength</t>
        </is>
      </c>
      <c r="E28" s="39" t="inlineStr">
        <is>
          <t>Tauforged</t>
        </is>
      </c>
      <c r="F28" s="39" t="n">
        <v>15</v>
      </c>
      <c r="G28" s="39" t="inlineStr"/>
    </row>
    <row r="29">
      <c r="A29" s="39" t="inlineStr">
        <is>
          <t>Chroma Prime</t>
        </is>
      </c>
      <c r="B29" s="39" t="n">
        <v>3</v>
      </c>
      <c r="C29" s="39" t="inlineStr">
        <is>
          <t>Azure</t>
        </is>
      </c>
      <c r="D29" s="39" t="inlineStr">
        <is>
          <t>Armor</t>
        </is>
      </c>
      <c r="E29" s="39" t="inlineStr">
        <is>
          <t>Normal</t>
        </is>
      </c>
      <c r="F29" s="39" t="n">
        <v>150</v>
      </c>
      <c r="G29" s="39" t="inlineStr"/>
    </row>
    <row r="30">
      <c r="A30" s="39" t="inlineStr">
        <is>
          <t>Chroma Prime</t>
        </is>
      </c>
      <c r="B30" s="39" t="n">
        <v>4</v>
      </c>
      <c r="C30" s="39" t="inlineStr">
        <is>
          <t>Azure</t>
        </is>
      </c>
      <c r="D30" s="39" t="inlineStr">
        <is>
          <t>Health</t>
        </is>
      </c>
      <c r="E30" s="39" t="inlineStr">
        <is>
          <t>Normal</t>
        </is>
      </c>
      <c r="F30" s="39" t="n">
        <v>150</v>
      </c>
      <c r="G30" s="39" t="inlineStr"/>
    </row>
    <row r="31">
      <c r="A31" s="39" t="inlineStr">
        <is>
          <t>Chroma Prime</t>
        </is>
      </c>
      <c r="B31" s="39" t="n">
        <v>5</v>
      </c>
      <c r="C31" s="39" t="inlineStr">
        <is>
          <t>Amber</t>
        </is>
      </c>
      <c r="D31" s="39" t="inlineStr">
        <is>
          <t>Casting Speed</t>
        </is>
      </c>
      <c r="E31" s="39" t="inlineStr">
        <is>
          <t>Normal</t>
        </is>
      </c>
      <c r="F31" s="39" t="n">
        <v>25</v>
      </c>
      <c r="G31" s="39" t="inlineStr"/>
    </row>
    <row r="32">
      <c r="A32" s="39" t="inlineStr">
        <is>
          <t>Citrine Prime</t>
        </is>
      </c>
      <c r="B32" s="39" t="n">
        <v>1</v>
      </c>
      <c r="C32" s="39" t="inlineStr">
        <is>
          <t>Crimson</t>
        </is>
      </c>
      <c r="D32" s="39" t="inlineStr">
        <is>
          <t>Ability Strength</t>
        </is>
      </c>
      <c r="E32" s="39" t="inlineStr">
        <is>
          <t>Tauforged</t>
        </is>
      </c>
      <c r="F32" s="39" t="n">
        <v>15</v>
      </c>
      <c r="G32" s="39" t="inlineStr"/>
    </row>
    <row r="33">
      <c r="A33" s="39" t="inlineStr">
        <is>
          <t>Citrine Prime</t>
        </is>
      </c>
      <c r="B33" s="39" t="n">
        <v>2</v>
      </c>
      <c r="C33" s="39" t="inlineStr">
        <is>
          <t>Crimson</t>
        </is>
      </c>
      <c r="D33" s="39" t="inlineStr">
        <is>
          <t>Ability Strength</t>
        </is>
      </c>
      <c r="E33" s="39" t="inlineStr">
        <is>
          <t>Normal</t>
        </is>
      </c>
      <c r="F33" s="39" t="n">
        <v>10</v>
      </c>
      <c r="G33" s="39" t="inlineStr">
        <is>
          <t>support</t>
        </is>
      </c>
    </row>
    <row r="34">
      <c r="A34" s="39" t="inlineStr">
        <is>
          <t>Citrine Prime</t>
        </is>
      </c>
      <c r="B34" s="39" t="n">
        <v>3</v>
      </c>
      <c r="C34" s="39" t="inlineStr">
        <is>
          <t>Crimson</t>
        </is>
      </c>
      <c r="D34" s="39" t="inlineStr">
        <is>
          <t>Ability Duration</t>
        </is>
      </c>
      <c r="E34" s="39" t="inlineStr">
        <is>
          <t>Normal</t>
        </is>
      </c>
      <c r="F34" s="39" t="n">
        <v>10</v>
      </c>
      <c r="G34" s="39" t="inlineStr"/>
    </row>
    <row r="35">
      <c r="A35" s="39" t="inlineStr">
        <is>
          <t>Citrine Prime</t>
        </is>
      </c>
      <c r="B35" s="39" t="n">
        <v>4</v>
      </c>
      <c r="C35" s="39" t="inlineStr">
        <is>
          <t>Azure</t>
        </is>
      </c>
      <c r="D35" s="39" t="inlineStr">
        <is>
          <t>Armor</t>
        </is>
      </c>
      <c r="E35" s="39" t="inlineStr">
        <is>
          <t>Normal</t>
        </is>
      </c>
      <c r="F35" s="39" t="n">
        <v>150</v>
      </c>
      <c r="G35" s="39" t="inlineStr"/>
    </row>
    <row r="36">
      <c r="A36" s="39" t="inlineStr">
        <is>
          <t>Citrine Prime</t>
        </is>
      </c>
      <c r="B36" s="39" t="n">
        <v>5</v>
      </c>
      <c r="C36" s="39" t="inlineStr">
        <is>
          <t>Amber</t>
        </is>
      </c>
      <c r="D36" s="39" t="inlineStr">
        <is>
          <t>Health Orb Effectiveness</t>
        </is>
      </c>
      <c r="E36" s="39" t="inlineStr">
        <is>
          <t>Normal</t>
        </is>
      </c>
      <c r="F36" s="39" t="n">
        <v>100</v>
      </c>
      <c r="G36" s="39" t="inlineStr"/>
    </row>
    <row r="37">
      <c r="A37" s="39" t="inlineStr">
        <is>
          <t>Cyte-09</t>
        </is>
      </c>
      <c r="B37" s="39" t="n">
        <v>1</v>
      </c>
      <c r="C37" s="39" t="inlineStr">
        <is>
          <t>Crimson</t>
        </is>
      </c>
      <c r="D37" s="39" t="inlineStr">
        <is>
          <t>Ability Strength</t>
        </is>
      </c>
      <c r="E37" s="39" t="inlineStr">
        <is>
          <t>Tauforged</t>
        </is>
      </c>
      <c r="F37" s="39" t="n">
        <v>15</v>
      </c>
      <c r="G37" s="39" t="inlineStr"/>
    </row>
    <row r="38">
      <c r="A38" s="39" t="inlineStr">
        <is>
          <t>Cyte-09</t>
        </is>
      </c>
      <c r="B38" s="39" t="n">
        <v>2</v>
      </c>
      <c r="C38" s="39" t="inlineStr">
        <is>
          <t>Crimson</t>
        </is>
      </c>
      <c r="D38" s="39" t="inlineStr">
        <is>
          <t>Ability Strength</t>
        </is>
      </c>
      <c r="E38" s="39" t="inlineStr">
        <is>
          <t>Normal</t>
        </is>
      </c>
      <c r="F38" s="39" t="n">
        <v>10</v>
      </c>
      <c r="G38" s="39" t="inlineStr"/>
    </row>
    <row r="39">
      <c r="A39" s="39" t="inlineStr">
        <is>
          <t>Cyte-09</t>
        </is>
      </c>
      <c r="B39" s="39" t="n">
        <v>3</v>
      </c>
      <c r="C39" s="39" t="inlineStr">
        <is>
          <t>Crimson</t>
        </is>
      </c>
      <c r="D39" s="39" t="inlineStr">
        <is>
          <t>Primary Status Chance</t>
        </is>
      </c>
      <c r="E39" s="39" t="inlineStr">
        <is>
          <t>Tauforged</t>
        </is>
      </c>
      <c r="F39" s="39" t="n">
        <v>37.5</v>
      </c>
      <c r="G39" s="39" t="inlineStr"/>
    </row>
    <row r="40">
      <c r="A40" s="39" t="inlineStr">
        <is>
          <t>Cyte-09</t>
        </is>
      </c>
      <c r="B40" s="39" t="n">
        <v>4</v>
      </c>
      <c r="C40" s="39" t="inlineStr">
        <is>
          <t>Azure</t>
        </is>
      </c>
      <c r="D40" s="39" t="inlineStr">
        <is>
          <t>Armor</t>
        </is>
      </c>
      <c r="E40" s="39" t="inlineStr">
        <is>
          <t>Normal</t>
        </is>
      </c>
      <c r="F40" s="39" t="n">
        <v>150</v>
      </c>
      <c r="G40" s="39" t="inlineStr"/>
    </row>
    <row r="41">
      <c r="A41" s="39" t="inlineStr">
        <is>
          <t>Cyte-09</t>
        </is>
      </c>
      <c r="B41" s="39" t="n">
        <v>5</v>
      </c>
      <c r="C41" s="39" t="inlineStr">
        <is>
          <t>Amber</t>
        </is>
      </c>
      <c r="D41" s="39" t="inlineStr">
        <is>
          <t>Casting Speed</t>
        </is>
      </c>
      <c r="E41" s="39" t="inlineStr">
        <is>
          <t>Normal</t>
        </is>
      </c>
      <c r="F41" s="39" t="n">
        <v>25</v>
      </c>
      <c r="G41" s="39" t="inlineStr"/>
    </row>
    <row r="42">
      <c r="A42" s="39" t="inlineStr">
        <is>
          <t>Dagath</t>
        </is>
      </c>
      <c r="B42" s="39" t="n">
        <v>1</v>
      </c>
      <c r="C42" s="39" t="inlineStr">
        <is>
          <t>Crimson</t>
        </is>
      </c>
      <c r="D42" s="39" t="inlineStr">
        <is>
          <t>Ability Strength</t>
        </is>
      </c>
      <c r="E42" s="39" t="inlineStr">
        <is>
          <t>Tauforged</t>
        </is>
      </c>
      <c r="F42" s="39" t="n">
        <v>15</v>
      </c>
      <c r="G42" s="39" t="inlineStr"/>
    </row>
    <row r="43">
      <c r="A43" s="39" t="inlineStr">
        <is>
          <t>Dagath</t>
        </is>
      </c>
      <c r="B43" s="39" t="n">
        <v>2</v>
      </c>
      <c r="C43" s="39" t="inlineStr">
        <is>
          <t>Crimson</t>
        </is>
      </c>
      <c r="D43" s="39" t="inlineStr">
        <is>
          <t>Ability Strength</t>
        </is>
      </c>
      <c r="E43" s="39" t="inlineStr">
        <is>
          <t>Normal</t>
        </is>
      </c>
      <c r="F43" s="39" t="n">
        <v>10</v>
      </c>
      <c r="G43" s="39" t="inlineStr"/>
    </row>
    <row r="44">
      <c r="A44" s="39" t="inlineStr">
        <is>
          <t>Dagath</t>
        </is>
      </c>
      <c r="B44" s="39" t="n">
        <v>3</v>
      </c>
      <c r="C44" s="39" t="inlineStr">
        <is>
          <t>Crimson</t>
        </is>
      </c>
      <c r="D44" s="39" t="inlineStr">
        <is>
          <t>Ability Duration</t>
        </is>
      </c>
      <c r="E44" s="39" t="inlineStr">
        <is>
          <t>Normal</t>
        </is>
      </c>
      <c r="F44" s="39" t="n">
        <v>10</v>
      </c>
      <c r="G44" s="39" t="inlineStr"/>
    </row>
    <row r="45">
      <c r="A45" s="39" t="inlineStr">
        <is>
          <t>Dagath</t>
        </is>
      </c>
      <c r="B45" s="39" t="n">
        <v>4</v>
      </c>
      <c r="C45" s="39" t="inlineStr">
        <is>
          <t>Azure</t>
        </is>
      </c>
      <c r="D45" s="39" t="inlineStr">
        <is>
          <t>Health</t>
        </is>
      </c>
      <c r="E45" s="39" t="inlineStr">
        <is>
          <t>Normal</t>
        </is>
      </c>
      <c r="F45" s="39" t="n">
        <v>150</v>
      </c>
      <c r="G45" s="39" t="inlineStr"/>
    </row>
    <row r="46">
      <c r="A46" s="39" t="inlineStr">
        <is>
          <t>Dagath</t>
        </is>
      </c>
      <c r="B46" s="39" t="n">
        <v>5</v>
      </c>
      <c r="C46" s="39" t="inlineStr">
        <is>
          <t>Amber</t>
        </is>
      </c>
      <c r="D46" s="39" t="inlineStr">
        <is>
          <t>Casting Speed</t>
        </is>
      </c>
      <c r="E46" s="39" t="inlineStr">
        <is>
          <t>Normal</t>
        </is>
      </c>
      <c r="F46" s="39" t="n">
        <v>25</v>
      </c>
      <c r="G46" s="39" t="inlineStr"/>
    </row>
    <row r="47">
      <c r="A47" s="39" t="inlineStr">
        <is>
          <t>Dante</t>
        </is>
      </c>
      <c r="B47" s="39" t="n">
        <v>1</v>
      </c>
      <c r="C47" s="39" t="inlineStr">
        <is>
          <t>Crimson</t>
        </is>
      </c>
      <c r="D47" s="39" t="inlineStr">
        <is>
          <t>Ability Strength</t>
        </is>
      </c>
      <c r="E47" s="39" t="inlineStr">
        <is>
          <t>Tauforged</t>
        </is>
      </c>
      <c r="F47" s="39" t="n">
        <v>15</v>
      </c>
      <c r="G47" s="39" t="inlineStr"/>
    </row>
    <row r="48">
      <c r="A48" s="39" t="inlineStr">
        <is>
          <t>Dante</t>
        </is>
      </c>
      <c r="B48" s="39" t="n">
        <v>2</v>
      </c>
      <c r="C48" s="39" t="inlineStr">
        <is>
          <t>Crimson</t>
        </is>
      </c>
      <c r="D48" s="39" t="inlineStr">
        <is>
          <t>Ability Strength</t>
        </is>
      </c>
      <c r="E48" s="39" t="inlineStr">
        <is>
          <t>Normal</t>
        </is>
      </c>
      <c r="F48" s="39" t="n">
        <v>10</v>
      </c>
      <c r="G48" s="39" t="inlineStr"/>
    </row>
    <row r="49">
      <c r="A49" s="39" t="inlineStr">
        <is>
          <t>Dante</t>
        </is>
      </c>
      <c r="B49" s="39" t="n">
        <v>3</v>
      </c>
      <c r="C49" s="39" t="inlineStr">
        <is>
          <t>Crimson</t>
        </is>
      </c>
      <c r="D49" s="39" t="inlineStr">
        <is>
          <t>Ability Duration</t>
        </is>
      </c>
      <c r="E49" s="39" t="inlineStr">
        <is>
          <t>Normal</t>
        </is>
      </c>
      <c r="F49" s="39" t="n">
        <v>10</v>
      </c>
      <c r="G49" s="39" t="inlineStr"/>
    </row>
    <row r="50">
      <c r="A50" s="39" t="inlineStr">
        <is>
          <t>Dante</t>
        </is>
      </c>
      <c r="B50" s="39" t="n">
        <v>4</v>
      </c>
      <c r="C50" s="39" t="inlineStr">
        <is>
          <t>Azure</t>
        </is>
      </c>
      <c r="D50" s="39" t="inlineStr">
        <is>
          <t>Armor</t>
        </is>
      </c>
      <c r="E50" s="39" t="inlineStr">
        <is>
          <t>Normal</t>
        </is>
      </c>
      <c r="F50" s="39" t="n">
        <v>150</v>
      </c>
      <c r="G50" s="39" t="inlineStr"/>
    </row>
    <row r="51">
      <c r="A51" s="39" t="inlineStr">
        <is>
          <t>Dante</t>
        </is>
      </c>
      <c r="B51" s="39" t="n">
        <v>5</v>
      </c>
      <c r="C51" s="39" t="inlineStr">
        <is>
          <t>Amber</t>
        </is>
      </c>
      <c r="D51" s="39" t="inlineStr">
        <is>
          <t>Casting Speed</t>
        </is>
      </c>
      <c r="E51" s="39" t="inlineStr">
        <is>
          <t>Normal</t>
        </is>
      </c>
      <c r="F51" s="39" t="n">
        <v>25</v>
      </c>
      <c r="G51" s="39" t="inlineStr"/>
    </row>
    <row r="52">
      <c r="A52" s="39" t="inlineStr">
        <is>
          <t>Ember Prime</t>
        </is>
      </c>
      <c r="B52" s="39" t="n">
        <v>1</v>
      </c>
      <c r="C52" s="39" t="inlineStr">
        <is>
          <t>Crimson</t>
        </is>
      </c>
      <c r="D52" s="39" t="inlineStr">
        <is>
          <t>Ability Strength</t>
        </is>
      </c>
      <c r="E52" s="39" t="inlineStr">
        <is>
          <t>Tauforged</t>
        </is>
      </c>
      <c r="F52" s="39" t="n">
        <v>15</v>
      </c>
      <c r="G52" s="39" t="inlineStr"/>
    </row>
    <row r="53">
      <c r="A53" s="39" t="inlineStr">
        <is>
          <t>Ember Prime</t>
        </is>
      </c>
      <c r="B53" s="39" t="n">
        <v>2</v>
      </c>
      <c r="C53" s="39" t="inlineStr">
        <is>
          <t>Topaz</t>
        </is>
      </c>
      <c r="D53" s="39" t="inlineStr">
        <is>
          <t>Secondary Crit Chance on Heat kill</t>
        </is>
      </c>
      <c r="E53" s="39" t="inlineStr">
        <is>
          <t>Normal</t>
        </is>
      </c>
      <c r="F53" s="39" t="n">
        <v>1</v>
      </c>
      <c r="G53" s="39" t="inlineStr"/>
    </row>
    <row r="54">
      <c r="A54" s="39" t="inlineStr">
        <is>
          <t>Ember Prime</t>
        </is>
      </c>
      <c r="B54" s="39" t="n">
        <v>3</v>
      </c>
      <c r="C54" s="39" t="inlineStr">
        <is>
          <t>Topaz</t>
        </is>
      </c>
      <c r="D54" s="39" t="inlineStr">
        <is>
          <t>Secondary Crit Chance on Heat kill</t>
        </is>
      </c>
      <c r="E54" s="39" t="inlineStr">
        <is>
          <t>Normal</t>
        </is>
      </c>
      <c r="F54" s="39" t="n">
        <v>1</v>
      </c>
      <c r="G54" s="39" t="inlineStr"/>
    </row>
    <row r="55">
      <c r="A55" s="39" t="inlineStr">
        <is>
          <t>Ember Prime</t>
        </is>
      </c>
      <c r="B55" s="39" t="n">
        <v>4</v>
      </c>
      <c r="C55" s="39" t="inlineStr">
        <is>
          <t>Azure</t>
        </is>
      </c>
      <c r="D55" s="39" t="inlineStr">
        <is>
          <t>Armor</t>
        </is>
      </c>
      <c r="E55" s="39" t="inlineStr">
        <is>
          <t>Normal</t>
        </is>
      </c>
      <c r="F55" s="39" t="n">
        <v>150</v>
      </c>
      <c r="G55" s="39" t="inlineStr"/>
    </row>
    <row r="56">
      <c r="A56" s="39" t="inlineStr">
        <is>
          <t>Ember Prime</t>
        </is>
      </c>
      <c r="B56" s="39" t="n">
        <v>5</v>
      </c>
      <c r="C56" s="39" t="inlineStr">
        <is>
          <t>Amber</t>
        </is>
      </c>
      <c r="D56" s="39" t="inlineStr">
        <is>
          <t>Casting Speed</t>
        </is>
      </c>
      <c r="E56" s="39" t="inlineStr">
        <is>
          <t>Normal</t>
        </is>
      </c>
      <c r="F56" s="39" t="n">
        <v>25</v>
      </c>
      <c r="G56" s="39" t="inlineStr"/>
    </row>
    <row r="57">
      <c r="A57" s="39" t="inlineStr">
        <is>
          <t>Equinox Prime</t>
        </is>
      </c>
      <c r="B57" s="39" t="n">
        <v>1</v>
      </c>
      <c r="C57" s="39" t="inlineStr">
        <is>
          <t>Crimson</t>
        </is>
      </c>
      <c r="D57" s="39" t="inlineStr">
        <is>
          <t>Ability Strength</t>
        </is>
      </c>
      <c r="E57" s="39" t="inlineStr">
        <is>
          <t>Tauforged</t>
        </is>
      </c>
      <c r="F57" s="39" t="n">
        <v>15</v>
      </c>
      <c r="G57" s="39" t="inlineStr"/>
    </row>
    <row r="58">
      <c r="A58" s="39" t="inlineStr">
        <is>
          <t>Equinox Prime</t>
        </is>
      </c>
      <c r="B58" s="39" t="n">
        <v>2</v>
      </c>
      <c r="C58" s="39" t="inlineStr">
        <is>
          <t>Crimson</t>
        </is>
      </c>
      <c r="D58" s="39" t="inlineStr">
        <is>
          <t>Ability Strength</t>
        </is>
      </c>
      <c r="E58" s="39" t="inlineStr">
        <is>
          <t>Tauforged</t>
        </is>
      </c>
      <c r="F58" s="39" t="n">
        <v>15</v>
      </c>
      <c r="G58" s="39" t="inlineStr"/>
    </row>
    <row r="59">
      <c r="A59" s="39" t="inlineStr">
        <is>
          <t>Equinox Prime</t>
        </is>
      </c>
      <c r="B59" s="39" t="n">
        <v>3</v>
      </c>
      <c r="C59" s="39" t="inlineStr">
        <is>
          <t>Crimson</t>
        </is>
      </c>
      <c r="D59" s="39" t="inlineStr">
        <is>
          <t>Ability Strength</t>
        </is>
      </c>
      <c r="E59" s="39" t="inlineStr">
        <is>
          <t>Normal</t>
        </is>
      </c>
      <c r="F59" s="39" t="n">
        <v>10</v>
      </c>
      <c r="G59" s="39" t="inlineStr"/>
    </row>
    <row r="60">
      <c r="A60" s="39" t="inlineStr">
        <is>
          <t>Equinox Prime</t>
        </is>
      </c>
      <c r="B60" s="39" t="n">
        <v>4</v>
      </c>
      <c r="C60" s="39" t="inlineStr">
        <is>
          <t>Azure</t>
        </is>
      </c>
      <c r="D60" s="39" t="inlineStr">
        <is>
          <t>Health</t>
        </is>
      </c>
      <c r="E60" s="39" t="inlineStr">
        <is>
          <t>Normal</t>
        </is>
      </c>
      <c r="F60" s="39" t="n">
        <v>150</v>
      </c>
      <c r="G60" s="39" t="inlineStr"/>
    </row>
    <row r="61">
      <c r="A61" s="39" t="inlineStr">
        <is>
          <t>Equinox Prime</t>
        </is>
      </c>
      <c r="B61" s="39" t="n">
        <v>5</v>
      </c>
      <c r="C61" s="39" t="inlineStr">
        <is>
          <t>Amber</t>
        </is>
      </c>
      <c r="D61" s="39" t="inlineStr">
        <is>
          <t>Casting Speed</t>
        </is>
      </c>
      <c r="E61" s="39" t="inlineStr">
        <is>
          <t>Normal</t>
        </is>
      </c>
      <c r="F61" s="39" t="n">
        <v>25</v>
      </c>
      <c r="G61" s="39" t="inlineStr"/>
    </row>
    <row r="62">
      <c r="A62" s="39" t="inlineStr">
        <is>
          <t>Excalibur Umbra</t>
        </is>
      </c>
      <c r="B62" s="39" t="n">
        <v>1</v>
      </c>
      <c r="C62" s="39" t="inlineStr">
        <is>
          <t>Crimson</t>
        </is>
      </c>
      <c r="D62" s="39" t="inlineStr">
        <is>
          <t>Ability Strength</t>
        </is>
      </c>
      <c r="E62" s="39" t="inlineStr">
        <is>
          <t>Tauforged</t>
        </is>
      </c>
      <c r="F62" s="39" t="n">
        <v>15</v>
      </c>
      <c r="G62" s="39" t="inlineStr"/>
    </row>
    <row r="63">
      <c r="A63" s="39" t="inlineStr">
        <is>
          <t>Excalibur Umbra</t>
        </is>
      </c>
      <c r="B63" s="39" t="n">
        <v>2</v>
      </c>
      <c r="C63" s="39" t="inlineStr">
        <is>
          <t>Crimson</t>
        </is>
      </c>
      <c r="D63" s="39" t="inlineStr">
        <is>
          <t>Ability Strength</t>
        </is>
      </c>
      <c r="E63" s="39" t="inlineStr">
        <is>
          <t>Normal</t>
        </is>
      </c>
      <c r="F63" s="39" t="n">
        <v>10</v>
      </c>
      <c r="G63" s="39" t="inlineStr"/>
    </row>
    <row r="64">
      <c r="A64" s="39" t="inlineStr">
        <is>
          <t>Excalibur Umbra</t>
        </is>
      </c>
      <c r="B64" s="39" t="n">
        <v>3</v>
      </c>
      <c r="C64" s="39" t="inlineStr">
        <is>
          <t>Crimson</t>
        </is>
      </c>
      <c r="D64" s="39" t="inlineStr">
        <is>
          <t>Melee Critical Damage</t>
        </is>
      </c>
      <c r="E64" s="39" t="inlineStr">
        <is>
          <t>Tauforged</t>
        </is>
      </c>
      <c r="F64" s="39" t="n">
        <v>37.5</v>
      </c>
      <c r="G64" s="39" t="inlineStr"/>
    </row>
    <row r="65">
      <c r="A65" s="39" t="inlineStr">
        <is>
          <t>Excalibur Umbra</t>
        </is>
      </c>
      <c r="B65" s="39" t="n">
        <v>4</v>
      </c>
      <c r="C65" s="39" t="inlineStr">
        <is>
          <t>Azure</t>
        </is>
      </c>
      <c r="D65" s="39" t="inlineStr">
        <is>
          <t>Armor</t>
        </is>
      </c>
      <c r="E65" s="39" t="inlineStr">
        <is>
          <t>Normal</t>
        </is>
      </c>
      <c r="F65" s="39" t="n">
        <v>150</v>
      </c>
      <c r="G65" s="39" t="inlineStr"/>
    </row>
    <row r="66">
      <c r="A66" s="39" t="inlineStr">
        <is>
          <t>Excalibur Umbra</t>
        </is>
      </c>
      <c r="B66" s="39" t="n">
        <v>5</v>
      </c>
      <c r="C66" s="39" t="inlineStr">
        <is>
          <t>Amber</t>
        </is>
      </c>
      <c r="D66" s="39" t="inlineStr">
        <is>
          <t>Casting Speed</t>
        </is>
      </c>
      <c r="E66" s="39" t="inlineStr">
        <is>
          <t>Normal</t>
        </is>
      </c>
      <c r="F66" s="39" t="n">
        <v>25</v>
      </c>
      <c r="G66" s="39" t="inlineStr"/>
    </row>
    <row r="67">
      <c r="A67" s="39" t="inlineStr">
        <is>
          <t>Follie</t>
        </is>
      </c>
      <c r="B67" s="39" t="n">
        <v>1</v>
      </c>
      <c r="C67" s="39" t="inlineStr">
        <is>
          <t>Crimson</t>
        </is>
      </c>
      <c r="D67" s="39" t="inlineStr">
        <is>
          <t>Ability Strength</t>
        </is>
      </c>
      <c r="E67" s="39" t="inlineStr">
        <is>
          <t>Tauforged</t>
        </is>
      </c>
      <c r="F67" s="39" t="n">
        <v>15</v>
      </c>
      <c r="G67" s="39" t="inlineStr"/>
    </row>
    <row r="68">
      <c r="A68" s="39" t="inlineStr">
        <is>
          <t>Follie</t>
        </is>
      </c>
      <c r="B68" s="39" t="n">
        <v>2</v>
      </c>
      <c r="C68" s="39" t="inlineStr">
        <is>
          <t>Crimson</t>
        </is>
      </c>
      <c r="D68" s="39" t="inlineStr">
        <is>
          <t>Ability Strength</t>
        </is>
      </c>
      <c r="E68" s="39" t="inlineStr">
        <is>
          <t>Normal</t>
        </is>
      </c>
      <c r="F68" s="39" t="n">
        <v>10</v>
      </c>
      <c r="G68" s="39" t="inlineStr"/>
    </row>
    <row r="69">
      <c r="A69" s="39" t="inlineStr">
        <is>
          <t>Follie</t>
        </is>
      </c>
      <c r="B69" s="39" t="n">
        <v>3</v>
      </c>
      <c r="C69" s="39" t="inlineStr">
        <is>
          <t>Crimson</t>
        </is>
      </c>
      <c r="D69" s="39" t="inlineStr">
        <is>
          <t>Ability Duration</t>
        </is>
      </c>
      <c r="E69" s="39" t="inlineStr">
        <is>
          <t>Normal</t>
        </is>
      </c>
      <c r="F69" s="39" t="n">
        <v>10</v>
      </c>
      <c r="G69" s="39" t="inlineStr"/>
    </row>
    <row r="70">
      <c r="A70" s="39" t="inlineStr">
        <is>
          <t>Follie</t>
        </is>
      </c>
      <c r="B70" s="39" t="n">
        <v>4</v>
      </c>
      <c r="C70" s="39" t="inlineStr">
        <is>
          <t>Azure</t>
        </is>
      </c>
      <c r="D70" s="39" t="inlineStr">
        <is>
          <t>Armor</t>
        </is>
      </c>
      <c r="E70" s="39" t="inlineStr">
        <is>
          <t>Normal</t>
        </is>
      </c>
      <c r="F70" s="39" t="n">
        <v>150</v>
      </c>
      <c r="G70" s="39" t="inlineStr"/>
    </row>
    <row r="71">
      <c r="A71" s="39" t="inlineStr">
        <is>
          <t>Follie</t>
        </is>
      </c>
      <c r="B71" s="39" t="n">
        <v>5</v>
      </c>
      <c r="C71" s="39" t="inlineStr">
        <is>
          <t>Amber</t>
        </is>
      </c>
      <c r="D71" s="39" t="inlineStr">
        <is>
          <t>Casting Speed</t>
        </is>
      </c>
      <c r="E71" s="39" t="inlineStr">
        <is>
          <t>Normal</t>
        </is>
      </c>
      <c r="F71" s="39" t="n">
        <v>25</v>
      </c>
      <c r="G71" s="39" t="inlineStr"/>
    </row>
    <row r="72">
      <c r="A72" s="39" t="inlineStr">
        <is>
          <t>Frost Prime</t>
        </is>
      </c>
      <c r="B72" s="39" t="n">
        <v>1</v>
      </c>
      <c r="C72" s="39" t="inlineStr">
        <is>
          <t>Crimson</t>
        </is>
      </c>
      <c r="D72" s="39" t="inlineStr">
        <is>
          <t>Ability Strength</t>
        </is>
      </c>
      <c r="E72" s="39" t="inlineStr">
        <is>
          <t>Tauforged</t>
        </is>
      </c>
      <c r="F72" s="39" t="n">
        <v>15</v>
      </c>
      <c r="G72" s="39" t="inlineStr"/>
    </row>
    <row r="73">
      <c r="A73" s="39" t="inlineStr">
        <is>
          <t>Frost Prime</t>
        </is>
      </c>
      <c r="B73" s="39" t="n">
        <v>2</v>
      </c>
      <c r="C73" s="39" t="inlineStr">
        <is>
          <t>Crimson</t>
        </is>
      </c>
      <c r="D73" s="39" t="inlineStr">
        <is>
          <t>Ability Strength</t>
        </is>
      </c>
      <c r="E73" s="39" t="inlineStr">
        <is>
          <t>Normal</t>
        </is>
      </c>
      <c r="F73" s="39" t="n">
        <v>10</v>
      </c>
      <c r="G73" s="39" t="inlineStr"/>
    </row>
    <row r="74">
      <c r="A74" s="39" t="inlineStr">
        <is>
          <t>Frost Prime</t>
        </is>
      </c>
      <c r="B74" s="39" t="n">
        <v>3</v>
      </c>
      <c r="C74" s="39" t="inlineStr">
        <is>
          <t>Azure</t>
        </is>
      </c>
      <c r="D74" s="39" t="inlineStr">
        <is>
          <t>Armor</t>
        </is>
      </c>
      <c r="E74" s="39" t="inlineStr">
        <is>
          <t>Normal</t>
        </is>
      </c>
      <c r="F74" s="39" t="n">
        <v>150</v>
      </c>
      <c r="G74" s="39" t="inlineStr"/>
    </row>
    <row r="75">
      <c r="A75" s="39" t="inlineStr">
        <is>
          <t>Frost Prime</t>
        </is>
      </c>
      <c r="B75" s="39" t="n">
        <v>4</v>
      </c>
      <c r="C75" s="39" t="inlineStr">
        <is>
          <t>Azure</t>
        </is>
      </c>
      <c r="D75" s="39" t="inlineStr">
        <is>
          <t>Shield Capacity</t>
        </is>
      </c>
      <c r="E75" s="39" t="inlineStr">
        <is>
          <t>Normal</t>
        </is>
      </c>
      <c r="F75" s="39" t="n">
        <v>150</v>
      </c>
      <c r="G75" s="39" t="inlineStr"/>
    </row>
    <row r="76">
      <c r="A76" s="39" t="inlineStr">
        <is>
          <t>Frost Prime</t>
        </is>
      </c>
      <c r="B76" s="39" t="n">
        <v>5</v>
      </c>
      <c r="C76" s="39" t="inlineStr">
        <is>
          <t>Amber</t>
        </is>
      </c>
      <c r="D76" s="39" t="inlineStr">
        <is>
          <t>Casting Speed</t>
        </is>
      </c>
      <c r="E76" s="39" t="inlineStr">
        <is>
          <t>Normal</t>
        </is>
      </c>
      <c r="F76" s="39" t="n">
        <v>25</v>
      </c>
      <c r="G76" s="39" t="inlineStr"/>
    </row>
    <row r="77">
      <c r="A77" s="39" t="inlineStr">
        <is>
          <t>Gara Prime</t>
        </is>
      </c>
      <c r="B77" s="39" t="n">
        <v>1</v>
      </c>
      <c r="C77" s="39" t="inlineStr">
        <is>
          <t>Crimson</t>
        </is>
      </c>
      <c r="D77" s="39" t="inlineStr">
        <is>
          <t>Ability Strength</t>
        </is>
      </c>
      <c r="E77" s="39" t="inlineStr">
        <is>
          <t>Tauforged</t>
        </is>
      </c>
      <c r="F77" s="39" t="n">
        <v>15</v>
      </c>
      <c r="G77" s="39" t="inlineStr"/>
    </row>
    <row r="78">
      <c r="A78" s="39" t="inlineStr">
        <is>
          <t>Gara Prime</t>
        </is>
      </c>
      <c r="B78" s="39" t="n">
        <v>2</v>
      </c>
      <c r="C78" s="39" t="inlineStr">
        <is>
          <t>Crimson</t>
        </is>
      </c>
      <c r="D78" s="39" t="inlineStr">
        <is>
          <t>Ability Strength</t>
        </is>
      </c>
      <c r="E78" s="39" t="inlineStr">
        <is>
          <t>Normal</t>
        </is>
      </c>
      <c r="F78" s="39" t="n">
        <v>10</v>
      </c>
      <c r="G78" s="39" t="inlineStr"/>
    </row>
    <row r="79">
      <c r="A79" s="39" t="inlineStr">
        <is>
          <t>Gara Prime</t>
        </is>
      </c>
      <c r="B79" s="39" t="n">
        <v>3</v>
      </c>
      <c r="C79" s="39" t="inlineStr">
        <is>
          <t>Azure</t>
        </is>
      </c>
      <c r="D79" s="39" t="inlineStr">
        <is>
          <t>Armor</t>
        </is>
      </c>
      <c r="E79" s="39" t="inlineStr">
        <is>
          <t>Normal</t>
        </is>
      </c>
      <c r="F79" s="39" t="n">
        <v>150</v>
      </c>
      <c r="G79" s="39" t="inlineStr"/>
    </row>
    <row r="80">
      <c r="A80" s="39" t="inlineStr">
        <is>
          <t>Gara Prime</t>
        </is>
      </c>
      <c r="B80" s="39" t="n">
        <v>4</v>
      </c>
      <c r="C80" s="39" t="inlineStr">
        <is>
          <t>Azure</t>
        </is>
      </c>
      <c r="D80" s="39" t="inlineStr">
        <is>
          <t>Health</t>
        </is>
      </c>
      <c r="E80" s="39" t="inlineStr">
        <is>
          <t>Normal</t>
        </is>
      </c>
      <c r="F80" s="39" t="n">
        <v>150</v>
      </c>
      <c r="G80" s="39" t="inlineStr"/>
    </row>
    <row r="81">
      <c r="A81" s="39" t="inlineStr">
        <is>
          <t>Gara Prime</t>
        </is>
      </c>
      <c r="B81" s="39" t="n">
        <v>5</v>
      </c>
      <c r="C81" s="39" t="inlineStr">
        <is>
          <t>Amber</t>
        </is>
      </c>
      <c r="D81" s="39" t="inlineStr">
        <is>
          <t>Casting Speed</t>
        </is>
      </c>
      <c r="E81" s="39" t="inlineStr">
        <is>
          <t>Normal</t>
        </is>
      </c>
      <c r="F81" s="39" t="n">
        <v>25</v>
      </c>
      <c r="G81" s="39" t="inlineStr"/>
    </row>
    <row r="82">
      <c r="A82" s="39" t="inlineStr">
        <is>
          <t>Garuda Prime</t>
        </is>
      </c>
      <c r="B82" s="39" t="n">
        <v>1</v>
      </c>
      <c r="C82" s="39" t="inlineStr">
        <is>
          <t>Crimson</t>
        </is>
      </c>
      <c r="D82" s="39" t="inlineStr">
        <is>
          <t>Ability Strength</t>
        </is>
      </c>
      <c r="E82" s="39" t="inlineStr">
        <is>
          <t>Tauforged</t>
        </is>
      </c>
      <c r="F82" s="39" t="n">
        <v>15</v>
      </c>
      <c r="G82" s="39" t="inlineStr"/>
    </row>
    <row r="83">
      <c r="A83" s="39" t="inlineStr">
        <is>
          <t>Garuda Prime</t>
        </is>
      </c>
      <c r="B83" s="39" t="n">
        <v>2</v>
      </c>
      <c r="C83" s="39" t="inlineStr">
        <is>
          <t>Crimson</t>
        </is>
      </c>
      <c r="D83" s="39" t="inlineStr">
        <is>
          <t>Ability Strength</t>
        </is>
      </c>
      <c r="E83" s="39" t="inlineStr">
        <is>
          <t>Normal</t>
        </is>
      </c>
      <c r="F83" s="39" t="n">
        <v>10</v>
      </c>
      <c r="G83" s="39" t="inlineStr"/>
    </row>
    <row r="84">
      <c r="A84" s="39" t="inlineStr">
        <is>
          <t>Garuda Prime</t>
        </is>
      </c>
      <c r="B84" s="39" t="n">
        <v>3</v>
      </c>
      <c r="C84" s="39" t="inlineStr">
        <is>
          <t>Crimson</t>
        </is>
      </c>
      <c r="D84" s="39" t="inlineStr">
        <is>
          <t>Melee Critical Damage</t>
        </is>
      </c>
      <c r="E84" s="39" t="inlineStr">
        <is>
          <t>Tauforged</t>
        </is>
      </c>
      <c r="F84" s="39" t="n">
        <v>37.5</v>
      </c>
      <c r="G84" s="39" t="inlineStr"/>
    </row>
    <row r="85">
      <c r="A85" s="39" t="inlineStr">
        <is>
          <t>Garuda Prime</t>
        </is>
      </c>
      <c r="B85" s="39" t="n">
        <v>4</v>
      </c>
      <c r="C85" s="39" t="inlineStr">
        <is>
          <t>Azure</t>
        </is>
      </c>
      <c r="D85" s="39" t="inlineStr">
        <is>
          <t>Health</t>
        </is>
      </c>
      <c r="E85" s="39" t="inlineStr">
        <is>
          <t>Normal</t>
        </is>
      </c>
      <c r="F85" s="39" t="n">
        <v>150</v>
      </c>
      <c r="G85" s="39" t="inlineStr"/>
    </row>
    <row r="86">
      <c r="A86" s="39" t="inlineStr">
        <is>
          <t>Garuda Prime</t>
        </is>
      </c>
      <c r="B86" s="39" t="n">
        <v>5</v>
      </c>
      <c r="C86" s="39" t="inlineStr">
        <is>
          <t>Amber</t>
        </is>
      </c>
      <c r="D86" s="39" t="inlineStr">
        <is>
          <t>Health Orb Effectiveness</t>
        </is>
      </c>
      <c r="E86" s="39" t="inlineStr">
        <is>
          <t>Normal</t>
        </is>
      </c>
      <c r="F86" s="39" t="n">
        <v>100</v>
      </c>
      <c r="G86" s="39" t="inlineStr"/>
    </row>
    <row r="87">
      <c r="A87" s="39" t="inlineStr">
        <is>
          <t>Gauss Prime</t>
        </is>
      </c>
      <c r="B87" s="39" t="n">
        <v>1</v>
      </c>
      <c r="C87" s="39" t="inlineStr">
        <is>
          <t>Crimson</t>
        </is>
      </c>
      <c r="D87" s="39" t="inlineStr">
        <is>
          <t>Ability Strength</t>
        </is>
      </c>
      <c r="E87" s="39" t="inlineStr">
        <is>
          <t>Tauforged</t>
        </is>
      </c>
      <c r="F87" s="39" t="n">
        <v>15</v>
      </c>
      <c r="G87" s="39" t="inlineStr"/>
    </row>
    <row r="88">
      <c r="A88" s="39" t="inlineStr">
        <is>
          <t>Gauss Prime</t>
        </is>
      </c>
      <c r="B88" s="39" t="n">
        <v>2</v>
      </c>
      <c r="C88" s="39" t="inlineStr">
        <is>
          <t>Crimson</t>
        </is>
      </c>
      <c r="D88" s="39" t="inlineStr">
        <is>
          <t>Ability Strength</t>
        </is>
      </c>
      <c r="E88" s="39" t="inlineStr">
        <is>
          <t>Normal</t>
        </is>
      </c>
      <c r="F88" s="39" t="n">
        <v>10</v>
      </c>
      <c r="G88" s="39" t="inlineStr"/>
    </row>
    <row r="89">
      <c r="A89" s="39" t="inlineStr">
        <is>
          <t>Gauss Prime</t>
        </is>
      </c>
      <c r="B89" s="39" t="n">
        <v>3</v>
      </c>
      <c r="C89" s="39" t="inlineStr">
        <is>
          <t>Azure</t>
        </is>
      </c>
      <c r="D89" s="39" t="inlineStr">
        <is>
          <t>Armor</t>
        </is>
      </c>
      <c r="E89" s="39" t="inlineStr">
        <is>
          <t>Normal</t>
        </is>
      </c>
      <c r="F89" s="39" t="n">
        <v>150</v>
      </c>
      <c r="G89" s="39" t="inlineStr"/>
    </row>
    <row r="90">
      <c r="A90" s="39" t="inlineStr">
        <is>
          <t>Gauss Prime</t>
        </is>
      </c>
      <c r="B90" s="39" t="n">
        <v>4</v>
      </c>
      <c r="C90" s="39" t="inlineStr">
        <is>
          <t>Azure</t>
        </is>
      </c>
      <c r="D90" s="39" t="inlineStr">
        <is>
          <t>Shield Capacity</t>
        </is>
      </c>
      <c r="E90" s="39" t="inlineStr">
        <is>
          <t>Normal</t>
        </is>
      </c>
      <c r="F90" s="39" t="n">
        <v>150</v>
      </c>
      <c r="G90" s="39" t="inlineStr"/>
    </row>
    <row r="91">
      <c r="A91" s="39" t="inlineStr">
        <is>
          <t>Gauss Prime</t>
        </is>
      </c>
      <c r="B91" s="39" t="n">
        <v>5</v>
      </c>
      <c r="C91" s="39" t="inlineStr">
        <is>
          <t>Amber</t>
        </is>
      </c>
      <c r="D91" s="39" t="inlineStr">
        <is>
          <t>Casting Speed</t>
        </is>
      </c>
      <c r="E91" s="39" t="inlineStr">
        <is>
          <t>Normal</t>
        </is>
      </c>
      <c r="F91" s="39" t="n">
        <v>25</v>
      </c>
      <c r="G91" s="39" t="inlineStr"/>
    </row>
    <row r="92">
      <c r="A92" s="39" t="inlineStr">
        <is>
          <t>Grendel Prime</t>
        </is>
      </c>
      <c r="B92" s="39" t="n">
        <v>1</v>
      </c>
      <c r="C92" s="39" t="inlineStr">
        <is>
          <t>Crimson</t>
        </is>
      </c>
      <c r="D92" s="39" t="inlineStr">
        <is>
          <t>Ability Strength</t>
        </is>
      </c>
      <c r="E92" s="39" t="inlineStr">
        <is>
          <t>Tauforged</t>
        </is>
      </c>
      <c r="F92" s="39" t="n">
        <v>15</v>
      </c>
      <c r="G92" s="39" t="inlineStr"/>
    </row>
    <row r="93">
      <c r="A93" s="39" t="inlineStr">
        <is>
          <t>Grendel Prime</t>
        </is>
      </c>
      <c r="B93" s="39" t="n">
        <v>2</v>
      </c>
      <c r="C93" s="39" t="inlineStr">
        <is>
          <t>Crimson</t>
        </is>
      </c>
      <c r="D93" s="39" t="inlineStr">
        <is>
          <t>Ability Strength</t>
        </is>
      </c>
      <c r="E93" s="39" t="inlineStr">
        <is>
          <t>Normal</t>
        </is>
      </c>
      <c r="F93" s="39" t="n">
        <v>10</v>
      </c>
      <c r="G93" s="39" t="inlineStr"/>
    </row>
    <row r="94">
      <c r="A94" s="39" t="inlineStr">
        <is>
          <t>Grendel Prime</t>
        </is>
      </c>
      <c r="B94" s="39" t="n">
        <v>3</v>
      </c>
      <c r="C94" s="39" t="inlineStr">
        <is>
          <t>Azure</t>
        </is>
      </c>
      <c r="D94" s="39" t="inlineStr">
        <is>
          <t>Armor</t>
        </is>
      </c>
      <c r="E94" s="39" t="inlineStr">
        <is>
          <t>Normal</t>
        </is>
      </c>
      <c r="F94" s="39" t="n">
        <v>150</v>
      </c>
      <c r="G94" s="39" t="inlineStr"/>
    </row>
    <row r="95">
      <c r="A95" s="39" t="inlineStr">
        <is>
          <t>Grendel Prime</t>
        </is>
      </c>
      <c r="B95" s="39" t="n">
        <v>4</v>
      </c>
      <c r="C95" s="39" t="inlineStr">
        <is>
          <t>Azure</t>
        </is>
      </c>
      <c r="D95" s="39" t="inlineStr">
        <is>
          <t>Health</t>
        </is>
      </c>
      <c r="E95" s="39" t="inlineStr">
        <is>
          <t>Normal</t>
        </is>
      </c>
      <c r="F95" s="39" t="n">
        <v>150</v>
      </c>
      <c r="G95" s="39" t="inlineStr"/>
    </row>
    <row r="96">
      <c r="A96" s="39" t="inlineStr">
        <is>
          <t>Grendel Prime</t>
        </is>
      </c>
      <c r="B96" s="39" t="n">
        <v>5</v>
      </c>
      <c r="C96" s="39" t="inlineStr">
        <is>
          <t>Amber</t>
        </is>
      </c>
      <c r="D96" s="39" t="inlineStr">
        <is>
          <t>Casting Speed</t>
        </is>
      </c>
      <c r="E96" s="39" t="inlineStr">
        <is>
          <t>Normal</t>
        </is>
      </c>
      <c r="F96" s="39" t="n">
        <v>25</v>
      </c>
      <c r="G96" s="39" t="inlineStr"/>
    </row>
    <row r="97">
      <c r="A97" s="39" t="inlineStr">
        <is>
          <t>Gyre Prime</t>
        </is>
      </c>
      <c r="B97" s="39" t="n">
        <v>1</v>
      </c>
      <c r="C97" s="39" t="inlineStr">
        <is>
          <t>Crimson</t>
        </is>
      </c>
      <c r="D97" s="39" t="inlineStr">
        <is>
          <t>Ability Strength</t>
        </is>
      </c>
      <c r="E97" s="39" t="inlineStr">
        <is>
          <t>Tauforged</t>
        </is>
      </c>
      <c r="F97" s="39" t="n">
        <v>15</v>
      </c>
      <c r="G97" s="39" t="inlineStr"/>
    </row>
    <row r="98">
      <c r="A98" s="39" t="inlineStr">
        <is>
          <t>Gyre Prime</t>
        </is>
      </c>
      <c r="B98" s="39" t="n">
        <v>2</v>
      </c>
      <c r="C98" s="39" t="inlineStr">
        <is>
          <t>Violet</t>
        </is>
      </c>
      <c r="D98" s="39" t="inlineStr">
        <is>
          <t>Ability Damage vs Electricity</t>
        </is>
      </c>
      <c r="E98" s="39" t="inlineStr">
        <is>
          <t>Normal</t>
        </is>
      </c>
      <c r="F98" s="39" t="n">
        <v>10</v>
      </c>
      <c r="G98" s="39" t="inlineStr"/>
    </row>
    <row r="99">
      <c r="A99" s="39" t="inlineStr">
        <is>
          <t>Gyre Prime</t>
        </is>
      </c>
      <c r="B99" s="39" t="n">
        <v>3</v>
      </c>
      <c r="C99" s="39" t="inlineStr">
        <is>
          <t>Violet</t>
        </is>
      </c>
      <c r="D99" s="39" t="inlineStr">
        <is>
          <t>Ability Damage vs Electricity</t>
        </is>
      </c>
      <c r="E99" s="39" t="inlineStr">
        <is>
          <t>Normal</t>
        </is>
      </c>
      <c r="F99" s="39" t="n">
        <v>10</v>
      </c>
      <c r="G99" s="39" t="inlineStr"/>
    </row>
    <row r="100">
      <c r="A100" s="39" t="inlineStr">
        <is>
          <t>Gyre Prime</t>
        </is>
      </c>
      <c r="B100" s="39" t="n">
        <v>4</v>
      </c>
      <c r="C100" s="39" t="inlineStr">
        <is>
          <t>Azure</t>
        </is>
      </c>
      <c r="D100" s="39" t="inlineStr">
        <is>
          <t>Shield Capacity</t>
        </is>
      </c>
      <c r="E100" s="39" t="inlineStr">
        <is>
          <t>Normal</t>
        </is>
      </c>
      <c r="F100" s="39" t="n">
        <v>150</v>
      </c>
      <c r="G100" s="39" t="inlineStr"/>
    </row>
    <row r="101">
      <c r="A101" s="39" t="inlineStr">
        <is>
          <t>Gyre Prime</t>
        </is>
      </c>
      <c r="B101" s="39" t="n">
        <v>5</v>
      </c>
      <c r="C101" s="39" t="inlineStr">
        <is>
          <t>Amber</t>
        </is>
      </c>
      <c r="D101" s="39" t="inlineStr">
        <is>
          <t>Casting Speed</t>
        </is>
      </c>
      <c r="E101" s="39" t="inlineStr">
        <is>
          <t>Normal</t>
        </is>
      </c>
      <c r="F101" s="39" t="n">
        <v>25</v>
      </c>
      <c r="G101" s="39" t="inlineStr"/>
    </row>
    <row r="102">
      <c r="A102" s="39" t="inlineStr">
        <is>
          <t>Harrow Prime</t>
        </is>
      </c>
      <c r="B102" s="39" t="n">
        <v>1</v>
      </c>
      <c r="C102" s="39" t="inlineStr">
        <is>
          <t>Crimson</t>
        </is>
      </c>
      <c r="D102" s="39" t="inlineStr">
        <is>
          <t>Ability Strength</t>
        </is>
      </c>
      <c r="E102" s="39" t="inlineStr">
        <is>
          <t>Tauforged</t>
        </is>
      </c>
      <c r="F102" s="39" t="n">
        <v>15</v>
      </c>
      <c r="G102" s="39" t="inlineStr"/>
    </row>
    <row r="103">
      <c r="A103" s="39" t="inlineStr">
        <is>
          <t>Harrow Prime</t>
        </is>
      </c>
      <c r="B103" s="39" t="n">
        <v>2</v>
      </c>
      <c r="C103" s="39" t="inlineStr">
        <is>
          <t>Crimson</t>
        </is>
      </c>
      <c r="D103" s="39" t="inlineStr">
        <is>
          <t>Ability Strength</t>
        </is>
      </c>
      <c r="E103" s="39" t="inlineStr">
        <is>
          <t>Normal</t>
        </is>
      </c>
      <c r="F103" s="39" t="n">
        <v>10</v>
      </c>
      <c r="G103" s="39" t="inlineStr">
        <is>
          <t>support</t>
        </is>
      </c>
    </row>
    <row r="104">
      <c r="A104" s="39" t="inlineStr">
        <is>
          <t>Harrow Prime</t>
        </is>
      </c>
      <c r="B104" s="39" t="n">
        <v>3</v>
      </c>
      <c r="C104" s="39" t="inlineStr">
        <is>
          <t>Crimson</t>
        </is>
      </c>
      <c r="D104" s="39" t="inlineStr">
        <is>
          <t>Ability Duration</t>
        </is>
      </c>
      <c r="E104" s="39" t="inlineStr">
        <is>
          <t>Normal</t>
        </is>
      </c>
      <c r="F104" s="39" t="n">
        <v>10</v>
      </c>
      <c r="G104" s="39" t="inlineStr"/>
    </row>
    <row r="105">
      <c r="A105" s="39" t="inlineStr">
        <is>
          <t>Harrow Prime</t>
        </is>
      </c>
      <c r="B105" s="39" t="n">
        <v>4</v>
      </c>
      <c r="C105" s="39" t="inlineStr">
        <is>
          <t>Azure</t>
        </is>
      </c>
      <c r="D105" s="39" t="inlineStr">
        <is>
          <t>Shield Capacity</t>
        </is>
      </c>
      <c r="E105" s="39" t="inlineStr">
        <is>
          <t>Normal</t>
        </is>
      </c>
      <c r="F105" s="39" t="n">
        <v>150</v>
      </c>
      <c r="G105" s="39" t="inlineStr"/>
    </row>
    <row r="106">
      <c r="A106" s="39" t="inlineStr">
        <is>
          <t>Harrow Prime</t>
        </is>
      </c>
      <c r="B106" s="39" t="n">
        <v>5</v>
      </c>
      <c r="C106" s="39" t="inlineStr">
        <is>
          <t>Amber</t>
        </is>
      </c>
      <c r="D106" s="39" t="inlineStr">
        <is>
          <t>Casting Speed</t>
        </is>
      </c>
      <c r="E106" s="39" t="inlineStr">
        <is>
          <t>Normal</t>
        </is>
      </c>
      <c r="F106" s="39" t="n">
        <v>25</v>
      </c>
      <c r="G106" s="39" t="inlineStr"/>
    </row>
    <row r="107">
      <c r="A107" s="39" t="inlineStr">
        <is>
          <t>Hildryn Prime</t>
        </is>
      </c>
      <c r="B107" s="39" t="n">
        <v>1</v>
      </c>
      <c r="C107" s="39" t="inlineStr">
        <is>
          <t>Crimson</t>
        </is>
      </c>
      <c r="D107" s="39" t="inlineStr">
        <is>
          <t>Ability Strength</t>
        </is>
      </c>
      <c r="E107" s="39" t="inlineStr">
        <is>
          <t>Tauforged</t>
        </is>
      </c>
      <c r="F107" s="39" t="n">
        <v>15</v>
      </c>
      <c r="G107" s="39" t="inlineStr"/>
    </row>
    <row r="108">
      <c r="A108" s="39" t="inlineStr">
        <is>
          <t>Hildryn Prime</t>
        </is>
      </c>
      <c r="B108" s="39" t="n">
        <v>2</v>
      </c>
      <c r="C108" s="39" t="inlineStr">
        <is>
          <t>Crimson</t>
        </is>
      </c>
      <c r="D108" s="39" t="inlineStr">
        <is>
          <t>Ability Strength</t>
        </is>
      </c>
      <c r="E108" s="39" t="inlineStr">
        <is>
          <t>Normal</t>
        </is>
      </c>
      <c r="F108" s="39" t="n">
        <v>10</v>
      </c>
      <c r="G108" s="39" t="inlineStr">
        <is>
          <t>shield-scaling via Expertise uses Str but shields from Azure</t>
        </is>
      </c>
    </row>
    <row r="109">
      <c r="A109" s="39" t="inlineStr">
        <is>
          <t>Hildryn Prime</t>
        </is>
      </c>
      <c r="B109" s="39" t="n">
        <v>3</v>
      </c>
      <c r="C109" s="39" t="inlineStr">
        <is>
          <t>Azure</t>
        </is>
      </c>
      <c r="D109" s="39" t="inlineStr">
        <is>
          <t>Shield Capacity</t>
        </is>
      </c>
      <c r="E109" s="39" t="inlineStr">
        <is>
          <t>Normal</t>
        </is>
      </c>
      <c r="F109" s="39" t="n">
        <v>150</v>
      </c>
      <c r="G109" s="39" t="inlineStr"/>
    </row>
    <row r="110">
      <c r="A110" s="39" t="inlineStr">
        <is>
          <t>Hildryn Prime</t>
        </is>
      </c>
      <c r="B110" s="39" t="n">
        <v>4</v>
      </c>
      <c r="C110" s="39" t="inlineStr">
        <is>
          <t>Azure</t>
        </is>
      </c>
      <c r="D110" s="39" t="inlineStr">
        <is>
          <t>Shield Capacity</t>
        </is>
      </c>
      <c r="E110" s="39" t="inlineStr">
        <is>
          <t>Normal</t>
        </is>
      </c>
      <c r="F110" s="39" t="n">
        <v>150</v>
      </c>
      <c r="G110" s="39" t="inlineStr"/>
    </row>
    <row r="111">
      <c r="A111" s="39" t="inlineStr">
        <is>
          <t>Hildryn Prime</t>
        </is>
      </c>
      <c r="B111" s="39" t="n">
        <v>5</v>
      </c>
      <c r="C111" s="39" t="inlineStr">
        <is>
          <t>Azure</t>
        </is>
      </c>
      <c r="D111" s="39" t="inlineStr">
        <is>
          <t>Shield Capacity</t>
        </is>
      </c>
      <c r="E111" s="39" t="inlineStr">
        <is>
          <t>Normal</t>
        </is>
      </c>
      <c r="F111" s="39" t="n">
        <v>150</v>
      </c>
      <c r="G111" s="39" t="inlineStr"/>
    </row>
    <row r="112">
      <c r="A112" s="39" t="inlineStr">
        <is>
          <t>Hydroid Prime</t>
        </is>
      </c>
      <c r="B112" s="39" t="n">
        <v>1</v>
      </c>
      <c r="C112" s="39" t="inlineStr">
        <is>
          <t>Crimson</t>
        </is>
      </c>
      <c r="D112" s="39" t="inlineStr">
        <is>
          <t>Ability Strength</t>
        </is>
      </c>
      <c r="E112" s="39" t="inlineStr">
        <is>
          <t>Tauforged</t>
        </is>
      </c>
      <c r="F112" s="39" t="n">
        <v>15</v>
      </c>
      <c r="G112" s="39" t="inlineStr"/>
    </row>
    <row r="113">
      <c r="A113" s="39" t="inlineStr">
        <is>
          <t>Hydroid Prime</t>
        </is>
      </c>
      <c r="B113" s="39" t="n">
        <v>2</v>
      </c>
      <c r="C113" s="39" t="inlineStr">
        <is>
          <t>Crimson</t>
        </is>
      </c>
      <c r="D113" s="39" t="inlineStr">
        <is>
          <t>Ability Strength</t>
        </is>
      </c>
      <c r="E113" s="39" t="inlineStr">
        <is>
          <t>Normal</t>
        </is>
      </c>
      <c r="F113" s="39" t="n">
        <v>10</v>
      </c>
      <c r="G113" s="39" t="inlineStr"/>
    </row>
    <row r="114">
      <c r="A114" s="39" t="inlineStr">
        <is>
          <t>Hydroid Prime</t>
        </is>
      </c>
      <c r="B114" s="39" t="n">
        <v>3</v>
      </c>
      <c r="C114" s="39" t="inlineStr">
        <is>
          <t>Emerald</t>
        </is>
      </c>
      <c r="D114" s="39" t="inlineStr">
        <is>
          <t>Ability Damage vs Corrosion</t>
        </is>
      </c>
      <c r="E114" s="39" t="inlineStr">
        <is>
          <t>Normal</t>
        </is>
      </c>
      <c r="F114" s="39" t="n">
        <v>10</v>
      </c>
      <c r="G114" s="39" t="inlineStr"/>
    </row>
    <row r="115">
      <c r="A115" s="39" t="inlineStr">
        <is>
          <t>Hydroid Prime</t>
        </is>
      </c>
      <c r="B115" s="39" t="n">
        <v>4</v>
      </c>
      <c r="C115" s="39" t="inlineStr">
        <is>
          <t>Azure</t>
        </is>
      </c>
      <c r="D115" s="39" t="inlineStr">
        <is>
          <t>Armor</t>
        </is>
      </c>
      <c r="E115" s="39" t="inlineStr">
        <is>
          <t>Normal</t>
        </is>
      </c>
      <c r="F115" s="39" t="n">
        <v>150</v>
      </c>
      <c r="G115" s="39" t="inlineStr"/>
    </row>
    <row r="116">
      <c r="A116" s="39" t="inlineStr">
        <is>
          <t>Hydroid Prime</t>
        </is>
      </c>
      <c r="B116" s="39" t="n">
        <v>5</v>
      </c>
      <c r="C116" s="39" t="inlineStr">
        <is>
          <t>Amber</t>
        </is>
      </c>
      <c r="D116" s="39" t="inlineStr">
        <is>
          <t>Casting Speed</t>
        </is>
      </c>
      <c r="E116" s="39" t="inlineStr">
        <is>
          <t>Normal</t>
        </is>
      </c>
      <c r="F116" s="39" t="n">
        <v>25</v>
      </c>
      <c r="G116" s="39" t="inlineStr"/>
    </row>
    <row r="117">
      <c r="A117" s="39" t="inlineStr">
        <is>
          <t>Inaros Prime</t>
        </is>
      </c>
      <c r="B117" s="39" t="n">
        <v>1</v>
      </c>
      <c r="C117" s="39" t="inlineStr">
        <is>
          <t>Crimson</t>
        </is>
      </c>
      <c r="D117" s="39" t="inlineStr">
        <is>
          <t>Ability Strength</t>
        </is>
      </c>
      <c r="E117" s="39" t="inlineStr">
        <is>
          <t>Tauforged</t>
        </is>
      </c>
      <c r="F117" s="39" t="n">
        <v>15</v>
      </c>
      <c r="G117" s="39" t="inlineStr"/>
    </row>
    <row r="118">
      <c r="A118" s="39" t="inlineStr">
        <is>
          <t>Inaros Prime</t>
        </is>
      </c>
      <c r="B118" s="39" t="n">
        <v>2</v>
      </c>
      <c r="C118" s="39" t="inlineStr">
        <is>
          <t>Azure</t>
        </is>
      </c>
      <c r="D118" s="39" t="inlineStr">
        <is>
          <t>Health</t>
        </is>
      </c>
      <c r="E118" s="39" t="inlineStr">
        <is>
          <t>Normal</t>
        </is>
      </c>
      <c r="F118" s="39" t="n">
        <v>150</v>
      </c>
      <c r="G118" s="39" t="inlineStr"/>
    </row>
    <row r="119">
      <c r="A119" s="39" t="inlineStr">
        <is>
          <t>Inaros Prime</t>
        </is>
      </c>
      <c r="B119" s="39" t="n">
        <v>3</v>
      </c>
      <c r="C119" s="39" t="inlineStr">
        <is>
          <t>Azure</t>
        </is>
      </c>
      <c r="D119" s="39" t="inlineStr">
        <is>
          <t>Health</t>
        </is>
      </c>
      <c r="E119" s="39" t="inlineStr">
        <is>
          <t>Normal</t>
        </is>
      </c>
      <c r="F119" s="39" t="n">
        <v>150</v>
      </c>
      <c r="G119" s="39" t="inlineStr"/>
    </row>
    <row r="120">
      <c r="A120" s="39" t="inlineStr">
        <is>
          <t>Inaros Prime</t>
        </is>
      </c>
      <c r="B120" s="39" t="n">
        <v>4</v>
      </c>
      <c r="C120" s="39" t="inlineStr">
        <is>
          <t>Azure</t>
        </is>
      </c>
      <c r="D120" s="39" t="inlineStr">
        <is>
          <t>Armor</t>
        </is>
      </c>
      <c r="E120" s="39" t="inlineStr">
        <is>
          <t>Normal</t>
        </is>
      </c>
      <c r="F120" s="39" t="n">
        <v>150</v>
      </c>
      <c r="G120" s="39" t="inlineStr"/>
    </row>
    <row r="121">
      <c r="A121" s="39" t="inlineStr">
        <is>
          <t>Inaros Prime</t>
        </is>
      </c>
      <c r="B121" s="39" t="n">
        <v>5</v>
      </c>
      <c r="C121" s="39" t="inlineStr">
        <is>
          <t>Azure</t>
        </is>
      </c>
      <c r="D121" s="39" t="inlineStr">
        <is>
          <t>Armor</t>
        </is>
      </c>
      <c r="E121" s="39" t="inlineStr">
        <is>
          <t>Normal</t>
        </is>
      </c>
      <c r="F121" s="39" t="n">
        <v>150</v>
      </c>
      <c r="G121" s="39" t="inlineStr"/>
    </row>
    <row r="122">
      <c r="A122" s="39" t="inlineStr">
        <is>
          <t>Ivara Prime</t>
        </is>
      </c>
      <c r="B122" s="39" t="n">
        <v>1</v>
      </c>
      <c r="C122" s="39" t="inlineStr">
        <is>
          <t>Crimson</t>
        </is>
      </c>
      <c r="D122" s="39" t="inlineStr">
        <is>
          <t>Ability Strength</t>
        </is>
      </c>
      <c r="E122" s="39" t="inlineStr">
        <is>
          <t>Tauforged</t>
        </is>
      </c>
      <c r="F122" s="39" t="n">
        <v>15</v>
      </c>
      <c r="G122" s="39" t="inlineStr"/>
    </row>
    <row r="123">
      <c r="A123" s="39" t="inlineStr">
        <is>
          <t>Ivara Prime</t>
        </is>
      </c>
      <c r="B123" s="39" t="n">
        <v>2</v>
      </c>
      <c r="C123" s="39" t="inlineStr">
        <is>
          <t>Crimson</t>
        </is>
      </c>
      <c r="D123" s="39" t="inlineStr">
        <is>
          <t>Ability Strength</t>
        </is>
      </c>
      <c r="E123" s="39" t="inlineStr">
        <is>
          <t>Normal</t>
        </is>
      </c>
      <c r="F123" s="39" t="n">
        <v>10</v>
      </c>
      <c r="G123" s="39" t="inlineStr"/>
    </row>
    <row r="124">
      <c r="A124" s="39" t="inlineStr">
        <is>
          <t>Ivara Prime</t>
        </is>
      </c>
      <c r="B124" s="39" t="n">
        <v>3</v>
      </c>
      <c r="C124" s="39" t="inlineStr">
        <is>
          <t>Crimson</t>
        </is>
      </c>
      <c r="D124" s="39" t="inlineStr">
        <is>
          <t>Ability Duration</t>
        </is>
      </c>
      <c r="E124" s="39" t="inlineStr">
        <is>
          <t>Normal</t>
        </is>
      </c>
      <c r="F124" s="39" t="n">
        <v>10</v>
      </c>
      <c r="G124" s="39" t="inlineStr"/>
    </row>
    <row r="125">
      <c r="A125" s="39" t="inlineStr">
        <is>
          <t>Ivara Prime</t>
        </is>
      </c>
      <c r="B125" s="39" t="n">
        <v>4</v>
      </c>
      <c r="C125" s="39" t="inlineStr">
        <is>
          <t>Azure</t>
        </is>
      </c>
      <c r="D125" s="39" t="inlineStr">
        <is>
          <t>Armor</t>
        </is>
      </c>
      <c r="E125" s="39" t="inlineStr">
        <is>
          <t>Normal</t>
        </is>
      </c>
      <c r="F125" s="39" t="n">
        <v>150</v>
      </c>
      <c r="G125" s="39" t="inlineStr"/>
    </row>
    <row r="126">
      <c r="A126" s="39" t="inlineStr">
        <is>
          <t>Ivara Prime</t>
        </is>
      </c>
      <c r="B126" s="39" t="n">
        <v>5</v>
      </c>
      <c r="C126" s="39" t="inlineStr">
        <is>
          <t>Amber</t>
        </is>
      </c>
      <c r="D126" s="39" t="inlineStr">
        <is>
          <t>Casting Speed</t>
        </is>
      </c>
      <c r="E126" s="39" t="inlineStr">
        <is>
          <t>Normal</t>
        </is>
      </c>
      <c r="F126" s="39" t="n">
        <v>25</v>
      </c>
      <c r="G126" s="39" t="inlineStr"/>
    </row>
    <row r="127">
      <c r="A127" s="39" t="inlineStr">
        <is>
          <t>Jade</t>
        </is>
      </c>
      <c r="B127" s="39" t="n">
        <v>1</v>
      </c>
      <c r="C127" s="39" t="inlineStr">
        <is>
          <t>Crimson</t>
        </is>
      </c>
      <c r="D127" s="39" t="inlineStr">
        <is>
          <t>Ability Strength</t>
        </is>
      </c>
      <c r="E127" s="39" t="inlineStr">
        <is>
          <t>Tauforged</t>
        </is>
      </c>
      <c r="F127" s="39" t="n">
        <v>15</v>
      </c>
      <c r="G127" s="39" t="inlineStr"/>
    </row>
    <row r="128">
      <c r="A128" s="39" t="inlineStr">
        <is>
          <t>Jade</t>
        </is>
      </c>
      <c r="B128" s="39" t="n">
        <v>2</v>
      </c>
      <c r="C128" s="39" t="inlineStr">
        <is>
          <t>Crimson</t>
        </is>
      </c>
      <c r="D128" s="39" t="inlineStr">
        <is>
          <t>Ability Strength</t>
        </is>
      </c>
      <c r="E128" s="39" t="inlineStr">
        <is>
          <t>Normal</t>
        </is>
      </c>
      <c r="F128" s="39" t="n">
        <v>10</v>
      </c>
      <c r="G128" s="39" t="inlineStr"/>
    </row>
    <row r="129">
      <c r="A129" s="39" t="inlineStr">
        <is>
          <t>Jade</t>
        </is>
      </c>
      <c r="B129" s="39" t="n">
        <v>3</v>
      </c>
      <c r="C129" s="39" t="inlineStr">
        <is>
          <t>Crimson</t>
        </is>
      </c>
      <c r="D129" s="39" t="inlineStr">
        <is>
          <t>Ability Duration</t>
        </is>
      </c>
      <c r="E129" s="39" t="inlineStr">
        <is>
          <t>Normal</t>
        </is>
      </c>
      <c r="F129" s="39" t="n">
        <v>10</v>
      </c>
      <c r="G129" s="39" t="inlineStr"/>
    </row>
    <row r="130">
      <c r="A130" s="39" t="inlineStr">
        <is>
          <t>Jade</t>
        </is>
      </c>
      <c r="B130" s="39" t="n">
        <v>4</v>
      </c>
      <c r="C130" s="39" t="inlineStr">
        <is>
          <t>Azure</t>
        </is>
      </c>
      <c r="D130" s="39" t="inlineStr">
        <is>
          <t>Armor</t>
        </is>
      </c>
      <c r="E130" s="39" t="inlineStr">
        <is>
          <t>Normal</t>
        </is>
      </c>
      <c r="F130" s="39" t="n">
        <v>150</v>
      </c>
      <c r="G130" s="39" t="inlineStr"/>
    </row>
    <row r="131">
      <c r="A131" s="39" t="inlineStr">
        <is>
          <t>Jade</t>
        </is>
      </c>
      <c r="B131" s="39" t="n">
        <v>5</v>
      </c>
      <c r="C131" s="39" t="inlineStr">
        <is>
          <t>Amber</t>
        </is>
      </c>
      <c r="D131" s="39" t="inlineStr">
        <is>
          <t>Casting Speed</t>
        </is>
      </c>
      <c r="E131" s="39" t="inlineStr">
        <is>
          <t>Normal</t>
        </is>
      </c>
      <c r="F131" s="39" t="n">
        <v>25</v>
      </c>
      <c r="G131" s="39" t="inlineStr"/>
    </row>
    <row r="132">
      <c r="A132" s="39" t="inlineStr">
        <is>
          <t>Khora Prime</t>
        </is>
      </c>
      <c r="B132" s="39" t="n">
        <v>1</v>
      </c>
      <c r="C132" s="39" t="inlineStr">
        <is>
          <t>Crimson</t>
        </is>
      </c>
      <c r="D132" s="39" t="inlineStr">
        <is>
          <t>Ability Strength</t>
        </is>
      </c>
      <c r="E132" s="39" t="inlineStr">
        <is>
          <t>Tauforged</t>
        </is>
      </c>
      <c r="F132" s="39" t="n">
        <v>15</v>
      </c>
      <c r="G132" s="39" t="inlineStr"/>
    </row>
    <row r="133">
      <c r="A133" s="39" t="inlineStr">
        <is>
          <t>Khora Prime</t>
        </is>
      </c>
      <c r="B133" s="39" t="n">
        <v>2</v>
      </c>
      <c r="C133" s="39" t="inlineStr">
        <is>
          <t>Crimson</t>
        </is>
      </c>
      <c r="D133" s="39" t="inlineStr">
        <is>
          <t>Ability Strength</t>
        </is>
      </c>
      <c r="E133" s="39" t="inlineStr">
        <is>
          <t>Normal</t>
        </is>
      </c>
      <c r="F133" s="39" t="n">
        <v>10</v>
      </c>
      <c r="G133" s="39" t="inlineStr"/>
    </row>
    <row r="134">
      <c r="A134" s="39" t="inlineStr">
        <is>
          <t>Khora Prime</t>
        </is>
      </c>
      <c r="B134" s="39" t="n">
        <v>3</v>
      </c>
      <c r="C134" s="39" t="inlineStr">
        <is>
          <t>Crimson</t>
        </is>
      </c>
      <c r="D134" s="39" t="inlineStr">
        <is>
          <t>Melee Critical Damage</t>
        </is>
      </c>
      <c r="E134" s="39" t="inlineStr">
        <is>
          <t>Normal</t>
        </is>
      </c>
      <c r="F134" s="39" t="n">
        <v>25</v>
      </c>
      <c r="G134" s="39" t="inlineStr"/>
    </row>
    <row r="135">
      <c r="A135" s="39" t="inlineStr">
        <is>
          <t>Khora Prime</t>
        </is>
      </c>
      <c r="B135" s="39" t="n">
        <v>4</v>
      </c>
      <c r="C135" s="39" t="inlineStr">
        <is>
          <t>Azure</t>
        </is>
      </c>
      <c r="D135" s="39" t="inlineStr">
        <is>
          <t>Armor</t>
        </is>
      </c>
      <c r="E135" s="39" t="inlineStr">
        <is>
          <t>Normal</t>
        </is>
      </c>
      <c r="F135" s="39" t="n">
        <v>150</v>
      </c>
      <c r="G135" s="39" t="inlineStr"/>
    </row>
    <row r="136">
      <c r="A136" s="39" t="inlineStr">
        <is>
          <t>Khora Prime</t>
        </is>
      </c>
      <c r="B136" s="39" t="n">
        <v>5</v>
      </c>
      <c r="C136" s="39" t="inlineStr">
        <is>
          <t>Amber</t>
        </is>
      </c>
      <c r="D136" s="39" t="inlineStr">
        <is>
          <t>Casting Speed</t>
        </is>
      </c>
      <c r="E136" s="39" t="inlineStr">
        <is>
          <t>Normal</t>
        </is>
      </c>
      <c r="F136" s="39" t="n">
        <v>25</v>
      </c>
      <c r="G136" s="39" t="inlineStr"/>
    </row>
    <row r="137">
      <c r="A137" s="39" t="inlineStr">
        <is>
          <t>Koumei</t>
        </is>
      </c>
      <c r="B137" s="39" t="n">
        <v>1</v>
      </c>
      <c r="C137" s="39" t="inlineStr">
        <is>
          <t>Crimson</t>
        </is>
      </c>
      <c r="D137" s="39" t="inlineStr">
        <is>
          <t>Ability Strength</t>
        </is>
      </c>
      <c r="E137" s="39" t="inlineStr">
        <is>
          <t>Tauforged</t>
        </is>
      </c>
      <c r="F137" s="39" t="n">
        <v>15</v>
      </c>
      <c r="G137" s="39" t="inlineStr"/>
    </row>
    <row r="138">
      <c r="A138" s="39" t="inlineStr">
        <is>
          <t>Koumei</t>
        </is>
      </c>
      <c r="B138" s="39" t="n">
        <v>2</v>
      </c>
      <c r="C138" s="39" t="inlineStr">
        <is>
          <t>Crimson</t>
        </is>
      </c>
      <c r="D138" s="39" t="inlineStr">
        <is>
          <t>Ability Strength</t>
        </is>
      </c>
      <c r="E138" s="39" t="inlineStr">
        <is>
          <t>Normal</t>
        </is>
      </c>
      <c r="F138" s="39" t="n">
        <v>10</v>
      </c>
      <c r="G138" s="39" t="inlineStr">
        <is>
          <t>luck caster</t>
        </is>
      </c>
    </row>
    <row r="139">
      <c r="A139" s="39" t="inlineStr">
        <is>
          <t>Koumei</t>
        </is>
      </c>
      <c r="B139" s="39" t="n">
        <v>3</v>
      </c>
      <c r="C139" s="39" t="inlineStr">
        <is>
          <t>Crimson</t>
        </is>
      </c>
      <c r="D139" s="39" t="inlineStr">
        <is>
          <t>Ability Duration</t>
        </is>
      </c>
      <c r="E139" s="39" t="inlineStr">
        <is>
          <t>Normal</t>
        </is>
      </c>
      <c r="F139" s="39" t="n">
        <v>10</v>
      </c>
      <c r="G139" s="39" t="inlineStr"/>
    </row>
    <row r="140">
      <c r="A140" s="39" t="inlineStr">
        <is>
          <t>Koumei</t>
        </is>
      </c>
      <c r="B140" s="39" t="n">
        <v>4</v>
      </c>
      <c r="C140" s="39" t="inlineStr">
        <is>
          <t>Azure</t>
        </is>
      </c>
      <c r="D140" s="39" t="inlineStr">
        <is>
          <t>Armor</t>
        </is>
      </c>
      <c r="E140" s="39" t="inlineStr">
        <is>
          <t>Normal</t>
        </is>
      </c>
      <c r="F140" s="39" t="n">
        <v>150</v>
      </c>
      <c r="G140" s="39" t="inlineStr"/>
    </row>
    <row r="141">
      <c r="A141" s="39" t="inlineStr">
        <is>
          <t>Koumei</t>
        </is>
      </c>
      <c r="B141" s="39" t="n">
        <v>5</v>
      </c>
      <c r="C141" s="39" t="inlineStr">
        <is>
          <t>Amber</t>
        </is>
      </c>
      <c r="D141" s="39" t="inlineStr">
        <is>
          <t>Casting Speed</t>
        </is>
      </c>
      <c r="E141" s="39" t="inlineStr">
        <is>
          <t>Normal</t>
        </is>
      </c>
      <c r="F141" s="39" t="n">
        <v>25</v>
      </c>
      <c r="G141" s="39" t="inlineStr"/>
    </row>
    <row r="142">
      <c r="A142" s="39" t="inlineStr">
        <is>
          <t>Kullervo</t>
        </is>
      </c>
      <c r="B142" s="39" t="n">
        <v>1</v>
      </c>
      <c r="C142" s="39" t="inlineStr">
        <is>
          <t>Crimson</t>
        </is>
      </c>
      <c r="D142" s="39" t="inlineStr">
        <is>
          <t>Ability Strength</t>
        </is>
      </c>
      <c r="E142" s="39" t="inlineStr">
        <is>
          <t>Tauforged</t>
        </is>
      </c>
      <c r="F142" s="39" t="n">
        <v>15</v>
      </c>
      <c r="G142" s="39" t="inlineStr"/>
    </row>
    <row r="143">
      <c r="A143" s="39" t="inlineStr">
        <is>
          <t>Kullervo</t>
        </is>
      </c>
      <c r="B143" s="39" t="n">
        <v>2</v>
      </c>
      <c r="C143" s="39" t="inlineStr">
        <is>
          <t>Crimson</t>
        </is>
      </c>
      <c r="D143" s="39" t="inlineStr">
        <is>
          <t>Melee Critical Damage</t>
        </is>
      </c>
      <c r="E143" s="39" t="inlineStr">
        <is>
          <t>Tauforged</t>
        </is>
      </c>
      <c r="F143" s="39" t="n">
        <v>37.5</v>
      </c>
      <c r="G143" s="39" t="inlineStr"/>
    </row>
    <row r="144">
      <c r="A144" s="39" t="inlineStr">
        <is>
          <t>Kullervo</t>
        </is>
      </c>
      <c r="B144" s="39" t="n">
        <v>3</v>
      </c>
      <c r="C144" s="39" t="inlineStr">
        <is>
          <t>Crimson</t>
        </is>
      </c>
      <c r="D144" s="39" t="inlineStr">
        <is>
          <t>Melee Critical Damage</t>
        </is>
      </c>
      <c r="E144" s="39" t="inlineStr">
        <is>
          <t>Normal</t>
        </is>
      </c>
      <c r="F144" s="39" t="n">
        <v>25</v>
      </c>
      <c r="G144" s="39" t="inlineStr"/>
    </row>
    <row r="145">
      <c r="A145" s="39" t="inlineStr">
        <is>
          <t>Kullervo</t>
        </is>
      </c>
      <c r="B145" s="39" t="n">
        <v>4</v>
      </c>
      <c r="C145" s="39" t="inlineStr">
        <is>
          <t>Azure</t>
        </is>
      </c>
      <c r="D145" s="39" t="inlineStr">
        <is>
          <t>Health</t>
        </is>
      </c>
      <c r="E145" s="39" t="inlineStr">
        <is>
          <t>Normal</t>
        </is>
      </c>
      <c r="F145" s="39" t="n">
        <v>150</v>
      </c>
      <c r="G145" s="39" t="inlineStr"/>
    </row>
    <row r="146">
      <c r="A146" s="39" t="inlineStr">
        <is>
          <t>Kullervo</t>
        </is>
      </c>
      <c r="B146" s="39" t="n">
        <v>5</v>
      </c>
      <c r="C146" s="39" t="inlineStr">
        <is>
          <t>Azure</t>
        </is>
      </c>
      <c r="D146" s="39" t="inlineStr">
        <is>
          <t>Armor</t>
        </is>
      </c>
      <c r="E146" s="39" t="inlineStr">
        <is>
          <t>Normal</t>
        </is>
      </c>
      <c r="F146" s="39" t="n">
        <v>150</v>
      </c>
      <c r="G146" s="39" t="inlineStr"/>
    </row>
    <row r="147">
      <c r="A147" s="39" t="inlineStr">
        <is>
          <t>Lavos Prime</t>
        </is>
      </c>
      <c r="B147" s="39" t="n">
        <v>1</v>
      </c>
      <c r="C147" s="39" t="inlineStr">
        <is>
          <t>Crimson</t>
        </is>
      </c>
      <c r="D147" s="39" t="inlineStr">
        <is>
          <t>Ability Strength</t>
        </is>
      </c>
      <c r="E147" s="39" t="inlineStr">
        <is>
          <t>Tauforged</t>
        </is>
      </c>
      <c r="F147" s="39" t="n">
        <v>15</v>
      </c>
      <c r="G147" s="39" t="inlineStr"/>
    </row>
    <row r="148">
      <c r="A148" s="39" t="inlineStr">
        <is>
          <t>Lavos Prime</t>
        </is>
      </c>
      <c r="B148" s="39" t="n">
        <v>2</v>
      </c>
      <c r="C148" s="39" t="inlineStr">
        <is>
          <t>Crimson</t>
        </is>
      </c>
      <c r="D148" s="39" t="inlineStr">
        <is>
          <t>Ability Strength</t>
        </is>
      </c>
      <c r="E148" s="39" t="inlineStr">
        <is>
          <t>Normal</t>
        </is>
      </c>
      <c r="F148" s="39" t="n">
        <v>10</v>
      </c>
      <c r="G148" s="39" t="inlineStr">
        <is>
          <t>cooldown build</t>
        </is>
      </c>
    </row>
    <row r="149">
      <c r="A149" s="39" t="inlineStr">
        <is>
          <t>Lavos Prime</t>
        </is>
      </c>
      <c r="B149" s="39" t="n">
        <v>3</v>
      </c>
      <c r="C149" s="39" t="inlineStr">
        <is>
          <t>Azure</t>
        </is>
      </c>
      <c r="D149" s="39" t="inlineStr">
        <is>
          <t>Armor</t>
        </is>
      </c>
      <c r="E149" s="39" t="inlineStr">
        <is>
          <t>Normal</t>
        </is>
      </c>
      <c r="F149" s="39" t="n">
        <v>150</v>
      </c>
      <c r="G149" s="39" t="inlineStr"/>
    </row>
    <row r="150">
      <c r="A150" s="39" t="inlineStr">
        <is>
          <t>Lavos Prime</t>
        </is>
      </c>
      <c r="B150" s="39" t="n">
        <v>4</v>
      </c>
      <c r="C150" s="39" t="inlineStr">
        <is>
          <t>Azure</t>
        </is>
      </c>
      <c r="D150" s="39" t="inlineStr">
        <is>
          <t>Health</t>
        </is>
      </c>
      <c r="E150" s="39" t="inlineStr">
        <is>
          <t>Normal</t>
        </is>
      </c>
      <c r="F150" s="39" t="n">
        <v>150</v>
      </c>
      <c r="G150" s="39" t="inlineStr"/>
    </row>
    <row r="151">
      <c r="A151" s="39" t="inlineStr">
        <is>
          <t>Lavos Prime</t>
        </is>
      </c>
      <c r="B151" s="39" t="n">
        <v>5</v>
      </c>
      <c r="C151" s="39" t="inlineStr">
        <is>
          <t>Azure</t>
        </is>
      </c>
      <c r="D151" s="39" t="inlineStr">
        <is>
          <t>Health</t>
        </is>
      </c>
      <c r="E151" s="39" t="inlineStr">
        <is>
          <t>Normal</t>
        </is>
      </c>
      <c r="F151" s="39" t="n">
        <v>150</v>
      </c>
      <c r="G151" s="39" t="inlineStr"/>
    </row>
    <row r="152">
      <c r="A152" s="39" t="inlineStr">
        <is>
          <t>Limbo Prime</t>
        </is>
      </c>
      <c r="B152" s="39" t="n">
        <v>1</v>
      </c>
      <c r="C152" s="39" t="inlineStr">
        <is>
          <t>Crimson</t>
        </is>
      </c>
      <c r="D152" s="39" t="inlineStr">
        <is>
          <t>Ability Strength</t>
        </is>
      </c>
      <c r="E152" s="39" t="inlineStr">
        <is>
          <t>Tauforged</t>
        </is>
      </c>
      <c r="F152" s="39" t="n">
        <v>15</v>
      </c>
      <c r="G152" s="39" t="inlineStr"/>
    </row>
    <row r="153">
      <c r="A153" s="39" t="inlineStr">
        <is>
          <t>Limbo Prime</t>
        </is>
      </c>
      <c r="B153" s="39" t="n">
        <v>2</v>
      </c>
      <c r="C153" s="39" t="inlineStr">
        <is>
          <t>Crimson</t>
        </is>
      </c>
      <c r="D153" s="39" t="inlineStr">
        <is>
          <t>Ability Strength</t>
        </is>
      </c>
      <c r="E153" s="39" t="inlineStr">
        <is>
          <t>Normal</t>
        </is>
      </c>
      <c r="F153" s="39" t="n">
        <v>10</v>
      </c>
      <c r="G153" s="39" t="inlineStr">
        <is>
          <t>Range/Duration build</t>
        </is>
      </c>
    </row>
    <row r="154">
      <c r="A154" s="39" t="inlineStr">
        <is>
          <t>Limbo Prime</t>
        </is>
      </c>
      <c r="B154" s="39" t="n">
        <v>3</v>
      </c>
      <c r="C154" s="39" t="inlineStr">
        <is>
          <t>Crimson</t>
        </is>
      </c>
      <c r="D154" s="39" t="inlineStr">
        <is>
          <t>Ability Duration</t>
        </is>
      </c>
      <c r="E154" s="39" t="inlineStr">
        <is>
          <t>Normal</t>
        </is>
      </c>
      <c r="F154" s="39" t="n">
        <v>10</v>
      </c>
      <c r="G154" s="39" t="inlineStr"/>
    </row>
    <row r="155">
      <c r="A155" s="39" t="inlineStr">
        <is>
          <t>Limbo Prime</t>
        </is>
      </c>
      <c r="B155" s="39" t="n">
        <v>4</v>
      </c>
      <c r="C155" s="39" t="inlineStr">
        <is>
          <t>Crimson</t>
        </is>
      </c>
      <c r="D155" s="39" t="inlineStr">
        <is>
          <t>Ability Duration</t>
        </is>
      </c>
      <c r="E155" s="39" t="inlineStr">
        <is>
          <t>Normal</t>
        </is>
      </c>
      <c r="F155" s="39" t="n">
        <v>10</v>
      </c>
      <c r="G155" s="39" t="inlineStr"/>
    </row>
    <row r="156">
      <c r="A156" s="39" t="inlineStr">
        <is>
          <t>Limbo Prime</t>
        </is>
      </c>
      <c r="B156" s="39" t="n">
        <v>5</v>
      </c>
      <c r="C156" s="39" t="inlineStr">
        <is>
          <t>Amber</t>
        </is>
      </c>
      <c r="D156" s="39" t="inlineStr">
        <is>
          <t>Casting Speed</t>
        </is>
      </c>
      <c r="E156" s="39" t="inlineStr">
        <is>
          <t>Normal</t>
        </is>
      </c>
      <c r="F156" s="39" t="n">
        <v>25</v>
      </c>
      <c r="G156" s="39" t="inlineStr"/>
    </row>
    <row r="157">
      <c r="A157" s="39" t="inlineStr">
        <is>
          <t>Loki Prime</t>
        </is>
      </c>
      <c r="B157" s="39" t="n">
        <v>1</v>
      </c>
      <c r="C157" s="39" t="inlineStr">
        <is>
          <t>Crimson</t>
        </is>
      </c>
      <c r="D157" s="39" t="inlineStr">
        <is>
          <t>Ability Strength</t>
        </is>
      </c>
      <c r="E157" s="39" t="inlineStr">
        <is>
          <t>Tauforged</t>
        </is>
      </c>
      <c r="F157" s="39" t="n">
        <v>15</v>
      </c>
      <c r="G157" s="39" t="inlineStr"/>
    </row>
    <row r="158">
      <c r="A158" s="39" t="inlineStr">
        <is>
          <t>Loki Prime</t>
        </is>
      </c>
      <c r="B158" s="39" t="n">
        <v>2</v>
      </c>
      <c r="C158" s="39" t="inlineStr">
        <is>
          <t>Crimson</t>
        </is>
      </c>
      <c r="D158" s="39" t="inlineStr">
        <is>
          <t>Ability Strength</t>
        </is>
      </c>
      <c r="E158" s="39" t="inlineStr">
        <is>
          <t>Normal</t>
        </is>
      </c>
      <c r="F158" s="39" t="n">
        <v>10</v>
      </c>
      <c r="G158" s="39" t="inlineStr">
        <is>
          <t>Range/Duration build</t>
        </is>
      </c>
    </row>
    <row r="159">
      <c r="A159" s="39" t="inlineStr">
        <is>
          <t>Loki Prime</t>
        </is>
      </c>
      <c r="B159" s="39" t="n">
        <v>3</v>
      </c>
      <c r="C159" s="39" t="inlineStr">
        <is>
          <t>Crimson</t>
        </is>
      </c>
      <c r="D159" s="39" t="inlineStr">
        <is>
          <t>Ability Duration</t>
        </is>
      </c>
      <c r="E159" s="39" t="inlineStr">
        <is>
          <t>Normal</t>
        </is>
      </c>
      <c r="F159" s="39" t="n">
        <v>10</v>
      </c>
      <c r="G159" s="39" t="inlineStr"/>
    </row>
    <row r="160">
      <c r="A160" s="39" t="inlineStr">
        <is>
          <t>Loki Prime</t>
        </is>
      </c>
      <c r="B160" s="39" t="n">
        <v>4</v>
      </c>
      <c r="C160" s="39" t="inlineStr">
        <is>
          <t>Azure</t>
        </is>
      </c>
      <c r="D160" s="39" t="inlineStr">
        <is>
          <t>Health</t>
        </is>
      </c>
      <c r="E160" s="39" t="inlineStr">
        <is>
          <t>Normal</t>
        </is>
      </c>
      <c r="F160" s="39" t="n">
        <v>150</v>
      </c>
      <c r="G160" s="39" t="inlineStr"/>
    </row>
    <row r="161">
      <c r="A161" s="39" t="inlineStr">
        <is>
          <t>Loki Prime</t>
        </is>
      </c>
      <c r="B161" s="39" t="n">
        <v>5</v>
      </c>
      <c r="C161" s="39" t="inlineStr">
        <is>
          <t>Amber</t>
        </is>
      </c>
      <c r="D161" s="39" t="inlineStr">
        <is>
          <t>Casting Speed</t>
        </is>
      </c>
      <c r="E161" s="39" t="inlineStr">
        <is>
          <t>Normal</t>
        </is>
      </c>
      <c r="F161" s="39" t="n">
        <v>25</v>
      </c>
      <c r="G161" s="39" t="inlineStr"/>
    </row>
    <row r="162">
      <c r="A162" s="39" t="inlineStr">
        <is>
          <t>Mag Prime</t>
        </is>
      </c>
      <c r="B162" s="39" t="n">
        <v>1</v>
      </c>
      <c r="C162" s="39" t="inlineStr">
        <is>
          <t>Crimson</t>
        </is>
      </c>
      <c r="D162" s="39" t="inlineStr">
        <is>
          <t>Ability Strength</t>
        </is>
      </c>
      <c r="E162" s="39" t="inlineStr">
        <is>
          <t>Tauforged</t>
        </is>
      </c>
      <c r="F162" s="39" t="n">
        <v>15</v>
      </c>
      <c r="G162" s="39" t="inlineStr"/>
    </row>
    <row r="163">
      <c r="A163" s="39" t="inlineStr">
        <is>
          <t>Mag Prime</t>
        </is>
      </c>
      <c r="B163" s="39" t="n">
        <v>2</v>
      </c>
      <c r="C163" s="39" t="inlineStr">
        <is>
          <t>Crimson</t>
        </is>
      </c>
      <c r="D163" s="39" t="inlineStr">
        <is>
          <t>Ability Strength</t>
        </is>
      </c>
      <c r="E163" s="39" t="inlineStr">
        <is>
          <t>Tauforged</t>
        </is>
      </c>
      <c r="F163" s="39" t="n">
        <v>15</v>
      </c>
      <c r="G163" s="39" t="inlineStr"/>
    </row>
    <row r="164">
      <c r="A164" s="39" t="inlineStr">
        <is>
          <t>Mag Prime</t>
        </is>
      </c>
      <c r="B164" s="39" t="n">
        <v>3</v>
      </c>
      <c r="C164" s="39" t="inlineStr">
        <is>
          <t>Crimson</t>
        </is>
      </c>
      <c r="D164" s="39" t="inlineStr">
        <is>
          <t>Ability Strength</t>
        </is>
      </c>
      <c r="E164" s="39" t="inlineStr">
        <is>
          <t>Normal</t>
        </is>
      </c>
      <c r="F164" s="39" t="n">
        <v>10</v>
      </c>
      <c r="G164" s="39" t="inlineStr"/>
    </row>
    <row r="165">
      <c r="A165" s="39" t="inlineStr">
        <is>
          <t>Mag Prime</t>
        </is>
      </c>
      <c r="B165" s="39" t="n">
        <v>4</v>
      </c>
      <c r="C165" s="39" t="inlineStr">
        <is>
          <t>Azure</t>
        </is>
      </c>
      <c r="D165" s="39" t="inlineStr">
        <is>
          <t>Shield Capacity</t>
        </is>
      </c>
      <c r="E165" s="39" t="inlineStr">
        <is>
          <t>Normal</t>
        </is>
      </c>
      <c r="F165" s="39" t="n">
        <v>150</v>
      </c>
      <c r="G165" s="39" t="inlineStr"/>
    </row>
    <row r="166">
      <c r="A166" s="39" t="inlineStr">
        <is>
          <t>Mag Prime</t>
        </is>
      </c>
      <c r="B166" s="39" t="n">
        <v>5</v>
      </c>
      <c r="C166" s="39" t="inlineStr">
        <is>
          <t>Amber</t>
        </is>
      </c>
      <c r="D166" s="39" t="inlineStr">
        <is>
          <t>Casting Speed</t>
        </is>
      </c>
      <c r="E166" s="39" t="inlineStr">
        <is>
          <t>Normal</t>
        </is>
      </c>
      <c r="F166" s="39" t="n">
        <v>25</v>
      </c>
      <c r="G166" s="39" t="inlineStr"/>
    </row>
    <row r="167">
      <c r="A167" s="39" t="inlineStr">
        <is>
          <t>Mesa Prime</t>
        </is>
      </c>
      <c r="B167" s="39" t="n">
        <v>1</v>
      </c>
      <c r="C167" s="39" t="inlineStr">
        <is>
          <t>Crimson</t>
        </is>
      </c>
      <c r="D167" s="39" t="inlineStr">
        <is>
          <t>Ability Strength</t>
        </is>
      </c>
      <c r="E167" s="39" t="inlineStr">
        <is>
          <t>Tauforged</t>
        </is>
      </c>
      <c r="F167" s="39" t="n">
        <v>15</v>
      </c>
      <c r="G167" s="39" t="inlineStr"/>
    </row>
    <row r="168">
      <c r="A168" s="39" t="inlineStr">
        <is>
          <t>Mesa Prime</t>
        </is>
      </c>
      <c r="B168" s="39" t="n">
        <v>2</v>
      </c>
      <c r="C168" s="39" t="inlineStr">
        <is>
          <t>Crimson</t>
        </is>
      </c>
      <c r="D168" s="39" t="inlineStr">
        <is>
          <t>Ability Strength</t>
        </is>
      </c>
      <c r="E168" s="39" t="inlineStr">
        <is>
          <t>Normal</t>
        </is>
      </c>
      <c r="F168" s="39" t="n">
        <v>10</v>
      </c>
      <c r="G168" s="39" t="inlineStr"/>
    </row>
    <row r="169">
      <c r="A169" s="39" t="inlineStr">
        <is>
          <t>Mesa Prime</t>
        </is>
      </c>
      <c r="B169" s="39" t="n">
        <v>3</v>
      </c>
      <c r="C169" s="39" t="inlineStr">
        <is>
          <t>Crimson</t>
        </is>
      </c>
      <c r="D169" s="39" t="inlineStr">
        <is>
          <t>Secondary Critical Chance</t>
        </is>
      </c>
      <c r="E169" s="39" t="inlineStr">
        <is>
          <t>Tauforged</t>
        </is>
      </c>
      <c r="F169" s="39" t="n">
        <v>37.5</v>
      </c>
      <c r="G169" s="39" t="inlineStr"/>
    </row>
    <row r="170">
      <c r="A170" s="39" t="inlineStr">
        <is>
          <t>Mesa Prime</t>
        </is>
      </c>
      <c r="B170" s="39" t="n">
        <v>4</v>
      </c>
      <c r="C170" s="39" t="inlineStr">
        <is>
          <t>Azure</t>
        </is>
      </c>
      <c r="D170" s="39" t="inlineStr">
        <is>
          <t>Armor</t>
        </is>
      </c>
      <c r="E170" s="39" t="inlineStr">
        <is>
          <t>Normal</t>
        </is>
      </c>
      <c r="F170" s="39" t="n">
        <v>150</v>
      </c>
      <c r="G170" s="39" t="inlineStr"/>
    </row>
    <row r="171">
      <c r="A171" s="39" t="inlineStr">
        <is>
          <t>Mesa Prime</t>
        </is>
      </c>
      <c r="B171" s="39" t="n">
        <v>5</v>
      </c>
      <c r="C171" s="39" t="inlineStr">
        <is>
          <t>Amber</t>
        </is>
      </c>
      <c r="D171" s="39" t="inlineStr">
        <is>
          <t>Casting Speed</t>
        </is>
      </c>
      <c r="E171" s="39" t="inlineStr">
        <is>
          <t>Normal</t>
        </is>
      </c>
      <c r="F171" s="39" t="n">
        <v>25</v>
      </c>
      <c r="G171" s="39" t="inlineStr"/>
    </row>
    <row r="172">
      <c r="A172" s="39" t="inlineStr">
        <is>
          <t>Mirage Prime</t>
        </is>
      </c>
      <c r="B172" s="39" t="n">
        <v>1</v>
      </c>
      <c r="C172" s="39" t="inlineStr">
        <is>
          <t>Crimson</t>
        </is>
      </c>
      <c r="D172" s="39" t="inlineStr">
        <is>
          <t>Ability Strength</t>
        </is>
      </c>
      <c r="E172" s="39" t="inlineStr">
        <is>
          <t>Tauforged</t>
        </is>
      </c>
      <c r="F172" s="39" t="n">
        <v>15</v>
      </c>
      <c r="G172" s="39" t="inlineStr"/>
    </row>
    <row r="173">
      <c r="A173" s="39" t="inlineStr">
        <is>
          <t>Mirage Prime</t>
        </is>
      </c>
      <c r="B173" s="39" t="n">
        <v>2</v>
      </c>
      <c r="C173" s="39" t="inlineStr">
        <is>
          <t>Crimson</t>
        </is>
      </c>
      <c r="D173" s="39" t="inlineStr">
        <is>
          <t>Ability Strength</t>
        </is>
      </c>
      <c r="E173" s="39" t="inlineStr">
        <is>
          <t>Normal</t>
        </is>
      </c>
      <c r="F173" s="39" t="n">
        <v>10</v>
      </c>
      <c r="G173" s="39" t="inlineStr"/>
    </row>
    <row r="174">
      <c r="A174" s="39" t="inlineStr">
        <is>
          <t>Mirage Prime</t>
        </is>
      </c>
      <c r="B174" s="39" t="n">
        <v>3</v>
      </c>
      <c r="C174" s="39" t="inlineStr">
        <is>
          <t>Crimson</t>
        </is>
      </c>
      <c r="D174" s="39" t="inlineStr">
        <is>
          <t>Ability Duration</t>
        </is>
      </c>
      <c r="E174" s="39" t="inlineStr">
        <is>
          <t>Normal</t>
        </is>
      </c>
      <c r="F174" s="39" t="n">
        <v>10</v>
      </c>
      <c r="G174" s="39" t="inlineStr"/>
    </row>
    <row r="175">
      <c r="A175" s="39" t="inlineStr">
        <is>
          <t>Mirage Prime</t>
        </is>
      </c>
      <c r="B175" s="39" t="n">
        <v>4</v>
      </c>
      <c r="C175" s="39" t="inlineStr">
        <is>
          <t>Azure</t>
        </is>
      </c>
      <c r="D175" s="39" t="inlineStr">
        <is>
          <t>Armor</t>
        </is>
      </c>
      <c r="E175" s="39" t="inlineStr">
        <is>
          <t>Normal</t>
        </is>
      </c>
      <c r="F175" s="39" t="n">
        <v>150</v>
      </c>
      <c r="G175" s="39" t="inlineStr"/>
    </row>
    <row r="176">
      <c r="A176" s="39" t="inlineStr">
        <is>
          <t>Mirage Prime</t>
        </is>
      </c>
      <c r="B176" s="39" t="n">
        <v>5</v>
      </c>
      <c r="C176" s="39" t="inlineStr">
        <is>
          <t>Amber</t>
        </is>
      </c>
      <c r="D176" s="39" t="inlineStr">
        <is>
          <t>Casting Speed</t>
        </is>
      </c>
      <c r="E176" s="39" t="inlineStr">
        <is>
          <t>Normal</t>
        </is>
      </c>
      <c r="F176" s="39" t="n">
        <v>25</v>
      </c>
      <c r="G176" s="39" t="inlineStr"/>
    </row>
    <row r="177">
      <c r="A177" s="39" t="inlineStr">
        <is>
          <t>Narin</t>
        </is>
      </c>
      <c r="B177" s="39" t="n">
        <v>1</v>
      </c>
      <c r="C177" s="39" t="inlineStr">
        <is>
          <t>Crimson</t>
        </is>
      </c>
      <c r="D177" s="39" t="inlineStr">
        <is>
          <t>Ability Strength</t>
        </is>
      </c>
      <c r="E177" s="39" t="inlineStr">
        <is>
          <t>Tauforged</t>
        </is>
      </c>
      <c r="F177" s="39" t="n">
        <v>15</v>
      </c>
      <c r="G177" s="39" t="inlineStr"/>
    </row>
    <row r="178">
      <c r="A178" s="39" t="inlineStr">
        <is>
          <t>Narin</t>
        </is>
      </c>
      <c r="B178" s="39" t="n">
        <v>2</v>
      </c>
      <c r="C178" s="39" t="inlineStr">
        <is>
          <t>Crimson</t>
        </is>
      </c>
      <c r="D178" s="39" t="inlineStr">
        <is>
          <t>Ability Strength</t>
        </is>
      </c>
      <c r="E178" s="39" t="inlineStr">
        <is>
          <t>Normal</t>
        </is>
      </c>
      <c r="F178" s="39" t="n">
        <v>10</v>
      </c>
      <c r="G178" s="39" t="inlineStr"/>
    </row>
    <row r="179">
      <c r="A179" s="39" t="inlineStr">
        <is>
          <t>Narin</t>
        </is>
      </c>
      <c r="B179" s="39" t="n">
        <v>3</v>
      </c>
      <c r="C179" s="39" t="inlineStr">
        <is>
          <t>Crimson</t>
        </is>
      </c>
      <c r="D179" s="39" t="inlineStr">
        <is>
          <t>Ability Duration</t>
        </is>
      </c>
      <c r="E179" s="39" t="inlineStr">
        <is>
          <t>Normal</t>
        </is>
      </c>
      <c r="F179" s="39" t="n">
        <v>10</v>
      </c>
      <c r="G179" s="39" t="inlineStr"/>
    </row>
    <row r="180">
      <c r="A180" s="39" t="inlineStr">
        <is>
          <t>Narin</t>
        </is>
      </c>
      <c r="B180" s="39" t="n">
        <v>4</v>
      </c>
      <c r="C180" s="39" t="inlineStr">
        <is>
          <t>Azure</t>
        </is>
      </c>
      <c r="D180" s="39" t="inlineStr">
        <is>
          <t>Shield Capacity</t>
        </is>
      </c>
      <c r="E180" s="39" t="inlineStr">
        <is>
          <t>Normal</t>
        </is>
      </c>
      <c r="F180" s="39" t="n">
        <v>150</v>
      </c>
      <c r="G180" s="39" t="inlineStr"/>
    </row>
    <row r="181">
      <c r="A181" s="39" t="inlineStr">
        <is>
          <t>Narin</t>
        </is>
      </c>
      <c r="B181" s="39" t="n">
        <v>5</v>
      </c>
      <c r="C181" s="39" t="inlineStr">
        <is>
          <t>Amber</t>
        </is>
      </c>
      <c r="D181" s="39" t="inlineStr">
        <is>
          <t>Casting Speed</t>
        </is>
      </c>
      <c r="E181" s="39" t="inlineStr">
        <is>
          <t>Normal</t>
        </is>
      </c>
      <c r="F181" s="39" t="n">
        <v>25</v>
      </c>
      <c r="G181" s="39" t="inlineStr"/>
    </row>
    <row r="182">
      <c r="A182" s="39" t="inlineStr">
        <is>
          <t>Nekros Prime</t>
        </is>
      </c>
      <c r="B182" s="39" t="n">
        <v>1</v>
      </c>
      <c r="C182" s="39" t="inlineStr">
        <is>
          <t>Crimson</t>
        </is>
      </c>
      <c r="D182" s="39" t="inlineStr">
        <is>
          <t>Ability Strength</t>
        </is>
      </c>
      <c r="E182" s="39" t="inlineStr">
        <is>
          <t>Tauforged</t>
        </is>
      </c>
      <c r="F182" s="39" t="n">
        <v>15</v>
      </c>
      <c r="G182" s="39" t="inlineStr"/>
    </row>
    <row r="183">
      <c r="A183" s="39" t="inlineStr">
        <is>
          <t>Nekros Prime</t>
        </is>
      </c>
      <c r="B183" s="39" t="n">
        <v>2</v>
      </c>
      <c r="C183" s="39" t="inlineStr">
        <is>
          <t>Crimson</t>
        </is>
      </c>
      <c r="D183" s="39" t="inlineStr">
        <is>
          <t>Ability Strength</t>
        </is>
      </c>
      <c r="E183" s="39" t="inlineStr">
        <is>
          <t>Normal</t>
        </is>
      </c>
      <c r="F183" s="39" t="n">
        <v>10</v>
      </c>
      <c r="G183" s="39" t="inlineStr">
        <is>
          <t>loot/support</t>
        </is>
      </c>
    </row>
    <row r="184">
      <c r="A184" s="39" t="inlineStr">
        <is>
          <t>Nekros Prime</t>
        </is>
      </c>
      <c r="B184" s="39" t="n">
        <v>3</v>
      </c>
      <c r="C184" s="39" t="inlineStr">
        <is>
          <t>Crimson</t>
        </is>
      </c>
      <c r="D184" s="39" t="inlineStr">
        <is>
          <t>Ability Duration</t>
        </is>
      </c>
      <c r="E184" s="39" t="inlineStr">
        <is>
          <t>Normal</t>
        </is>
      </c>
      <c r="F184" s="39" t="n">
        <v>10</v>
      </c>
      <c r="G184" s="39" t="inlineStr"/>
    </row>
    <row r="185">
      <c r="A185" s="39" t="inlineStr">
        <is>
          <t>Nekros Prime</t>
        </is>
      </c>
      <c r="B185" s="39" t="n">
        <v>4</v>
      </c>
      <c r="C185" s="39" t="inlineStr">
        <is>
          <t>Azure</t>
        </is>
      </c>
      <c r="D185" s="39" t="inlineStr">
        <is>
          <t>Armor</t>
        </is>
      </c>
      <c r="E185" s="39" t="inlineStr">
        <is>
          <t>Normal</t>
        </is>
      </c>
      <c r="F185" s="39" t="n">
        <v>150</v>
      </c>
      <c r="G185" s="39" t="inlineStr"/>
    </row>
    <row r="186">
      <c r="A186" s="39" t="inlineStr">
        <is>
          <t>Nekros Prime</t>
        </is>
      </c>
      <c r="B186" s="39" t="n">
        <v>5</v>
      </c>
      <c r="C186" s="39" t="inlineStr">
        <is>
          <t>Amber</t>
        </is>
      </c>
      <c r="D186" s="39" t="inlineStr">
        <is>
          <t>Casting Speed</t>
        </is>
      </c>
      <c r="E186" s="39" t="inlineStr">
        <is>
          <t>Normal</t>
        </is>
      </c>
      <c r="F186" s="39" t="n">
        <v>25</v>
      </c>
      <c r="G186" s="39" t="inlineStr"/>
    </row>
    <row r="187">
      <c r="A187" s="39" t="inlineStr">
        <is>
          <t>Nezha Prime</t>
        </is>
      </c>
      <c r="B187" s="39" t="n">
        <v>1</v>
      </c>
      <c r="C187" s="39" t="inlineStr">
        <is>
          <t>Crimson</t>
        </is>
      </c>
      <c r="D187" s="39" t="inlineStr">
        <is>
          <t>Ability Strength</t>
        </is>
      </c>
      <c r="E187" s="39" t="inlineStr">
        <is>
          <t>Tauforged</t>
        </is>
      </c>
      <c r="F187" s="39" t="n">
        <v>15</v>
      </c>
      <c r="G187" s="39" t="inlineStr"/>
    </row>
    <row r="188">
      <c r="A188" s="39" t="inlineStr">
        <is>
          <t>Nezha Prime</t>
        </is>
      </c>
      <c r="B188" s="39" t="n">
        <v>2</v>
      </c>
      <c r="C188" s="39" t="inlineStr">
        <is>
          <t>Crimson</t>
        </is>
      </c>
      <c r="D188" s="39" t="inlineStr">
        <is>
          <t>Ability Strength</t>
        </is>
      </c>
      <c r="E188" s="39" t="inlineStr">
        <is>
          <t>Normal</t>
        </is>
      </c>
      <c r="F188" s="39" t="n">
        <v>10</v>
      </c>
      <c r="G188" s="39" t="inlineStr"/>
    </row>
    <row r="189">
      <c r="A189" s="39" t="inlineStr">
        <is>
          <t>Nezha Prime</t>
        </is>
      </c>
      <c r="B189" s="39" t="n">
        <v>3</v>
      </c>
      <c r="C189" s="39" t="inlineStr">
        <is>
          <t>Azure</t>
        </is>
      </c>
      <c r="D189" s="39" t="inlineStr">
        <is>
          <t>Armor</t>
        </is>
      </c>
      <c r="E189" s="39" t="inlineStr">
        <is>
          <t>Normal</t>
        </is>
      </c>
      <c r="F189" s="39" t="n">
        <v>150</v>
      </c>
      <c r="G189" s="39" t="inlineStr"/>
    </row>
    <row r="190">
      <c r="A190" s="39" t="inlineStr">
        <is>
          <t>Nezha Prime</t>
        </is>
      </c>
      <c r="B190" s="39" t="n">
        <v>4</v>
      </c>
      <c r="C190" s="39" t="inlineStr">
        <is>
          <t>Azure</t>
        </is>
      </c>
      <c r="D190" s="39" t="inlineStr">
        <is>
          <t>Armor</t>
        </is>
      </c>
      <c r="E190" s="39" t="inlineStr">
        <is>
          <t>Normal</t>
        </is>
      </c>
      <c r="F190" s="39" t="n">
        <v>150</v>
      </c>
      <c r="G190" s="39" t="inlineStr"/>
    </row>
    <row r="191">
      <c r="A191" s="39" t="inlineStr">
        <is>
          <t>Nezha Prime</t>
        </is>
      </c>
      <c r="B191" s="39" t="n">
        <v>5</v>
      </c>
      <c r="C191" s="39" t="inlineStr">
        <is>
          <t>Amber</t>
        </is>
      </c>
      <c r="D191" s="39" t="inlineStr">
        <is>
          <t>Casting Speed</t>
        </is>
      </c>
      <c r="E191" s="39" t="inlineStr">
        <is>
          <t>Normal</t>
        </is>
      </c>
      <c r="F191" s="39" t="n">
        <v>25</v>
      </c>
      <c r="G191" s="39" t="inlineStr"/>
    </row>
    <row r="192">
      <c r="A192" s="39" t="inlineStr">
        <is>
          <t>Nidus Prime</t>
        </is>
      </c>
      <c r="B192" s="39" t="n">
        <v>1</v>
      </c>
      <c r="C192" s="39" t="inlineStr">
        <is>
          <t>Crimson</t>
        </is>
      </c>
      <c r="D192" s="39" t="inlineStr">
        <is>
          <t>Ability Strength</t>
        </is>
      </c>
      <c r="E192" s="39" t="inlineStr">
        <is>
          <t>Tauforged</t>
        </is>
      </c>
      <c r="F192" s="39" t="n">
        <v>15</v>
      </c>
      <c r="G192" s="39" t="inlineStr"/>
    </row>
    <row r="193">
      <c r="A193" s="39" t="inlineStr">
        <is>
          <t>Nidus Prime</t>
        </is>
      </c>
      <c r="B193" s="39" t="n">
        <v>2</v>
      </c>
      <c r="C193" s="39" t="inlineStr">
        <is>
          <t>Crimson</t>
        </is>
      </c>
      <c r="D193" s="39" t="inlineStr">
        <is>
          <t>Ability Strength</t>
        </is>
      </c>
      <c r="E193" s="39" t="inlineStr">
        <is>
          <t>Normal</t>
        </is>
      </c>
      <c r="F193" s="39" t="n">
        <v>10</v>
      </c>
      <c r="G193" s="39" t="inlineStr"/>
    </row>
    <row r="194">
      <c r="A194" s="39" t="inlineStr">
        <is>
          <t>Nidus Prime</t>
        </is>
      </c>
      <c r="B194" s="39" t="n">
        <v>3</v>
      </c>
      <c r="C194" s="39" t="inlineStr">
        <is>
          <t>Azure</t>
        </is>
      </c>
      <c r="D194" s="39" t="inlineStr">
        <is>
          <t>Health</t>
        </is>
      </c>
      <c r="E194" s="39" t="inlineStr">
        <is>
          <t>Normal</t>
        </is>
      </c>
      <c r="F194" s="39" t="n">
        <v>150</v>
      </c>
      <c r="G194" s="39" t="inlineStr"/>
    </row>
    <row r="195">
      <c r="A195" s="39" t="inlineStr">
        <is>
          <t>Nidus Prime</t>
        </is>
      </c>
      <c r="B195" s="39" t="n">
        <v>4</v>
      </c>
      <c r="C195" s="39" t="inlineStr">
        <is>
          <t>Azure</t>
        </is>
      </c>
      <c r="D195" s="39" t="inlineStr">
        <is>
          <t>Armor</t>
        </is>
      </c>
      <c r="E195" s="39" t="inlineStr">
        <is>
          <t>Normal</t>
        </is>
      </c>
      <c r="F195" s="39" t="n">
        <v>150</v>
      </c>
      <c r="G195" s="39" t="inlineStr"/>
    </row>
    <row r="196">
      <c r="A196" s="39" t="inlineStr">
        <is>
          <t>Nidus Prime</t>
        </is>
      </c>
      <c r="B196" s="39" t="n">
        <v>5</v>
      </c>
      <c r="C196" s="39" t="inlineStr">
        <is>
          <t>Amber</t>
        </is>
      </c>
      <c r="D196" s="39" t="inlineStr">
        <is>
          <t>Casting Speed</t>
        </is>
      </c>
      <c r="E196" s="39" t="inlineStr">
        <is>
          <t>Normal</t>
        </is>
      </c>
      <c r="F196" s="39" t="n">
        <v>25</v>
      </c>
      <c r="G196" s="39" t="inlineStr"/>
    </row>
    <row r="197">
      <c r="A197" s="39" t="inlineStr">
        <is>
          <t>Nokko</t>
        </is>
      </c>
      <c r="B197" s="39" t="n">
        <v>1</v>
      </c>
      <c r="C197" s="39" t="inlineStr">
        <is>
          <t>Crimson</t>
        </is>
      </c>
      <c r="D197" s="39" t="inlineStr">
        <is>
          <t>Ability Strength</t>
        </is>
      </c>
      <c r="E197" s="39" t="inlineStr">
        <is>
          <t>Tauforged</t>
        </is>
      </c>
      <c r="F197" s="39" t="n">
        <v>15</v>
      </c>
      <c r="G197" s="39" t="inlineStr"/>
    </row>
    <row r="198">
      <c r="A198" s="39" t="inlineStr">
        <is>
          <t>Nokko</t>
        </is>
      </c>
      <c r="B198" s="39" t="n">
        <v>2</v>
      </c>
      <c r="C198" s="39" t="inlineStr">
        <is>
          <t>Crimson</t>
        </is>
      </c>
      <c r="D198" s="39" t="inlineStr">
        <is>
          <t>Ability Strength</t>
        </is>
      </c>
      <c r="E198" s="39" t="inlineStr">
        <is>
          <t>Normal</t>
        </is>
      </c>
      <c r="F198" s="39" t="n">
        <v>10</v>
      </c>
      <c r="G198" s="39" t="inlineStr"/>
    </row>
    <row r="199">
      <c r="A199" s="39" t="inlineStr">
        <is>
          <t>Nokko</t>
        </is>
      </c>
      <c r="B199" s="39" t="n">
        <v>3</v>
      </c>
      <c r="C199" s="39" t="inlineStr">
        <is>
          <t>Crimson</t>
        </is>
      </c>
      <c r="D199" s="39" t="inlineStr">
        <is>
          <t>Ability Duration</t>
        </is>
      </c>
      <c r="E199" s="39" t="inlineStr">
        <is>
          <t>Normal</t>
        </is>
      </c>
      <c r="F199" s="39" t="n">
        <v>10</v>
      </c>
      <c r="G199" s="39" t="inlineStr"/>
    </row>
    <row r="200">
      <c r="A200" s="39" t="inlineStr">
        <is>
          <t>Nokko</t>
        </is>
      </c>
      <c r="B200" s="39" t="n">
        <v>4</v>
      </c>
      <c r="C200" s="39" t="inlineStr">
        <is>
          <t>Azure</t>
        </is>
      </c>
      <c r="D200" s="39" t="inlineStr">
        <is>
          <t>Shield Capacity</t>
        </is>
      </c>
      <c r="E200" s="39" t="inlineStr">
        <is>
          <t>Normal</t>
        </is>
      </c>
      <c r="F200" s="39" t="n">
        <v>150</v>
      </c>
      <c r="G200" s="39" t="inlineStr"/>
    </row>
    <row r="201">
      <c r="A201" s="39" t="inlineStr">
        <is>
          <t>Nokko</t>
        </is>
      </c>
      <c r="B201" s="39" t="n">
        <v>5</v>
      </c>
      <c r="C201" s="39" t="inlineStr">
        <is>
          <t>Amber</t>
        </is>
      </c>
      <c r="D201" s="39" t="inlineStr">
        <is>
          <t>Casting Speed</t>
        </is>
      </c>
      <c r="E201" s="39" t="inlineStr">
        <is>
          <t>Normal</t>
        </is>
      </c>
      <c r="F201" s="39" t="n">
        <v>25</v>
      </c>
      <c r="G201" s="39" t="inlineStr"/>
    </row>
    <row r="202">
      <c r="A202" s="39" t="inlineStr">
        <is>
          <t>Nova Prime</t>
        </is>
      </c>
      <c r="B202" s="39" t="n">
        <v>1</v>
      </c>
      <c r="C202" s="39" t="inlineStr">
        <is>
          <t>Crimson</t>
        </is>
      </c>
      <c r="D202" s="39" t="inlineStr">
        <is>
          <t>Ability Strength</t>
        </is>
      </c>
      <c r="E202" s="39" t="inlineStr">
        <is>
          <t>Tauforged</t>
        </is>
      </c>
      <c r="F202" s="39" t="n">
        <v>15</v>
      </c>
      <c r="G202" s="39" t="inlineStr"/>
    </row>
    <row r="203">
      <c r="A203" s="39" t="inlineStr">
        <is>
          <t>Nova Prime</t>
        </is>
      </c>
      <c r="B203" s="39" t="n">
        <v>2</v>
      </c>
      <c r="C203" s="39" t="inlineStr">
        <is>
          <t>Crimson</t>
        </is>
      </c>
      <c r="D203" s="39" t="inlineStr">
        <is>
          <t>Ability Strength</t>
        </is>
      </c>
      <c r="E203" s="39" t="inlineStr">
        <is>
          <t>Normal</t>
        </is>
      </c>
      <c r="F203" s="39" t="n">
        <v>10</v>
      </c>
      <c r="G203" s="39" t="inlineStr"/>
    </row>
    <row r="204">
      <c r="A204" s="39" t="inlineStr">
        <is>
          <t>Nova Prime</t>
        </is>
      </c>
      <c r="B204" s="39" t="n">
        <v>3</v>
      </c>
      <c r="C204" s="39" t="inlineStr">
        <is>
          <t>Crimson</t>
        </is>
      </c>
      <c r="D204" s="39" t="inlineStr">
        <is>
          <t>Ability Duration</t>
        </is>
      </c>
      <c r="E204" s="39" t="inlineStr">
        <is>
          <t>Normal</t>
        </is>
      </c>
      <c r="F204" s="39" t="n">
        <v>10</v>
      </c>
      <c r="G204" s="39" t="inlineStr"/>
    </row>
    <row r="205">
      <c r="A205" s="39" t="inlineStr">
        <is>
          <t>Nova Prime</t>
        </is>
      </c>
      <c r="B205" s="39" t="n">
        <v>4</v>
      </c>
      <c r="C205" s="39" t="inlineStr">
        <is>
          <t>Azure</t>
        </is>
      </c>
      <c r="D205" s="39" t="inlineStr">
        <is>
          <t>Health</t>
        </is>
      </c>
      <c r="E205" s="39" t="inlineStr">
        <is>
          <t>Normal</t>
        </is>
      </c>
      <c r="F205" s="39" t="n">
        <v>150</v>
      </c>
      <c r="G205" s="39" t="inlineStr"/>
    </row>
    <row r="206">
      <c r="A206" s="39" t="inlineStr">
        <is>
          <t>Nova Prime</t>
        </is>
      </c>
      <c r="B206" s="39" t="n">
        <v>5</v>
      </c>
      <c r="C206" s="39" t="inlineStr">
        <is>
          <t>Amber</t>
        </is>
      </c>
      <c r="D206" s="39" t="inlineStr">
        <is>
          <t>Casting Speed</t>
        </is>
      </c>
      <c r="E206" s="39" t="inlineStr">
        <is>
          <t>Normal</t>
        </is>
      </c>
      <c r="F206" s="39" t="n">
        <v>25</v>
      </c>
      <c r="G206" s="39" t="inlineStr"/>
    </row>
    <row r="207">
      <c r="A207" s="39" t="inlineStr">
        <is>
          <t>Nyx Prime</t>
        </is>
      </c>
      <c r="B207" s="39" t="n">
        <v>1</v>
      </c>
      <c r="C207" s="39" t="inlineStr">
        <is>
          <t>Crimson</t>
        </is>
      </c>
      <c r="D207" s="39" t="inlineStr">
        <is>
          <t>Ability Strength</t>
        </is>
      </c>
      <c r="E207" s="39" t="inlineStr">
        <is>
          <t>Tauforged</t>
        </is>
      </c>
      <c r="F207" s="39" t="n">
        <v>15</v>
      </c>
      <c r="G207" s="39" t="inlineStr"/>
    </row>
    <row r="208">
      <c r="A208" s="39" t="inlineStr">
        <is>
          <t>Nyx Prime</t>
        </is>
      </c>
      <c r="B208" s="39" t="n">
        <v>2</v>
      </c>
      <c r="C208" s="39" t="inlineStr">
        <is>
          <t>Crimson</t>
        </is>
      </c>
      <c r="D208" s="39" t="inlineStr">
        <is>
          <t>Ability Strength</t>
        </is>
      </c>
      <c r="E208" s="39" t="inlineStr">
        <is>
          <t>Normal</t>
        </is>
      </c>
      <c r="F208" s="39" t="n">
        <v>10</v>
      </c>
      <c r="G208" s="39" t="inlineStr">
        <is>
          <t>Psychic Bolts cap 125% met without Tau</t>
        </is>
      </c>
    </row>
    <row r="209">
      <c r="A209" s="39" t="inlineStr">
        <is>
          <t>Nyx Prime</t>
        </is>
      </c>
      <c r="B209" s="39" t="n">
        <v>3</v>
      </c>
      <c r="C209" s="39" t="inlineStr">
        <is>
          <t>Topaz</t>
        </is>
      </c>
      <c r="D209" s="39" t="inlineStr">
        <is>
          <t>Ability Damage vs Radiation</t>
        </is>
      </c>
      <c r="E209" s="39" t="inlineStr">
        <is>
          <t>Normal</t>
        </is>
      </c>
      <c r="F209" s="39" t="n">
        <v>10</v>
      </c>
      <c r="G209" s="39" t="inlineStr"/>
    </row>
    <row r="210">
      <c r="A210" s="39" t="inlineStr">
        <is>
          <t>Nyx Prime</t>
        </is>
      </c>
      <c r="B210" s="39" t="n">
        <v>4</v>
      </c>
      <c r="C210" s="39" t="inlineStr">
        <is>
          <t>Azure</t>
        </is>
      </c>
      <c r="D210" s="39" t="inlineStr">
        <is>
          <t>Armor</t>
        </is>
      </c>
      <c r="E210" s="39" t="inlineStr">
        <is>
          <t>Normal</t>
        </is>
      </c>
      <c r="F210" s="39" t="n">
        <v>150</v>
      </c>
      <c r="G210" s="39" t="inlineStr"/>
    </row>
    <row r="211">
      <c r="A211" s="39" t="inlineStr">
        <is>
          <t>Nyx Prime</t>
        </is>
      </c>
      <c r="B211" s="39" t="n">
        <v>5</v>
      </c>
      <c r="C211" s="39" t="inlineStr">
        <is>
          <t>Amber</t>
        </is>
      </c>
      <c r="D211" s="39" t="inlineStr">
        <is>
          <t>Casting Speed</t>
        </is>
      </c>
      <c r="E211" s="39" t="inlineStr">
        <is>
          <t>Normal</t>
        </is>
      </c>
      <c r="F211" s="39" t="n">
        <v>25</v>
      </c>
      <c r="G211" s="39" t="inlineStr"/>
    </row>
    <row r="212">
      <c r="A212" s="39" t="inlineStr">
        <is>
          <t>Oberon Prime</t>
        </is>
      </c>
      <c r="B212" s="39" t="n">
        <v>1</v>
      </c>
      <c r="C212" s="39" t="inlineStr">
        <is>
          <t>Crimson</t>
        </is>
      </c>
      <c r="D212" s="39" t="inlineStr">
        <is>
          <t>Ability Strength</t>
        </is>
      </c>
      <c r="E212" s="39" t="inlineStr">
        <is>
          <t>Tauforged</t>
        </is>
      </c>
      <c r="F212" s="39" t="n">
        <v>15</v>
      </c>
      <c r="G212" s="39" t="inlineStr"/>
    </row>
    <row r="213">
      <c r="A213" s="39" t="inlineStr">
        <is>
          <t>Oberon Prime</t>
        </is>
      </c>
      <c r="B213" s="39" t="n">
        <v>2</v>
      </c>
      <c r="C213" s="39" t="inlineStr">
        <is>
          <t>Crimson</t>
        </is>
      </c>
      <c r="D213" s="39" t="inlineStr">
        <is>
          <t>Ability Strength</t>
        </is>
      </c>
      <c r="E213" s="39" t="inlineStr">
        <is>
          <t>Normal</t>
        </is>
      </c>
      <c r="F213" s="39" t="n">
        <v>10</v>
      </c>
      <c r="G213" s="39" t="inlineStr">
        <is>
          <t>200% Renewal cap met without Tau</t>
        </is>
      </c>
    </row>
    <row r="214">
      <c r="A214" s="39" t="inlineStr">
        <is>
          <t>Oberon Prime</t>
        </is>
      </c>
      <c r="B214" s="39" t="n">
        <v>3</v>
      </c>
      <c r="C214" s="39" t="inlineStr">
        <is>
          <t>Azure</t>
        </is>
      </c>
      <c r="D214" s="39" t="inlineStr">
        <is>
          <t>Armor</t>
        </is>
      </c>
      <c r="E214" s="39" t="inlineStr">
        <is>
          <t>Normal</t>
        </is>
      </c>
      <c r="F214" s="39" t="n">
        <v>150</v>
      </c>
      <c r="G214" s="39" t="inlineStr"/>
    </row>
    <row r="215">
      <c r="A215" s="39" t="inlineStr">
        <is>
          <t>Oberon Prime</t>
        </is>
      </c>
      <c r="B215" s="39" t="n">
        <v>4</v>
      </c>
      <c r="C215" s="39" t="inlineStr">
        <is>
          <t>Azure</t>
        </is>
      </c>
      <c r="D215" s="39" t="inlineStr">
        <is>
          <t>Armor</t>
        </is>
      </c>
      <c r="E215" s="39" t="inlineStr">
        <is>
          <t>Normal</t>
        </is>
      </c>
      <c r="F215" s="39" t="n">
        <v>150</v>
      </c>
      <c r="G215" s="39" t="inlineStr"/>
    </row>
    <row r="216">
      <c r="A216" s="39" t="inlineStr">
        <is>
          <t>Oberon Prime</t>
        </is>
      </c>
      <c r="B216" s="39" t="n">
        <v>5</v>
      </c>
      <c r="C216" s="39" t="inlineStr">
        <is>
          <t>Amber</t>
        </is>
      </c>
      <c r="D216" s="39" t="inlineStr">
        <is>
          <t>Casting Speed</t>
        </is>
      </c>
      <c r="E216" s="39" t="inlineStr">
        <is>
          <t>Normal</t>
        </is>
      </c>
      <c r="F216" s="39" t="n">
        <v>25</v>
      </c>
      <c r="G216" s="39" t="inlineStr"/>
    </row>
    <row r="217">
      <c r="A217" s="39" t="inlineStr">
        <is>
          <t>Octavia Prime</t>
        </is>
      </c>
      <c r="B217" s="39" t="n">
        <v>1</v>
      </c>
      <c r="C217" s="39" t="inlineStr">
        <is>
          <t>Crimson</t>
        </is>
      </c>
      <c r="D217" s="39" t="inlineStr">
        <is>
          <t>Ability Strength</t>
        </is>
      </c>
      <c r="E217" s="39" t="inlineStr">
        <is>
          <t>Tauforged</t>
        </is>
      </c>
      <c r="F217" s="39" t="n">
        <v>15</v>
      </c>
      <c r="G217" s="39" t="inlineStr"/>
    </row>
    <row r="218">
      <c r="A218" s="39" t="inlineStr">
        <is>
          <t>Octavia Prime</t>
        </is>
      </c>
      <c r="B218" s="39" t="n">
        <v>2</v>
      </c>
      <c r="C218" s="39" t="inlineStr">
        <is>
          <t>Crimson</t>
        </is>
      </c>
      <c r="D218" s="39" t="inlineStr">
        <is>
          <t>Ability Strength</t>
        </is>
      </c>
      <c r="E218" s="39" t="inlineStr">
        <is>
          <t>Normal</t>
        </is>
      </c>
      <c r="F218" s="39" t="n">
        <v>10</v>
      </c>
      <c r="G218" s="39" t="inlineStr">
        <is>
          <t>Duration-driven</t>
        </is>
      </c>
    </row>
    <row r="219">
      <c r="A219" s="39" t="inlineStr">
        <is>
          <t>Octavia Prime</t>
        </is>
      </c>
      <c r="B219" s="39" t="n">
        <v>3</v>
      </c>
      <c r="C219" s="39" t="inlineStr">
        <is>
          <t>Crimson</t>
        </is>
      </c>
      <c r="D219" s="39" t="inlineStr">
        <is>
          <t>Ability Duration</t>
        </is>
      </c>
      <c r="E219" s="39" t="inlineStr">
        <is>
          <t>Normal</t>
        </is>
      </c>
      <c r="F219" s="39" t="n">
        <v>10</v>
      </c>
      <c r="G219" s="39" t="inlineStr"/>
    </row>
    <row r="220">
      <c r="A220" s="39" t="inlineStr">
        <is>
          <t>Octavia Prime</t>
        </is>
      </c>
      <c r="B220" s="39" t="n">
        <v>4</v>
      </c>
      <c r="C220" s="39" t="inlineStr">
        <is>
          <t>Azure</t>
        </is>
      </c>
      <c r="D220" s="39" t="inlineStr">
        <is>
          <t>Health</t>
        </is>
      </c>
      <c r="E220" s="39" t="inlineStr">
        <is>
          <t>Normal</t>
        </is>
      </c>
      <c r="F220" s="39" t="n">
        <v>150</v>
      </c>
      <c r="G220" s="39" t="inlineStr"/>
    </row>
    <row r="221">
      <c r="A221" s="39" t="inlineStr">
        <is>
          <t>Octavia Prime</t>
        </is>
      </c>
      <c r="B221" s="39" t="n">
        <v>5</v>
      </c>
      <c r="C221" s="39" t="inlineStr">
        <is>
          <t>Amber</t>
        </is>
      </c>
      <c r="D221" s="39" t="inlineStr">
        <is>
          <t>Casting Speed</t>
        </is>
      </c>
      <c r="E221" s="39" t="inlineStr">
        <is>
          <t>Normal</t>
        </is>
      </c>
      <c r="F221" s="39" t="n">
        <v>25</v>
      </c>
      <c r="G221" s="39" t="inlineStr"/>
    </row>
    <row r="222">
      <c r="A222" s="39" t="inlineStr">
        <is>
          <t>Oraxia</t>
        </is>
      </c>
      <c r="B222" s="39" t="n">
        <v>1</v>
      </c>
      <c r="C222" s="39" t="inlineStr">
        <is>
          <t>Crimson</t>
        </is>
      </c>
      <c r="D222" s="39" t="inlineStr">
        <is>
          <t>Ability Strength</t>
        </is>
      </c>
      <c r="E222" s="39" t="inlineStr">
        <is>
          <t>Tauforged</t>
        </is>
      </c>
      <c r="F222" s="39" t="n">
        <v>15</v>
      </c>
      <c r="G222" s="39" t="inlineStr"/>
    </row>
    <row r="223">
      <c r="A223" s="39" t="inlineStr">
        <is>
          <t>Oraxia</t>
        </is>
      </c>
      <c r="B223" s="39" t="n">
        <v>2</v>
      </c>
      <c r="C223" s="39" t="inlineStr">
        <is>
          <t>Crimson</t>
        </is>
      </c>
      <c r="D223" s="39" t="inlineStr">
        <is>
          <t>Ability Strength</t>
        </is>
      </c>
      <c r="E223" s="39" t="inlineStr">
        <is>
          <t>Normal</t>
        </is>
      </c>
      <c r="F223" s="39" t="n">
        <v>10</v>
      </c>
      <c r="G223" s="39" t="inlineStr"/>
    </row>
    <row r="224">
      <c r="A224" s="39" t="inlineStr">
        <is>
          <t>Oraxia</t>
        </is>
      </c>
      <c r="B224" s="39" t="n">
        <v>3</v>
      </c>
      <c r="C224" s="39" t="inlineStr">
        <is>
          <t>Crimson</t>
        </is>
      </c>
      <c r="D224" s="39" t="inlineStr">
        <is>
          <t>Ability Duration</t>
        </is>
      </c>
      <c r="E224" s="39" t="inlineStr">
        <is>
          <t>Normal</t>
        </is>
      </c>
      <c r="F224" s="39" t="n">
        <v>10</v>
      </c>
      <c r="G224" s="39" t="inlineStr"/>
    </row>
    <row r="225">
      <c r="A225" s="39" t="inlineStr">
        <is>
          <t>Oraxia</t>
        </is>
      </c>
      <c r="B225" s="39" t="n">
        <v>4</v>
      </c>
      <c r="C225" s="39" t="inlineStr">
        <is>
          <t>Azure</t>
        </is>
      </c>
      <c r="D225" s="39" t="inlineStr">
        <is>
          <t>Armor</t>
        </is>
      </c>
      <c r="E225" s="39" t="inlineStr">
        <is>
          <t>Normal</t>
        </is>
      </c>
      <c r="F225" s="39" t="n">
        <v>150</v>
      </c>
      <c r="G225" s="39" t="inlineStr"/>
    </row>
    <row r="226">
      <c r="A226" s="39" t="inlineStr">
        <is>
          <t>Oraxia</t>
        </is>
      </c>
      <c r="B226" s="39" t="n">
        <v>5</v>
      </c>
      <c r="C226" s="39" t="inlineStr">
        <is>
          <t>Amber</t>
        </is>
      </c>
      <c r="D226" s="39" t="inlineStr">
        <is>
          <t>Casting Speed</t>
        </is>
      </c>
      <c r="E226" s="39" t="inlineStr">
        <is>
          <t>Normal</t>
        </is>
      </c>
      <c r="F226" s="39" t="n">
        <v>25</v>
      </c>
      <c r="G226" s="39" t="inlineStr"/>
    </row>
    <row r="227">
      <c r="A227" s="39" t="inlineStr">
        <is>
          <t>Protea Prime</t>
        </is>
      </c>
      <c r="B227" s="39" t="n">
        <v>1</v>
      </c>
      <c r="C227" s="39" t="inlineStr">
        <is>
          <t>Crimson</t>
        </is>
      </c>
      <c r="D227" s="39" t="inlineStr">
        <is>
          <t>Ability Strength</t>
        </is>
      </c>
      <c r="E227" s="39" t="inlineStr">
        <is>
          <t>Tauforged</t>
        </is>
      </c>
      <c r="F227" s="39" t="n">
        <v>15</v>
      </c>
      <c r="G227" s="39" t="inlineStr"/>
    </row>
    <row r="228">
      <c r="A228" s="39" t="inlineStr">
        <is>
          <t>Protea Prime</t>
        </is>
      </c>
      <c r="B228" s="39" t="n">
        <v>2</v>
      </c>
      <c r="C228" s="39" t="inlineStr">
        <is>
          <t>Crimson</t>
        </is>
      </c>
      <c r="D228" s="39" t="inlineStr">
        <is>
          <t>Ability Strength</t>
        </is>
      </c>
      <c r="E228" s="39" t="inlineStr">
        <is>
          <t>Normal</t>
        </is>
      </c>
      <c r="F228" s="39" t="n">
        <v>10</v>
      </c>
      <c r="G228" s="39" t="inlineStr"/>
    </row>
    <row r="229">
      <c r="A229" s="39" t="inlineStr">
        <is>
          <t>Protea Prime</t>
        </is>
      </c>
      <c r="B229" s="39" t="n">
        <v>3</v>
      </c>
      <c r="C229" s="39" t="inlineStr">
        <is>
          <t>Crimson</t>
        </is>
      </c>
      <c r="D229" s="39" t="inlineStr">
        <is>
          <t>Ability Duration</t>
        </is>
      </c>
      <c r="E229" s="39" t="inlineStr">
        <is>
          <t>Normal</t>
        </is>
      </c>
      <c r="F229" s="39" t="n">
        <v>10</v>
      </c>
      <c r="G229" s="39" t="inlineStr"/>
    </row>
    <row r="230">
      <c r="A230" s="39" t="inlineStr">
        <is>
          <t>Protea Prime</t>
        </is>
      </c>
      <c r="B230" s="39" t="n">
        <v>4</v>
      </c>
      <c r="C230" s="39" t="inlineStr">
        <is>
          <t>Azure</t>
        </is>
      </c>
      <c r="D230" s="39" t="inlineStr">
        <is>
          <t>Shield Capacity</t>
        </is>
      </c>
      <c r="E230" s="39" t="inlineStr">
        <is>
          <t>Normal</t>
        </is>
      </c>
      <c r="F230" s="39" t="n">
        <v>150</v>
      </c>
      <c r="G230" s="39" t="inlineStr"/>
    </row>
    <row r="231">
      <c r="A231" s="39" t="inlineStr">
        <is>
          <t>Protea Prime</t>
        </is>
      </c>
      <c r="B231" s="39" t="n">
        <v>5</v>
      </c>
      <c r="C231" s="39" t="inlineStr">
        <is>
          <t>Amber</t>
        </is>
      </c>
      <c r="D231" s="39" t="inlineStr">
        <is>
          <t>Casting Speed</t>
        </is>
      </c>
      <c r="E231" s="39" t="inlineStr">
        <is>
          <t>Normal</t>
        </is>
      </c>
      <c r="F231" s="39" t="n">
        <v>25</v>
      </c>
      <c r="G231" s="39" t="inlineStr"/>
    </row>
    <row r="232">
      <c r="A232" s="39" t="inlineStr">
        <is>
          <t>Qorvex</t>
        </is>
      </c>
      <c r="B232" s="39" t="n">
        <v>1</v>
      </c>
      <c r="C232" s="39" t="inlineStr">
        <is>
          <t>Crimson</t>
        </is>
      </c>
      <c r="D232" s="39" t="inlineStr">
        <is>
          <t>Ability Strength</t>
        </is>
      </c>
      <c r="E232" s="39" t="inlineStr">
        <is>
          <t>Tauforged</t>
        </is>
      </c>
      <c r="F232" s="39" t="n">
        <v>15</v>
      </c>
      <c r="G232" s="39" t="inlineStr"/>
    </row>
    <row r="233">
      <c r="A233" s="39" t="inlineStr">
        <is>
          <t>Qorvex</t>
        </is>
      </c>
      <c r="B233" s="39" t="n">
        <v>2</v>
      </c>
      <c r="C233" s="39" t="inlineStr">
        <is>
          <t>Topaz</t>
        </is>
      </c>
      <c r="D233" s="39" t="inlineStr">
        <is>
          <t>Ability Damage vs Radiation</t>
        </is>
      </c>
      <c r="E233" s="39" t="inlineStr">
        <is>
          <t>Normal</t>
        </is>
      </c>
      <c r="F233" s="39" t="n">
        <v>10</v>
      </c>
      <c r="G233" s="39" t="inlineStr"/>
    </row>
    <row r="234">
      <c r="A234" s="39" t="inlineStr">
        <is>
          <t>Qorvex</t>
        </is>
      </c>
      <c r="B234" s="39" t="n">
        <v>3</v>
      </c>
      <c r="C234" s="39" t="inlineStr">
        <is>
          <t>Topaz</t>
        </is>
      </c>
      <c r="D234" s="39" t="inlineStr">
        <is>
          <t>Ability Damage vs Radiation</t>
        </is>
      </c>
      <c r="E234" s="39" t="inlineStr">
        <is>
          <t>Normal</t>
        </is>
      </c>
      <c r="F234" s="39" t="n">
        <v>10</v>
      </c>
      <c r="G234" s="39" t="inlineStr"/>
    </row>
    <row r="235">
      <c r="A235" s="39" t="inlineStr">
        <is>
          <t>Qorvex</t>
        </is>
      </c>
      <c r="B235" s="39" t="n">
        <v>4</v>
      </c>
      <c r="C235" s="39" t="inlineStr">
        <is>
          <t>Azure</t>
        </is>
      </c>
      <c r="D235" s="39" t="inlineStr">
        <is>
          <t>Armor</t>
        </is>
      </c>
      <c r="E235" s="39" t="inlineStr">
        <is>
          <t>Normal</t>
        </is>
      </c>
      <c r="F235" s="39" t="n">
        <v>150</v>
      </c>
      <c r="G235" s="39" t="inlineStr"/>
    </row>
    <row r="236">
      <c r="A236" s="39" t="inlineStr">
        <is>
          <t>Qorvex</t>
        </is>
      </c>
      <c r="B236" s="39" t="n">
        <v>5</v>
      </c>
      <c r="C236" s="39" t="inlineStr">
        <is>
          <t>Amber</t>
        </is>
      </c>
      <c r="D236" s="39" t="inlineStr">
        <is>
          <t>Casting Speed</t>
        </is>
      </c>
      <c r="E236" s="39" t="inlineStr">
        <is>
          <t>Normal</t>
        </is>
      </c>
      <c r="F236" s="39" t="n">
        <v>25</v>
      </c>
      <c r="G236" s="39" t="inlineStr"/>
    </row>
    <row r="237">
      <c r="A237" s="39" t="inlineStr">
        <is>
          <t>Revenant Prime</t>
        </is>
      </c>
      <c r="B237" s="39" t="n">
        <v>1</v>
      </c>
      <c r="C237" s="39" t="inlineStr">
        <is>
          <t>Crimson</t>
        </is>
      </c>
      <c r="D237" s="39" t="inlineStr">
        <is>
          <t>Ability Strength</t>
        </is>
      </c>
      <c r="E237" s="39" t="inlineStr">
        <is>
          <t>Tauforged</t>
        </is>
      </c>
      <c r="F237" s="39" t="n">
        <v>15</v>
      </c>
      <c r="G237" s="39" t="inlineStr"/>
    </row>
    <row r="238">
      <c r="A238" s="39" t="inlineStr">
        <is>
          <t>Revenant Prime</t>
        </is>
      </c>
      <c r="B238" s="39" t="n">
        <v>2</v>
      </c>
      <c r="C238" s="39" t="inlineStr">
        <is>
          <t>Crimson</t>
        </is>
      </c>
      <c r="D238" s="39" t="inlineStr">
        <is>
          <t>Ability Strength</t>
        </is>
      </c>
      <c r="E238" s="39" t="inlineStr">
        <is>
          <t>Normal</t>
        </is>
      </c>
      <c r="F238" s="39" t="n">
        <v>10</v>
      </c>
      <c r="G238" s="39" t="inlineStr"/>
    </row>
    <row r="239">
      <c r="A239" s="39" t="inlineStr">
        <is>
          <t>Revenant Prime</t>
        </is>
      </c>
      <c r="B239" s="39" t="n">
        <v>3</v>
      </c>
      <c r="C239" s="39" t="inlineStr">
        <is>
          <t>Crimson</t>
        </is>
      </c>
      <c r="D239" s="39" t="inlineStr">
        <is>
          <t>Ability Duration</t>
        </is>
      </c>
      <c r="E239" s="39" t="inlineStr">
        <is>
          <t>Normal</t>
        </is>
      </c>
      <c r="F239" s="39" t="n">
        <v>10</v>
      </c>
      <c r="G239" s="39" t="inlineStr"/>
    </row>
    <row r="240">
      <c r="A240" s="39" t="inlineStr">
        <is>
          <t>Revenant Prime</t>
        </is>
      </c>
      <c r="B240" s="39" t="n">
        <v>4</v>
      </c>
      <c r="C240" s="39" t="inlineStr">
        <is>
          <t>Azure</t>
        </is>
      </c>
      <c r="D240" s="39" t="inlineStr">
        <is>
          <t>Shield Capacity</t>
        </is>
      </c>
      <c r="E240" s="39" t="inlineStr">
        <is>
          <t>Normal</t>
        </is>
      </c>
      <c r="F240" s="39" t="n">
        <v>150</v>
      </c>
      <c r="G240" s="39" t="inlineStr"/>
    </row>
    <row r="241">
      <c r="A241" s="39" t="inlineStr">
        <is>
          <t>Revenant Prime</t>
        </is>
      </c>
      <c r="B241" s="39" t="n">
        <v>5</v>
      </c>
      <c r="C241" s="39" t="inlineStr">
        <is>
          <t>Amber</t>
        </is>
      </c>
      <c r="D241" s="39" t="inlineStr">
        <is>
          <t>Casting Speed</t>
        </is>
      </c>
      <c r="E241" s="39" t="inlineStr">
        <is>
          <t>Normal</t>
        </is>
      </c>
      <c r="F241" s="39" t="n">
        <v>25</v>
      </c>
      <c r="G241" s="39" t="inlineStr"/>
    </row>
    <row r="242">
      <c r="A242" s="39" t="inlineStr">
        <is>
          <t>Rhino Prime</t>
        </is>
      </c>
      <c r="B242" s="39" t="n">
        <v>1</v>
      </c>
      <c r="C242" s="39" t="inlineStr">
        <is>
          <t>Crimson</t>
        </is>
      </c>
      <c r="D242" s="39" t="inlineStr">
        <is>
          <t>Ability Strength</t>
        </is>
      </c>
      <c r="E242" s="39" t="inlineStr">
        <is>
          <t>Tauforged</t>
        </is>
      </c>
      <c r="F242" s="39" t="n">
        <v>15</v>
      </c>
      <c r="G242" s="39" t="inlineStr"/>
    </row>
    <row r="243">
      <c r="A243" s="39" t="inlineStr">
        <is>
          <t>Rhino Prime</t>
        </is>
      </c>
      <c r="B243" s="39" t="n">
        <v>2</v>
      </c>
      <c r="C243" s="39" t="inlineStr">
        <is>
          <t>Crimson</t>
        </is>
      </c>
      <c r="D243" s="39" t="inlineStr">
        <is>
          <t>Ability Strength</t>
        </is>
      </c>
      <c r="E243" s="39" t="inlineStr">
        <is>
          <t>Normal</t>
        </is>
      </c>
      <c r="F243" s="39" t="n">
        <v>10</v>
      </c>
      <c r="G243" s="39" t="inlineStr"/>
    </row>
    <row r="244">
      <c r="A244" s="39" t="inlineStr">
        <is>
          <t>Rhino Prime</t>
        </is>
      </c>
      <c r="B244" s="39" t="n">
        <v>3</v>
      </c>
      <c r="C244" s="39" t="inlineStr">
        <is>
          <t>Azure</t>
        </is>
      </c>
      <c r="D244" s="39" t="inlineStr">
        <is>
          <t>Armor</t>
        </is>
      </c>
      <c r="E244" s="39" t="inlineStr">
        <is>
          <t>Normal</t>
        </is>
      </c>
      <c r="F244" s="39" t="n">
        <v>150</v>
      </c>
      <c r="G244" s="39" t="inlineStr"/>
    </row>
    <row r="245">
      <c r="A245" s="39" t="inlineStr">
        <is>
          <t>Rhino Prime</t>
        </is>
      </c>
      <c r="B245" s="39" t="n">
        <v>4</v>
      </c>
      <c r="C245" s="39" t="inlineStr">
        <is>
          <t>Azure</t>
        </is>
      </c>
      <c r="D245" s="39" t="inlineStr">
        <is>
          <t>Armor</t>
        </is>
      </c>
      <c r="E245" s="39" t="inlineStr">
        <is>
          <t>Normal</t>
        </is>
      </c>
      <c r="F245" s="39" t="n">
        <v>150</v>
      </c>
      <c r="G245" s="39" t="inlineStr"/>
    </row>
    <row r="246">
      <c r="A246" s="39" t="inlineStr">
        <is>
          <t>Rhino Prime</t>
        </is>
      </c>
      <c r="B246" s="39" t="n">
        <v>5</v>
      </c>
      <c r="C246" s="39" t="inlineStr">
        <is>
          <t>Amber</t>
        </is>
      </c>
      <c r="D246" s="39" t="inlineStr">
        <is>
          <t>Casting Speed</t>
        </is>
      </c>
      <c r="E246" s="39" t="inlineStr">
        <is>
          <t>Normal</t>
        </is>
      </c>
      <c r="F246" s="39" t="n">
        <v>25</v>
      </c>
      <c r="G246" s="39" t="inlineStr"/>
    </row>
    <row r="247">
      <c r="A247" s="39" t="inlineStr">
        <is>
          <t>Saryn Prime</t>
        </is>
      </c>
      <c r="B247" s="39" t="n">
        <v>1</v>
      </c>
      <c r="C247" s="39" t="inlineStr">
        <is>
          <t>Crimson</t>
        </is>
      </c>
      <c r="D247" s="39" t="inlineStr">
        <is>
          <t>Ability Strength</t>
        </is>
      </c>
      <c r="E247" s="39" t="inlineStr">
        <is>
          <t>Tauforged</t>
        </is>
      </c>
      <c r="F247" s="39" t="n">
        <v>15</v>
      </c>
      <c r="G247" s="39" t="inlineStr"/>
    </row>
    <row r="248">
      <c r="A248" s="39" t="inlineStr">
        <is>
          <t>Saryn Prime</t>
        </is>
      </c>
      <c r="B248" s="39" t="n">
        <v>2</v>
      </c>
      <c r="C248" s="39" t="inlineStr">
        <is>
          <t>Emerald</t>
        </is>
      </c>
      <c r="D248" s="39" t="inlineStr">
        <is>
          <t>Toxin Status Damage</t>
        </is>
      </c>
      <c r="E248" s="39" t="inlineStr">
        <is>
          <t>Normal</t>
        </is>
      </c>
      <c r="F248" s="39" t="n">
        <v>30</v>
      </c>
      <c r="G248" s="39" t="inlineStr"/>
    </row>
    <row r="249">
      <c r="A249" s="39" t="inlineStr">
        <is>
          <t>Saryn Prime</t>
        </is>
      </c>
      <c r="B249" s="39" t="n">
        <v>3</v>
      </c>
      <c r="C249" s="39" t="inlineStr">
        <is>
          <t>Emerald</t>
        </is>
      </c>
      <c r="D249" s="39" t="inlineStr">
        <is>
          <t>Ability Damage vs Corrosion</t>
        </is>
      </c>
      <c r="E249" s="39" t="inlineStr">
        <is>
          <t>Normal</t>
        </is>
      </c>
      <c r="F249" s="39" t="n">
        <v>10</v>
      </c>
      <c r="G249" s="39" t="inlineStr"/>
    </row>
    <row r="250">
      <c r="A250" s="39" t="inlineStr">
        <is>
          <t>Saryn Prime</t>
        </is>
      </c>
      <c r="B250" s="39" t="n">
        <v>4</v>
      </c>
      <c r="C250" s="39" t="inlineStr">
        <is>
          <t>Azure</t>
        </is>
      </c>
      <c r="D250" s="39" t="inlineStr">
        <is>
          <t>Armor</t>
        </is>
      </c>
      <c r="E250" s="39" t="inlineStr">
        <is>
          <t>Normal</t>
        </is>
      </c>
      <c r="F250" s="39" t="n">
        <v>150</v>
      </c>
      <c r="G250" s="39" t="inlineStr"/>
    </row>
    <row r="251">
      <c r="A251" s="39" t="inlineStr">
        <is>
          <t>Saryn Prime</t>
        </is>
      </c>
      <c r="B251" s="39" t="n">
        <v>5</v>
      </c>
      <c r="C251" s="39" t="inlineStr">
        <is>
          <t>Amber</t>
        </is>
      </c>
      <c r="D251" s="39" t="inlineStr">
        <is>
          <t>Casting Speed</t>
        </is>
      </c>
      <c r="E251" s="39" t="inlineStr">
        <is>
          <t>Normal</t>
        </is>
      </c>
      <c r="F251" s="39" t="n">
        <v>25</v>
      </c>
      <c r="G251" s="39" t="inlineStr"/>
    </row>
    <row r="252">
      <c r="A252" s="39" t="inlineStr">
        <is>
          <t>Sevagoth Prime</t>
        </is>
      </c>
      <c r="B252" s="39" t="n">
        <v>1</v>
      </c>
      <c r="C252" s="39" t="inlineStr">
        <is>
          <t>Crimson</t>
        </is>
      </c>
      <c r="D252" s="39" t="inlineStr">
        <is>
          <t>Ability Strength</t>
        </is>
      </c>
      <c r="E252" s="39" t="inlineStr">
        <is>
          <t>Tauforged</t>
        </is>
      </c>
      <c r="F252" s="39" t="n">
        <v>15</v>
      </c>
      <c r="G252" s="39" t="inlineStr"/>
    </row>
    <row r="253">
      <c r="A253" s="39" t="inlineStr">
        <is>
          <t>Sevagoth Prime</t>
        </is>
      </c>
      <c r="B253" s="39" t="n">
        <v>2</v>
      </c>
      <c r="C253" s="39" t="inlineStr">
        <is>
          <t>Crimson</t>
        </is>
      </c>
      <c r="D253" s="39" t="inlineStr">
        <is>
          <t>Ability Strength</t>
        </is>
      </c>
      <c r="E253" s="39" t="inlineStr">
        <is>
          <t>Normal</t>
        </is>
      </c>
      <c r="F253" s="39" t="n">
        <v>10</v>
      </c>
      <c r="G253" s="39" t="inlineStr"/>
    </row>
    <row r="254">
      <c r="A254" s="39" t="inlineStr">
        <is>
          <t>Sevagoth Prime</t>
        </is>
      </c>
      <c r="B254" s="39" t="n">
        <v>3</v>
      </c>
      <c r="C254" s="39" t="inlineStr">
        <is>
          <t>Crimson</t>
        </is>
      </c>
      <c r="D254" s="39" t="inlineStr">
        <is>
          <t>Ability Duration</t>
        </is>
      </c>
      <c r="E254" s="39" t="inlineStr">
        <is>
          <t>Normal</t>
        </is>
      </c>
      <c r="F254" s="39" t="n">
        <v>10</v>
      </c>
      <c r="G254" s="39" t="inlineStr"/>
    </row>
    <row r="255">
      <c r="A255" s="39" t="inlineStr">
        <is>
          <t>Sevagoth Prime</t>
        </is>
      </c>
      <c r="B255" s="39" t="n">
        <v>4</v>
      </c>
      <c r="C255" s="39" t="inlineStr">
        <is>
          <t>Azure</t>
        </is>
      </c>
      <c r="D255" s="39" t="inlineStr">
        <is>
          <t>Armor</t>
        </is>
      </c>
      <c r="E255" s="39" t="inlineStr">
        <is>
          <t>Normal</t>
        </is>
      </c>
      <c r="F255" s="39" t="n">
        <v>150</v>
      </c>
      <c r="G255" s="39" t="inlineStr"/>
    </row>
    <row r="256">
      <c r="A256" s="39" t="inlineStr">
        <is>
          <t>Sevagoth Prime</t>
        </is>
      </c>
      <c r="B256" s="39" t="n">
        <v>5</v>
      </c>
      <c r="C256" s="39" t="inlineStr">
        <is>
          <t>Amber</t>
        </is>
      </c>
      <c r="D256" s="39" t="inlineStr">
        <is>
          <t>Casting Speed</t>
        </is>
      </c>
      <c r="E256" s="39" t="inlineStr">
        <is>
          <t>Normal</t>
        </is>
      </c>
      <c r="F256" s="39" t="n">
        <v>25</v>
      </c>
      <c r="G256" s="39" t="inlineStr"/>
    </row>
    <row r="257">
      <c r="A257" s="39" t="inlineStr">
        <is>
          <t>Sirius &amp; Orion</t>
        </is>
      </c>
      <c r="B257" s="39" t="n">
        <v>1</v>
      </c>
      <c r="C257" s="39" t="inlineStr">
        <is>
          <t>Crimson</t>
        </is>
      </c>
      <c r="D257" s="39" t="inlineStr">
        <is>
          <t>Ability Strength</t>
        </is>
      </c>
      <c r="E257" s="39" t="inlineStr">
        <is>
          <t>Tauforged</t>
        </is>
      </c>
      <c r="F257" s="39" t="n">
        <v>15</v>
      </c>
      <c r="G257" s="39" t="inlineStr"/>
    </row>
    <row r="258">
      <c r="A258" s="39" t="inlineStr">
        <is>
          <t>Sirius &amp; Orion</t>
        </is>
      </c>
      <c r="B258" s="39" t="n">
        <v>2</v>
      </c>
      <c r="C258" s="39" t="inlineStr">
        <is>
          <t>Crimson</t>
        </is>
      </c>
      <c r="D258" s="39" t="inlineStr">
        <is>
          <t>Ability Strength</t>
        </is>
      </c>
      <c r="E258" s="39" t="inlineStr">
        <is>
          <t>Normal</t>
        </is>
      </c>
      <c r="F258" s="39" t="n">
        <v>10</v>
      </c>
      <c r="G258" s="39" t="inlineStr"/>
    </row>
    <row r="259">
      <c r="A259" s="39" t="inlineStr">
        <is>
          <t>Sirius &amp; Orion</t>
        </is>
      </c>
      <c r="B259" s="39" t="n">
        <v>3</v>
      </c>
      <c r="C259" s="39" t="inlineStr">
        <is>
          <t>Crimson</t>
        </is>
      </c>
      <c r="D259" s="39" t="inlineStr">
        <is>
          <t>Ability Duration</t>
        </is>
      </c>
      <c r="E259" s="39" t="inlineStr">
        <is>
          <t>Normal</t>
        </is>
      </c>
      <c r="F259" s="39" t="n">
        <v>10</v>
      </c>
      <c r="G259" s="39" t="inlineStr"/>
    </row>
    <row r="260">
      <c r="A260" s="39" t="inlineStr">
        <is>
          <t>Sirius &amp; Orion</t>
        </is>
      </c>
      <c r="B260" s="39" t="n">
        <v>4</v>
      </c>
      <c r="C260" s="39" t="inlineStr">
        <is>
          <t>Azure</t>
        </is>
      </c>
      <c r="D260" s="39" t="inlineStr">
        <is>
          <t>Armor</t>
        </is>
      </c>
      <c r="E260" s="39" t="inlineStr">
        <is>
          <t>Normal</t>
        </is>
      </c>
      <c r="F260" s="39" t="n">
        <v>150</v>
      </c>
      <c r="G260" s="39" t="inlineStr"/>
    </row>
    <row r="261">
      <c r="A261" s="39" t="inlineStr">
        <is>
          <t>Sirius &amp; Orion</t>
        </is>
      </c>
      <c r="B261" s="39" t="n">
        <v>5</v>
      </c>
      <c r="C261" s="39" t="inlineStr">
        <is>
          <t>Amber</t>
        </is>
      </c>
      <c r="D261" s="39" t="inlineStr">
        <is>
          <t>Casting Speed</t>
        </is>
      </c>
      <c r="E261" s="39" t="inlineStr">
        <is>
          <t>Normal</t>
        </is>
      </c>
      <c r="F261" s="39" t="n">
        <v>25</v>
      </c>
      <c r="G261" s="39" t="inlineStr"/>
    </row>
    <row r="262">
      <c r="A262" s="39" t="inlineStr">
        <is>
          <t>Styanax Prime</t>
        </is>
      </c>
      <c r="B262" s="39" t="n">
        <v>1</v>
      </c>
      <c r="C262" s="39" t="inlineStr">
        <is>
          <t>Crimson</t>
        </is>
      </c>
      <c r="D262" s="39" t="inlineStr">
        <is>
          <t>Ability Strength</t>
        </is>
      </c>
      <c r="E262" s="39" t="inlineStr">
        <is>
          <t>Tauforged</t>
        </is>
      </c>
      <c r="F262" s="39" t="n">
        <v>15</v>
      </c>
      <c r="G262" s="39" t="inlineStr"/>
    </row>
    <row r="263">
      <c r="A263" s="39" t="inlineStr">
        <is>
          <t>Styanax Prime</t>
        </is>
      </c>
      <c r="B263" s="39" t="n">
        <v>2</v>
      </c>
      <c r="C263" s="39" t="inlineStr">
        <is>
          <t>Crimson</t>
        </is>
      </c>
      <c r="D263" s="39" t="inlineStr">
        <is>
          <t>Ability Strength</t>
        </is>
      </c>
      <c r="E263" s="39" t="inlineStr">
        <is>
          <t>Normal</t>
        </is>
      </c>
      <c r="F263" s="39" t="n">
        <v>10</v>
      </c>
      <c r="G263" s="39" t="inlineStr"/>
    </row>
    <row r="264">
      <c r="A264" s="39" t="inlineStr">
        <is>
          <t>Styanax Prime</t>
        </is>
      </c>
      <c r="B264" s="39" t="n">
        <v>3</v>
      </c>
      <c r="C264" s="39" t="inlineStr">
        <is>
          <t>Azure</t>
        </is>
      </c>
      <c r="D264" s="39" t="inlineStr">
        <is>
          <t>Shield Capacity</t>
        </is>
      </c>
      <c r="E264" s="39" t="inlineStr">
        <is>
          <t>Normal</t>
        </is>
      </c>
      <c r="F264" s="39" t="n">
        <v>150</v>
      </c>
      <c r="G264" s="39" t="inlineStr"/>
    </row>
    <row r="265">
      <c r="A265" s="39" t="inlineStr">
        <is>
          <t>Styanax Prime</t>
        </is>
      </c>
      <c r="B265" s="39" t="n">
        <v>4</v>
      </c>
      <c r="C265" s="39" t="inlineStr">
        <is>
          <t>Azure</t>
        </is>
      </c>
      <c r="D265" s="39" t="inlineStr">
        <is>
          <t>Armor</t>
        </is>
      </c>
      <c r="E265" s="39" t="inlineStr">
        <is>
          <t>Normal</t>
        </is>
      </c>
      <c r="F265" s="39" t="n">
        <v>150</v>
      </c>
      <c r="G265" s="39" t="inlineStr"/>
    </row>
    <row r="266">
      <c r="A266" s="39" t="inlineStr">
        <is>
          <t>Styanax Prime</t>
        </is>
      </c>
      <c r="B266" s="39" t="n">
        <v>5</v>
      </c>
      <c r="C266" s="39" t="inlineStr">
        <is>
          <t>Amber</t>
        </is>
      </c>
      <c r="D266" s="39" t="inlineStr">
        <is>
          <t>Casting Speed</t>
        </is>
      </c>
      <c r="E266" s="39" t="inlineStr">
        <is>
          <t>Normal</t>
        </is>
      </c>
      <c r="F266" s="39" t="n">
        <v>25</v>
      </c>
      <c r="G266" s="39" t="inlineStr"/>
    </row>
    <row r="267">
      <c r="A267" s="39" t="inlineStr">
        <is>
          <t>Temple</t>
        </is>
      </c>
      <c r="B267" s="39" t="n">
        <v>1</v>
      </c>
      <c r="C267" s="39" t="inlineStr">
        <is>
          <t>Crimson</t>
        </is>
      </c>
      <c r="D267" s="39" t="inlineStr">
        <is>
          <t>Ability Strength</t>
        </is>
      </c>
      <c r="E267" s="39" t="inlineStr">
        <is>
          <t>Tauforged</t>
        </is>
      </c>
      <c r="F267" s="39" t="n">
        <v>15</v>
      </c>
      <c r="G267" s="39" t="inlineStr"/>
    </row>
    <row r="268">
      <c r="A268" s="39" t="inlineStr">
        <is>
          <t>Temple</t>
        </is>
      </c>
      <c r="B268" s="39" t="n">
        <v>2</v>
      </c>
      <c r="C268" s="39" t="inlineStr">
        <is>
          <t>Crimson</t>
        </is>
      </c>
      <c r="D268" s="39" t="inlineStr">
        <is>
          <t>Ability Strength</t>
        </is>
      </c>
      <c r="E268" s="39" t="inlineStr">
        <is>
          <t>Normal</t>
        </is>
      </c>
      <c r="F268" s="39" t="n">
        <v>10</v>
      </c>
      <c r="G268" s="39" t="inlineStr"/>
    </row>
    <row r="269">
      <c r="A269" s="39" t="inlineStr">
        <is>
          <t>Temple</t>
        </is>
      </c>
      <c r="B269" s="39" t="n">
        <v>3</v>
      </c>
      <c r="C269" s="39" t="inlineStr">
        <is>
          <t>Crimson</t>
        </is>
      </c>
      <c r="D269" s="39" t="inlineStr">
        <is>
          <t>Ability Duration</t>
        </is>
      </c>
      <c r="E269" s="39" t="inlineStr">
        <is>
          <t>Normal</t>
        </is>
      </c>
      <c r="F269" s="39" t="n">
        <v>10</v>
      </c>
      <c r="G269" s="39" t="inlineStr"/>
    </row>
    <row r="270">
      <c r="A270" s="39" t="inlineStr">
        <is>
          <t>Temple</t>
        </is>
      </c>
      <c r="B270" s="39" t="n">
        <v>4</v>
      </c>
      <c r="C270" s="39" t="inlineStr">
        <is>
          <t>Azure</t>
        </is>
      </c>
      <c r="D270" s="39" t="inlineStr">
        <is>
          <t>Armor</t>
        </is>
      </c>
      <c r="E270" s="39" t="inlineStr">
        <is>
          <t>Normal</t>
        </is>
      </c>
      <c r="F270" s="39" t="n">
        <v>150</v>
      </c>
      <c r="G270" s="39" t="inlineStr"/>
    </row>
    <row r="271">
      <c r="A271" s="39" t="inlineStr">
        <is>
          <t>Temple</t>
        </is>
      </c>
      <c r="B271" s="39" t="n">
        <v>5</v>
      </c>
      <c r="C271" s="39" t="inlineStr">
        <is>
          <t>Amber</t>
        </is>
      </c>
      <c r="D271" s="39" t="inlineStr">
        <is>
          <t>Casting Speed</t>
        </is>
      </c>
      <c r="E271" s="39" t="inlineStr">
        <is>
          <t>Normal</t>
        </is>
      </c>
      <c r="F271" s="39" t="n">
        <v>25</v>
      </c>
      <c r="G271" s="39" t="inlineStr"/>
    </row>
    <row r="272">
      <c r="A272" s="39" t="inlineStr">
        <is>
          <t>Titania Prime</t>
        </is>
      </c>
      <c r="B272" s="39" t="n">
        <v>1</v>
      </c>
      <c r="C272" s="39" t="inlineStr">
        <is>
          <t>Crimson</t>
        </is>
      </c>
      <c r="D272" s="39" t="inlineStr">
        <is>
          <t>Ability Strength</t>
        </is>
      </c>
      <c r="E272" s="39" t="inlineStr">
        <is>
          <t>Tauforged</t>
        </is>
      </c>
      <c r="F272" s="39" t="n">
        <v>15</v>
      </c>
      <c r="G272" s="39" t="inlineStr"/>
    </row>
    <row r="273">
      <c r="A273" s="39" t="inlineStr">
        <is>
          <t>Titania Prime</t>
        </is>
      </c>
      <c r="B273" s="39" t="n">
        <v>2</v>
      </c>
      <c r="C273" s="39" t="inlineStr">
        <is>
          <t>Crimson</t>
        </is>
      </c>
      <c r="D273" s="39" t="inlineStr">
        <is>
          <t>Ability Strength</t>
        </is>
      </c>
      <c r="E273" s="39" t="inlineStr">
        <is>
          <t>Normal</t>
        </is>
      </c>
      <c r="F273" s="39" t="n">
        <v>10</v>
      </c>
      <c r="G273" s="39" t="inlineStr">
        <is>
          <t>Razorwing duration/efficiency build</t>
        </is>
      </c>
    </row>
    <row r="274">
      <c r="A274" s="39" t="inlineStr">
        <is>
          <t>Titania Prime</t>
        </is>
      </c>
      <c r="B274" s="39" t="n">
        <v>3</v>
      </c>
      <c r="C274" s="39" t="inlineStr">
        <is>
          <t>Crimson</t>
        </is>
      </c>
      <c r="D274" s="39" t="inlineStr">
        <is>
          <t>Ability Duration</t>
        </is>
      </c>
      <c r="E274" s="39" t="inlineStr">
        <is>
          <t>Normal</t>
        </is>
      </c>
      <c r="F274" s="39" t="n">
        <v>10</v>
      </c>
      <c r="G274" s="39" t="inlineStr"/>
    </row>
    <row r="275">
      <c r="A275" s="39" t="inlineStr">
        <is>
          <t>Titania Prime</t>
        </is>
      </c>
      <c r="B275" s="39" t="n">
        <v>4</v>
      </c>
      <c r="C275" s="39" t="inlineStr">
        <is>
          <t>Azure</t>
        </is>
      </c>
      <c r="D275" s="39" t="inlineStr">
        <is>
          <t>Armor</t>
        </is>
      </c>
      <c r="E275" s="39" t="inlineStr">
        <is>
          <t>Normal</t>
        </is>
      </c>
      <c r="F275" s="39" t="n">
        <v>150</v>
      </c>
      <c r="G275" s="39" t="inlineStr"/>
    </row>
    <row r="276">
      <c r="A276" s="39" t="inlineStr">
        <is>
          <t>Titania Prime</t>
        </is>
      </c>
      <c r="B276" s="39" t="n">
        <v>5</v>
      </c>
      <c r="C276" s="39" t="inlineStr">
        <is>
          <t>Azure</t>
        </is>
      </c>
      <c r="D276" s="39" t="inlineStr">
        <is>
          <t>Armor</t>
        </is>
      </c>
      <c r="E276" s="39" t="inlineStr">
        <is>
          <t>Normal</t>
        </is>
      </c>
      <c r="F276" s="39" t="n">
        <v>150</v>
      </c>
      <c r="G276" s="39" t="inlineStr"/>
    </row>
    <row r="277">
      <c r="A277" s="39" t="inlineStr">
        <is>
          <t>Trinity Prime</t>
        </is>
      </c>
      <c r="B277" s="39" t="n">
        <v>1</v>
      </c>
      <c r="C277" s="39" t="inlineStr">
        <is>
          <t>Crimson</t>
        </is>
      </c>
      <c r="D277" s="39" t="inlineStr">
        <is>
          <t>Ability Strength</t>
        </is>
      </c>
      <c r="E277" s="39" t="inlineStr">
        <is>
          <t>Tauforged</t>
        </is>
      </c>
      <c r="F277" s="39" t="n">
        <v>15</v>
      </c>
      <c r="G277" s="39" t="inlineStr"/>
    </row>
    <row r="278">
      <c r="A278" s="39" t="inlineStr">
        <is>
          <t>Trinity Prime</t>
        </is>
      </c>
      <c r="B278" s="39" t="n">
        <v>2</v>
      </c>
      <c r="C278" s="39" t="inlineStr">
        <is>
          <t>Crimson</t>
        </is>
      </c>
      <c r="D278" s="39" t="inlineStr">
        <is>
          <t>Ability Strength</t>
        </is>
      </c>
      <c r="E278" s="39" t="inlineStr">
        <is>
          <t>Normal</t>
        </is>
      </c>
      <c r="F278" s="39" t="n">
        <v>10</v>
      </c>
      <c r="G278" s="39" t="inlineStr">
        <is>
          <t>support</t>
        </is>
      </c>
    </row>
    <row r="279">
      <c r="A279" s="39" t="inlineStr">
        <is>
          <t>Trinity Prime</t>
        </is>
      </c>
      <c r="B279" s="39" t="n">
        <v>3</v>
      </c>
      <c r="C279" s="39" t="inlineStr">
        <is>
          <t>Crimson</t>
        </is>
      </c>
      <c r="D279" s="39" t="inlineStr">
        <is>
          <t>Ability Duration</t>
        </is>
      </c>
      <c r="E279" s="39" t="inlineStr">
        <is>
          <t>Normal</t>
        </is>
      </c>
      <c r="F279" s="39" t="n">
        <v>10</v>
      </c>
      <c r="G279" s="39" t="inlineStr"/>
    </row>
    <row r="280">
      <c r="A280" s="39" t="inlineStr">
        <is>
          <t>Trinity Prime</t>
        </is>
      </c>
      <c r="B280" s="39" t="n">
        <v>4</v>
      </c>
      <c r="C280" s="39" t="inlineStr">
        <is>
          <t>Azure</t>
        </is>
      </c>
      <c r="D280" s="39" t="inlineStr">
        <is>
          <t>Health</t>
        </is>
      </c>
      <c r="E280" s="39" t="inlineStr">
        <is>
          <t>Normal</t>
        </is>
      </c>
      <c r="F280" s="39" t="n">
        <v>150</v>
      </c>
      <c r="G280" s="39" t="inlineStr"/>
    </row>
    <row r="281">
      <c r="A281" s="39" t="inlineStr">
        <is>
          <t>Trinity Prime</t>
        </is>
      </c>
      <c r="B281" s="39" t="n">
        <v>5</v>
      </c>
      <c r="C281" s="39" t="inlineStr">
        <is>
          <t>Amber</t>
        </is>
      </c>
      <c r="D281" s="39" t="inlineStr">
        <is>
          <t>Casting Speed</t>
        </is>
      </c>
      <c r="E281" s="39" t="inlineStr">
        <is>
          <t>Normal</t>
        </is>
      </c>
      <c r="F281" s="39" t="n">
        <v>25</v>
      </c>
      <c r="G281" s="39" t="inlineStr"/>
    </row>
    <row r="282">
      <c r="A282" s="39" t="inlineStr">
        <is>
          <t>Uriel</t>
        </is>
      </c>
      <c r="B282" s="39" t="n">
        <v>1</v>
      </c>
      <c r="C282" s="39" t="inlineStr">
        <is>
          <t>Crimson</t>
        </is>
      </c>
      <c r="D282" s="39" t="inlineStr">
        <is>
          <t>Ability Strength</t>
        </is>
      </c>
      <c r="E282" s="39" t="inlineStr">
        <is>
          <t>Tauforged</t>
        </is>
      </c>
      <c r="F282" s="39" t="n">
        <v>15</v>
      </c>
      <c r="G282" s="39" t="inlineStr"/>
    </row>
    <row r="283">
      <c r="A283" s="39" t="inlineStr">
        <is>
          <t>Uriel</t>
        </is>
      </c>
      <c r="B283" s="39" t="n">
        <v>2</v>
      </c>
      <c r="C283" s="39" t="inlineStr">
        <is>
          <t>Crimson</t>
        </is>
      </c>
      <c r="D283" s="39" t="inlineStr">
        <is>
          <t>Ability Strength</t>
        </is>
      </c>
      <c r="E283" s="39" t="inlineStr">
        <is>
          <t>Normal</t>
        </is>
      </c>
      <c r="F283" s="39" t="n">
        <v>10</v>
      </c>
      <c r="G283" s="39" t="inlineStr"/>
    </row>
    <row r="284">
      <c r="A284" s="39" t="inlineStr">
        <is>
          <t>Uriel</t>
        </is>
      </c>
      <c r="B284" s="39" t="n">
        <v>3</v>
      </c>
      <c r="C284" s="39" t="inlineStr">
        <is>
          <t>Crimson</t>
        </is>
      </c>
      <c r="D284" s="39" t="inlineStr">
        <is>
          <t>Ability Duration</t>
        </is>
      </c>
      <c r="E284" s="39" t="inlineStr">
        <is>
          <t>Normal</t>
        </is>
      </c>
      <c r="F284" s="39" t="n">
        <v>10</v>
      </c>
      <c r="G284" s="39" t="inlineStr"/>
    </row>
    <row r="285">
      <c r="A285" s="39" t="inlineStr">
        <is>
          <t>Uriel</t>
        </is>
      </c>
      <c r="B285" s="39" t="n">
        <v>4</v>
      </c>
      <c r="C285" s="39" t="inlineStr">
        <is>
          <t>Azure</t>
        </is>
      </c>
      <c r="D285" s="39" t="inlineStr">
        <is>
          <t>Shield Capacity</t>
        </is>
      </c>
      <c r="E285" s="39" t="inlineStr">
        <is>
          <t>Normal</t>
        </is>
      </c>
      <c r="F285" s="39" t="n">
        <v>150</v>
      </c>
      <c r="G285" s="39" t="inlineStr"/>
    </row>
    <row r="286">
      <c r="A286" s="39" t="inlineStr">
        <is>
          <t>Uriel</t>
        </is>
      </c>
      <c r="B286" s="39" t="n">
        <v>5</v>
      </c>
      <c r="C286" s="39" t="inlineStr">
        <is>
          <t>Amber</t>
        </is>
      </c>
      <c r="D286" s="39" t="inlineStr">
        <is>
          <t>Casting Speed</t>
        </is>
      </c>
      <c r="E286" s="39" t="inlineStr">
        <is>
          <t>Normal</t>
        </is>
      </c>
      <c r="F286" s="39" t="n">
        <v>25</v>
      </c>
      <c r="G286" s="39" t="inlineStr"/>
    </row>
    <row r="287">
      <c r="A287" s="39" t="inlineStr">
        <is>
          <t>Valkyr Prime</t>
        </is>
      </c>
      <c r="B287" s="39" t="n">
        <v>1</v>
      </c>
      <c r="C287" s="39" t="inlineStr">
        <is>
          <t>Crimson</t>
        </is>
      </c>
      <c r="D287" s="39" t="inlineStr">
        <is>
          <t>Ability Strength</t>
        </is>
      </c>
      <c r="E287" s="39" t="inlineStr">
        <is>
          <t>Tauforged</t>
        </is>
      </c>
      <c r="F287" s="39" t="n">
        <v>15</v>
      </c>
      <c r="G287" s="39" t="inlineStr"/>
    </row>
    <row r="288">
      <c r="A288" s="39" t="inlineStr">
        <is>
          <t>Valkyr Prime</t>
        </is>
      </c>
      <c r="B288" s="39" t="n">
        <v>2</v>
      </c>
      <c r="C288" s="39" t="inlineStr">
        <is>
          <t>Crimson</t>
        </is>
      </c>
      <c r="D288" s="39" t="inlineStr">
        <is>
          <t>Melee Critical Damage</t>
        </is>
      </c>
      <c r="E288" s="39" t="inlineStr">
        <is>
          <t>Tauforged</t>
        </is>
      </c>
      <c r="F288" s="39" t="n">
        <v>37.5</v>
      </c>
      <c r="G288" s="39" t="inlineStr"/>
    </row>
    <row r="289">
      <c r="A289" s="39" t="inlineStr">
        <is>
          <t>Valkyr Prime</t>
        </is>
      </c>
      <c r="B289" s="39" t="n">
        <v>3</v>
      </c>
      <c r="C289" s="39" t="inlineStr">
        <is>
          <t>Crimson</t>
        </is>
      </c>
      <c r="D289" s="39" t="inlineStr">
        <is>
          <t>Melee Critical Damage</t>
        </is>
      </c>
      <c r="E289" s="39" t="inlineStr">
        <is>
          <t>Normal</t>
        </is>
      </c>
      <c r="F289" s="39" t="n">
        <v>25</v>
      </c>
      <c r="G289" s="39" t="inlineStr"/>
    </row>
    <row r="290">
      <c r="A290" s="39" t="inlineStr">
        <is>
          <t>Valkyr Prime</t>
        </is>
      </c>
      <c r="B290" s="39" t="n">
        <v>4</v>
      </c>
      <c r="C290" s="39" t="inlineStr">
        <is>
          <t>Azure</t>
        </is>
      </c>
      <c r="D290" s="39" t="inlineStr">
        <is>
          <t>Armor</t>
        </is>
      </c>
      <c r="E290" s="39" t="inlineStr">
        <is>
          <t>Normal</t>
        </is>
      </c>
      <c r="F290" s="39" t="n">
        <v>150</v>
      </c>
      <c r="G290" s="39" t="inlineStr"/>
    </row>
    <row r="291">
      <c r="A291" s="39" t="inlineStr">
        <is>
          <t>Valkyr Prime</t>
        </is>
      </c>
      <c r="B291" s="39" t="n">
        <v>5</v>
      </c>
      <c r="C291" s="39" t="inlineStr">
        <is>
          <t>Azure</t>
        </is>
      </c>
      <c r="D291" s="39" t="inlineStr">
        <is>
          <t>Armor</t>
        </is>
      </c>
      <c r="E291" s="39" t="inlineStr">
        <is>
          <t>Normal</t>
        </is>
      </c>
      <c r="F291" s="39" t="n">
        <v>150</v>
      </c>
      <c r="G291" s="39" t="inlineStr"/>
    </row>
    <row r="292">
      <c r="A292" s="39" t="inlineStr">
        <is>
          <t>Vauban Prime</t>
        </is>
      </c>
      <c r="B292" s="39" t="n">
        <v>1</v>
      </c>
      <c r="C292" s="39" t="inlineStr">
        <is>
          <t>Crimson</t>
        </is>
      </c>
      <c r="D292" s="39" t="inlineStr">
        <is>
          <t>Ability Strength</t>
        </is>
      </c>
      <c r="E292" s="39" t="inlineStr">
        <is>
          <t>Tauforged</t>
        </is>
      </c>
      <c r="F292" s="39" t="n">
        <v>15</v>
      </c>
      <c r="G292" s="39" t="inlineStr"/>
    </row>
    <row r="293">
      <c r="A293" s="39" t="inlineStr">
        <is>
          <t>Vauban Prime</t>
        </is>
      </c>
      <c r="B293" s="39" t="n">
        <v>2</v>
      </c>
      <c r="C293" s="39" t="inlineStr">
        <is>
          <t>Crimson</t>
        </is>
      </c>
      <c r="D293" s="39" t="inlineStr">
        <is>
          <t>Ability Strength</t>
        </is>
      </c>
      <c r="E293" s="39" t="inlineStr">
        <is>
          <t>Normal</t>
        </is>
      </c>
      <c r="F293" s="39" t="n">
        <v>10</v>
      </c>
      <c r="G293" s="39" t="inlineStr">
        <is>
          <t>CC build</t>
        </is>
      </c>
    </row>
    <row r="294">
      <c r="A294" s="39" t="inlineStr">
        <is>
          <t>Vauban Prime</t>
        </is>
      </c>
      <c r="B294" s="39" t="n">
        <v>3</v>
      </c>
      <c r="C294" s="39" t="inlineStr">
        <is>
          <t>Crimson</t>
        </is>
      </c>
      <c r="D294" s="39" t="inlineStr">
        <is>
          <t>Ability Duration</t>
        </is>
      </c>
      <c r="E294" s="39" t="inlineStr">
        <is>
          <t>Normal</t>
        </is>
      </c>
      <c r="F294" s="39" t="n">
        <v>10</v>
      </c>
      <c r="G294" s="39" t="inlineStr"/>
    </row>
    <row r="295">
      <c r="A295" s="39" t="inlineStr">
        <is>
          <t>Vauban Prime</t>
        </is>
      </c>
      <c r="B295" s="39" t="n">
        <v>4</v>
      </c>
      <c r="C295" s="39" t="inlineStr">
        <is>
          <t>Azure</t>
        </is>
      </c>
      <c r="D295" s="39" t="inlineStr">
        <is>
          <t>Health</t>
        </is>
      </c>
      <c r="E295" s="39" t="inlineStr">
        <is>
          <t>Normal</t>
        </is>
      </c>
      <c r="F295" s="39" t="n">
        <v>150</v>
      </c>
      <c r="G295" s="39" t="inlineStr"/>
    </row>
    <row r="296">
      <c r="A296" s="39" t="inlineStr">
        <is>
          <t>Vauban Prime</t>
        </is>
      </c>
      <c r="B296" s="39" t="n">
        <v>5</v>
      </c>
      <c r="C296" s="39" t="inlineStr">
        <is>
          <t>Amber</t>
        </is>
      </c>
      <c r="D296" s="39" t="inlineStr">
        <is>
          <t>Casting Speed</t>
        </is>
      </c>
      <c r="E296" s="39" t="inlineStr">
        <is>
          <t>Normal</t>
        </is>
      </c>
      <c r="F296" s="39" t="n">
        <v>25</v>
      </c>
      <c r="G296" s="39" t="inlineStr"/>
    </row>
    <row r="297">
      <c r="A297" s="39" t="inlineStr">
        <is>
          <t>Volt Prime</t>
        </is>
      </c>
      <c r="B297" s="39" t="n">
        <v>1</v>
      </c>
      <c r="C297" s="39" t="inlineStr">
        <is>
          <t>Crimson</t>
        </is>
      </c>
      <c r="D297" s="39" t="inlineStr">
        <is>
          <t>Ability Strength</t>
        </is>
      </c>
      <c r="E297" s="39" t="inlineStr">
        <is>
          <t>Tauforged</t>
        </is>
      </c>
      <c r="F297" s="39" t="n">
        <v>15</v>
      </c>
      <c r="G297" s="39" t="inlineStr"/>
    </row>
    <row r="298">
      <c r="A298" s="39" t="inlineStr">
        <is>
          <t>Volt Prime</t>
        </is>
      </c>
      <c r="B298" s="39" t="n">
        <v>2</v>
      </c>
      <c r="C298" s="39" t="inlineStr">
        <is>
          <t>Violet</t>
        </is>
      </c>
      <c r="D298" s="39" t="inlineStr">
        <is>
          <t>Ability Damage vs Electricity</t>
        </is>
      </c>
      <c r="E298" s="39" t="inlineStr">
        <is>
          <t>Normal</t>
        </is>
      </c>
      <c r="F298" s="39" t="n">
        <v>10</v>
      </c>
      <c r="G298" s="39" t="inlineStr"/>
    </row>
    <row r="299">
      <c r="A299" s="39" t="inlineStr">
        <is>
          <t>Volt Prime</t>
        </is>
      </c>
      <c r="B299" s="39" t="n">
        <v>3</v>
      </c>
      <c r="C299" s="39" t="inlineStr">
        <is>
          <t>Violet</t>
        </is>
      </c>
      <c r="D299" s="39" t="inlineStr">
        <is>
          <t>Ability Damage vs Electricity</t>
        </is>
      </c>
      <c r="E299" s="39" t="inlineStr">
        <is>
          <t>Normal</t>
        </is>
      </c>
      <c r="F299" s="39" t="n">
        <v>10</v>
      </c>
      <c r="G299" s="39" t="inlineStr"/>
    </row>
    <row r="300">
      <c r="A300" s="39" t="inlineStr">
        <is>
          <t>Volt Prime</t>
        </is>
      </c>
      <c r="B300" s="39" t="n">
        <v>4</v>
      </c>
      <c r="C300" s="39" t="inlineStr">
        <is>
          <t>Azure</t>
        </is>
      </c>
      <c r="D300" s="39" t="inlineStr">
        <is>
          <t>Shield Capacity</t>
        </is>
      </c>
      <c r="E300" s="39" t="inlineStr">
        <is>
          <t>Normal</t>
        </is>
      </c>
      <c r="F300" s="39" t="n">
        <v>150</v>
      </c>
      <c r="G300" s="39" t="inlineStr"/>
    </row>
    <row r="301">
      <c r="A301" s="39" t="inlineStr">
        <is>
          <t>Volt Prime</t>
        </is>
      </c>
      <c r="B301" s="39" t="n">
        <v>5</v>
      </c>
      <c r="C301" s="39" t="inlineStr">
        <is>
          <t>Amber</t>
        </is>
      </c>
      <c r="D301" s="39" t="inlineStr">
        <is>
          <t>Casting Speed</t>
        </is>
      </c>
      <c r="E301" s="39" t="inlineStr">
        <is>
          <t>Normal</t>
        </is>
      </c>
      <c r="F301" s="39" t="n">
        <v>25</v>
      </c>
      <c r="G301" s="39" t="inlineStr"/>
    </row>
    <row r="302">
      <c r="A302" s="39" t="inlineStr">
        <is>
          <t>Voruna Prime</t>
        </is>
      </c>
      <c r="B302" s="39" t="n">
        <v>1</v>
      </c>
      <c r="C302" s="39" t="inlineStr">
        <is>
          <t>Crimson</t>
        </is>
      </c>
      <c r="D302" s="39" t="inlineStr">
        <is>
          <t>Ability Strength</t>
        </is>
      </c>
      <c r="E302" s="39" t="inlineStr">
        <is>
          <t>Tauforged</t>
        </is>
      </c>
      <c r="F302" s="39" t="n">
        <v>15</v>
      </c>
      <c r="G302" s="39" t="inlineStr"/>
    </row>
    <row r="303">
      <c r="A303" s="39" t="inlineStr">
        <is>
          <t>Voruna Prime</t>
        </is>
      </c>
      <c r="B303" s="39" t="n">
        <v>2</v>
      </c>
      <c r="C303" s="39" t="inlineStr">
        <is>
          <t>Crimson</t>
        </is>
      </c>
      <c r="D303" s="39" t="inlineStr">
        <is>
          <t>Ability Strength</t>
        </is>
      </c>
      <c r="E303" s="39" t="inlineStr">
        <is>
          <t>Normal</t>
        </is>
      </c>
      <c r="F303" s="39" t="n">
        <v>10</v>
      </c>
      <c r="G303" s="39" t="inlineStr"/>
    </row>
    <row r="304">
      <c r="A304" s="39" t="inlineStr">
        <is>
          <t>Voruna Prime</t>
        </is>
      </c>
      <c r="B304" s="39" t="n">
        <v>3</v>
      </c>
      <c r="C304" s="39" t="inlineStr">
        <is>
          <t>Crimson</t>
        </is>
      </c>
      <c r="D304" s="39" t="inlineStr">
        <is>
          <t>Melee Critical Damage</t>
        </is>
      </c>
      <c r="E304" s="39" t="inlineStr">
        <is>
          <t>Tauforged</t>
        </is>
      </c>
      <c r="F304" s="39" t="n">
        <v>37.5</v>
      </c>
      <c r="G304" s="39" t="inlineStr"/>
    </row>
    <row r="305">
      <c r="A305" s="39" t="inlineStr">
        <is>
          <t>Voruna Prime</t>
        </is>
      </c>
      <c r="B305" s="39" t="n">
        <v>4</v>
      </c>
      <c r="C305" s="39" t="inlineStr">
        <is>
          <t>Azure</t>
        </is>
      </c>
      <c r="D305" s="39" t="inlineStr">
        <is>
          <t>Armor</t>
        </is>
      </c>
      <c r="E305" s="39" t="inlineStr">
        <is>
          <t>Normal</t>
        </is>
      </c>
      <c r="F305" s="39" t="n">
        <v>150</v>
      </c>
      <c r="G305" s="39" t="inlineStr"/>
    </row>
    <row r="306">
      <c r="A306" s="39" t="inlineStr">
        <is>
          <t>Voruna Prime</t>
        </is>
      </c>
      <c r="B306" s="39" t="n">
        <v>5</v>
      </c>
      <c r="C306" s="39" t="inlineStr">
        <is>
          <t>Amber</t>
        </is>
      </c>
      <c r="D306" s="39" t="inlineStr">
        <is>
          <t>Casting Speed</t>
        </is>
      </c>
      <c r="E306" s="39" t="inlineStr">
        <is>
          <t>Normal</t>
        </is>
      </c>
      <c r="F306" s="39" t="n">
        <v>25</v>
      </c>
      <c r="G306" s="39" t="inlineStr"/>
    </row>
    <row r="307">
      <c r="A307" s="39" t="inlineStr">
        <is>
          <t>Wisp Prime</t>
        </is>
      </c>
      <c r="B307" s="39" t="n">
        <v>1</v>
      </c>
      <c r="C307" s="39" t="inlineStr">
        <is>
          <t>Crimson</t>
        </is>
      </c>
      <c r="D307" s="39" t="inlineStr">
        <is>
          <t>Ability Strength</t>
        </is>
      </c>
      <c r="E307" s="39" t="inlineStr">
        <is>
          <t>Tauforged</t>
        </is>
      </c>
      <c r="F307" s="39" t="n">
        <v>15</v>
      </c>
      <c r="G307" s="39" t="inlineStr"/>
    </row>
    <row r="308">
      <c r="A308" s="39" t="inlineStr">
        <is>
          <t>Wisp Prime</t>
        </is>
      </c>
      <c r="B308" s="39" t="n">
        <v>2</v>
      </c>
      <c r="C308" s="39" t="inlineStr">
        <is>
          <t>Crimson</t>
        </is>
      </c>
      <c r="D308" s="39" t="inlineStr">
        <is>
          <t>Ability Strength</t>
        </is>
      </c>
      <c r="E308" s="39" t="inlineStr">
        <is>
          <t>Normal</t>
        </is>
      </c>
      <c r="F308" s="39" t="n">
        <v>10</v>
      </c>
      <c r="G308" s="39" t="inlineStr">
        <is>
          <t>support</t>
        </is>
      </c>
    </row>
    <row r="309">
      <c r="A309" s="39" t="inlineStr">
        <is>
          <t>Wisp Prime</t>
        </is>
      </c>
      <c r="B309" s="39" t="n">
        <v>3</v>
      </c>
      <c r="C309" s="39" t="inlineStr">
        <is>
          <t>Crimson</t>
        </is>
      </c>
      <c r="D309" s="39" t="inlineStr">
        <is>
          <t>Ability Duration</t>
        </is>
      </c>
      <c r="E309" s="39" t="inlineStr">
        <is>
          <t>Normal</t>
        </is>
      </c>
      <c r="F309" s="39" t="n">
        <v>10</v>
      </c>
      <c r="G309" s="39" t="inlineStr"/>
    </row>
    <row r="310">
      <c r="A310" s="39" t="inlineStr">
        <is>
          <t>Wisp Prime</t>
        </is>
      </c>
      <c r="B310" s="39" t="n">
        <v>4</v>
      </c>
      <c r="C310" s="39" t="inlineStr">
        <is>
          <t>Azure</t>
        </is>
      </c>
      <c r="D310" s="39" t="inlineStr">
        <is>
          <t>Health</t>
        </is>
      </c>
      <c r="E310" s="39" t="inlineStr">
        <is>
          <t>Normal</t>
        </is>
      </c>
      <c r="F310" s="39" t="n">
        <v>150</v>
      </c>
      <c r="G310" s="39" t="inlineStr"/>
    </row>
    <row r="311">
      <c r="A311" s="39" t="inlineStr">
        <is>
          <t>Wisp Prime</t>
        </is>
      </c>
      <c r="B311" s="39" t="n">
        <v>5</v>
      </c>
      <c r="C311" s="39" t="inlineStr">
        <is>
          <t>Amber</t>
        </is>
      </c>
      <c r="D311" s="39" t="inlineStr">
        <is>
          <t>Casting Speed</t>
        </is>
      </c>
      <c r="E311" s="39" t="inlineStr">
        <is>
          <t>Normal</t>
        </is>
      </c>
      <c r="F311" s="39" t="n">
        <v>25</v>
      </c>
      <c r="G311" s="39" t="inlineStr"/>
    </row>
    <row r="312">
      <c r="A312" s="39" t="inlineStr">
        <is>
          <t>Wukong Prime</t>
        </is>
      </c>
      <c r="B312" s="39" t="n">
        <v>1</v>
      </c>
      <c r="C312" s="39" t="inlineStr">
        <is>
          <t>Crimson</t>
        </is>
      </c>
      <c r="D312" s="39" t="inlineStr">
        <is>
          <t>Ability Strength</t>
        </is>
      </c>
      <c r="E312" s="39" t="inlineStr">
        <is>
          <t>Tauforged</t>
        </is>
      </c>
      <c r="F312" s="39" t="n">
        <v>15</v>
      </c>
      <c r="G312" s="39" t="inlineStr"/>
    </row>
    <row r="313">
      <c r="A313" s="39" t="inlineStr">
        <is>
          <t>Wukong Prime</t>
        </is>
      </c>
      <c r="B313" s="39" t="n">
        <v>2</v>
      </c>
      <c r="C313" s="39" t="inlineStr">
        <is>
          <t>Crimson</t>
        </is>
      </c>
      <c r="D313" s="39" t="inlineStr">
        <is>
          <t>Melee Critical Damage</t>
        </is>
      </c>
      <c r="E313" s="39" t="inlineStr">
        <is>
          <t>Tauforged</t>
        </is>
      </c>
      <c r="F313" s="39" t="n">
        <v>37.5</v>
      </c>
      <c r="G313" s="39" t="inlineStr"/>
    </row>
    <row r="314">
      <c r="A314" s="39" t="inlineStr">
        <is>
          <t>Wukong Prime</t>
        </is>
      </c>
      <c r="B314" s="39" t="n">
        <v>3</v>
      </c>
      <c r="C314" s="39" t="inlineStr">
        <is>
          <t>Crimson</t>
        </is>
      </c>
      <c r="D314" s="39" t="inlineStr">
        <is>
          <t>Melee Critical Damage</t>
        </is>
      </c>
      <c r="E314" s="39" t="inlineStr">
        <is>
          <t>Normal</t>
        </is>
      </c>
      <c r="F314" s="39" t="n">
        <v>25</v>
      </c>
      <c r="G314" s="39" t="inlineStr"/>
    </row>
    <row r="315">
      <c r="A315" s="39" t="inlineStr">
        <is>
          <t>Wukong Prime</t>
        </is>
      </c>
      <c r="B315" s="39" t="n">
        <v>4</v>
      </c>
      <c r="C315" s="39" t="inlineStr">
        <is>
          <t>Azure</t>
        </is>
      </c>
      <c r="D315" s="39" t="inlineStr">
        <is>
          <t>Armor</t>
        </is>
      </c>
      <c r="E315" s="39" t="inlineStr">
        <is>
          <t>Normal</t>
        </is>
      </c>
      <c r="F315" s="39" t="n">
        <v>150</v>
      </c>
      <c r="G315" s="39" t="inlineStr"/>
    </row>
    <row r="316">
      <c r="A316" s="39" t="inlineStr">
        <is>
          <t>Wukong Prime</t>
        </is>
      </c>
      <c r="B316" s="39" t="n">
        <v>5</v>
      </c>
      <c r="C316" s="39" t="inlineStr">
        <is>
          <t>Azure</t>
        </is>
      </c>
      <c r="D316" s="39" t="inlineStr">
        <is>
          <t>Health</t>
        </is>
      </c>
      <c r="E316" s="39" t="inlineStr">
        <is>
          <t>Normal</t>
        </is>
      </c>
      <c r="F316" s="39" t="n">
        <v>150</v>
      </c>
      <c r="G316" s="39" t="inlineStr"/>
    </row>
    <row r="317">
      <c r="A317" s="39" t="inlineStr">
        <is>
          <t>Xaku Prime</t>
        </is>
      </c>
      <c r="B317" s="39" t="n">
        <v>1</v>
      </c>
      <c r="C317" s="39" t="inlineStr">
        <is>
          <t>Crimson</t>
        </is>
      </c>
      <c r="D317" s="39" t="inlineStr">
        <is>
          <t>Ability Strength</t>
        </is>
      </c>
      <c r="E317" s="39" t="inlineStr">
        <is>
          <t>Tauforged</t>
        </is>
      </c>
      <c r="F317" s="39" t="n">
        <v>15</v>
      </c>
      <c r="G317" s="39" t="inlineStr"/>
    </row>
    <row r="318">
      <c r="A318" s="39" t="inlineStr">
        <is>
          <t>Xaku Prime</t>
        </is>
      </c>
      <c r="B318" s="39" t="n">
        <v>2</v>
      </c>
      <c r="C318" s="39" t="inlineStr">
        <is>
          <t>Crimson</t>
        </is>
      </c>
      <c r="D318" s="39" t="inlineStr">
        <is>
          <t>Ability Strength</t>
        </is>
      </c>
      <c r="E318" s="39" t="inlineStr">
        <is>
          <t>Normal</t>
        </is>
      </c>
      <c r="F318" s="39" t="n">
        <v>10</v>
      </c>
      <c r="G318" s="39" t="inlineStr"/>
    </row>
    <row r="319">
      <c r="A319" s="39" t="inlineStr">
        <is>
          <t>Xaku Prime</t>
        </is>
      </c>
      <c r="B319" s="39" t="n">
        <v>3</v>
      </c>
      <c r="C319" s="39" t="inlineStr">
        <is>
          <t>Crimson</t>
        </is>
      </c>
      <c r="D319" s="39" t="inlineStr">
        <is>
          <t>Ability Duration</t>
        </is>
      </c>
      <c r="E319" s="39" t="inlineStr">
        <is>
          <t>Normal</t>
        </is>
      </c>
      <c r="F319" s="39" t="n">
        <v>10</v>
      </c>
      <c r="G319" s="39" t="inlineStr"/>
    </row>
    <row r="320">
      <c r="A320" s="39" t="inlineStr">
        <is>
          <t>Xaku Prime</t>
        </is>
      </c>
      <c r="B320" s="39" t="n">
        <v>4</v>
      </c>
      <c r="C320" s="39" t="inlineStr">
        <is>
          <t>Azure</t>
        </is>
      </c>
      <c r="D320" s="39" t="inlineStr">
        <is>
          <t>Health</t>
        </is>
      </c>
      <c r="E320" s="39" t="inlineStr">
        <is>
          <t>Normal</t>
        </is>
      </c>
      <c r="F320" s="39" t="n">
        <v>150</v>
      </c>
      <c r="G320" s="39" t="inlineStr"/>
    </row>
    <row r="321">
      <c r="A321" s="39" t="inlineStr">
        <is>
          <t>Xaku Prime</t>
        </is>
      </c>
      <c r="B321" s="39" t="n">
        <v>5</v>
      </c>
      <c r="C321" s="39" t="inlineStr">
        <is>
          <t>Amber</t>
        </is>
      </c>
      <c r="D321" s="39" t="inlineStr">
        <is>
          <t>Casting Speed</t>
        </is>
      </c>
      <c r="E321" s="39" t="inlineStr">
        <is>
          <t>Normal</t>
        </is>
      </c>
      <c r="F321" s="39" t="n">
        <v>25</v>
      </c>
      <c r="G321" s="39" t="inlineStr"/>
    </row>
    <row r="322">
      <c r="A322" s="39" t="inlineStr">
        <is>
          <t>Yareli Prime</t>
        </is>
      </c>
      <c r="B322" s="39" t="n">
        <v>1</v>
      </c>
      <c r="C322" s="39" t="inlineStr">
        <is>
          <t>Crimson</t>
        </is>
      </c>
      <c r="D322" s="39" t="inlineStr">
        <is>
          <t>Ability Strength</t>
        </is>
      </c>
      <c r="E322" s="39" t="inlineStr">
        <is>
          <t>Tauforged</t>
        </is>
      </c>
      <c r="F322" s="39" t="n">
        <v>15</v>
      </c>
      <c r="G322" s="39" t="inlineStr"/>
    </row>
    <row r="323">
      <c r="A323" s="39" t="inlineStr">
        <is>
          <t>Yareli Prime</t>
        </is>
      </c>
      <c r="B323" s="39" t="n">
        <v>2</v>
      </c>
      <c r="C323" s="39" t="inlineStr">
        <is>
          <t>Crimson</t>
        </is>
      </c>
      <c r="D323" s="39" t="inlineStr">
        <is>
          <t>Ability Strength</t>
        </is>
      </c>
      <c r="E323" s="39" t="inlineStr">
        <is>
          <t>Normal</t>
        </is>
      </c>
      <c r="F323" s="39" t="n">
        <v>10</v>
      </c>
      <c r="G323" s="39" t="inlineStr"/>
    </row>
    <row r="324">
      <c r="A324" s="39" t="inlineStr">
        <is>
          <t>Yareli Prime</t>
        </is>
      </c>
      <c r="B324" s="39" t="n">
        <v>3</v>
      </c>
      <c r="C324" s="39" t="inlineStr">
        <is>
          <t>Crimson</t>
        </is>
      </c>
      <c r="D324" s="39" t="inlineStr">
        <is>
          <t>Ability Duration</t>
        </is>
      </c>
      <c r="E324" s="39" t="inlineStr">
        <is>
          <t>Normal</t>
        </is>
      </c>
      <c r="F324" s="39" t="n">
        <v>10</v>
      </c>
      <c r="G324" s="39" t="inlineStr"/>
    </row>
    <row r="325">
      <c r="A325" s="39" t="inlineStr">
        <is>
          <t>Yareli Prime</t>
        </is>
      </c>
      <c r="B325" s="39" t="n">
        <v>4</v>
      </c>
      <c r="C325" s="39" t="inlineStr">
        <is>
          <t>Azure</t>
        </is>
      </c>
      <c r="D325" s="39" t="inlineStr">
        <is>
          <t>Shield Capacity</t>
        </is>
      </c>
      <c r="E325" s="39" t="inlineStr">
        <is>
          <t>Normal</t>
        </is>
      </c>
      <c r="F325" s="39" t="n">
        <v>150</v>
      </c>
      <c r="G325" s="39" t="inlineStr"/>
    </row>
    <row r="326">
      <c r="A326" s="39" t="inlineStr">
        <is>
          <t>Yareli Prime</t>
        </is>
      </c>
      <c r="B326" s="39" t="n">
        <v>5</v>
      </c>
      <c r="C326" s="39" t="inlineStr">
        <is>
          <t>Amber</t>
        </is>
      </c>
      <c r="D326" s="39" t="inlineStr">
        <is>
          <t>Casting Speed</t>
        </is>
      </c>
      <c r="E326" s="39" t="inlineStr">
        <is>
          <t>Normal</t>
        </is>
      </c>
      <c r="F326" s="39" t="n">
        <v>25</v>
      </c>
      <c r="G326" s="39" t="inlineStr"/>
    </row>
    <row r="327">
      <c r="A327" s="39" t="inlineStr">
        <is>
          <t>Zephyr Prime</t>
        </is>
      </c>
      <c r="B327" s="39" t="n">
        <v>1</v>
      </c>
      <c r="C327" s="39" t="inlineStr">
        <is>
          <t>Crimson</t>
        </is>
      </c>
      <c r="D327" s="39" t="inlineStr">
        <is>
          <t>Ability Strength</t>
        </is>
      </c>
      <c r="E327" s="39" t="inlineStr">
        <is>
          <t>Tauforged</t>
        </is>
      </c>
      <c r="F327" s="39" t="n">
        <v>15</v>
      </c>
      <c r="G327" s="39" t="inlineStr"/>
    </row>
    <row r="328">
      <c r="A328" s="39" t="inlineStr">
        <is>
          <t>Zephyr Prime</t>
        </is>
      </c>
      <c r="B328" s="39" t="n">
        <v>2</v>
      </c>
      <c r="C328" s="39" t="inlineStr">
        <is>
          <t>Crimson</t>
        </is>
      </c>
      <c r="D328" s="39" t="inlineStr">
        <is>
          <t>Ability Strength</t>
        </is>
      </c>
      <c r="E328" s="39" t="inlineStr">
        <is>
          <t>Normal</t>
        </is>
      </c>
      <c r="F328" s="39" t="n">
        <v>10</v>
      </c>
      <c r="G328" s="39" t="inlineStr">
        <is>
          <t>Turbulence duration build</t>
        </is>
      </c>
    </row>
    <row r="329">
      <c r="A329" s="39" t="inlineStr">
        <is>
          <t>Zephyr Prime</t>
        </is>
      </c>
      <c r="B329" s="39" t="n">
        <v>3</v>
      </c>
      <c r="C329" s="39" t="inlineStr">
        <is>
          <t>Crimson</t>
        </is>
      </c>
      <c r="D329" s="39" t="inlineStr">
        <is>
          <t>Ability Duration</t>
        </is>
      </c>
      <c r="E329" s="39" t="inlineStr">
        <is>
          <t>Normal</t>
        </is>
      </c>
      <c r="F329" s="39" t="n">
        <v>10</v>
      </c>
      <c r="G329" s="39" t="inlineStr"/>
    </row>
    <row r="330">
      <c r="A330" s="39" t="inlineStr">
        <is>
          <t>Zephyr Prime</t>
        </is>
      </c>
      <c r="B330" s="39" t="n">
        <v>4</v>
      </c>
      <c r="C330" s="39" t="inlineStr">
        <is>
          <t>Azure</t>
        </is>
      </c>
      <c r="D330" s="39" t="inlineStr">
        <is>
          <t>Armor</t>
        </is>
      </c>
      <c r="E330" s="39" t="inlineStr">
        <is>
          <t>Normal</t>
        </is>
      </c>
      <c r="F330" s="39" t="n">
        <v>150</v>
      </c>
      <c r="G330" s="39" t="inlineStr"/>
    </row>
    <row r="331">
      <c r="A331" s="39" t="inlineStr">
        <is>
          <t>Zephyr Prime</t>
        </is>
      </c>
      <c r="B331" s="39" t="n">
        <v>5</v>
      </c>
      <c r="C331" s="39" t="inlineStr">
        <is>
          <t>Amber</t>
        </is>
      </c>
      <c r="D331" s="39" t="inlineStr">
        <is>
          <t>Casting Speed</t>
        </is>
      </c>
      <c r="E331" s="39" t="inlineStr">
        <is>
          <t>Normal</t>
        </is>
      </c>
      <c r="F331" s="39" t="n">
        <v>25</v>
      </c>
      <c r="G331" s="39" t="inlineStr"/>
    </row>
    <row r="333">
      <c r="A333" t="inlineStr">
        <is>
          <t>TOTAL POSITIONS</t>
        </is>
      </c>
      <c r="B333" t="n">
        <v>330</v>
      </c>
    </row>
    <row r="334">
      <c r="A334" t="inlineStr">
        <is>
          <t>Tauforged</t>
        </is>
      </c>
      <c r="B334" t="n">
        <v>80</v>
      </c>
    </row>
    <row r="335">
      <c r="A335" t="inlineStr">
        <is>
          <t>Normal</t>
        </is>
      </c>
      <c r="B335" t="n">
        <v>250</v>
      </c>
    </row>
    <row r="336">
      <c r="A336" t="inlineStr">
        <is>
          <t>ASSUMPTION</t>
        </is>
      </c>
      <c r="B336" t="inlineStr">
        <is>
          <t>Tauforged shards are FINITE. They are allocated deliberately: Tau Crimson Strength only on frames whose primary scaling stat is uncapped Strength; Tau Melee Crit Damage on melee-centric frames; Tau Primary Status / Secondary Crit on weapon-reliant frames. All other positions use normal shards. Ascent Fusion (3 normal -&gt; 1 Tauforged) is the planned conversion route; acquisition is account-bound (Archon Hunts / Netracells / Archimedea).</t>
        </is>
      </c>
    </row>
    <row r="337">
      <c r="A337" t="inlineStr">
        <is>
          <t>Total</t>
        </is>
      </c>
      <c r="C337" t="inlineStr">
        <is>
          <t>Amber</t>
        </is>
      </c>
      <c r="D337" t="inlineStr">
        <is>
          <t>Casting Speed</t>
        </is>
      </c>
      <c r="E337" t="inlineStr">
        <is>
          <t>Normal</t>
        </is>
      </c>
      <c r="F337" t="n">
        <v>56</v>
      </c>
    </row>
    <row r="338">
      <c r="A338" t="inlineStr">
        <is>
          <t>Total</t>
        </is>
      </c>
      <c r="C338" t="inlineStr">
        <is>
          <t>Amber</t>
        </is>
      </c>
      <c r="D338" t="inlineStr">
        <is>
          <t>Health Orb Effectiveness</t>
        </is>
      </c>
      <c r="E338" t="inlineStr">
        <is>
          <t>Normal</t>
        </is>
      </c>
      <c r="F338" t="n">
        <v>2</v>
      </c>
    </row>
    <row r="339">
      <c r="A339" t="inlineStr">
        <is>
          <t>Total</t>
        </is>
      </c>
      <c r="C339" t="inlineStr">
        <is>
          <t>Azure</t>
        </is>
      </c>
      <c r="D339" t="inlineStr">
        <is>
          <t>Armor</t>
        </is>
      </c>
      <c r="E339" t="inlineStr">
        <is>
          <t>Normal</t>
        </is>
      </c>
      <c r="F339" t="n">
        <v>50</v>
      </c>
    </row>
    <row r="340">
      <c r="A340" t="inlineStr">
        <is>
          <t>Total</t>
        </is>
      </c>
      <c r="C340" t="inlineStr">
        <is>
          <t>Azure</t>
        </is>
      </c>
      <c r="D340" t="inlineStr">
        <is>
          <t>Health</t>
        </is>
      </c>
      <c r="E340" t="inlineStr">
        <is>
          <t>Normal</t>
        </is>
      </c>
      <c r="F340" t="n">
        <v>23</v>
      </c>
    </row>
    <row r="341">
      <c r="A341" t="inlineStr">
        <is>
          <t>Total</t>
        </is>
      </c>
      <c r="C341" t="inlineStr">
        <is>
          <t>Azure</t>
        </is>
      </c>
      <c r="D341" t="inlineStr">
        <is>
          <t>Shield Capacity</t>
        </is>
      </c>
      <c r="E341" t="inlineStr">
        <is>
          <t>Normal</t>
        </is>
      </c>
      <c r="F341" t="n">
        <v>16</v>
      </c>
    </row>
    <row r="342">
      <c r="A342" t="inlineStr">
        <is>
          <t>Total</t>
        </is>
      </c>
      <c r="C342" t="inlineStr">
        <is>
          <t>Crimson</t>
        </is>
      </c>
      <c r="D342" t="inlineStr">
        <is>
          <t>Ability Duration</t>
        </is>
      </c>
      <c r="E342" t="inlineStr">
        <is>
          <t>Normal</t>
        </is>
      </c>
      <c r="F342" t="n">
        <v>32</v>
      </c>
    </row>
    <row r="343">
      <c r="A343" t="inlineStr">
        <is>
          <t>Total</t>
        </is>
      </c>
      <c r="C343" t="inlineStr">
        <is>
          <t>Crimson</t>
        </is>
      </c>
      <c r="D343" t="inlineStr">
        <is>
          <t>Ability Strength</t>
        </is>
      </c>
      <c r="E343" t="inlineStr">
        <is>
          <t>Normal</t>
        </is>
      </c>
      <c r="F343" t="n">
        <v>55</v>
      </c>
    </row>
    <row r="344">
      <c r="A344" t="inlineStr">
        <is>
          <t>Total</t>
        </is>
      </c>
      <c r="C344" t="inlineStr">
        <is>
          <t>Crimson</t>
        </is>
      </c>
      <c r="D344" t="inlineStr">
        <is>
          <t>Ability Strength</t>
        </is>
      </c>
      <c r="E344" t="inlineStr">
        <is>
          <t>Tauforged</t>
        </is>
      </c>
      <c r="F344" t="n">
        <v>70</v>
      </c>
    </row>
    <row r="345">
      <c r="A345" t="inlineStr">
        <is>
          <t>Total</t>
        </is>
      </c>
      <c r="C345" t="inlineStr">
        <is>
          <t>Crimson</t>
        </is>
      </c>
      <c r="D345" t="inlineStr">
        <is>
          <t>Melee Critical Damage</t>
        </is>
      </c>
      <c r="E345" t="inlineStr">
        <is>
          <t>Normal</t>
        </is>
      </c>
      <c r="F345" t="n">
        <v>4</v>
      </c>
    </row>
    <row r="346">
      <c r="A346" t="inlineStr">
        <is>
          <t>Total</t>
        </is>
      </c>
      <c r="C346" t="inlineStr">
        <is>
          <t>Crimson</t>
        </is>
      </c>
      <c r="D346" t="inlineStr">
        <is>
          <t>Melee Critical Damage</t>
        </is>
      </c>
      <c r="E346" t="inlineStr">
        <is>
          <t>Tauforged</t>
        </is>
      </c>
      <c r="F346" t="n">
        <v>8</v>
      </c>
    </row>
    <row r="347">
      <c r="A347" t="inlineStr">
        <is>
          <t>Total</t>
        </is>
      </c>
      <c r="C347" t="inlineStr">
        <is>
          <t>Crimson</t>
        </is>
      </c>
      <c r="D347" t="inlineStr">
        <is>
          <t>Primary Status Chance</t>
        </is>
      </c>
      <c r="E347" t="inlineStr">
        <is>
          <t>Tauforged</t>
        </is>
      </c>
      <c r="F347" t="n">
        <v>1</v>
      </c>
    </row>
    <row r="348">
      <c r="A348" t="inlineStr">
        <is>
          <t>Total</t>
        </is>
      </c>
      <c r="C348" t="inlineStr">
        <is>
          <t>Crimson</t>
        </is>
      </c>
      <c r="D348" t="inlineStr">
        <is>
          <t>Secondary Critical Chance</t>
        </is>
      </c>
      <c r="E348" t="inlineStr">
        <is>
          <t>Tauforged</t>
        </is>
      </c>
      <c r="F348" t="n">
        <v>1</v>
      </c>
    </row>
    <row r="349">
      <c r="A349" t="inlineStr">
        <is>
          <t>Total</t>
        </is>
      </c>
      <c r="C349" t="inlineStr">
        <is>
          <t>Emerald</t>
        </is>
      </c>
      <c r="D349" t="inlineStr">
        <is>
          <t>Ability Damage vs Corrosion</t>
        </is>
      </c>
      <c r="E349" t="inlineStr">
        <is>
          <t>Normal</t>
        </is>
      </c>
      <c r="F349" t="n">
        <v>2</v>
      </c>
    </row>
    <row r="350">
      <c r="A350" t="inlineStr">
        <is>
          <t>Total</t>
        </is>
      </c>
      <c r="C350" t="inlineStr">
        <is>
          <t>Emerald</t>
        </is>
      </c>
      <c r="D350" t="inlineStr">
        <is>
          <t>Toxin Status Damage</t>
        </is>
      </c>
      <c r="E350" t="inlineStr">
        <is>
          <t>Normal</t>
        </is>
      </c>
      <c r="F350" t="n">
        <v>1</v>
      </c>
    </row>
    <row r="351">
      <c r="A351" t="inlineStr">
        <is>
          <t>Total</t>
        </is>
      </c>
      <c r="C351" t="inlineStr">
        <is>
          <t>Topaz</t>
        </is>
      </c>
      <c r="D351" t="inlineStr">
        <is>
          <t>Ability Damage vs Radiation</t>
        </is>
      </c>
      <c r="E351" t="inlineStr">
        <is>
          <t>Normal</t>
        </is>
      </c>
      <c r="F351" t="n">
        <v>3</v>
      </c>
    </row>
    <row r="352">
      <c r="A352" t="inlineStr">
        <is>
          <t>Total</t>
        </is>
      </c>
      <c r="C352" t="inlineStr">
        <is>
          <t>Topaz</t>
        </is>
      </c>
      <c r="D352" t="inlineStr">
        <is>
          <t>Secondary Crit Chance on Heat kill</t>
        </is>
      </c>
      <c r="E352" t="inlineStr">
        <is>
          <t>Normal</t>
        </is>
      </c>
      <c r="F352" t="n">
        <v>2</v>
      </c>
    </row>
    <row r="353">
      <c r="A353" t="inlineStr">
        <is>
          <t>Total</t>
        </is>
      </c>
      <c r="C353" t="inlineStr">
        <is>
          <t>Violet</t>
        </is>
      </c>
      <c r="D353" t="inlineStr">
        <is>
          <t>Ability Damage vs Electricity</t>
        </is>
      </c>
      <c r="E353" t="inlineStr">
        <is>
          <t>Normal</t>
        </is>
      </c>
      <c r="F353" t="n">
        <v>4</v>
      </c>
    </row>
  </sheetData>
  <autoFilter ref="A1:G3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6" min="1" max="1"/>
    <col width="20" customWidth="1" style="26" min="2" max="2"/>
    <col width="70" customWidth="1" style="26" min="3" max="3"/>
    <col width="18" customWidth="1" style="26" min="4" max="4"/>
  </cols>
  <sheetData>
    <row r="1">
      <c r="A1" s="51" t="inlineStr">
        <is>
          <t>Frame</t>
        </is>
      </c>
      <c r="B1" s="51" t="inlineStr">
        <is>
          <t>Companion</t>
        </is>
      </c>
      <c r="C1" s="51" t="inlineStr">
        <is>
          <t>Why (mechanical role)</t>
        </is>
      </c>
      <c r="D1" s="51" t="inlineStr">
        <is>
          <t>Companion weapon</t>
        </is>
      </c>
    </row>
    <row r="2">
      <c r="A2" s="39" t="inlineStr">
        <is>
          <t>Ash Prime</t>
        </is>
      </c>
      <c r="B2" s="39" t="inlineStr">
        <is>
          <t>Adarza Kavat</t>
        </is>
      </c>
      <c r="C2" s="39" t="inlineStr">
        <is>
          <t>Crit support: Cat's Eye crit buff; Tenacious Bond final crit multiplier</t>
        </is>
      </c>
      <c r="D2" s="39" t="inlineStr">
        <is>
          <t>Adarza Claws</t>
        </is>
      </c>
    </row>
    <row r="3">
      <c r="A3" s="39" t="inlineStr">
        <is>
          <t>Atlas Prime</t>
        </is>
      </c>
      <c r="B3" s="39" t="inlineStr">
        <is>
          <t>Panzer Vulpaphyla</t>
        </is>
      </c>
      <c r="C3" s="39" t="inlineStr">
        <is>
          <t>Viral priming (Viral Quills), Martyr Symbiosis revive, status spread</t>
        </is>
      </c>
      <c r="D3" s="39" t="inlineStr">
        <is>
          <t>Panzer Claws</t>
        </is>
      </c>
    </row>
    <row r="4">
      <c r="A4" s="39" t="inlineStr">
        <is>
          <t>Banshee Prime</t>
        </is>
      </c>
      <c r="B4" s="39" t="inlineStr">
        <is>
          <t>Helios Prime</t>
        </is>
      </c>
      <c r="C4" s="39" t="inlineStr">
        <is>
          <t>Scanning (codex/Investigator), Detect Vulnerability weak points</t>
        </is>
      </c>
      <c r="D4" s="39" t="inlineStr">
        <is>
          <t>Deconstructor Prime</t>
        </is>
      </c>
    </row>
    <row r="5">
      <c r="A5" s="39" t="inlineStr">
        <is>
          <t>Baruuk Prime</t>
        </is>
      </c>
      <c r="B5" s="39" t="inlineStr">
        <is>
          <t>Panzer Vulpaphyla</t>
        </is>
      </c>
      <c r="C5" s="39" t="inlineStr">
        <is>
          <t>Viral priming (Viral Quills), Martyr Symbiosis revive, status spread</t>
        </is>
      </c>
      <c r="D5" s="39" t="inlineStr">
        <is>
          <t>Panzer Claws</t>
        </is>
      </c>
    </row>
    <row r="6">
      <c r="A6" s="39" t="inlineStr">
        <is>
          <t>Caliban Prime</t>
        </is>
      </c>
      <c r="B6" s="39" t="inlineStr">
        <is>
          <t>Panzer Vulpaphyla</t>
        </is>
      </c>
      <c r="C6" s="39" t="inlineStr">
        <is>
          <t>Viral priming (Viral Quills), Martyr Symbiosis revive, status spread</t>
        </is>
      </c>
      <c r="D6" s="39" t="inlineStr">
        <is>
          <t>Panzer Claws</t>
        </is>
      </c>
    </row>
    <row r="7">
      <c r="A7" s="39" t="inlineStr">
        <is>
          <t>Chroma Prime</t>
        </is>
      </c>
      <c r="B7" s="39" t="inlineStr">
        <is>
          <t>Adarza Kavat</t>
        </is>
      </c>
      <c r="C7" s="39" t="inlineStr">
        <is>
          <t>Crit support: Cat's Eye crit buff; Tenacious Bond final crit multiplier</t>
        </is>
      </c>
      <c r="D7" s="39" t="inlineStr">
        <is>
          <t>Adarza Claws</t>
        </is>
      </c>
    </row>
    <row r="8">
      <c r="A8" s="39" t="inlineStr">
        <is>
          <t>Citrine Prime</t>
        </is>
      </c>
      <c r="B8" s="39" t="inlineStr">
        <is>
          <t>Panzer Vulpaphyla</t>
        </is>
      </c>
      <c r="C8" s="39" t="inlineStr">
        <is>
          <t>Viral priming (Viral Quills), Martyr Symbiosis revive, status spread</t>
        </is>
      </c>
      <c r="D8" s="39" t="inlineStr">
        <is>
          <t>Panzer Claws</t>
        </is>
      </c>
    </row>
    <row r="9">
      <c r="A9" s="39" t="inlineStr">
        <is>
          <t>Cyte-09</t>
        </is>
      </c>
      <c r="B9" s="39" t="inlineStr">
        <is>
          <t>Helios Prime</t>
        </is>
      </c>
      <c r="C9" s="39" t="inlineStr">
        <is>
          <t>Scanning (codex/Investigator), Detect Vulnerability weak points</t>
        </is>
      </c>
      <c r="D9" s="39" t="inlineStr">
        <is>
          <t>Deconstructor Prime</t>
        </is>
      </c>
    </row>
    <row r="10">
      <c r="A10" s="39" t="inlineStr">
        <is>
          <t>Dagath</t>
        </is>
      </c>
      <c r="B10" s="39" t="inlineStr">
        <is>
          <t>Panzer Vulpaphyla</t>
        </is>
      </c>
      <c r="C10" s="39" t="inlineStr">
        <is>
          <t>Viral priming (Viral Quills), Martyr Symbiosis revive, status spread</t>
        </is>
      </c>
      <c r="D10" s="39" t="inlineStr">
        <is>
          <t>Panzer Claws</t>
        </is>
      </c>
    </row>
    <row r="11">
      <c r="A11" s="39" t="inlineStr">
        <is>
          <t>Dante</t>
        </is>
      </c>
      <c r="B11" s="39" t="inlineStr">
        <is>
          <t>Helios Prime</t>
        </is>
      </c>
      <c r="C11" s="39" t="inlineStr">
        <is>
          <t>Scanning (codex/Investigator), Detect Vulnerability weak points</t>
        </is>
      </c>
      <c r="D11" s="39" t="inlineStr">
        <is>
          <t>Deconstructor Prime</t>
        </is>
      </c>
    </row>
    <row r="12">
      <c r="A12" s="39" t="inlineStr">
        <is>
          <t>Ember Prime</t>
        </is>
      </c>
      <c r="B12" s="39" t="inlineStr">
        <is>
          <t>Dethcube Prime</t>
        </is>
      </c>
      <c r="C12" s="39" t="inlineStr">
        <is>
          <t>Energy economy: Energy Generator; Mystic Bond free casts</t>
        </is>
      </c>
      <c r="D12" s="39" t="inlineStr">
        <is>
          <t>Deth Machine Rifle Prime</t>
        </is>
      </c>
    </row>
    <row r="13">
      <c r="A13" s="39" t="inlineStr">
        <is>
          <t>Equinox Prime</t>
        </is>
      </c>
      <c r="B13" s="39" t="inlineStr">
        <is>
          <t>Dethcube Prime</t>
        </is>
      </c>
      <c r="C13" s="39" t="inlineStr">
        <is>
          <t>Energy economy: Energy Generator; Mystic Bond free casts</t>
        </is>
      </c>
      <c r="D13" s="39" t="inlineStr">
        <is>
          <t>Deth Machine Rifle Prime</t>
        </is>
      </c>
    </row>
    <row r="14">
      <c r="A14" s="39" t="inlineStr">
        <is>
          <t>Excalibur Umbra</t>
        </is>
      </c>
      <c r="B14" s="39" t="inlineStr">
        <is>
          <t>Adarza Kavat</t>
        </is>
      </c>
      <c r="C14" s="39" t="inlineStr">
        <is>
          <t>Crit support: Cat's Eye crit buff; Tenacious Bond final crit multiplier</t>
        </is>
      </c>
      <c r="D14" s="39" t="inlineStr">
        <is>
          <t>Adarza Claws</t>
        </is>
      </c>
    </row>
    <row r="15">
      <c r="A15" s="39" t="inlineStr">
        <is>
          <t>Follie</t>
        </is>
      </c>
      <c r="B15" s="39" t="inlineStr">
        <is>
          <t>Dethcube Prime</t>
        </is>
      </c>
      <c r="C15" s="39" t="inlineStr">
        <is>
          <t>Energy economy: Energy Generator; Mystic Bond free casts</t>
        </is>
      </c>
      <c r="D15" s="39" t="inlineStr">
        <is>
          <t>Deth Machine Rifle Prime</t>
        </is>
      </c>
    </row>
    <row r="16">
      <c r="A16" s="39" t="inlineStr">
        <is>
          <t>Frost Prime</t>
        </is>
      </c>
      <c r="B16" s="39" t="inlineStr">
        <is>
          <t>Wyrm Prime</t>
        </is>
      </c>
      <c r="C16" s="39" t="inlineStr">
        <is>
          <t>Defensive: Negate status cleanse, Crowd Dispersion; Reinforced Bond</t>
        </is>
      </c>
      <c r="D16" s="39" t="inlineStr">
        <is>
          <t>Prime Laser Rifle</t>
        </is>
      </c>
    </row>
    <row r="17">
      <c r="A17" s="39" t="inlineStr">
        <is>
          <t>Gara Prime</t>
        </is>
      </c>
      <c r="B17" s="39" t="inlineStr">
        <is>
          <t>Panzer Vulpaphyla</t>
        </is>
      </c>
      <c r="C17" s="39" t="inlineStr">
        <is>
          <t>Viral priming (Viral Quills), Martyr Symbiosis revive, status spread</t>
        </is>
      </c>
      <c r="D17" s="39" t="inlineStr">
        <is>
          <t>Panzer Claws</t>
        </is>
      </c>
    </row>
    <row r="18">
      <c r="A18" s="39" t="inlineStr">
        <is>
          <t>Garuda Prime</t>
        </is>
      </c>
      <c r="B18" s="39" t="inlineStr">
        <is>
          <t>Panzer Vulpaphyla</t>
        </is>
      </c>
      <c r="C18" s="39" t="inlineStr">
        <is>
          <t>Viral priming (Viral Quills), Martyr Symbiosis revive, status spread</t>
        </is>
      </c>
      <c r="D18" s="39" t="inlineStr">
        <is>
          <t>Panzer Claws</t>
        </is>
      </c>
    </row>
    <row r="19">
      <c r="A19" s="39" t="inlineStr">
        <is>
          <t>Gauss Prime</t>
        </is>
      </c>
      <c r="B19" s="39" t="inlineStr">
        <is>
          <t>Adarza Kavat</t>
        </is>
      </c>
      <c r="C19" s="39" t="inlineStr">
        <is>
          <t>Crit support: Cat's Eye crit buff; Tenacious Bond final crit multiplier</t>
        </is>
      </c>
      <c r="D19" s="39" t="inlineStr">
        <is>
          <t>Adarza Claws</t>
        </is>
      </c>
    </row>
    <row r="20">
      <c r="A20" s="39" t="inlineStr">
        <is>
          <t>Grendel Prime</t>
        </is>
      </c>
      <c r="B20" s="39" t="inlineStr">
        <is>
          <t>Panzer Vulpaphyla</t>
        </is>
      </c>
      <c r="C20" s="39" t="inlineStr">
        <is>
          <t>Viral priming (Viral Quills), Martyr Symbiosis revive, status spread</t>
        </is>
      </c>
      <c r="D20" s="39" t="inlineStr">
        <is>
          <t>Panzer Claws</t>
        </is>
      </c>
    </row>
    <row r="21">
      <c r="A21" s="39" t="inlineStr">
        <is>
          <t>Gyre Prime</t>
        </is>
      </c>
      <c r="B21" s="39" t="inlineStr">
        <is>
          <t>Diriga</t>
        </is>
      </c>
      <c r="C21" s="39" t="inlineStr">
        <is>
          <t>Electric priming (Arc Coil / Electro Pulse) for electricity casters</t>
        </is>
      </c>
      <c r="D21" s="39" t="inlineStr">
        <is>
          <t>Vulklok</t>
        </is>
      </c>
    </row>
    <row r="22">
      <c r="A22" s="39" t="inlineStr">
        <is>
          <t>Harrow Prime</t>
        </is>
      </c>
      <c r="B22" s="39" t="inlineStr">
        <is>
          <t>Helios Prime</t>
        </is>
      </c>
      <c r="C22" s="39" t="inlineStr">
        <is>
          <t>Scanning (codex/Investigator), Detect Vulnerability weak points</t>
        </is>
      </c>
      <c r="D22" s="39" t="inlineStr">
        <is>
          <t>Deconstructor Prime</t>
        </is>
      </c>
    </row>
    <row r="23">
      <c r="A23" s="39" t="inlineStr">
        <is>
          <t>Hildryn Prime</t>
        </is>
      </c>
      <c r="B23" s="39" t="inlineStr">
        <is>
          <t>Wyrm Prime</t>
        </is>
      </c>
      <c r="C23" s="39" t="inlineStr">
        <is>
          <t>Defensive: Negate status cleanse, Crowd Dispersion; Reinforced Bond</t>
        </is>
      </c>
      <c r="D23" s="39" t="inlineStr">
        <is>
          <t>Prime Laser Rifle</t>
        </is>
      </c>
    </row>
    <row r="24">
      <c r="A24" s="39" t="inlineStr">
        <is>
          <t>Hydroid Prime</t>
        </is>
      </c>
      <c r="B24" s="39" t="inlineStr">
        <is>
          <t>Smeeta Kavat</t>
        </is>
      </c>
      <c r="C24" s="39" t="inlineStr">
        <is>
          <t>Loot/energy economy: Charm buffs; Duplex Bond clones on energy spent</t>
        </is>
      </c>
      <c r="D24" s="39" t="inlineStr">
        <is>
          <t>Smeeta Claws</t>
        </is>
      </c>
    </row>
    <row r="25">
      <c r="A25" s="39" t="inlineStr">
        <is>
          <t>Inaros Prime</t>
        </is>
      </c>
      <c r="B25" s="39" t="inlineStr">
        <is>
          <t>Panzer Vulpaphyla</t>
        </is>
      </c>
      <c r="C25" s="39" t="inlineStr">
        <is>
          <t>Viral priming (Viral Quills), Martyr Symbiosis revive, status spread</t>
        </is>
      </c>
      <c r="D25" s="39" t="inlineStr">
        <is>
          <t>Panzer Claws</t>
        </is>
      </c>
    </row>
    <row r="26">
      <c r="A26" s="39" t="inlineStr">
        <is>
          <t>Ivara Prime</t>
        </is>
      </c>
      <c r="B26" s="39" t="inlineStr">
        <is>
          <t>Adarza Kavat</t>
        </is>
      </c>
      <c r="C26" s="39" t="inlineStr">
        <is>
          <t>Crit support: Cat's Eye crit buff; Tenacious Bond final crit multiplier</t>
        </is>
      </c>
      <c r="D26" s="39" t="inlineStr">
        <is>
          <t>Adarza Claws</t>
        </is>
      </c>
    </row>
    <row r="27">
      <c r="A27" s="39" t="inlineStr">
        <is>
          <t>Jade</t>
        </is>
      </c>
      <c r="B27" s="39" t="inlineStr">
        <is>
          <t>Helios Prime</t>
        </is>
      </c>
      <c r="C27" s="39" t="inlineStr">
        <is>
          <t>Scanning (codex/Investigator), Detect Vulnerability weak points</t>
        </is>
      </c>
      <c r="D27" s="39" t="inlineStr">
        <is>
          <t>Deconstructor Prime</t>
        </is>
      </c>
    </row>
    <row r="28">
      <c r="A28" s="39" t="inlineStr">
        <is>
          <t>Khora Prime</t>
        </is>
      </c>
      <c r="B28" s="39" t="inlineStr">
        <is>
          <t>Smeeta Kavat</t>
        </is>
      </c>
      <c r="C28" s="39" t="inlineStr">
        <is>
          <t>Loot/energy economy: Charm buffs; Duplex Bond clones on energy spent</t>
        </is>
      </c>
      <c r="D28" s="39" t="inlineStr">
        <is>
          <t>Smeeta Claws</t>
        </is>
      </c>
    </row>
    <row r="29">
      <c r="A29" s="39" t="inlineStr">
        <is>
          <t>Koumei</t>
        </is>
      </c>
      <c r="B29" s="39" t="inlineStr">
        <is>
          <t>Smeeta Kavat</t>
        </is>
      </c>
      <c r="C29" s="39" t="inlineStr">
        <is>
          <t>Loot/energy economy: Charm buffs; Duplex Bond clones on energy spent</t>
        </is>
      </c>
      <c r="D29" s="39" t="inlineStr">
        <is>
          <t>Smeeta Claws</t>
        </is>
      </c>
    </row>
    <row r="30">
      <c r="A30" s="39" t="inlineStr">
        <is>
          <t>Kullervo</t>
        </is>
      </c>
      <c r="B30" s="39" t="inlineStr">
        <is>
          <t>Adarza Kavat</t>
        </is>
      </c>
      <c r="C30" s="39" t="inlineStr">
        <is>
          <t>Crit support: Cat's Eye crit buff; Tenacious Bond final crit multiplier</t>
        </is>
      </c>
      <c r="D30" s="39" t="inlineStr">
        <is>
          <t>Adarza Claws</t>
        </is>
      </c>
    </row>
    <row r="31">
      <c r="A31" s="39" t="inlineStr">
        <is>
          <t>Lavos Prime</t>
        </is>
      </c>
      <c r="B31" s="39" t="inlineStr">
        <is>
          <t>Panzer Vulpaphyla</t>
        </is>
      </c>
      <c r="C31" s="39" t="inlineStr">
        <is>
          <t>Viral priming (Viral Quills), Martyr Symbiosis revive, status spread</t>
        </is>
      </c>
      <c r="D31" s="39" t="inlineStr">
        <is>
          <t>Panzer Claws</t>
        </is>
      </c>
    </row>
    <row r="32">
      <c r="A32" s="39" t="inlineStr">
        <is>
          <t>Limbo Prime</t>
        </is>
      </c>
      <c r="B32" s="39" t="inlineStr">
        <is>
          <t>Dethcube Prime</t>
        </is>
      </c>
      <c r="C32" s="39" t="inlineStr">
        <is>
          <t>Energy economy: Energy Generator; Mystic Bond free casts</t>
        </is>
      </c>
      <c r="D32" s="39" t="inlineStr">
        <is>
          <t>Deth Machine Rifle Prime</t>
        </is>
      </c>
    </row>
    <row r="33">
      <c r="A33" s="39" t="inlineStr">
        <is>
          <t>Loki Prime</t>
        </is>
      </c>
      <c r="B33" s="39" t="inlineStr">
        <is>
          <t>Huras Kubrow</t>
        </is>
      </c>
      <c r="C33" s="39" t="inlineStr">
        <is>
          <t>Stealth: Stalk shares invisibility; Covert Bond</t>
        </is>
      </c>
      <c r="D33" s="39" t="inlineStr">
        <is>
          <t>Huras Claws</t>
        </is>
      </c>
    </row>
    <row r="34">
      <c r="A34" s="39" t="inlineStr">
        <is>
          <t>Mag Prime</t>
        </is>
      </c>
      <c r="B34" s="39" t="inlineStr">
        <is>
          <t>Diriga</t>
        </is>
      </c>
      <c r="C34" s="39" t="inlineStr">
        <is>
          <t>Electric priming (Arc Coil / Electro Pulse) for electricity casters</t>
        </is>
      </c>
      <c r="D34" s="39" t="inlineStr">
        <is>
          <t>Vulklok</t>
        </is>
      </c>
    </row>
    <row r="35">
      <c r="A35" s="39" t="inlineStr">
        <is>
          <t>Mesa Prime</t>
        </is>
      </c>
      <c r="B35" s="39" t="inlineStr">
        <is>
          <t>Adarza Kavat</t>
        </is>
      </c>
      <c r="C35" s="39" t="inlineStr">
        <is>
          <t>Crit support: Cat's Eye crit buff; Tenacious Bond final crit multiplier</t>
        </is>
      </c>
      <c r="D35" s="39" t="inlineStr">
        <is>
          <t>Adarza Claws</t>
        </is>
      </c>
    </row>
    <row r="36">
      <c r="A36" s="39" t="inlineStr">
        <is>
          <t>Mirage Prime</t>
        </is>
      </c>
      <c r="B36" s="39" t="inlineStr">
        <is>
          <t>Adarza Kavat</t>
        </is>
      </c>
      <c r="C36" s="39" t="inlineStr">
        <is>
          <t>Crit support: Cat's Eye crit buff; Tenacious Bond final crit multiplier</t>
        </is>
      </c>
      <c r="D36" s="39" t="inlineStr">
        <is>
          <t>Adarza Claws</t>
        </is>
      </c>
    </row>
    <row r="37">
      <c r="A37" s="39" t="inlineStr">
        <is>
          <t>Narin</t>
        </is>
      </c>
      <c r="B37" s="39" t="inlineStr">
        <is>
          <t>Dethcube Prime</t>
        </is>
      </c>
      <c r="C37" s="39" t="inlineStr">
        <is>
          <t>Energy economy: Energy Generator; Mystic Bond free casts</t>
        </is>
      </c>
      <c r="D37" s="39" t="inlineStr">
        <is>
          <t>Deth Machine Rifle Prime</t>
        </is>
      </c>
    </row>
    <row r="38">
      <c r="A38" s="39" t="inlineStr">
        <is>
          <t>Nekros Prime</t>
        </is>
      </c>
      <c r="B38" s="39" t="inlineStr">
        <is>
          <t>Smeeta Kavat</t>
        </is>
      </c>
      <c r="C38" s="39" t="inlineStr">
        <is>
          <t>Loot/energy economy: Charm buffs; Duplex Bond clones on energy spent</t>
        </is>
      </c>
      <c r="D38" s="39" t="inlineStr">
        <is>
          <t>Smeeta Claws</t>
        </is>
      </c>
    </row>
    <row r="39">
      <c r="A39" s="39" t="inlineStr">
        <is>
          <t>Nezha Prime</t>
        </is>
      </c>
      <c r="B39" s="39" t="inlineStr">
        <is>
          <t>Panzer Vulpaphyla</t>
        </is>
      </c>
      <c r="C39" s="39" t="inlineStr">
        <is>
          <t>Viral priming (Viral Quills), Martyr Symbiosis revive, status spread</t>
        </is>
      </c>
      <c r="D39" s="39" t="inlineStr">
        <is>
          <t>Panzer Claws</t>
        </is>
      </c>
    </row>
    <row r="40">
      <c r="A40" s="39" t="inlineStr">
        <is>
          <t>Nidus Prime</t>
        </is>
      </c>
      <c r="B40" s="39" t="inlineStr">
        <is>
          <t>Panzer Vulpaphyla</t>
        </is>
      </c>
      <c r="C40" s="39" t="inlineStr">
        <is>
          <t>Viral priming (Viral Quills), Martyr Symbiosis revive, status spread</t>
        </is>
      </c>
      <c r="D40" s="39" t="inlineStr">
        <is>
          <t>Panzer Claws</t>
        </is>
      </c>
    </row>
    <row r="41">
      <c r="A41" s="39" t="inlineStr">
        <is>
          <t>Nokko</t>
        </is>
      </c>
      <c r="B41" s="39" t="inlineStr">
        <is>
          <t>Dethcube Prime</t>
        </is>
      </c>
      <c r="C41" s="39" t="inlineStr">
        <is>
          <t>Energy economy: Energy Generator; Mystic Bond free casts</t>
        </is>
      </c>
      <c r="D41" s="39" t="inlineStr">
        <is>
          <t>Deth Machine Rifle Prime</t>
        </is>
      </c>
    </row>
    <row r="42">
      <c r="A42" s="39" t="inlineStr">
        <is>
          <t>Nova Prime</t>
        </is>
      </c>
      <c r="B42" s="39" t="inlineStr">
        <is>
          <t>Dethcube Prime</t>
        </is>
      </c>
      <c r="C42" s="39" t="inlineStr">
        <is>
          <t>Energy economy: Energy Generator; Mystic Bond free casts</t>
        </is>
      </c>
      <c r="D42" s="39" t="inlineStr">
        <is>
          <t>Deth Machine Rifle Prime</t>
        </is>
      </c>
    </row>
    <row r="43">
      <c r="A43" s="39" t="inlineStr">
        <is>
          <t>Nyx Prime</t>
        </is>
      </c>
      <c r="B43" s="39" t="inlineStr">
        <is>
          <t>Helios Prime</t>
        </is>
      </c>
      <c r="C43" s="39" t="inlineStr">
        <is>
          <t>Scanning (codex/Investigator), Detect Vulnerability weak points</t>
        </is>
      </c>
      <c r="D43" s="39" t="inlineStr">
        <is>
          <t>Deconstructor Prime</t>
        </is>
      </c>
    </row>
    <row r="44">
      <c r="A44" s="39" t="inlineStr">
        <is>
          <t>Oberon Prime</t>
        </is>
      </c>
      <c r="B44" s="39" t="inlineStr">
        <is>
          <t>Panzer Vulpaphyla</t>
        </is>
      </c>
      <c r="C44" s="39" t="inlineStr">
        <is>
          <t>Viral priming (Viral Quills), Martyr Symbiosis revive, status spread</t>
        </is>
      </c>
      <c r="D44" s="39" t="inlineStr">
        <is>
          <t>Panzer Claws</t>
        </is>
      </c>
    </row>
    <row r="45">
      <c r="A45" s="39" t="inlineStr">
        <is>
          <t>Octavia Prime</t>
        </is>
      </c>
      <c r="B45" s="39" t="inlineStr">
        <is>
          <t>Dethcube Prime</t>
        </is>
      </c>
      <c r="C45" s="39" t="inlineStr">
        <is>
          <t>Energy economy: Energy Generator; Mystic Bond free casts</t>
        </is>
      </c>
      <c r="D45" s="39" t="inlineStr">
        <is>
          <t>Deth Machine Rifle Prime</t>
        </is>
      </c>
    </row>
    <row r="46">
      <c r="A46" s="39" t="inlineStr">
        <is>
          <t>Oraxia</t>
        </is>
      </c>
      <c r="B46" s="39" t="inlineStr">
        <is>
          <t>Panzer Vulpaphyla</t>
        </is>
      </c>
      <c r="C46" s="39" t="inlineStr">
        <is>
          <t>Viral priming (Viral Quills), Martyr Symbiosis revive, status spread</t>
        </is>
      </c>
      <c r="D46" s="39" t="inlineStr">
        <is>
          <t>Panzer Claws</t>
        </is>
      </c>
    </row>
    <row r="47">
      <c r="A47" s="39" t="inlineStr">
        <is>
          <t>Protea Prime</t>
        </is>
      </c>
      <c r="B47" s="39" t="inlineStr">
        <is>
          <t>Dethcube Prime</t>
        </is>
      </c>
      <c r="C47" s="39" t="inlineStr">
        <is>
          <t>Energy economy: Energy Generator; Mystic Bond free casts</t>
        </is>
      </c>
      <c r="D47" s="39" t="inlineStr">
        <is>
          <t>Deth Machine Rifle Prime</t>
        </is>
      </c>
    </row>
    <row r="48">
      <c r="A48" s="39" t="inlineStr">
        <is>
          <t>Qorvex</t>
        </is>
      </c>
      <c r="B48" s="39" t="inlineStr">
        <is>
          <t>Panzer Vulpaphyla</t>
        </is>
      </c>
      <c r="C48" s="39" t="inlineStr">
        <is>
          <t>Viral priming (Viral Quills), Martyr Symbiosis revive, status spread</t>
        </is>
      </c>
      <c r="D48" s="39" t="inlineStr">
        <is>
          <t>Panzer Claws</t>
        </is>
      </c>
    </row>
    <row r="49">
      <c r="A49" s="39" t="inlineStr">
        <is>
          <t>Revenant Prime</t>
        </is>
      </c>
      <c r="B49" s="39" t="inlineStr">
        <is>
          <t>Dethcube Prime</t>
        </is>
      </c>
      <c r="C49" s="39" t="inlineStr">
        <is>
          <t>Energy economy: Energy Generator; Mystic Bond free casts</t>
        </is>
      </c>
      <c r="D49" s="39" t="inlineStr">
        <is>
          <t>Deth Machine Rifle Prime</t>
        </is>
      </c>
    </row>
    <row r="50">
      <c r="A50" s="39" t="inlineStr">
        <is>
          <t>Rhino Prime</t>
        </is>
      </c>
      <c r="B50" s="39" t="inlineStr">
        <is>
          <t>Panzer Vulpaphyla</t>
        </is>
      </c>
      <c r="C50" s="39" t="inlineStr">
        <is>
          <t>Viral priming (Viral Quills), Martyr Symbiosis revive, status spread</t>
        </is>
      </c>
      <c r="D50" s="39" t="inlineStr">
        <is>
          <t>Panzer Claws</t>
        </is>
      </c>
    </row>
    <row r="51">
      <c r="A51" s="39" t="inlineStr">
        <is>
          <t>Saryn Prime</t>
        </is>
      </c>
      <c r="B51" s="39" t="inlineStr">
        <is>
          <t>Panzer Vulpaphyla</t>
        </is>
      </c>
      <c r="C51" s="39" t="inlineStr">
        <is>
          <t>Viral priming (Viral Quills), Martyr Symbiosis revive, status spread</t>
        </is>
      </c>
      <c r="D51" s="39" t="inlineStr">
        <is>
          <t>Panzer Claws</t>
        </is>
      </c>
    </row>
    <row r="52">
      <c r="A52" s="39" t="inlineStr">
        <is>
          <t>Sevagoth Prime</t>
        </is>
      </c>
      <c r="B52" s="39" t="inlineStr">
        <is>
          <t>Panzer Vulpaphyla</t>
        </is>
      </c>
      <c r="C52" s="39" t="inlineStr">
        <is>
          <t>Viral priming (Viral Quills), Martyr Symbiosis revive, status spread</t>
        </is>
      </c>
      <c r="D52" s="39" t="inlineStr">
        <is>
          <t>Panzer Claws</t>
        </is>
      </c>
    </row>
    <row r="53">
      <c r="A53" s="39" t="inlineStr">
        <is>
          <t>Sirius &amp; Orion</t>
        </is>
      </c>
      <c r="B53" s="39" t="inlineStr">
        <is>
          <t>Adarza Kavat</t>
        </is>
      </c>
      <c r="C53" s="39" t="inlineStr">
        <is>
          <t>Crit support: Cat's Eye crit buff; Tenacious Bond final crit multiplier</t>
        </is>
      </c>
      <c r="D53" s="39" t="inlineStr">
        <is>
          <t>Adarza Claws</t>
        </is>
      </c>
    </row>
    <row r="54">
      <c r="A54" s="39" t="inlineStr">
        <is>
          <t>Styanax Prime</t>
        </is>
      </c>
      <c r="B54" s="39" t="inlineStr">
        <is>
          <t>Adarza Kavat</t>
        </is>
      </c>
      <c r="C54" s="39" t="inlineStr">
        <is>
          <t>Crit support: Cat's Eye crit buff; Tenacious Bond final crit multiplier</t>
        </is>
      </c>
      <c r="D54" s="39" t="inlineStr">
        <is>
          <t>Adarza Claws</t>
        </is>
      </c>
    </row>
    <row r="55">
      <c r="A55" s="39" t="inlineStr">
        <is>
          <t>Temple</t>
        </is>
      </c>
      <c r="B55" s="39" t="inlineStr">
        <is>
          <t>Dethcube Prime</t>
        </is>
      </c>
      <c r="C55" s="39" t="inlineStr">
        <is>
          <t>Energy economy: Energy Generator; Mystic Bond free casts</t>
        </is>
      </c>
      <c r="D55" s="39" t="inlineStr">
        <is>
          <t>Deth Machine Rifle Prime</t>
        </is>
      </c>
    </row>
    <row r="56">
      <c r="A56" s="39" t="inlineStr">
        <is>
          <t>Titania Prime</t>
        </is>
      </c>
      <c r="B56" s="39" t="inlineStr">
        <is>
          <t>Adarza Kavat</t>
        </is>
      </c>
      <c r="C56" s="39" t="inlineStr">
        <is>
          <t>Crit support: Cat's Eye crit buff; Tenacious Bond final crit multiplier</t>
        </is>
      </c>
      <c r="D56" s="39" t="inlineStr">
        <is>
          <t>Adarza Claws</t>
        </is>
      </c>
    </row>
    <row r="57">
      <c r="A57" s="39" t="inlineStr">
        <is>
          <t>Trinity Prime</t>
        </is>
      </c>
      <c r="B57" s="39" t="inlineStr">
        <is>
          <t>Helios Prime</t>
        </is>
      </c>
      <c r="C57" s="39" t="inlineStr">
        <is>
          <t>Scanning (codex/Investigator), Detect Vulnerability weak points</t>
        </is>
      </c>
      <c r="D57" s="39" t="inlineStr">
        <is>
          <t>Deconstructor Prime</t>
        </is>
      </c>
    </row>
    <row r="58">
      <c r="A58" s="39" t="inlineStr">
        <is>
          <t>Uriel</t>
        </is>
      </c>
      <c r="B58" s="39" t="inlineStr">
        <is>
          <t>Panzer Vulpaphyla</t>
        </is>
      </c>
      <c r="C58" s="39" t="inlineStr">
        <is>
          <t>Viral priming (Viral Quills), Martyr Symbiosis revive, status spread</t>
        </is>
      </c>
      <c r="D58" s="39" t="inlineStr">
        <is>
          <t>Panzer Claws</t>
        </is>
      </c>
    </row>
    <row r="59">
      <c r="A59" s="39" t="inlineStr">
        <is>
          <t>Valkyr Prime</t>
        </is>
      </c>
      <c r="B59" s="39" t="inlineStr">
        <is>
          <t>Adarza Kavat</t>
        </is>
      </c>
      <c r="C59" s="39" t="inlineStr">
        <is>
          <t>Crit support: Cat's Eye crit buff; Tenacious Bond final crit multiplier</t>
        </is>
      </c>
      <c r="D59" s="39" t="inlineStr">
        <is>
          <t>Adarza Claws</t>
        </is>
      </c>
    </row>
    <row r="60">
      <c r="A60" s="39" t="inlineStr">
        <is>
          <t>Vauban Prime</t>
        </is>
      </c>
      <c r="B60" s="39" t="inlineStr">
        <is>
          <t>Dethcube Prime</t>
        </is>
      </c>
      <c r="C60" s="39" t="inlineStr">
        <is>
          <t>Energy economy: Energy Generator; Mystic Bond free casts</t>
        </is>
      </c>
      <c r="D60" s="39" t="inlineStr">
        <is>
          <t>Deth Machine Rifle Prime</t>
        </is>
      </c>
    </row>
    <row r="61">
      <c r="A61" s="39" t="inlineStr">
        <is>
          <t>Volt Prime</t>
        </is>
      </c>
      <c r="B61" s="39" t="inlineStr">
        <is>
          <t>Diriga</t>
        </is>
      </c>
      <c r="C61" s="39" t="inlineStr">
        <is>
          <t>Electric priming (Arc Coil / Electro Pulse) for electricity casters</t>
        </is>
      </c>
      <c r="D61" s="39" t="inlineStr">
        <is>
          <t>Vulklok</t>
        </is>
      </c>
    </row>
    <row r="62">
      <c r="A62" s="39" t="inlineStr">
        <is>
          <t>Voruna Prime</t>
        </is>
      </c>
      <c r="B62" s="39" t="inlineStr">
        <is>
          <t>Adarza Kavat</t>
        </is>
      </c>
      <c r="C62" s="39" t="inlineStr">
        <is>
          <t>Crit support: Cat's Eye crit buff; Tenacious Bond final crit multiplier</t>
        </is>
      </c>
      <c r="D62" s="39" t="inlineStr">
        <is>
          <t>Adarza Claws</t>
        </is>
      </c>
    </row>
    <row r="63">
      <c r="A63" s="39" t="inlineStr">
        <is>
          <t>Wisp Prime</t>
        </is>
      </c>
      <c r="B63" s="39" t="inlineStr">
        <is>
          <t>Dethcube Prime</t>
        </is>
      </c>
      <c r="C63" s="39" t="inlineStr">
        <is>
          <t>Energy economy: Energy Generator; Mystic Bond free casts</t>
        </is>
      </c>
      <c r="D63" s="39" t="inlineStr">
        <is>
          <t>Deth Machine Rifle Prime</t>
        </is>
      </c>
    </row>
    <row r="64">
      <c r="A64" s="39" t="inlineStr">
        <is>
          <t>Wukong Prime</t>
        </is>
      </c>
      <c r="B64" s="39" t="inlineStr">
        <is>
          <t>Adarza Kavat</t>
        </is>
      </c>
      <c r="C64" s="39" t="inlineStr">
        <is>
          <t>Crit support: Cat's Eye crit buff; Tenacious Bond final crit multiplier</t>
        </is>
      </c>
      <c r="D64" s="39" t="inlineStr">
        <is>
          <t>Adarza Claws</t>
        </is>
      </c>
    </row>
    <row r="65">
      <c r="A65" s="39" t="inlineStr">
        <is>
          <t>Xaku Prime</t>
        </is>
      </c>
      <c r="B65" s="39" t="inlineStr">
        <is>
          <t>Dethcube Prime</t>
        </is>
      </c>
      <c r="C65" s="39" t="inlineStr">
        <is>
          <t>Energy economy: Energy Generator; Mystic Bond free casts</t>
        </is>
      </c>
      <c r="D65" s="39" t="inlineStr">
        <is>
          <t>Deth Machine Rifle Prime</t>
        </is>
      </c>
    </row>
    <row r="66">
      <c r="A66" s="39" t="inlineStr">
        <is>
          <t>Yareli Prime</t>
        </is>
      </c>
      <c r="B66" s="39" t="inlineStr">
        <is>
          <t>Dethcube Prime</t>
        </is>
      </c>
      <c r="C66" s="39" t="inlineStr">
        <is>
          <t>Energy economy: Energy Generator; Mystic Bond free casts</t>
        </is>
      </c>
      <c r="D66" s="39" t="inlineStr">
        <is>
          <t>Deth Machine Rifle Prime</t>
        </is>
      </c>
    </row>
    <row r="67">
      <c r="A67" s="39" t="inlineStr">
        <is>
          <t>Zephyr Prime</t>
        </is>
      </c>
      <c r="B67" s="39" t="inlineStr">
        <is>
          <t>Adarza Kavat</t>
        </is>
      </c>
      <c r="C67" s="39" t="inlineStr">
        <is>
          <t>Crit support: Cat's Eye crit buff; Tenacious Bond final crit multiplier</t>
        </is>
      </c>
      <c r="D67" s="39" t="inlineStr">
        <is>
          <t>Adarza Claws</t>
        </is>
      </c>
    </row>
    <row r="69">
      <c r="A69" t="inlineStr">
        <is>
          <t>COMPANION CONFIGS</t>
        </is>
      </c>
      <c r="B69" t="inlineStr">
        <is>
          <t>Mods (10)</t>
        </is>
      </c>
      <c r="C69" t="inlineStr">
        <is>
          <t>Users</t>
        </is>
      </c>
      <c r="D69" t="inlineStr">
        <is>
          <t>Weapon</t>
        </is>
      </c>
    </row>
    <row r="70">
      <c r="A70" t="inlineStr">
        <is>
          <t>Adarza Kavat</t>
        </is>
      </c>
      <c r="B70" t="inlineStr">
        <is>
          <t>Cat's Eye | Reflect | Primed Animal Instinct | Primed Pack Leader | Link Fiber | Link Vitality | Tenacious Bond | Vicious Bond | Hastened Deflection | Enhanced Vitality</t>
        </is>
      </c>
      <c r="C70" t="n">
        <v>15</v>
      </c>
      <c r="D70" t="inlineStr">
        <is>
          <t>Adarza Claws</t>
        </is>
      </c>
    </row>
    <row r="71">
      <c r="A71" t="inlineStr">
        <is>
          <t>Panzer Vulpaphyla</t>
        </is>
      </c>
      <c r="B71" t="inlineStr">
        <is>
          <t>Viral Quills | Panzer Devolution | Martyr Symbiosis | Primed Pack Leader | Primed Animal Instinct | Link Fiber | Link Vitality | Contagious Bond | Vicious Bond | Hastened Deflection</t>
        </is>
      </c>
      <c r="C71" t="n">
        <v>19</v>
      </c>
      <c r="D71" t="inlineStr">
        <is>
          <t>Panzer Claws</t>
        </is>
      </c>
    </row>
    <row r="72">
      <c r="A72" t="inlineStr">
        <is>
          <t>Smeeta Kavat</t>
        </is>
      </c>
      <c r="B72" t="inlineStr">
        <is>
          <t>Charm | Mischief | Primed Animal Instinct | Primed Pack Leader | Link Fiber | Link Vitality | Enhanced Vitality | Duplex Bond | Tenacious Bond | Loyal Retriever</t>
        </is>
      </c>
      <c r="C72" t="n">
        <v>4</v>
      </c>
      <c r="D72" t="inlineStr">
        <is>
          <t>Smeeta Claws</t>
        </is>
      </c>
    </row>
    <row r="73">
      <c r="A73" t="inlineStr">
        <is>
          <t>Huras Kubrow</t>
        </is>
      </c>
      <c r="B73" t="inlineStr">
        <is>
          <t>Stalk | Hunt | Primed Animal Instinct | Primed Pack Leader | Link Fiber | Link Vitality | Covert Bond | Tenacious Bond | Hastened Deflection | Enhanced Vitality</t>
        </is>
      </c>
      <c r="C73" t="n">
        <v>1</v>
      </c>
      <c r="D73" t="inlineStr">
        <is>
          <t>Huras Claws</t>
        </is>
      </c>
    </row>
    <row r="74">
      <c r="A74" t="inlineStr">
        <is>
          <t>Dethcube Prime</t>
        </is>
      </c>
      <c r="B74" t="inlineStr">
        <is>
          <t>Energy Generator | Vaporize | Swift Deth | Primed Regen | Guardian | Vacuum | Link Fiber | Link Redirection | Mystic Bond | Manifold Bond</t>
        </is>
      </c>
      <c r="C74" t="n">
        <v>15</v>
      </c>
      <c r="D74" t="inlineStr">
        <is>
          <t>Deth Machine Rifle Prime</t>
        </is>
      </c>
    </row>
    <row r="75">
      <c r="A75" t="inlineStr">
        <is>
          <t>Helios Prime</t>
        </is>
      </c>
      <c r="B75" t="inlineStr">
        <is>
          <t>Investigator | Detect Vulnerability | Targeting Receptor | Primed Regen | Guardian | Vacuum | Link Fiber | Link Redirection | Mystic Bond | Manifold Bond</t>
        </is>
      </c>
      <c r="C75" t="n">
        <v>7</v>
      </c>
      <c r="D75" t="inlineStr">
        <is>
          <t>Deconstructor Prime</t>
        </is>
      </c>
    </row>
    <row r="76">
      <c r="A76" t="inlineStr">
        <is>
          <t>Wyrm Prime</t>
        </is>
      </c>
      <c r="B76" t="inlineStr">
        <is>
          <t>Negate | Crowd Dispersion | Primed Regen | Guardian | Vacuum | Link Fiber | Link Redirection | Metal Fiber | Reinforced Bond | Manifold Bond</t>
        </is>
      </c>
      <c r="C76" t="n">
        <v>2</v>
      </c>
      <c r="D76" t="inlineStr">
        <is>
          <t>Prime Laser Rifle</t>
        </is>
      </c>
    </row>
    <row r="77">
      <c r="A77" t="inlineStr">
        <is>
          <t>Diriga</t>
        </is>
      </c>
      <c r="B77" t="inlineStr">
        <is>
          <t>Arc Coil | Electro Pulse | Calculated Shot | Primed Regen | Guardian | Vacuum | Link Fiber | Link Redirection | Mystic Bond | Manifold Bond</t>
        </is>
      </c>
      <c r="C77" t="n">
        <v>3</v>
      </c>
      <c r="D77" t="inlineStr">
        <is>
          <t>Vulklok</t>
        </is>
      </c>
    </row>
    <row r="79">
      <c r="A79" t="inlineStr">
        <is>
          <t>COMPANION WEAPON BUILDS</t>
        </is>
      </c>
      <c r="B79" t="inlineStr">
        <is>
          <t>Mods</t>
        </is>
      </c>
    </row>
    <row r="80">
      <c r="A80" t="inlineStr">
        <is>
          <t>Beast claws (Adarza/Panzer/Smeeta/Huras)</t>
        </is>
      </c>
      <c r="B80" t="inlineStr">
        <is>
          <t>Bite | Maul | Bell Ringer | Hunter Synergy | Sepsis Claws | Shocking Claws | Venom Teeth | Precision Conditioning</t>
        </is>
      </c>
    </row>
    <row r="81">
      <c r="A81" t="inlineStr">
        <is>
          <t>Sentinel rifles (Deth Machine Rifle Prime, Deconstructor Prime*, Prime Laser Rifle, Vulklok)</t>
        </is>
      </c>
      <c r="B81" t="inlineStr">
        <is>
          <t>Serration | Split Chamber | Point Strike | Vital Sense | Hellfire | Malignant Force | High Voltage | Galvanized Aptitude</t>
        </is>
      </c>
    </row>
    <row r="82">
      <c r="A82" t="inlineStr">
        <is>
          <t>Note</t>
        </is>
      </c>
      <c r="B82" t="inlineStr">
        <is>
          <t>* Deconstructor Prime is a glaive-type sentinel weapon: use melee-style template (Primed Pressure Point, Blood Rush...) if rifle mods do not equip -&gt; verify in Arsenal</t>
        </is>
      </c>
    </row>
  </sheetData>
  <autoFilter ref="A1:D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6" min="1" max="1"/>
    <col width="10" customWidth="1" style="26" min="2" max="2"/>
    <col width="10" customWidth="1" style="26" min="3" max="3"/>
    <col width="90" customWidth="1" style="26" min="4" max="4"/>
    <col width="10" customWidth="1" style="26" min="5" max="5"/>
    <col width="10" customWidth="1" style="26" min="6" max="6"/>
    <col width="45" customWidth="1" style="26" min="7" max="7"/>
    <col width="12" customWidth="1" style="26" min="8" max="8"/>
  </cols>
  <sheetData>
    <row r="1">
      <c r="A1" s="51" t="inlineStr">
        <is>
          <t>Exalted</t>
        </is>
      </c>
      <c r="B1" s="51" t="inlineStr">
        <is>
          <t>Frame</t>
        </is>
      </c>
      <c r="C1" s="51" t="inlineStr">
        <is>
          <t>Slot</t>
        </is>
      </c>
      <c r="D1" s="51" t="inlineStr">
        <is>
          <t>Mods</t>
        </is>
      </c>
      <c r="E1" s="51" t="inlineStr">
        <is>
          <t>Arcane</t>
        </is>
      </c>
      <c r="F1" s="51" t="inlineStr">
        <is>
          <t>Element</t>
        </is>
      </c>
      <c r="G1" s="51" t="inlineStr">
        <is>
          <t>Notes</t>
        </is>
      </c>
      <c r="H1" s="51" t="inlineStr">
        <is>
          <t>Investment</t>
        </is>
      </c>
    </row>
    <row r="2">
      <c r="A2" s="39" t="inlineStr">
        <is>
          <t>Neutralizer</t>
        </is>
      </c>
      <c r="B2" s="39" t="inlineStr">
        <is>
          <t>Cyte-09</t>
        </is>
      </c>
      <c r="C2" s="39" t="inlineStr">
        <is>
          <t>Primary</t>
        </is>
      </c>
      <c r="D2" s="39" t="inlineStr">
        <is>
          <t>Serration | Galvanized Chamber | Point Strike | Vital Sense | Hammer Shot | Galvanized Aptitude | Primed Cryo Rounds | Malignant Force</t>
        </is>
      </c>
      <c r="E2" s="39" t="inlineStr">
        <is>
          <t>Primary Deadhead</t>
        </is>
      </c>
      <c r="F2" s="39" t="inlineStr">
        <is>
          <t>Viral+Heat</t>
        </is>
      </c>
      <c r="G2" s="39" t="inlineStr">
        <is>
          <t>Weak-point sniper; Primary Deadhead on weak point kills</t>
        </is>
      </c>
      <c r="H2" s="39" t="inlineStr">
        <is>
          <t>Catalyst pre-installed; Forma ~3</t>
        </is>
      </c>
    </row>
    <row r="3">
      <c r="A3" s="39" t="inlineStr">
        <is>
          <t>Artemis Bow Prime</t>
        </is>
      </c>
      <c r="B3" s="39" t="inlineStr">
        <is>
          <t>Ivara Prime</t>
        </is>
      </c>
      <c r="C3" s="39" t="inlineStr">
        <is>
          <t>Primary</t>
        </is>
      </c>
      <c r="D3" s="39" t="inlineStr">
        <is>
          <t>Serration | Galvanized Chamber | Point Strike | Vital Sense | Hammer Shot | Galvanized Aptitude | Primed Cryo Rounds | Malignant Force</t>
        </is>
      </c>
      <c r="E3" s="39" t="inlineStr">
        <is>
          <t>Primary Deadhead</t>
        </is>
      </c>
      <c r="F3" s="39" t="inlineStr">
        <is>
          <t>Viral+Heat</t>
        </is>
      </c>
      <c r="G3" s="39" t="inlineStr">
        <is>
          <t>Charged multi-arrow; bow uses rifle mods</t>
        </is>
      </c>
      <c r="H3" s="39" t="inlineStr">
        <is>
          <t>Catalyst pre-installed; Forma ~3</t>
        </is>
      </c>
    </row>
    <row r="4">
      <c r="A4" s="39" t="inlineStr">
        <is>
          <t>Lizzie</t>
        </is>
      </c>
      <c r="B4" s="39" t="inlineStr">
        <is>
          <t>Temple</t>
        </is>
      </c>
      <c r="C4" s="39" t="inlineStr">
        <is>
          <t>Primary</t>
        </is>
      </c>
      <c r="D4" s="39" t="inlineStr">
        <is>
          <t>Serration | Galvanized Chamber | Point Strike | Vital Sense | Hammer Shot | Galvanized Aptitude | Primed Cryo Rounds | Malignant Force</t>
        </is>
      </c>
      <c r="E4" s="39" t="inlineStr">
        <is>
          <t>Primary Merciless</t>
        </is>
      </c>
      <c r="F4" s="39" t="inlineStr">
        <is>
          <t>Viral+Heat</t>
        </is>
      </c>
      <c r="G4" s="39" t="inlineStr">
        <is>
          <t>Exalted guitar (Primary replacement)</t>
        </is>
      </c>
      <c r="H4" s="39" t="inlineStr">
        <is>
          <t>Catalyst pre-installed; Forma ~3</t>
        </is>
      </c>
    </row>
    <row r="5">
      <c r="A5" s="39" t="inlineStr">
        <is>
          <t>Balefire Charger Prime</t>
        </is>
      </c>
      <c r="B5" s="39" t="inlineStr">
        <is>
          <t>Hildryn Prime</t>
        </is>
      </c>
      <c r="C5" s="39" t="inlineStr">
        <is>
          <t>Secondary</t>
        </is>
      </c>
      <c r="D5" s="39" t="inlineStr">
        <is>
          <t>Hornet Strike | Galvanized Diffusion | Primed Pistol Gambit | Primed Target Cracker | Galvanized Crosshairs | Primed Heated Charge | Pathogen Rounds | Galvanized Shot</t>
        </is>
      </c>
      <c r="E5" s="39" t="inlineStr">
        <is>
          <t>Secondary Merciless</t>
        </is>
      </c>
      <c r="F5" s="39" t="inlineStr">
        <is>
          <t>Viral+Heat</t>
        </is>
      </c>
      <c r="G5" s="39" t="inlineStr">
        <is>
          <t>Shield-fed exalted</t>
        </is>
      </c>
      <c r="H5" s="39" t="inlineStr">
        <is>
          <t>Catalyst pre-installed; Forma ~3</t>
        </is>
      </c>
    </row>
    <row r="6">
      <c r="A6" s="39" t="inlineStr">
        <is>
          <t>Regulators Prime</t>
        </is>
      </c>
      <c r="B6" s="39" t="inlineStr">
        <is>
          <t>Mesa Prime</t>
        </is>
      </c>
      <c r="C6" s="39" t="inlineStr">
        <is>
          <t>Secondary</t>
        </is>
      </c>
      <c r="D6" s="39" t="inlineStr">
        <is>
          <t>Hornet Strike | Galvanized Diffusion | Primed Pistol Gambit | Primed Target Cracker | Galvanized Crosshairs | Primed Heated Charge | Pathogen Rounds | Galvanized Shot</t>
        </is>
      </c>
      <c r="E6" s="39" t="inlineStr">
        <is>
          <t>Secondary Deadhead</t>
        </is>
      </c>
      <c r="F6" s="39" t="inlineStr">
        <is>
          <t>Viral+Heat</t>
        </is>
      </c>
      <c r="G6" s="39" t="inlineStr">
        <is>
          <t>Peacemaker exalted (project Melee credit)</t>
        </is>
      </c>
      <c r="H6" s="39" t="inlineStr">
        <is>
          <t>Catalyst pre-installed; Forma ~3</t>
        </is>
      </c>
    </row>
    <row r="7">
      <c r="A7" s="39" t="inlineStr">
        <is>
          <t>Dex Pixia Prime</t>
        </is>
      </c>
      <c r="B7" s="39" t="inlineStr">
        <is>
          <t>Titania Prime</t>
        </is>
      </c>
      <c r="C7" s="39" t="inlineStr">
        <is>
          <t>Secondary</t>
        </is>
      </c>
      <c r="D7" s="39" t="inlineStr">
        <is>
          <t>Hornet Strike | Galvanized Diffusion | Primed Pistol Gambit | Primed Target Cracker | Galvanized Crosshairs | Primed Heated Charge | Pathogen Rounds | Galvanized Shot</t>
        </is>
      </c>
      <c r="E7" s="39" t="inlineStr">
        <is>
          <t>Secondary Merciless</t>
        </is>
      </c>
      <c r="F7" s="39" t="inlineStr">
        <is>
          <t>Viral+Heat</t>
        </is>
      </c>
      <c r="G7" s="39" t="inlineStr">
        <is>
          <t>Razorwing pistols</t>
        </is>
      </c>
      <c r="H7" s="39" t="inlineStr">
        <is>
          <t>Catalyst pre-installed; Forma ~3</t>
        </is>
      </c>
    </row>
    <row r="8">
      <c r="A8" s="39" t="inlineStr">
        <is>
          <t>Glory</t>
        </is>
      </c>
      <c r="B8" s="39" t="inlineStr">
        <is>
          <t>Jade</t>
        </is>
      </c>
      <c r="C8" s="39" t="inlineStr">
        <is>
          <t>Secondary</t>
        </is>
      </c>
      <c r="D8" s="39" t="inlineStr">
        <is>
          <t>Hornet Strike | Galvanized Diffusion | Primed Pistol Gambit | Primed Target Cracker | Galvanized Crosshairs | Primed Heated Charge | Pathogen Rounds | Galvanized Shot</t>
        </is>
      </c>
      <c r="E8" s="39" t="inlineStr">
        <is>
          <t>Secondary Merciless</t>
        </is>
      </c>
      <c r="F8" s="39" t="inlineStr">
        <is>
          <t>Viral+Heat</t>
        </is>
      </c>
      <c r="G8" s="39" t="inlineStr">
        <is>
          <t>Additional Exalted</t>
        </is>
      </c>
      <c r="H8" s="39" t="inlineStr">
        <is>
          <t>Catalyst pre-installed; Forma ~3</t>
        </is>
      </c>
    </row>
    <row r="9">
      <c r="A9" s="39" t="inlineStr">
        <is>
          <t>Noctua</t>
        </is>
      </c>
      <c r="B9" s="39" t="inlineStr">
        <is>
          <t>Dante</t>
        </is>
      </c>
      <c r="C9" s="39" t="inlineStr">
        <is>
          <t>Secondary</t>
        </is>
      </c>
      <c r="D9" s="39" t="inlineStr">
        <is>
          <t>Hornet Strike | Galvanized Diffusion | Primed Pistol Gambit | Primed Target Cracker | Galvanized Crosshairs | Primed Heated Charge | Pathogen Rounds | Galvanized Shot</t>
        </is>
      </c>
      <c r="E9" s="39" t="inlineStr">
        <is>
          <t>Secondary Merciless</t>
        </is>
      </c>
      <c r="F9" s="39" t="inlineStr">
        <is>
          <t>Viral+Heat</t>
        </is>
      </c>
      <c r="G9" s="39" t="inlineStr">
        <is>
          <t>Additional Exalted tome; scans targets</t>
        </is>
      </c>
      <c r="H9" s="39" t="inlineStr">
        <is>
          <t>Catalyst pre-installed; Forma ~3</t>
        </is>
      </c>
    </row>
    <row r="10">
      <c r="A10" s="39" t="inlineStr">
        <is>
          <t>Desert Wind Prime</t>
        </is>
      </c>
      <c r="B10" s="39" t="inlineStr">
        <is>
          <t>Baruuk Prime</t>
        </is>
      </c>
      <c r="C10" s="39" t="inlineStr">
        <is>
          <t>Melee</t>
        </is>
      </c>
      <c r="D10" s="39" t="inlineStr">
        <is>
          <t>Primed Pressure Point | Blood Rush | Weeping Wounds | Organ Shatter | Berserker Fury | Condition Overload | Primed Reach | Virulent Scourge</t>
        </is>
      </c>
      <c r="E10" s="39" t="inlineStr">
        <is>
          <t>Not assigned (melee Exalted arcane slot: LIVE TEST)</t>
        </is>
      </c>
      <c r="F10" s="39" t="inlineStr">
        <is>
          <t>Viral+Heat (Reactive Storm overrides)</t>
        </is>
      </c>
      <c r="G10" s="39" t="inlineStr">
        <is>
          <t>Exalted fists</t>
        </is>
      </c>
      <c r="H10" s="39" t="inlineStr">
        <is>
          <t>Catalyst pre-installed; Forma ~3</t>
        </is>
      </c>
    </row>
    <row r="11">
      <c r="A11" s="39" t="inlineStr">
        <is>
          <t>Exalted Umbra Blade</t>
        </is>
      </c>
      <c r="B11" s="39" t="inlineStr">
        <is>
          <t>Excalibur Umbra</t>
        </is>
      </c>
      <c r="C11" s="39" t="inlineStr">
        <is>
          <t>Melee</t>
        </is>
      </c>
      <c r="D11" s="39" t="inlineStr">
        <is>
          <t>Primed Pressure Point | Blood Rush | Weeping Wounds | Organ Shatter | Berserker Fury | Condition Overload | Primed Reach | Virulent Scourge</t>
        </is>
      </c>
      <c r="E11" s="39" t="inlineStr">
        <is>
          <t>Not assigned (melee Exalted arcane slot: LIVE TEST)</t>
        </is>
      </c>
      <c r="F11" s="39" t="inlineStr">
        <is>
          <t>Viral+Heat (Chromatic Blade emissive)</t>
        </is>
      </c>
      <c r="G11" s="39" t="inlineStr">
        <is>
          <t>Exalted Blade</t>
        </is>
      </c>
      <c r="H11" s="39" t="inlineStr">
        <is>
          <t>Catalyst pre-installed; Forma ~3</t>
        </is>
      </c>
    </row>
    <row r="12">
      <c r="A12" s="39" t="inlineStr">
        <is>
          <t>Garuda Prime Talons</t>
        </is>
      </c>
      <c r="B12" s="39" t="inlineStr">
        <is>
          <t>Garuda Prime</t>
        </is>
      </c>
      <c r="C12" s="39" t="inlineStr">
        <is>
          <t>Melee</t>
        </is>
      </c>
      <c r="D12" s="39" t="inlineStr">
        <is>
          <t>Primed Pressure Point | Blood Rush | Weeping Wounds | Organ Shatter | Berserker Fury | Condition Overload | Virulent Scourge | Molten Impact</t>
        </is>
      </c>
      <c r="E12" s="39" t="inlineStr">
        <is>
          <t>Not assigned (melee Exalted arcane slot: LIVE TEST)</t>
        </is>
      </c>
      <c r="F12" s="39" t="inlineStr">
        <is>
          <t>Viral+Heat</t>
        </is>
      </c>
      <c r="G12" s="39" t="inlineStr">
        <is>
          <t>Normal-ish weapon, no heavy attacks/Exilus</t>
        </is>
      </c>
      <c r="H12" s="39" t="inlineStr">
        <is>
          <t>Catalyst pre-installed; Forma ~3</t>
        </is>
      </c>
    </row>
    <row r="13">
      <c r="A13" s="39" t="inlineStr">
        <is>
          <t>Shadow Claws Prime</t>
        </is>
      </c>
      <c r="B13" s="39" t="inlineStr">
        <is>
          <t>Sevagoth Prime</t>
        </is>
      </c>
      <c r="C13" s="39" t="inlineStr">
        <is>
          <t>Melee</t>
        </is>
      </c>
      <c r="D13" s="39" t="inlineStr">
        <is>
          <t>Primed Pressure Point | Blood Rush | Weeping Wounds | Organ Shatter | Berserker Fury | Condition Overload | Primed Reach | Virulent Scourge</t>
        </is>
      </c>
      <c r="E13" s="39" t="inlineStr">
        <is>
          <t>Not assigned (melee Exalted arcane slot: LIVE TEST)</t>
        </is>
      </c>
      <c r="F13" s="39" t="inlineStr">
        <is>
          <t>Viral+Heat</t>
        </is>
      </c>
      <c r="G13" s="39" t="inlineStr">
        <is>
          <t>Exalted Shadow claws</t>
        </is>
      </c>
      <c r="H13" s="39" t="inlineStr">
        <is>
          <t>Catalyst pre-installed; Forma ~3</t>
        </is>
      </c>
    </row>
    <row r="14">
      <c r="A14" s="39" t="inlineStr">
        <is>
          <t>Valkyr Prime Talons</t>
        </is>
      </c>
      <c r="B14" s="39" t="inlineStr">
        <is>
          <t>Valkyr Prime</t>
        </is>
      </c>
      <c r="C14" s="39" t="inlineStr">
        <is>
          <t>Melee</t>
        </is>
      </c>
      <c r="D14" s="39" t="inlineStr">
        <is>
          <t>Primed Pressure Point | Blood Rush | Weeping Wounds | Organ Shatter | Berserker Fury | Condition Overload | Primed Reach | Virulent Scourge</t>
        </is>
      </c>
      <c r="E14" s="39" t="inlineStr">
        <is>
          <t>Not assigned (melee Exalted arcane slot: LIVE TEST)</t>
        </is>
      </c>
      <c r="F14" s="39" t="inlineStr">
        <is>
          <t>Viral+Heat</t>
        </is>
      </c>
      <c r="G14" s="39" t="inlineStr">
        <is>
          <t>Hysteria talons</t>
        </is>
      </c>
      <c r="H14" s="39" t="inlineStr">
        <is>
          <t>Catalyst pre-installed; Forma ~3</t>
        </is>
      </c>
    </row>
    <row r="15">
      <c r="A15" s="39" t="inlineStr">
        <is>
          <t>Iron Staff Prime</t>
        </is>
      </c>
      <c r="B15" s="39" t="inlineStr">
        <is>
          <t>Wukong Prime</t>
        </is>
      </c>
      <c r="C15" s="39" t="inlineStr">
        <is>
          <t>Melee</t>
        </is>
      </c>
      <c r="D15" s="39" t="inlineStr">
        <is>
          <t>Primed Pressure Point | Blood Rush | Weeping Wounds | Organ Shatter | Berserker Fury | Condition Overload | Primed Reach | Virulent Scourge</t>
        </is>
      </c>
      <c r="E15" s="39" t="inlineStr">
        <is>
          <t>Not assigned (melee Exalted arcane slot: LIVE TEST)</t>
        </is>
      </c>
      <c r="F15" s="39" t="inlineStr">
        <is>
          <t>Viral+Heat</t>
        </is>
      </c>
      <c r="G15" s="39" t="inlineStr">
        <is>
          <t>Primal Fury staff</t>
        </is>
      </c>
      <c r="H15" s="39" t="inlineStr">
        <is>
          <t>Catalyst pre-installed; Forma ~3</t>
        </is>
      </c>
    </row>
    <row r="16">
      <c r="A16" s="39" t="inlineStr">
        <is>
          <t>Diwata Prime</t>
        </is>
      </c>
      <c r="B16" s="39" t="inlineStr">
        <is>
          <t>Titania Prime</t>
        </is>
      </c>
      <c r="C16" s="39" t="inlineStr">
        <is>
          <t>Melee</t>
        </is>
      </c>
      <c r="D16" s="39" t="inlineStr">
        <is>
          <t>Primed Pressure Point | Blood Rush | Weeping Wounds | Organ Shatter | Berserker Fury | Condition Overload | Primed Reach | Virulent Scourge</t>
        </is>
      </c>
      <c r="E16" s="39" t="inlineStr">
        <is>
          <t>Not assigned (melee Exalted arcane slot: LIVE TEST)</t>
        </is>
      </c>
      <c r="F16" s="39" t="inlineStr">
        <is>
          <t>Viral+Heat</t>
        </is>
      </c>
      <c r="G16" s="39" t="inlineStr">
        <is>
          <t>Razorwing sword</t>
        </is>
      </c>
      <c r="H16" s="39" t="inlineStr">
        <is>
          <t>Catalyst pre-installed; Forma ~3</t>
        </is>
      </c>
    </row>
    <row r="17">
      <c r="A17" s="39" t="inlineStr">
        <is>
          <t>Shadow Clones Prime</t>
        </is>
      </c>
      <c r="B17" s="39" t="inlineStr">
        <is>
          <t>Ash Prime</t>
        </is>
      </c>
      <c r="C17" s="39" t="inlineStr">
        <is>
          <t>Melee</t>
        </is>
      </c>
      <c r="D17" s="39" t="inlineStr">
        <is>
          <t>Primed Pressure Point | Blood Rush | Weeping Wounds | Organ Shatter | Berserker Fury | Condition Overload | Virulent Scourge | Molten Impact</t>
        </is>
      </c>
      <c r="E17" s="39" t="inlineStr">
        <is>
          <t>Not assigned (melee Exalted arcane slot: LIVE TEST)</t>
        </is>
      </c>
      <c r="F17" s="39" t="inlineStr">
        <is>
          <t>Viral+Heat</t>
        </is>
      </c>
      <c r="G17" s="39" t="inlineStr">
        <is>
          <t>U38.5 Exalted (Ability Combo); no heavy-attack mods</t>
        </is>
      </c>
      <c r="H17" s="39" t="inlineStr">
        <is>
          <t>Catalyst pre-installed; Forma ~3</t>
        </is>
      </c>
    </row>
    <row r="18">
      <c r="A18" s="39" t="inlineStr">
        <is>
          <t>Landslide Fists Prime</t>
        </is>
      </c>
      <c r="B18" s="39" t="inlineStr">
        <is>
          <t>Atlas Prime</t>
        </is>
      </c>
      <c r="C18" s="39" t="inlineStr">
        <is>
          <t>Melee</t>
        </is>
      </c>
      <c r="D18" s="39" t="inlineStr">
        <is>
          <t>Primed Pressure Point | Blood Rush | Weeping Wounds | Organ Shatter | Berserker Fury | Condition Overload | Virulent Scourge | Molten Impact</t>
        </is>
      </c>
      <c r="E18" s="39" t="inlineStr">
        <is>
          <t>Not assigned (melee Exalted arcane slot: LIVE TEST)</t>
        </is>
      </c>
      <c r="F18" s="39" t="inlineStr">
        <is>
          <t>Viral+Heat</t>
        </is>
      </c>
      <c r="G18" s="39" t="inlineStr">
        <is>
          <t>U38.5 Exalted (Ability Combo)</t>
        </is>
      </c>
      <c r="H18" s="39" t="inlineStr">
        <is>
          <t>Catalyst pre-installed; Forma ~3</t>
        </is>
      </c>
    </row>
    <row r="19">
      <c r="A19" s="39" t="inlineStr">
        <is>
          <t>Shattered Lash Prime</t>
        </is>
      </c>
      <c r="B19" s="39" t="inlineStr">
        <is>
          <t>Gara Prime</t>
        </is>
      </c>
      <c r="C19" s="39" t="inlineStr">
        <is>
          <t>Melee</t>
        </is>
      </c>
      <c r="D19" s="39" t="inlineStr">
        <is>
          <t>Primed Pressure Point | Blood Rush | Weeping Wounds | Organ Shatter | Berserker Fury | Condition Overload | Virulent Scourge | Molten Impact</t>
        </is>
      </c>
      <c r="E19" s="39" t="inlineStr">
        <is>
          <t>Not assigned (melee Exalted arcane slot: LIVE TEST)</t>
        </is>
      </c>
      <c r="F19" s="39" t="inlineStr">
        <is>
          <t>Viral+Heat</t>
        </is>
      </c>
      <c r="G19" s="39" t="inlineStr">
        <is>
          <t>U38.5 Exalted (Ability Combo)</t>
        </is>
      </c>
      <c r="H19" s="39" t="inlineStr">
        <is>
          <t>Catalyst pre-installed; Forma ~3</t>
        </is>
      </c>
    </row>
    <row r="20">
      <c r="A20" s="39" t="inlineStr">
        <is>
          <t>Whipclaw Prime</t>
        </is>
      </c>
      <c r="B20" s="39" t="inlineStr">
        <is>
          <t>Khora Prime</t>
        </is>
      </c>
      <c r="C20" s="39" t="inlineStr">
        <is>
          <t>Melee</t>
        </is>
      </c>
      <c r="D20" s="39" t="inlineStr">
        <is>
          <t>Primed Pressure Point | Blood Rush | Weeping Wounds | Organ Shatter | Berserker Fury | Condition Overload | Virulent Scourge | Molten Impact</t>
        </is>
      </c>
      <c r="E20" s="39" t="inlineStr">
        <is>
          <t>Not assigned (melee Exalted arcane slot: LIVE TEST)</t>
        </is>
      </c>
      <c r="F20" s="39" t="inlineStr">
        <is>
          <t>Viral+Heat</t>
        </is>
      </c>
      <c r="G20" s="39" t="inlineStr">
        <is>
          <t>U38.5 Exalted (Ability Combo)</t>
        </is>
      </c>
      <c r="H20" s="39" t="inlineStr">
        <is>
          <t>Catalyst pre-installed; Forma ~3</t>
        </is>
      </c>
    </row>
    <row r="21">
      <c r="A21" s="39" t="inlineStr">
        <is>
          <t>Venari Prime</t>
        </is>
      </c>
      <c r="B21" s="39" t="inlineStr">
        <is>
          <t>Khora Prime</t>
        </is>
      </c>
      <c r="C21" s="39" t="inlineStr">
        <is>
          <t>Exalted companion</t>
        </is>
      </c>
      <c r="D21" s="39" t="inlineStr">
        <is>
          <t>Primed Pack Leader | Primed Animal Instinct | Link Fiber | Link Vitality | Enhanced Vitality | Vicious Bond | Contagious Bond | Hastened Deflection</t>
        </is>
      </c>
      <c r="E21" s="39" t="inlineStr">
        <is>
          <t>-</t>
        </is>
      </c>
      <c r="F21" s="39" t="inlineStr">
        <is>
          <t>Viral via Vicious/Contagious Bond</t>
        </is>
      </c>
      <c r="G21" s="39" t="inlineStr">
        <is>
          <t>Separately moddable exalted companion</t>
        </is>
      </c>
      <c r="H21" s="39" t="inlineStr">
        <is>
          <t>-</t>
        </is>
      </c>
    </row>
    <row r="22">
      <c r="A22" s="39" t="inlineStr">
        <is>
          <t>Sevagoth Prime's Shadow</t>
        </is>
      </c>
      <c r="B22" s="39" t="inlineStr">
        <is>
          <t>Sevagoth Prime</t>
        </is>
      </c>
      <c r="C22" s="39" t="inlineStr">
        <is>
          <t>Exalted Warframe</t>
        </is>
      </c>
      <c r="D22" s="39" t="inlineStr">
        <is>
          <t>Umbral Intensify | Umbral Vitality | Umbral Fiber | Primed Continuity | Stretch | Primed Flow | Streamline | Rolling Guard | Aura: Steel Charge | Exilus: None</t>
        </is>
      </c>
      <c r="E22" s="39" t="inlineStr">
        <is>
          <t>-</t>
        </is>
      </c>
      <c r="F22" s="39" t="inlineStr">
        <is>
          <t>-</t>
        </is>
      </c>
      <c r="G22" s="39" t="inlineStr">
        <is>
          <t>Exalted Warframe (own mods/polarities); uses Shadow Claws Prime. No shards/arcanes slots.</t>
        </is>
      </c>
      <c r="H22" s="39" t="inlineStr">
        <is>
          <t>Forma ~3</t>
        </is>
      </c>
    </row>
    <row r="23">
      <c r="A23" s="39" t="inlineStr">
        <is>
          <t>Orion</t>
        </is>
      </c>
      <c r="B23" s="39" t="inlineStr">
        <is>
          <t>Sirius &amp; Orion</t>
        </is>
      </c>
      <c r="C23" s="39" t="inlineStr">
        <is>
          <t>Exalted Warframe</t>
        </is>
      </c>
      <c r="D23" s="39" t="inlineStr">
        <is>
          <t>Umbral Intensify | Umbral Vitality | Umbral Fiber | Primed Continuity | Stretch | Primed Flow | Streamline | Augur Secrets | Aura: Growing Power | Exilus: Power Drift</t>
        </is>
      </c>
      <c r="E23" s="39" t="inlineStr">
        <is>
          <t>-</t>
        </is>
      </c>
      <c r="F23" s="39" t="inlineStr">
        <is>
          <t>-</t>
        </is>
      </c>
      <c r="G23" s="39" t="inlineStr">
        <is>
          <t>Second body of Sirius &amp; Orion; separately moddable per wiki. Arcane/shard sharing with Sirius: LIVE TEST REQUIRED.</t>
        </is>
      </c>
      <c r="H23" s="39" t="inlineStr">
        <is>
          <t>Forma ~3</t>
        </is>
      </c>
    </row>
  </sheetData>
  <autoFilter ref="A1:H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6" min="1" max="1"/>
    <col width="10" customWidth="1" style="26" min="2" max="2"/>
    <col width="10" customWidth="1" style="26" min="3" max="3"/>
    <col width="10" customWidth="1" style="26" min="4" max="4"/>
    <col width="10" customWidth="1" style="26" min="5" max="5"/>
    <col width="10" customWidth="1" style="26" min="6" max="6"/>
    <col width="12" customWidth="1" style="26" min="7" max="7"/>
    <col width="14" customWidth="1" style="26" min="8" max="8"/>
    <col width="80" customWidth="1" style="26" min="9" max="9"/>
    <col width="15" customWidth="1" style="26" min="10" max="10"/>
    <col width="45" customWidth="1" style="26" min="11" max="11"/>
    <col width="55" customWidth="1" style="26" min="12" max="12"/>
    <col width="20" customWidth="1" style="26" min="13" max="13"/>
  </cols>
  <sheetData>
    <row r="1">
      <c r="A1" s="51" t="inlineStr">
        <is>
          <t>Frame</t>
        </is>
      </c>
      <c r="B1" s="51" t="inlineStr">
        <is>
          <t>Slot</t>
        </is>
      </c>
      <c r="C1" s="51" t="inlineStr">
        <is>
          <t>Weapon</t>
        </is>
      </c>
      <c r="D1" s="51" t="inlineStr">
        <is>
          <t>Class</t>
        </is>
      </c>
      <c r="E1" s="51" t="inlineStr">
        <is>
          <t>Base CC</t>
        </is>
      </c>
      <c r="F1" s="51" t="inlineStr">
        <is>
          <t>Base SC</t>
        </is>
      </c>
      <c r="G1" s="51" t="inlineStr">
        <is>
          <t>Build type</t>
        </is>
      </c>
      <c r="H1" s="51" t="inlineStr">
        <is>
          <t>Mod template</t>
        </is>
      </c>
      <c r="I1" s="51" t="inlineStr">
        <is>
          <t>Template mods</t>
        </is>
      </c>
      <c r="J1" s="51" t="inlineStr">
        <is>
          <t>Weapon Arcane</t>
        </is>
      </c>
      <c r="K1" s="51" t="inlineStr">
        <is>
          <t>Element / status</t>
        </is>
      </c>
      <c r="L1" s="51" t="inlineStr">
        <is>
          <t>Incarnon evolutions</t>
        </is>
      </c>
      <c r="M1" s="51" t="inlineStr">
        <is>
          <t>Forma / investment</t>
        </is>
      </c>
    </row>
    <row r="2">
      <c r="A2" s="39" t="inlineStr">
        <is>
          <t>Ash Prime</t>
        </is>
      </c>
      <c r="B2" s="39" t="inlineStr">
        <is>
          <t>Primary</t>
        </is>
      </c>
      <c r="C2" s="39" t="inlineStr">
        <is>
          <t>Vectis Prime</t>
        </is>
      </c>
      <c r="D2" s="39" t="inlineStr">
        <is>
          <t>Sniper Rifle</t>
        </is>
      </c>
      <c r="E2" s="39" t="n">
        <v>0.3</v>
      </c>
      <c r="F2" s="39" t="n">
        <v>0.3</v>
      </c>
      <c r="G2" s="39" t="inlineStr">
        <is>
          <t>crit</t>
        </is>
      </c>
      <c r="H2" s="39" t="inlineStr">
        <is>
          <t>RIFLE_CRIT</t>
        </is>
      </c>
      <c r="I2" s="39" t="inlineStr">
        <is>
          <t>Serration | Galvanized Chamber | Point Strike | Vital Sense | Hammer Shot | Galvanized Aptitude | Primed Cryo Rounds | Malignant Force</t>
        </is>
      </c>
      <c r="J2" s="39" t="inlineStr">
        <is>
          <t>Primary Deadhead</t>
        </is>
      </c>
      <c r="K2" s="39" t="inlineStr">
        <is>
          <t>Viral + Heat (Steel Path generalist; swap Heat-&gt;Corrosive vs armored Grineer)</t>
        </is>
      </c>
      <c r="L2" s="39" t="inlineStr">
        <is>
          <t>EVO2: Lone Enforcer; EVO3: Rapid Reinforcement; EVO4: Critical Parallel</t>
        </is>
      </c>
      <c r="M2" s="39" t="inlineStr">
        <is>
          <t>~4 (Incarnon)</t>
        </is>
      </c>
    </row>
    <row r="3">
      <c r="A3" s="39" t="inlineStr">
        <is>
          <t>Ash Prime</t>
        </is>
      </c>
      <c r="B3" s="39" t="inlineStr">
        <is>
          <t>Secondary</t>
        </is>
      </c>
      <c r="C3" s="39" t="inlineStr">
        <is>
          <t>Tenet Plinx</t>
        </is>
      </c>
      <c r="D3" s="39" t="inlineStr">
        <is>
          <t>Pistol</t>
        </is>
      </c>
      <c r="E3" s="39" t="n">
        <v>0.44</v>
      </c>
      <c r="F3" s="39" t="n">
        <v>0.12</v>
      </c>
      <c r="G3" s="39" t="inlineStr">
        <is>
          <t>crit</t>
        </is>
      </c>
      <c r="H3" s="39" t="inlineStr">
        <is>
          <t>PISTOL_CRIT</t>
        </is>
      </c>
      <c r="I3" s="39" t="inlineStr">
        <is>
          <t>Hornet Strike | Galvanized Diffusion | Primed Pistol Gambit | Primed Target Cracker | Galvanized Crosshairs | Primed Heated Charge | Pathogen Rounds | Galvanized Shot</t>
        </is>
      </c>
      <c r="J3" s="39" t="inlineStr">
        <is>
          <t>Secondary Outburst</t>
        </is>
      </c>
      <c r="K3" s="39" t="inlineStr">
        <is>
          <t>Adversary innate element (see Adversary sheet) + Viral</t>
        </is>
      </c>
      <c r="L3" s="39" t="inlineStr">
        <is>
          <t>-</t>
        </is>
      </c>
      <c r="M3" s="39" t="inlineStr">
        <is>
          <t>5 Forma to Rank 40 + ~3 polarization</t>
        </is>
      </c>
    </row>
    <row r="4">
      <c r="A4" s="39" t="inlineStr">
        <is>
          <t>Ash Prime</t>
        </is>
      </c>
      <c r="B4" s="39" t="inlineStr">
        <is>
          <t>Melee</t>
        </is>
      </c>
      <c r="C4" s="39" t="inlineStr">
        <is>
          <t>Innodem</t>
        </is>
      </c>
      <c r="D4" s="39" t="inlineStr">
        <is>
          <t>Dagger</t>
        </is>
      </c>
      <c r="E4" s="39" t="n">
        <v>0.22</v>
      </c>
      <c r="F4" s="39" t="n">
        <v>0.22</v>
      </c>
      <c r="G4" s="39" t="inlineStr">
        <is>
          <t>crit</t>
        </is>
      </c>
      <c r="H4" s="39" t="inlineStr">
        <is>
          <t>MELEE_CRIT</t>
        </is>
      </c>
      <c r="I4" s="39" t="inlineStr">
        <is>
          <t>Primed Pressure Point | Blood Rush | Weeping Wounds | Organ Shatter | Berserker Fury | Condition Overload | Primed Reach | Virulent Scourge</t>
        </is>
      </c>
      <c r="J4" s="39" t="inlineStr">
        <is>
          <t>Melee Crescendo</t>
        </is>
      </c>
      <c r="K4" s="39" t="inlineStr">
        <is>
          <t>Viral + Heat (Steel Path generalist; swap Heat-&gt;Corrosive vs armored Grineer)</t>
        </is>
      </c>
      <c r="L4" s="39" t="inlineStr">
        <is>
          <t>EVO2: Orokin Reach; EVO3: Blade Twister; EVO4: Swooping Lunge; EVO5: Blood Anointed</t>
        </is>
      </c>
      <c r="M4" s="39" t="inlineStr">
        <is>
          <t>~4 (Incarnon)</t>
        </is>
      </c>
    </row>
    <row r="5">
      <c r="A5" s="39" t="inlineStr">
        <is>
          <t>Atlas Prime</t>
        </is>
      </c>
      <c r="B5" s="39" t="inlineStr">
        <is>
          <t>Primary</t>
        </is>
      </c>
      <c r="C5" s="39" t="inlineStr">
        <is>
          <t>Kuva Hek</t>
        </is>
      </c>
      <c r="D5" s="39" t="inlineStr">
        <is>
          <t>Shotgun</t>
        </is>
      </c>
      <c r="E5" s="39" t="n">
        <v>0.23</v>
      </c>
      <c r="F5" s="39" t="n">
        <v>0.133</v>
      </c>
      <c r="G5" s="39" t="inlineStr">
        <is>
          <t>crit</t>
        </is>
      </c>
      <c r="H5" s="39" t="inlineStr">
        <is>
          <t>SHOTGUN</t>
        </is>
      </c>
      <c r="I5" s="39" t="inlineStr">
        <is>
          <t>Primed Point Blank | Galvanized Hell | Primed Ravage | Critical Deceleration | Galvanized Savvy | Primed Charged Shell | Toxic Barrage | Incendiary Coat</t>
        </is>
      </c>
      <c r="J5" s="39" t="inlineStr">
        <is>
          <t>Shotgun Vendetta</t>
        </is>
      </c>
      <c r="K5" s="39" t="inlineStr">
        <is>
          <t>Adversary innate element (see Adversary sheet) + Viral</t>
        </is>
      </c>
      <c r="L5" s="39" t="inlineStr">
        <is>
          <t>-</t>
        </is>
      </c>
      <c r="M5" s="39" t="inlineStr">
        <is>
          <t>5 Forma to Rank 40 + ~3 polarization</t>
        </is>
      </c>
    </row>
    <row r="6">
      <c r="A6" s="39" t="inlineStr">
        <is>
          <t>Atlas Prime</t>
        </is>
      </c>
      <c r="B6" s="39" t="inlineStr">
        <is>
          <t>Secondary</t>
        </is>
      </c>
      <c r="C6" s="39" t="inlineStr">
        <is>
          <t>Atomos</t>
        </is>
      </c>
      <c r="D6" s="39" t="inlineStr">
        <is>
          <t>Pistol</t>
        </is>
      </c>
      <c r="E6" s="39" t="n">
        <v>0.15</v>
      </c>
      <c r="F6" s="39" t="n">
        <v>0.21</v>
      </c>
      <c r="G6" s="39" t="inlineStr">
        <is>
          <t>status</t>
        </is>
      </c>
      <c r="H6" s="39" t="inlineStr">
        <is>
          <t>PISTOL_CRIT</t>
        </is>
      </c>
      <c r="I6" s="39" t="inlineStr">
        <is>
          <t>Hornet Strike | Galvanized Diffusion | Primed Pistol Gambit | Primed Target Cracker | Galvanized Crosshairs | Primed Heated Charge | Pathogen Rounds | Galvanized Shot</t>
        </is>
      </c>
      <c r="J6" s="39" t="inlineStr">
        <is>
          <t>Secondary Encumber</t>
        </is>
      </c>
      <c r="K6" s="39" t="inlineStr">
        <is>
          <t>Corrosive + Viral (status priority, Condition Overload/Galvanized scaling)</t>
        </is>
      </c>
      <c r="L6" s="39" t="inlineStr">
        <is>
          <t>EVO2: Paladin Virtue; EVO3: Moonrise Velocity; EVO4: Elemental Balance</t>
        </is>
      </c>
      <c r="M6" s="39" t="inlineStr">
        <is>
          <t>~4 (Incarnon)</t>
        </is>
      </c>
    </row>
    <row r="7">
      <c r="A7" s="39" t="inlineStr">
        <is>
          <t>Atlas Prime</t>
        </is>
      </c>
      <c r="B7" s="39" t="inlineStr">
        <is>
          <t>Melee</t>
        </is>
      </c>
      <c r="C7" s="39" t="inlineStr">
        <is>
          <t>Tekko Prime</t>
        </is>
      </c>
      <c r="D7" s="39" t="inlineStr">
        <is>
          <t>Fist</t>
        </is>
      </c>
      <c r="E7" s="39" t="n">
        <v>0.3</v>
      </c>
      <c r="F7" s="39" t="n">
        <v>0.26</v>
      </c>
      <c r="G7" s="39" t="inlineStr">
        <is>
          <t>crit</t>
        </is>
      </c>
      <c r="H7" s="39" t="inlineStr">
        <is>
          <t>MELEE_CRIT</t>
        </is>
      </c>
      <c r="I7" s="39" t="inlineStr">
        <is>
          <t>Primed Pressure Point | Blood Rush | Weeping Wounds | Organ Shatter | Berserker Fury | Condition Overload | Primed Reach | Virulent Scourge</t>
        </is>
      </c>
      <c r="J7" s="39" t="inlineStr">
        <is>
          <t>Melee Duplicate</t>
        </is>
      </c>
      <c r="K7" s="39" t="inlineStr">
        <is>
          <t>Viral + Heat (Steel Path generalist; swap Heat-&gt;Corrosive vs armored Grineer)</t>
        </is>
      </c>
      <c r="L7" s="39" t="inlineStr">
        <is>
          <t>-</t>
        </is>
      </c>
      <c r="M7" s="39" t="inlineStr">
        <is>
          <t>~3</t>
        </is>
      </c>
    </row>
    <row r="8">
      <c r="A8" s="39" t="inlineStr">
        <is>
          <t>Banshee Prime</t>
        </is>
      </c>
      <c r="B8" s="39" t="inlineStr">
        <is>
          <t>Primary</t>
        </is>
      </c>
      <c r="C8" s="39" t="inlineStr">
        <is>
          <t>Latron Prime</t>
        </is>
      </c>
      <c r="D8" s="39" t="inlineStr">
        <is>
          <t>Rifle</t>
        </is>
      </c>
      <c r="E8" s="39" t="n">
        <v>0.22</v>
      </c>
      <c r="F8" s="39" t="n">
        <v>0.26</v>
      </c>
      <c r="G8" s="39" t="inlineStr">
        <is>
          <t>status</t>
        </is>
      </c>
      <c r="H8" s="39" t="inlineStr">
        <is>
          <t>RIFLE_CRIT</t>
        </is>
      </c>
      <c r="I8" s="39" t="inlineStr">
        <is>
          <t>Serration | Galvanized Chamber | Point Strike | Vital Sense | Hammer Shot | Galvanized Aptitude | Primed Cryo Rounds | Malignant Force</t>
        </is>
      </c>
      <c r="J8" s="39" t="inlineStr">
        <is>
          <t>Primary Merciless</t>
        </is>
      </c>
      <c r="K8" s="39" t="inlineStr">
        <is>
          <t>Corrosive + Viral (status priority, Condition Overload/Galvanized scaling)</t>
        </is>
      </c>
      <c r="L8" s="39" t="inlineStr">
        <is>
          <t>EVO2: Riddled Target; EVO3: Marksman's Hand; EVO4: Flensing Spikes</t>
        </is>
      </c>
      <c r="M8" s="39" t="inlineStr">
        <is>
          <t>~4 (Incarnon)</t>
        </is>
      </c>
    </row>
    <row r="9">
      <c r="A9" s="39" t="inlineStr">
        <is>
          <t>Banshee Prime</t>
        </is>
      </c>
      <c r="B9" s="39" t="inlineStr">
        <is>
          <t>Secondary</t>
        </is>
      </c>
      <c r="C9" s="39" t="inlineStr">
        <is>
          <t>Euphona Prime</t>
        </is>
      </c>
      <c r="D9" s="39" t="inlineStr">
        <is>
          <t>Shotgun Sidearm</t>
        </is>
      </c>
      <c r="E9" s="39" t="n">
        <v>0.3</v>
      </c>
      <c r="F9" s="39" t="n">
        <v>0.02</v>
      </c>
      <c r="G9" s="39" t="inlineStr">
        <is>
          <t>crit</t>
        </is>
      </c>
      <c r="H9" s="39" t="inlineStr">
        <is>
          <t>PISTOL_CRIT</t>
        </is>
      </c>
      <c r="I9" s="39" t="inlineStr">
        <is>
          <t>Hornet Strike | Galvanized Diffusion | Primed Pistol Gambit | Primed Target Cracker | Galvanized Crosshairs | Primed Heated Charge | Pathogen Rounds | Galvanized Shot</t>
        </is>
      </c>
      <c r="J9" s="39" t="inlineStr">
        <is>
          <t>Secondary Merciless</t>
        </is>
      </c>
      <c r="K9" s="39" t="inlineStr">
        <is>
          <t>Viral + Heat (Steel Path generalist; swap Heat-&gt;Corrosive vs armored Grineer)</t>
        </is>
      </c>
      <c r="L9" s="39" t="inlineStr">
        <is>
          <t>-</t>
        </is>
      </c>
      <c r="M9" s="39" t="inlineStr">
        <is>
          <t>~3</t>
        </is>
      </c>
    </row>
    <row r="10">
      <c r="A10" s="39" t="inlineStr">
        <is>
          <t>Banshee Prime</t>
        </is>
      </c>
      <c r="B10" s="39" t="inlineStr">
        <is>
          <t>Melee</t>
        </is>
      </c>
      <c r="C10" s="39" t="inlineStr">
        <is>
          <t>Kogake Prime</t>
        </is>
      </c>
      <c r="D10" s="39" t="inlineStr">
        <is>
          <t>Sparring</t>
        </is>
      </c>
      <c r="E10" s="39" t="n">
        <v>0.16</v>
      </c>
      <c r="F10" s="39" t="n">
        <v>0.38</v>
      </c>
      <c r="G10" s="39" t="inlineStr">
        <is>
          <t>status</t>
        </is>
      </c>
      <c r="H10" s="39" t="inlineStr">
        <is>
          <t>MELEE_CRIT</t>
        </is>
      </c>
      <c r="I10" s="39" t="inlineStr">
        <is>
          <t>Primed Pressure Point | Blood Rush | Weeping Wounds | Organ Shatter | Berserker Fury | Condition Overload | Primed Reach | Virulent Scourge</t>
        </is>
      </c>
      <c r="J10" s="39" t="inlineStr">
        <is>
          <t>Melee Influence</t>
        </is>
      </c>
      <c r="K10" s="39" t="inlineStr">
        <is>
          <t>Corrosive + Viral (status priority, Condition Overload/Galvanized scaling)</t>
        </is>
      </c>
      <c r="L10" s="39" t="inlineStr">
        <is>
          <t>-</t>
        </is>
      </c>
      <c r="M10" s="39" t="inlineStr">
        <is>
          <t>~3</t>
        </is>
      </c>
    </row>
    <row r="11">
      <c r="A11" s="39" t="inlineStr">
        <is>
          <t>Baruuk Prime</t>
        </is>
      </c>
      <c r="B11" s="39" t="inlineStr">
        <is>
          <t>Primary</t>
        </is>
      </c>
      <c r="C11" s="39" t="inlineStr">
        <is>
          <t>Paris Prime</t>
        </is>
      </c>
      <c r="D11" s="39" t="inlineStr">
        <is>
          <t>Bow</t>
        </is>
      </c>
      <c r="E11" s="39" t="n">
        <v>0.45</v>
      </c>
      <c r="F11" s="39" t="n">
        <v>0.2</v>
      </c>
      <c r="G11" s="39" t="inlineStr">
        <is>
          <t>crit</t>
        </is>
      </c>
      <c r="H11" s="39" t="inlineStr">
        <is>
          <t>RIFLE_CRIT</t>
        </is>
      </c>
      <c r="I11" s="39" t="inlineStr">
        <is>
          <t>Serration | Galvanized Chamber | Point Strike | Vital Sense | Hammer Shot | Galvanized Aptitude | Primed Cryo Rounds | Malignant Force</t>
        </is>
      </c>
      <c r="J11" s="39" t="inlineStr">
        <is>
          <t>Primary Deadhead</t>
        </is>
      </c>
      <c r="K11" s="39" t="inlineStr">
        <is>
          <t>Viral + Heat (Steel Path generalist; swap Heat-&gt;Corrosive vs armored Grineer)</t>
        </is>
      </c>
      <c r="L11" s="39" t="inlineStr">
        <is>
          <t>EVO2: Deadly Pace; EVO3: Ardent Trigger; EVO4: Vicious Promise</t>
        </is>
      </c>
      <c r="M11" s="39" t="inlineStr">
        <is>
          <t>~4 (Incarnon)</t>
        </is>
      </c>
    </row>
    <row r="12">
      <c r="A12" s="39" t="inlineStr">
        <is>
          <t>Baruuk Prime</t>
        </is>
      </c>
      <c r="B12" s="39" t="inlineStr">
        <is>
          <t>Secondary</t>
        </is>
      </c>
      <c r="C12" s="39" t="inlineStr">
        <is>
          <t>Tenet Diplos</t>
        </is>
      </c>
      <c r="D12" s="39" t="inlineStr">
        <is>
          <t>Dual Pistols</t>
        </is>
      </c>
      <c r="E12" s="39" t="n">
        <v>0.36</v>
      </c>
      <c r="F12" s="39" t="n">
        <v>0.14</v>
      </c>
      <c r="G12" s="39" t="inlineStr">
        <is>
          <t>crit</t>
        </is>
      </c>
      <c r="H12" s="39" t="inlineStr">
        <is>
          <t>PISTOL_CRIT</t>
        </is>
      </c>
      <c r="I12" s="39" t="inlineStr">
        <is>
          <t>Hornet Strike | Galvanized Diffusion | Primed Pistol Gambit | Primed Target Cracker | Galvanized Crosshairs | Primed Heated Charge | Pathogen Rounds | Galvanized Shot</t>
        </is>
      </c>
      <c r="J12" s="39" t="inlineStr">
        <is>
          <t>Secondary Outburst</t>
        </is>
      </c>
      <c r="K12" s="39" t="inlineStr">
        <is>
          <t>Adversary innate element (see Adversary sheet) + Viral</t>
        </is>
      </c>
      <c r="L12" s="39" t="inlineStr">
        <is>
          <t>-</t>
        </is>
      </c>
      <c r="M12" s="39" t="inlineStr">
        <is>
          <t>5 Forma to Rank 40 + ~3 polarization</t>
        </is>
      </c>
    </row>
    <row r="13">
      <c r="A13" s="39" t="inlineStr">
        <is>
          <t>Caliban Prime</t>
        </is>
      </c>
      <c r="B13" s="39" t="inlineStr">
        <is>
          <t>Primary</t>
        </is>
      </c>
      <c r="C13" s="39" t="inlineStr">
        <is>
          <t>Vadarya Prime</t>
        </is>
      </c>
      <c r="D13" s="39" t="inlineStr">
        <is>
          <t>Sniper Rifle</t>
        </is>
      </c>
      <c r="E13" s="39" t="n">
        <v>0.4</v>
      </c>
      <c r="F13" s="39" t="n">
        <v>0.18</v>
      </c>
      <c r="G13" s="39" t="inlineStr">
        <is>
          <t>crit</t>
        </is>
      </c>
      <c r="H13" s="39" t="inlineStr">
        <is>
          <t>RIFLE_CRIT</t>
        </is>
      </c>
      <c r="I13" s="39" t="inlineStr">
        <is>
          <t>Serration | Galvanized Chamber | Point Strike | Vital Sense | Hammer Shot | Galvanized Aptitude | Primed Cryo Rounds | Malignant Force</t>
        </is>
      </c>
      <c r="J13" s="39" t="inlineStr">
        <is>
          <t>Primary Deadhead</t>
        </is>
      </c>
      <c r="K13" s="39" t="inlineStr">
        <is>
          <t>Viral + Heat (Steel Path generalist; swap Heat-&gt;Corrosive vs armored Grineer)</t>
        </is>
      </c>
      <c r="L13" s="39" t="inlineStr">
        <is>
          <t>-</t>
        </is>
      </c>
      <c r="M13" s="39" t="inlineStr">
        <is>
          <t>~3</t>
        </is>
      </c>
    </row>
    <row r="14">
      <c r="A14" s="39" t="inlineStr">
        <is>
          <t>Caliban Prime</t>
        </is>
      </c>
      <c r="B14" s="39" t="inlineStr">
        <is>
          <t>Secondary</t>
        </is>
      </c>
      <c r="C14" s="39" t="inlineStr">
        <is>
          <t>Tenet Detron</t>
        </is>
      </c>
      <c r="D14" s="39" t="inlineStr">
        <is>
          <t>Shotgun Sidearm</t>
        </is>
      </c>
      <c r="E14" s="39" t="n">
        <v>0.18</v>
      </c>
      <c r="F14" s="39" t="n">
        <v>0.1</v>
      </c>
      <c r="G14" s="39" t="inlineStr">
        <is>
          <t>crit</t>
        </is>
      </c>
      <c r="H14" s="39" t="inlineStr">
        <is>
          <t>PISTOL_CRIT</t>
        </is>
      </c>
      <c r="I14" s="39" t="inlineStr">
        <is>
          <t>Hornet Strike | Galvanized Diffusion | Primed Pistol Gambit | Primed Target Cracker | Galvanized Crosshairs | Primed Heated Charge | Pathogen Rounds | Galvanized Shot</t>
        </is>
      </c>
      <c r="J14" s="39" t="inlineStr">
        <is>
          <t>Secondary Merciless</t>
        </is>
      </c>
      <c r="K14" s="39" t="inlineStr">
        <is>
          <t>Adversary innate element (see Adversary sheet) + Viral</t>
        </is>
      </c>
      <c r="L14" s="39" t="inlineStr">
        <is>
          <t>-</t>
        </is>
      </c>
      <c r="M14" s="39" t="inlineStr">
        <is>
          <t>5 Forma to Rank 40 + ~3 polarization</t>
        </is>
      </c>
    </row>
    <row r="15">
      <c r="A15" s="39" t="inlineStr">
        <is>
          <t>Caliban Prime</t>
        </is>
      </c>
      <c r="B15" s="39" t="inlineStr">
        <is>
          <t>Melee</t>
        </is>
      </c>
      <c r="C15" s="39" t="inlineStr">
        <is>
          <t>Venato Prime</t>
        </is>
      </c>
      <c r="D15" s="39" t="inlineStr">
        <is>
          <t>Scythe</t>
        </is>
      </c>
      <c r="E15" s="39" t="n">
        <v>0.34</v>
      </c>
      <c r="F15" s="39" t="n">
        <v>0.32</v>
      </c>
      <c r="G15" s="39" t="inlineStr">
        <is>
          <t>crit</t>
        </is>
      </c>
      <c r="H15" s="39" t="inlineStr">
        <is>
          <t>MELEE_CRIT</t>
        </is>
      </c>
      <c r="I15" s="39" t="inlineStr">
        <is>
          <t>Primed Pressure Point | Blood Rush | Weeping Wounds | Organ Shatter | Berserker Fury | Condition Overload | Primed Reach | Virulent Scourge</t>
        </is>
      </c>
      <c r="J15" s="39" t="inlineStr">
        <is>
          <t>Melee Animosity</t>
        </is>
      </c>
      <c r="K15" s="39" t="inlineStr">
        <is>
          <t>Viral + Heat (Steel Path generalist; swap Heat-&gt;Corrosive vs armored Grineer)</t>
        </is>
      </c>
      <c r="L15" s="39" t="inlineStr">
        <is>
          <t>-</t>
        </is>
      </c>
      <c r="M15" s="39" t="inlineStr">
        <is>
          <t>~3</t>
        </is>
      </c>
    </row>
    <row r="16">
      <c r="A16" s="39" t="inlineStr">
        <is>
          <t>Chroma Prime</t>
        </is>
      </c>
      <c r="B16" s="39" t="inlineStr">
        <is>
          <t>Primary</t>
        </is>
      </c>
      <c r="C16" s="39" t="inlineStr">
        <is>
          <t>Opticor Vandal</t>
        </is>
      </c>
      <c r="D16" s="39" t="inlineStr">
        <is>
          <t>Rifle</t>
        </is>
      </c>
      <c r="E16" s="39" t="n">
        <v>0.24</v>
      </c>
      <c r="F16" s="39" t="n">
        <v>0.3</v>
      </c>
      <c r="G16" s="39" t="inlineStr">
        <is>
          <t>crit</t>
        </is>
      </c>
      <c r="H16" s="39" t="inlineStr">
        <is>
          <t>RIFLE_CRIT</t>
        </is>
      </c>
      <c r="I16" s="39" t="inlineStr">
        <is>
          <t>Serration | Galvanized Chamber | Point Strike | Vital Sense | Hammer Shot | Galvanized Aptitude | Primed Cryo Rounds | Malignant Force</t>
        </is>
      </c>
      <c r="J16" s="39" t="inlineStr">
        <is>
          <t>Primary Merciless</t>
        </is>
      </c>
      <c r="K16" s="39" t="inlineStr">
        <is>
          <t>Viral + Heat (Steel Path generalist; swap Heat-&gt;Corrosive vs armored Grineer)</t>
        </is>
      </c>
      <c r="L16" s="39" t="inlineStr">
        <is>
          <t>-</t>
        </is>
      </c>
      <c r="M16" s="39" t="inlineStr">
        <is>
          <t>~3</t>
        </is>
      </c>
    </row>
    <row r="17">
      <c r="A17" s="39" t="inlineStr">
        <is>
          <t>Chroma Prime</t>
        </is>
      </c>
      <c r="B17" s="39" t="inlineStr">
        <is>
          <t>Secondary</t>
        </is>
      </c>
      <c r="C17" s="39" t="inlineStr">
        <is>
          <t>Lato Vandal</t>
        </is>
      </c>
      <c r="D17" s="39" t="inlineStr">
        <is>
          <t>Pistol</t>
        </is>
      </c>
      <c r="E17" s="39" t="n">
        <v>0.26</v>
      </c>
      <c r="F17" s="39" t="n">
        <v>0.1</v>
      </c>
      <c r="G17" s="39" t="inlineStr">
        <is>
          <t>crit</t>
        </is>
      </c>
      <c r="H17" s="39" t="inlineStr">
        <is>
          <t>PISTOL_CRIT</t>
        </is>
      </c>
      <c r="I17" s="39" t="inlineStr">
        <is>
          <t>Hornet Strike | Galvanized Diffusion | Primed Pistol Gambit | Primed Target Cracker | Galvanized Crosshairs | Primed Heated Charge | Pathogen Rounds | Galvanized Shot</t>
        </is>
      </c>
      <c r="J17" s="39" t="inlineStr">
        <is>
          <t>Secondary Merciless</t>
        </is>
      </c>
      <c r="K17" s="39" t="inlineStr">
        <is>
          <t>Viral + Heat (Steel Path generalist; swap Heat-&gt;Corrosive vs armored Grineer)</t>
        </is>
      </c>
      <c r="L17" s="39" t="inlineStr">
        <is>
          <t>EVO2: Haven Foray; EVO3: Void's Guidance; EVO4: Deathtrap Trigger</t>
        </is>
      </c>
      <c r="M17" s="39" t="inlineStr">
        <is>
          <t>~4 (Incarnon)</t>
        </is>
      </c>
    </row>
    <row r="18">
      <c r="A18" s="39" t="inlineStr">
        <is>
          <t>Chroma Prime</t>
        </is>
      </c>
      <c r="B18" s="39" t="inlineStr">
        <is>
          <t>Melee</t>
        </is>
      </c>
      <c r="C18" s="39" t="inlineStr">
        <is>
          <t>Gram Prime</t>
        </is>
      </c>
      <c r="D18" s="39" t="inlineStr">
        <is>
          <t>Heavy Blade</t>
        </is>
      </c>
      <c r="E18" s="39" t="n">
        <v>0.32</v>
      </c>
      <c r="F18" s="39" t="n">
        <v>0.32</v>
      </c>
      <c r="G18" s="39" t="inlineStr">
        <is>
          <t>crit</t>
        </is>
      </c>
      <c r="H18" s="39" t="inlineStr">
        <is>
          <t>MELEE_CRIT</t>
        </is>
      </c>
      <c r="I18" s="39" t="inlineStr">
        <is>
          <t>Primed Pressure Point | Blood Rush | Weeping Wounds | Organ Shatter | Berserker Fury | Condition Overload | Primed Reach | Virulent Scourge</t>
        </is>
      </c>
      <c r="J18" s="39" t="inlineStr">
        <is>
          <t>Melee Animosity</t>
        </is>
      </c>
      <c r="K18" s="39" t="inlineStr">
        <is>
          <t>Viral + Heat (Steel Path generalist; swap Heat-&gt;Corrosive vs armored Grineer)</t>
        </is>
      </c>
      <c r="L18" s="39" t="inlineStr">
        <is>
          <t>-</t>
        </is>
      </c>
      <c r="M18" s="39" t="inlineStr">
        <is>
          <t>~3</t>
        </is>
      </c>
    </row>
    <row r="19">
      <c r="A19" s="39" t="inlineStr">
        <is>
          <t>Citrine Prime</t>
        </is>
      </c>
      <c r="B19" s="39" t="inlineStr">
        <is>
          <t>Primary</t>
        </is>
      </c>
      <c r="C19" s="39" t="inlineStr">
        <is>
          <t>Steflos Prime</t>
        </is>
      </c>
      <c r="D19" s="39" t="inlineStr">
        <is>
          <t>Shotgun</t>
        </is>
      </c>
      <c r="E19" s="39" t="n">
        <v>0.18</v>
      </c>
      <c r="F19" s="39" t="n">
        <v>0.28</v>
      </c>
      <c r="G19" s="39" t="inlineStr">
        <is>
          <t>status</t>
        </is>
      </c>
      <c r="H19" s="39" t="inlineStr">
        <is>
          <t>SHOTGUN</t>
        </is>
      </c>
      <c r="I19" s="39" t="inlineStr">
        <is>
          <t>Primed Point Blank | Galvanized Hell | Primed Ravage | Critical Deceleration | Galvanized Savvy | Primed Charged Shell | Toxic Barrage | Incendiary Coat</t>
        </is>
      </c>
      <c r="J19" s="39" t="inlineStr">
        <is>
          <t>Shotgun Vendetta</t>
        </is>
      </c>
      <c r="K19" s="39" t="inlineStr">
        <is>
          <t>Corrosive + Viral (status priority, Condition Overload/Galvanized scaling)</t>
        </is>
      </c>
      <c r="L19" s="39" t="inlineStr">
        <is>
          <t>-</t>
        </is>
      </c>
      <c r="M19" s="39" t="inlineStr">
        <is>
          <t>~3</t>
        </is>
      </c>
    </row>
    <row r="20">
      <c r="A20" s="39" t="inlineStr">
        <is>
          <t>Citrine Prime</t>
        </is>
      </c>
      <c r="B20" s="39" t="inlineStr">
        <is>
          <t>Secondary</t>
        </is>
      </c>
      <c r="C20" s="39" t="inlineStr">
        <is>
          <t>Catabolyst</t>
        </is>
      </c>
      <c r="D20" s="39" t="inlineStr">
        <is>
          <t>Pistol</t>
        </is>
      </c>
      <c r="E20" s="39" t="n">
        <v>0.11</v>
      </c>
      <c r="F20" s="39" t="n">
        <v>0.43</v>
      </c>
      <c r="G20" s="39" t="inlineStr">
        <is>
          <t>status</t>
        </is>
      </c>
      <c r="H20" s="39" t="inlineStr">
        <is>
          <t>PISTOL_CRIT</t>
        </is>
      </c>
      <c r="I20" s="39" t="inlineStr">
        <is>
          <t>Hornet Strike | Galvanized Diffusion | Primed Pistol Gambit | Primed Target Cracker | Galvanized Crosshairs | Primed Heated Charge | Pathogen Rounds | Galvanized Shot</t>
        </is>
      </c>
      <c r="J20" s="39" t="inlineStr">
        <is>
          <t>Secondary Encumber</t>
        </is>
      </c>
      <c r="K20" s="39" t="inlineStr">
        <is>
          <t>Corrosive + Viral (status priority, Condition Overload/Galvanized scaling)</t>
        </is>
      </c>
      <c r="L20" s="39" t="inlineStr">
        <is>
          <t>-</t>
        </is>
      </c>
      <c r="M20" s="39" t="inlineStr">
        <is>
          <t>~3</t>
        </is>
      </c>
    </row>
    <row r="21">
      <c r="A21" s="39" t="inlineStr">
        <is>
          <t>Citrine Prime</t>
        </is>
      </c>
      <c r="B21" s="39" t="inlineStr">
        <is>
          <t>Melee</t>
        </is>
      </c>
      <c r="C21" s="39" t="inlineStr">
        <is>
          <t>Corufell Prime</t>
        </is>
      </c>
      <c r="D21" s="39" t="inlineStr">
        <is>
          <t>Heavy Scythe</t>
        </is>
      </c>
      <c r="E21" s="39" t="n">
        <v>0.3</v>
      </c>
      <c r="F21" s="39" t="n">
        <v>0.2</v>
      </c>
      <c r="G21" s="39" t="inlineStr">
        <is>
          <t>crit</t>
        </is>
      </c>
      <c r="H21" s="39" t="inlineStr">
        <is>
          <t>MELEE_CRIT</t>
        </is>
      </c>
      <c r="I21" s="39" t="inlineStr">
        <is>
          <t>Primed Pressure Point | Blood Rush | Weeping Wounds | Organ Shatter | Berserker Fury | Condition Overload | Primed Reach | Virulent Scourge</t>
        </is>
      </c>
      <c r="J21" s="39" t="inlineStr">
        <is>
          <t>Melee Animosity</t>
        </is>
      </c>
      <c r="K21" s="39" t="inlineStr">
        <is>
          <t>Viral + Heat (Steel Path generalist; swap Heat-&gt;Corrosive vs armored Grineer)</t>
        </is>
      </c>
      <c r="L21" s="39" t="inlineStr">
        <is>
          <t>-</t>
        </is>
      </c>
      <c r="M21" s="39" t="inlineStr">
        <is>
          <t>~3</t>
        </is>
      </c>
    </row>
    <row r="22">
      <c r="A22" s="39" t="inlineStr">
        <is>
          <t>Cyte-09</t>
        </is>
      </c>
      <c r="B22" s="39" t="inlineStr">
        <is>
          <t>Secondary</t>
        </is>
      </c>
      <c r="C22" s="39" t="inlineStr">
        <is>
          <t>Lex Prime</t>
        </is>
      </c>
      <c r="D22" s="39" t="inlineStr">
        <is>
          <t>Pistol</t>
        </is>
      </c>
      <c r="E22" s="39" t="n">
        <v>0.25</v>
      </c>
      <c r="F22" s="39" t="n">
        <v>0.25</v>
      </c>
      <c r="G22" s="39" t="inlineStr">
        <is>
          <t>crit</t>
        </is>
      </c>
      <c r="H22" s="39" t="inlineStr">
        <is>
          <t>PISTOL_CRIT</t>
        </is>
      </c>
      <c r="I22" s="39" t="inlineStr">
        <is>
          <t>Hornet Strike | Galvanized Diffusion | Primed Pistol Gambit | Primed Target Cracker | Galvanized Crosshairs | Primed Heated Charge | Pathogen Rounds | Galvanized Shot</t>
        </is>
      </c>
      <c r="J22" s="39" t="inlineStr">
        <is>
          <t>Secondary Merciless</t>
        </is>
      </c>
      <c r="K22" s="39" t="inlineStr">
        <is>
          <t>Viral + Heat (Steel Path generalist; swap Heat-&gt;Corrosive vs armored Grineer)</t>
        </is>
      </c>
      <c r="L22" s="39" t="inlineStr">
        <is>
          <t>EVO2: Hoplite Virtue; EVO3: Lex Talionis; EVO4: Critical Parallel</t>
        </is>
      </c>
      <c r="M22" s="39" t="inlineStr">
        <is>
          <t>~4 (Incarnon)</t>
        </is>
      </c>
    </row>
    <row r="23">
      <c r="A23" s="39" t="inlineStr">
        <is>
          <t>Cyte-09</t>
        </is>
      </c>
      <c r="B23" s="39" t="inlineStr">
        <is>
          <t>Melee</t>
        </is>
      </c>
      <c r="C23" s="39" t="inlineStr">
        <is>
          <t>Rakta Dark Dagger</t>
        </is>
      </c>
      <c r="D23" s="39" t="inlineStr">
        <is>
          <t>Dagger</t>
        </is>
      </c>
      <c r="E23" s="39" t="n">
        <v>0.12</v>
      </c>
      <c r="F23" s="39" t="n">
        <v>0.3</v>
      </c>
      <c r="G23" s="39" t="inlineStr">
        <is>
          <t>status</t>
        </is>
      </c>
      <c r="H23" s="39" t="inlineStr">
        <is>
          <t>MELEE_CRIT</t>
        </is>
      </c>
      <c r="I23" s="39" t="inlineStr">
        <is>
          <t>Primed Pressure Point | Blood Rush | Weeping Wounds | Organ Shatter | Berserker Fury | Condition Overload | Primed Reach | Virulent Scourge</t>
        </is>
      </c>
      <c r="J23" s="39" t="inlineStr">
        <is>
          <t>Melee Influence</t>
        </is>
      </c>
      <c r="K23" s="39" t="inlineStr">
        <is>
          <t>Corrosive + Viral (status priority, Condition Overload/Galvanized scaling)</t>
        </is>
      </c>
      <c r="L23" s="39" t="inlineStr">
        <is>
          <t>-</t>
        </is>
      </c>
      <c r="M23" s="39" t="inlineStr">
        <is>
          <t>~3</t>
        </is>
      </c>
    </row>
    <row r="24">
      <c r="A24" s="39" t="inlineStr">
        <is>
          <t>Dagath</t>
        </is>
      </c>
      <c r="B24" s="39" t="inlineStr">
        <is>
          <t>Primary</t>
        </is>
      </c>
      <c r="C24" s="39" t="inlineStr">
        <is>
          <t>Cinta</t>
        </is>
      </c>
      <c r="D24" s="39" t="inlineStr">
        <is>
          <t>Bow</t>
        </is>
      </c>
      <c r="E24" s="39" t="n">
        <v>0.2</v>
      </c>
      <c r="F24" s="39" t="n">
        <v>0.3</v>
      </c>
      <c r="G24" s="39" t="inlineStr">
        <is>
          <t>status</t>
        </is>
      </c>
      <c r="H24" s="39" t="inlineStr">
        <is>
          <t>RIFLE_CRIT</t>
        </is>
      </c>
      <c r="I24" s="39" t="inlineStr">
        <is>
          <t>Serration | Galvanized Chamber | Point Strike | Vital Sense | Hammer Shot | Galvanized Aptitude | Primed Cryo Rounds | Malignant Force</t>
        </is>
      </c>
      <c r="J24" s="39" t="inlineStr">
        <is>
          <t>Primary Deadhead</t>
        </is>
      </c>
      <c r="K24" s="39" t="inlineStr">
        <is>
          <t>Corrosive + Viral (status priority, Condition Overload/Galvanized scaling)</t>
        </is>
      </c>
      <c r="L24" s="39" t="inlineStr">
        <is>
          <t>-</t>
        </is>
      </c>
      <c r="M24" s="39" t="inlineStr">
        <is>
          <t>~3</t>
        </is>
      </c>
    </row>
    <row r="25">
      <c r="A25" s="39" t="inlineStr">
        <is>
          <t>Dagath</t>
        </is>
      </c>
      <c r="B25" s="39" t="inlineStr">
        <is>
          <t>Secondary</t>
        </is>
      </c>
      <c r="C25" s="39" t="inlineStr">
        <is>
          <t>Zylok Prime</t>
        </is>
      </c>
      <c r="D25" s="39" t="inlineStr">
        <is>
          <t>Pistol</t>
        </is>
      </c>
      <c r="E25" s="39" t="n">
        <v>0.12</v>
      </c>
      <c r="F25" s="39" t="n">
        <v>0.36</v>
      </c>
      <c r="G25" s="39" t="inlineStr">
        <is>
          <t>status</t>
        </is>
      </c>
      <c r="H25" s="39" t="inlineStr">
        <is>
          <t>PISTOL_CRIT</t>
        </is>
      </c>
      <c r="I25" s="39" t="inlineStr">
        <is>
          <t>Hornet Strike | Galvanized Diffusion | Primed Pistol Gambit | Primed Target Cracker | Galvanized Crosshairs | Primed Heated Charge | Pathogen Rounds | Galvanized Shot</t>
        </is>
      </c>
      <c r="J25" s="39" t="inlineStr">
        <is>
          <t>Secondary Encumber</t>
        </is>
      </c>
      <c r="K25" s="39" t="inlineStr">
        <is>
          <t>Corrosive + Viral (status priority, Condition Overload/Galvanized scaling)</t>
        </is>
      </c>
      <c r="L25" s="39" t="inlineStr">
        <is>
          <t>EVO2: Precision's Payoff; EVO3: Extended Volley; EVO4: Fatal Affliction</t>
        </is>
      </c>
      <c r="M25" s="39" t="inlineStr">
        <is>
          <t>~4 (Incarnon)</t>
        </is>
      </c>
    </row>
    <row r="26">
      <c r="A26" s="39" t="inlineStr">
        <is>
          <t>Dagath</t>
        </is>
      </c>
      <c r="B26" s="39" t="inlineStr">
        <is>
          <t>Melee</t>
        </is>
      </c>
      <c r="C26" s="39" t="inlineStr">
        <is>
          <t>Dorrclave</t>
        </is>
      </c>
      <c r="D26" s="39" t="inlineStr">
        <is>
          <t>Blade and Whip</t>
        </is>
      </c>
      <c r="E26" s="39" t="n">
        <v>0.26</v>
      </c>
      <c r="F26" s="39" t="n">
        <v>0.24</v>
      </c>
      <c r="G26" s="39" t="inlineStr">
        <is>
          <t>crit</t>
        </is>
      </c>
      <c r="H26" s="39" t="inlineStr">
        <is>
          <t>MELEE_CRIT</t>
        </is>
      </c>
      <c r="I26" s="39" t="inlineStr">
        <is>
          <t>Primed Pressure Point | Blood Rush | Weeping Wounds | Organ Shatter | Berserker Fury | Condition Overload | Primed Reach | Virulent Scourge</t>
        </is>
      </c>
      <c r="J26" s="39" t="inlineStr">
        <is>
          <t>Melee Duplicate</t>
        </is>
      </c>
      <c r="K26" s="39" t="inlineStr">
        <is>
          <t>Viral + Heat (Steel Path generalist; swap Heat-&gt;Corrosive vs armored Grineer)</t>
        </is>
      </c>
      <c r="L26" s="39" t="inlineStr">
        <is>
          <t>-</t>
        </is>
      </c>
      <c r="M26" s="39" t="inlineStr">
        <is>
          <t>~3</t>
        </is>
      </c>
    </row>
    <row r="27">
      <c r="A27" s="39" t="inlineStr">
        <is>
          <t>Dante</t>
        </is>
      </c>
      <c r="B27" s="39" t="inlineStr">
        <is>
          <t>Primary</t>
        </is>
      </c>
      <c r="C27" s="39" t="inlineStr">
        <is>
          <t>Phenmor</t>
        </is>
      </c>
      <c r="D27" s="39" t="inlineStr">
        <is>
          <t>Rifle</t>
        </is>
      </c>
      <c r="E27" s="39" t="n">
        <v>0.2</v>
      </c>
      <c r="F27" s="39" t="n">
        <v>0.2</v>
      </c>
      <c r="G27" s="39" t="inlineStr">
        <is>
          <t>crit</t>
        </is>
      </c>
      <c r="H27" s="39" t="inlineStr">
        <is>
          <t>RIFLE_CRIT</t>
        </is>
      </c>
      <c r="I27" s="39" t="inlineStr">
        <is>
          <t>Serration | Galvanized Chamber | Point Strike | Vital Sense | Hammer Shot | Galvanized Aptitude | Primed Cryo Rounds | Malignant Force</t>
        </is>
      </c>
      <c r="J27" s="39" t="inlineStr">
        <is>
          <t>Primary Merciless</t>
        </is>
      </c>
      <c r="K27" s="39" t="inlineStr">
        <is>
          <t>Viral + Heat (Steel Path generalist; swap Heat-&gt;Corrosive vs armored Grineer)</t>
        </is>
      </c>
      <c r="L27" s="39" t="inlineStr">
        <is>
          <t>EVO2: Void's Guidance; EVO3: Retribution's Vessel; EVO4: Survivor's Edge; EVO5: Devouring Attrition</t>
        </is>
      </c>
      <c r="M27" s="39" t="inlineStr">
        <is>
          <t>~4 (Incarnon)</t>
        </is>
      </c>
    </row>
    <row r="28">
      <c r="A28" s="39" t="inlineStr">
        <is>
          <t>Dante</t>
        </is>
      </c>
      <c r="B28" s="39" t="inlineStr">
        <is>
          <t>Secondary</t>
        </is>
      </c>
      <c r="C28" s="39" t="inlineStr">
        <is>
          <t>Onos</t>
        </is>
      </c>
      <c r="D28" s="39" t="inlineStr">
        <is>
          <t>Pistol</t>
        </is>
      </c>
      <c r="E28" s="39" t="n">
        <v>0.26</v>
      </c>
      <c r="F28" s="39" t="n">
        <v>0.22</v>
      </c>
      <c r="G28" s="39" t="inlineStr">
        <is>
          <t>crit</t>
        </is>
      </c>
      <c r="H28" s="39" t="inlineStr">
        <is>
          <t>PISTOL_CRIT</t>
        </is>
      </c>
      <c r="I28" s="39" t="inlineStr">
        <is>
          <t>Hornet Strike | Galvanized Diffusion | Primed Pistol Gambit | Primed Target Cracker | Galvanized Crosshairs | Primed Heated Charge | Pathogen Rounds | Galvanized Shot</t>
        </is>
      </c>
      <c r="J28" s="39" t="inlineStr">
        <is>
          <t>Secondary Merciless</t>
        </is>
      </c>
      <c r="K28" s="39" t="inlineStr">
        <is>
          <t>Viral + Heat (Steel Path generalist; swap Heat-&gt;Corrosive vs armored Grineer)</t>
        </is>
      </c>
      <c r="L28" s="39" t="inlineStr">
        <is>
          <t>EVO2: Marksman's Hand; EVO3: Extended Volley; EVO4: Elemental Excess; EVO5: Devastation Cascade</t>
        </is>
      </c>
      <c r="M28" s="39" t="inlineStr">
        <is>
          <t>~4 (Incarnon)</t>
        </is>
      </c>
    </row>
    <row r="29">
      <c r="A29" s="39" t="inlineStr">
        <is>
          <t>Dante</t>
        </is>
      </c>
      <c r="B29" s="39" t="inlineStr">
        <is>
          <t>Melee</t>
        </is>
      </c>
      <c r="C29" s="39" t="inlineStr">
        <is>
          <t>Ruvox</t>
        </is>
      </c>
      <c r="D29" s="39" t="inlineStr">
        <is>
          <t>Fist</t>
        </is>
      </c>
      <c r="E29" s="39" t="n">
        <v>0.26</v>
      </c>
      <c r="F29" s="39" t="n">
        <v>0.2</v>
      </c>
      <c r="G29" s="39" t="inlineStr">
        <is>
          <t>crit</t>
        </is>
      </c>
      <c r="H29" s="39" t="inlineStr">
        <is>
          <t>MELEE_CRIT</t>
        </is>
      </c>
      <c r="I29" s="39" t="inlineStr">
        <is>
          <t>Primed Pressure Point | Blood Rush | Weeping Wounds | Organ Shatter | Berserker Fury | Condition Overload | Primed Reach | Virulent Scourge</t>
        </is>
      </c>
      <c r="J29" s="39" t="inlineStr">
        <is>
          <t>Melee Duplicate</t>
        </is>
      </c>
      <c r="K29" s="39" t="inlineStr">
        <is>
          <t>Viral + Heat (Steel Path generalist; swap Heat-&gt;Corrosive vs armored Grineer)</t>
        </is>
      </c>
      <c r="L29" s="39" t="inlineStr">
        <is>
          <t>EVO2: Orokin Reach; EVO3: Shockwave Synergy; EVO4: Swift Transmute; EVO5: Brutal Efficiency</t>
        </is>
      </c>
      <c r="M29" s="39" t="inlineStr">
        <is>
          <t>~4 (Incarnon)</t>
        </is>
      </c>
    </row>
    <row r="30">
      <c r="A30" s="39" t="inlineStr">
        <is>
          <t>Ember Prime</t>
        </is>
      </c>
      <c r="B30" s="39" t="inlineStr">
        <is>
          <t>Primary</t>
        </is>
      </c>
      <c r="C30" s="39" t="inlineStr">
        <is>
          <t>Ignis Wraith</t>
        </is>
      </c>
      <c r="D30" s="39" t="inlineStr">
        <is>
          <t>Rifle</t>
        </is>
      </c>
      <c r="E30" s="39" t="n">
        <v>0.17</v>
      </c>
      <c r="F30" s="39" t="n">
        <v>0.29</v>
      </c>
      <c r="G30" s="39" t="inlineStr">
        <is>
          <t>status</t>
        </is>
      </c>
      <c r="H30" s="39" t="inlineStr">
        <is>
          <t>RIFLE_CRIT</t>
        </is>
      </c>
      <c r="I30" s="39" t="inlineStr">
        <is>
          <t>Serration | Galvanized Chamber | Point Strike | Vital Sense | Hammer Shot | Galvanized Aptitude | Primed Cryo Rounds | Malignant Force</t>
        </is>
      </c>
      <c r="J30" s="39" t="inlineStr">
        <is>
          <t>Primary Merciless</t>
        </is>
      </c>
      <c r="K30" s="39" t="inlineStr">
        <is>
          <t>Corrosive + Viral (status priority, Condition Overload/Galvanized scaling)</t>
        </is>
      </c>
      <c r="L30" s="39" t="inlineStr">
        <is>
          <t>-</t>
        </is>
      </c>
      <c r="M30" s="39" t="inlineStr">
        <is>
          <t>~3</t>
        </is>
      </c>
    </row>
    <row r="31">
      <c r="A31" s="39" t="inlineStr">
        <is>
          <t>Ember Prime</t>
        </is>
      </c>
      <c r="B31" s="39" t="inlineStr">
        <is>
          <t>Secondary</t>
        </is>
      </c>
      <c r="C31" s="39" t="inlineStr">
        <is>
          <t>Kuva Nukor</t>
        </is>
      </c>
      <c r="D31" s="39" t="inlineStr">
        <is>
          <t>Pistol</t>
        </is>
      </c>
      <c r="E31" s="39" t="n">
        <v>0.07000000000000001</v>
      </c>
      <c r="F31" s="39" t="n">
        <v>0.5</v>
      </c>
      <c r="G31" s="39" t="inlineStr">
        <is>
          <t>status</t>
        </is>
      </c>
      <c r="H31" s="39" t="inlineStr">
        <is>
          <t>PISTOL_CRIT</t>
        </is>
      </c>
      <c r="I31" s="39" t="inlineStr">
        <is>
          <t>Hornet Strike | Galvanized Diffusion | Primed Pistol Gambit | Primed Target Cracker | Galvanized Crosshairs | Primed Heated Charge | Pathogen Rounds | Galvanized Shot</t>
        </is>
      </c>
      <c r="J31" s="39" t="inlineStr">
        <is>
          <t>Secondary Encumber</t>
        </is>
      </c>
      <c r="K31" s="39" t="inlineStr">
        <is>
          <t>Adversary innate element (see Adversary sheet) + Viral</t>
        </is>
      </c>
      <c r="L31" s="39" t="inlineStr">
        <is>
          <t>-</t>
        </is>
      </c>
      <c r="M31" s="39" t="inlineStr">
        <is>
          <t>5 Forma to Rank 40 + ~3 polarization</t>
        </is>
      </c>
    </row>
    <row r="32">
      <c r="A32" s="39" t="inlineStr">
        <is>
          <t>Ember Prime</t>
        </is>
      </c>
      <c r="B32" s="39" t="inlineStr">
        <is>
          <t>Melee</t>
        </is>
      </c>
      <c r="C32" s="39" t="inlineStr">
        <is>
          <t>Jat Kittag</t>
        </is>
      </c>
      <c r="D32" s="39" t="inlineStr">
        <is>
          <t>Hammer</t>
        </is>
      </c>
      <c r="E32" s="39" t="n">
        <v>0.15</v>
      </c>
      <c r="F32" s="39" t="n">
        <v>0.25</v>
      </c>
      <c r="G32" s="39" t="inlineStr">
        <is>
          <t>status</t>
        </is>
      </c>
      <c r="H32" s="39" t="inlineStr">
        <is>
          <t>MELEE_CRIT</t>
        </is>
      </c>
      <c r="I32" s="39" t="inlineStr">
        <is>
          <t>Primed Pressure Point | Blood Rush | Weeping Wounds | Organ Shatter | Berserker Fury | Condition Overload | Primed Reach | Virulent Scourge</t>
        </is>
      </c>
      <c r="J32" s="39" t="inlineStr">
        <is>
          <t>Melee Influence</t>
        </is>
      </c>
      <c r="K32" s="39" t="inlineStr">
        <is>
          <t>Corrosive + Viral (status priority, Condition Overload/Galvanized scaling)</t>
        </is>
      </c>
      <c r="L32" s="39" t="inlineStr">
        <is>
          <t>-</t>
        </is>
      </c>
      <c r="M32" s="39" t="inlineStr">
        <is>
          <t>~3</t>
        </is>
      </c>
    </row>
    <row r="33">
      <c r="A33" s="39" t="inlineStr">
        <is>
          <t>Equinox Prime</t>
        </is>
      </c>
      <c r="B33" s="39" t="inlineStr">
        <is>
          <t>Primary</t>
        </is>
      </c>
      <c r="C33" s="39" t="inlineStr">
        <is>
          <t>Burston Prime</t>
        </is>
      </c>
      <c r="D33" s="39" t="inlineStr">
        <is>
          <t>Rifle</t>
        </is>
      </c>
      <c r="E33" s="39" t="n">
        <v>0.18</v>
      </c>
      <c r="F33" s="39" t="n">
        <v>0.3</v>
      </c>
      <c r="G33" s="39" t="inlineStr">
        <is>
          <t>status</t>
        </is>
      </c>
      <c r="H33" s="39" t="inlineStr">
        <is>
          <t>RIFLE_CRIT</t>
        </is>
      </c>
      <c r="I33" s="39" t="inlineStr">
        <is>
          <t>Serration | Galvanized Chamber | Point Strike | Vital Sense | Hammer Shot | Galvanized Aptitude | Primed Cryo Rounds | Malignant Force</t>
        </is>
      </c>
      <c r="J33" s="39" t="inlineStr">
        <is>
          <t>Primary Merciless</t>
        </is>
      </c>
      <c r="K33" s="39" t="inlineStr">
        <is>
          <t>Corrosive + Viral (status priority, Condition Overload/Galvanized scaling)</t>
        </is>
      </c>
      <c r="L33" s="39" t="inlineStr">
        <is>
          <t>EVO2: Forceful Finality; EVO3: Extended Volley; EVO4: Fatal Affliction</t>
        </is>
      </c>
      <c r="M33" s="39" t="inlineStr">
        <is>
          <t>~4 (Incarnon)</t>
        </is>
      </c>
    </row>
    <row r="34">
      <c r="A34" s="39" t="inlineStr">
        <is>
          <t>Equinox Prime</t>
        </is>
      </c>
      <c r="B34" s="39" t="inlineStr">
        <is>
          <t>Secondary</t>
        </is>
      </c>
      <c r="C34" s="39" t="inlineStr">
        <is>
          <t>Dual Toxocyst</t>
        </is>
      </c>
      <c r="D34" s="39" t="inlineStr">
        <is>
          <t>Dual Pistols</t>
        </is>
      </c>
      <c r="E34" s="39" t="n">
        <v>0.05</v>
      </c>
      <c r="F34" s="39" t="n">
        <v>0.37</v>
      </c>
      <c r="G34" s="39" t="inlineStr">
        <is>
          <t>status</t>
        </is>
      </c>
      <c r="H34" s="39" t="inlineStr">
        <is>
          <t>PISTOL_CRIT</t>
        </is>
      </c>
      <c r="I34" s="39" t="inlineStr">
        <is>
          <t>Hornet Strike | Galvanized Diffusion | Primed Pistol Gambit | Primed Target Cracker | Galvanized Crosshairs | Primed Heated Charge | Pathogen Rounds | Galvanized Shot</t>
        </is>
      </c>
      <c r="J34" s="39" t="inlineStr">
        <is>
          <t>Secondary Encumber</t>
        </is>
      </c>
      <c r="K34" s="39" t="inlineStr">
        <is>
          <t>Corrosive + Viral (status priority, Condition Overload/Galvanized scaling)</t>
        </is>
      </c>
      <c r="L34" s="39" t="inlineStr">
        <is>
          <t>EVO2: Carnage Reign; EVO3: Ready Retaliation; EVO4: Commodore's Fortune</t>
        </is>
      </c>
      <c r="M34" s="39" t="inlineStr">
        <is>
          <t>~4 (Incarnon)</t>
        </is>
      </c>
    </row>
    <row r="35">
      <c r="A35" s="39" t="inlineStr">
        <is>
          <t>Equinox Prime</t>
        </is>
      </c>
      <c r="B35" s="39" t="inlineStr">
        <is>
          <t>Melee</t>
        </is>
      </c>
      <c r="C35" s="39" t="inlineStr">
        <is>
          <t>Lesion</t>
        </is>
      </c>
      <c r="D35" s="39" t="inlineStr">
        <is>
          <t>Polearm</t>
        </is>
      </c>
      <c r="E35" s="39" t="n">
        <v>0.15</v>
      </c>
      <c r="F35" s="39" t="n">
        <v>0.37</v>
      </c>
      <c r="G35" s="39" t="inlineStr">
        <is>
          <t>status</t>
        </is>
      </c>
      <c r="H35" s="39" t="inlineStr">
        <is>
          <t>MELEE_CRIT</t>
        </is>
      </c>
      <c r="I35" s="39" t="inlineStr">
        <is>
          <t>Primed Pressure Point | Blood Rush | Weeping Wounds | Organ Shatter | Berserker Fury | Condition Overload | Primed Reach | Virulent Scourge</t>
        </is>
      </c>
      <c r="J35" s="39" t="inlineStr">
        <is>
          <t>Melee Influence</t>
        </is>
      </c>
      <c r="K35" s="39" t="inlineStr">
        <is>
          <t>Corrosive + Viral (status priority, Condition Overload/Galvanized scaling)</t>
        </is>
      </c>
      <c r="L35" s="39" t="inlineStr">
        <is>
          <t>-</t>
        </is>
      </c>
      <c r="M35" s="39" t="inlineStr">
        <is>
          <t>~3</t>
        </is>
      </c>
    </row>
    <row r="36">
      <c r="A36" s="39" t="inlineStr">
        <is>
          <t>Excalibur Umbra</t>
        </is>
      </c>
      <c r="B36" s="39" t="inlineStr">
        <is>
          <t>Primary</t>
        </is>
      </c>
      <c r="C36" s="39" t="inlineStr">
        <is>
          <t>Braton Prime</t>
        </is>
      </c>
      <c r="D36" s="39" t="inlineStr">
        <is>
          <t>Rifle</t>
        </is>
      </c>
      <c r="E36" s="39" t="n">
        <v>0.12</v>
      </c>
      <c r="F36" s="39" t="n">
        <v>0.26</v>
      </c>
      <c r="G36" s="39" t="inlineStr">
        <is>
          <t>status</t>
        </is>
      </c>
      <c r="H36" s="39" t="inlineStr">
        <is>
          <t>RIFLE_CRIT</t>
        </is>
      </c>
      <c r="I36" s="39" t="inlineStr">
        <is>
          <t>Serration | Galvanized Chamber | Point Strike | Vital Sense | Hammer Shot | Galvanized Aptitude | Primed Cryo Rounds | Malignant Force</t>
        </is>
      </c>
      <c r="J36" s="39" t="inlineStr">
        <is>
          <t>Primary Merciless</t>
        </is>
      </c>
      <c r="K36" s="39" t="inlineStr">
        <is>
          <t>Corrosive + Viral (status priority, Condition Overload/Galvanized scaling)</t>
        </is>
      </c>
      <c r="L36" s="39" t="inlineStr">
        <is>
          <t>EVO2: Munitions Grit; EVO3: Void's Guidance; EVO4: Survivor's Edge</t>
        </is>
      </c>
      <c r="M36" s="39" t="inlineStr">
        <is>
          <t>~4 (Incarnon)</t>
        </is>
      </c>
    </row>
    <row r="37">
      <c r="A37" s="39" t="inlineStr">
        <is>
          <t>Excalibur Umbra</t>
        </is>
      </c>
      <c r="B37" s="39" t="inlineStr">
        <is>
          <t>Secondary</t>
        </is>
      </c>
      <c r="C37" s="39" t="inlineStr">
        <is>
          <t>Vasto Prime</t>
        </is>
      </c>
      <c r="D37" s="39" t="inlineStr">
        <is>
          <t>Pistol</t>
        </is>
      </c>
      <c r="E37" s="39" t="n">
        <v>0.22</v>
      </c>
      <c r="F37" s="39" t="n">
        <v>0.22</v>
      </c>
      <c r="G37" s="39" t="inlineStr">
        <is>
          <t>crit</t>
        </is>
      </c>
      <c r="H37" s="39" t="inlineStr">
        <is>
          <t>PISTOL_CRIT</t>
        </is>
      </c>
      <c r="I37" s="39" t="inlineStr">
        <is>
          <t>Hornet Strike | Galvanized Diffusion | Primed Pistol Gambit | Primed Target Cracker | Galvanized Crosshairs | Primed Heated Charge | Pathogen Rounds | Galvanized Shot</t>
        </is>
      </c>
      <c r="J37" s="39" t="inlineStr">
        <is>
          <t>Secondary Outburst</t>
        </is>
      </c>
      <c r="K37" s="39" t="inlineStr">
        <is>
          <t>Viral + Heat (Steel Path generalist; swap Heat-&gt;Corrosive vs armored Grineer)</t>
        </is>
      </c>
      <c r="L37" s="39" t="inlineStr">
        <is>
          <t>EVO2: Deathtrap Trigger; EVO3: Extended Volley; EVO4: Survivor's Edge</t>
        </is>
      </c>
      <c r="M37" s="39" t="inlineStr">
        <is>
          <t>~4 (Incarnon)</t>
        </is>
      </c>
    </row>
    <row r="38">
      <c r="A38" s="39" t="inlineStr">
        <is>
          <t>Follie</t>
        </is>
      </c>
      <c r="B38" s="39" t="inlineStr">
        <is>
          <t>Primary</t>
        </is>
      </c>
      <c r="C38" s="39" t="inlineStr">
        <is>
          <t>Enkaus</t>
        </is>
      </c>
      <c r="D38" s="39" t="inlineStr">
        <is>
          <t>Rifle</t>
        </is>
      </c>
      <c r="E38" s="39" t="n">
        <v>0.16</v>
      </c>
      <c r="F38" s="39" t="n">
        <v>0.32</v>
      </c>
      <c r="G38" s="39" t="inlineStr">
        <is>
          <t>status</t>
        </is>
      </c>
      <c r="H38" s="39" t="inlineStr">
        <is>
          <t>RIFLE_CRIT</t>
        </is>
      </c>
      <c r="I38" s="39" t="inlineStr">
        <is>
          <t>Serration | Galvanized Chamber | Point Strike | Vital Sense | Hammer Shot | Galvanized Aptitude | Primed Cryo Rounds | Malignant Force</t>
        </is>
      </c>
      <c r="J38" s="39" t="inlineStr">
        <is>
          <t>Primary Merciless</t>
        </is>
      </c>
      <c r="K38" s="39" t="inlineStr">
        <is>
          <t>Corrosive + Viral (status priority, Condition Overload/Galvanized scaling)</t>
        </is>
      </c>
      <c r="L38" s="39" t="inlineStr">
        <is>
          <t>-</t>
        </is>
      </c>
      <c r="M38" s="39" t="inlineStr">
        <is>
          <t>~3</t>
        </is>
      </c>
    </row>
    <row r="39">
      <c r="A39" s="39" t="inlineStr">
        <is>
          <t>Follie</t>
        </is>
      </c>
      <c r="B39" s="39" t="inlineStr">
        <is>
          <t>Secondary</t>
        </is>
      </c>
      <c r="C39" s="39" t="inlineStr">
        <is>
          <t>Staticor</t>
        </is>
      </c>
      <c r="D39" s="39" t="inlineStr">
        <is>
          <t>Thrown</t>
        </is>
      </c>
      <c r="E39" s="39" t="n">
        <v>0.14</v>
      </c>
      <c r="F39" s="39" t="n">
        <v>0.28</v>
      </c>
      <c r="G39" s="39" t="inlineStr">
        <is>
          <t>status</t>
        </is>
      </c>
      <c r="H39" s="39" t="inlineStr">
        <is>
          <t>PISTOL_CRIT</t>
        </is>
      </c>
      <c r="I39" s="39" t="inlineStr">
        <is>
          <t>Hornet Strike | Galvanized Diffusion | Primed Pistol Gambit | Primed Target Cracker | Galvanized Crosshairs | Primed Heated Charge | Pathogen Rounds | Galvanized Shot</t>
        </is>
      </c>
      <c r="J39" s="39" t="inlineStr">
        <is>
          <t>Secondary Encumber</t>
        </is>
      </c>
      <c r="K39" s="39" t="inlineStr">
        <is>
          <t>Corrosive + Viral (status priority, Condition Overload/Galvanized scaling)</t>
        </is>
      </c>
      <c r="L39" s="39" t="inlineStr">
        <is>
          <t>-</t>
        </is>
      </c>
      <c r="M39" s="39" t="inlineStr">
        <is>
          <t>~3</t>
        </is>
      </c>
    </row>
    <row r="40">
      <c r="A40" s="39" t="inlineStr">
        <is>
          <t>Follie</t>
        </is>
      </c>
      <c r="B40" s="39" t="inlineStr">
        <is>
          <t>Melee</t>
        </is>
      </c>
      <c r="C40" s="39" t="inlineStr">
        <is>
          <t>Keratinos</t>
        </is>
      </c>
      <c r="D40" s="39" t="inlineStr">
        <is>
          <t>Claws</t>
        </is>
      </c>
      <c r="E40" s="39" t="n">
        <v>0.13</v>
      </c>
      <c r="F40" s="39" t="n">
        <v>0.29</v>
      </c>
      <c r="G40" s="39" t="inlineStr">
        <is>
          <t>status</t>
        </is>
      </c>
      <c r="H40" s="39" t="inlineStr">
        <is>
          <t>MELEE_CRIT</t>
        </is>
      </c>
      <c r="I40" s="39" t="inlineStr">
        <is>
          <t>Primed Pressure Point | Blood Rush | Weeping Wounds | Organ Shatter | Berserker Fury | Condition Overload | Primed Reach | Virulent Scourge</t>
        </is>
      </c>
      <c r="J40" s="39" t="inlineStr">
        <is>
          <t>Melee Influence</t>
        </is>
      </c>
      <c r="K40" s="39" t="inlineStr">
        <is>
          <t>Corrosive + Viral (status priority, Condition Overload/Galvanized scaling)</t>
        </is>
      </c>
      <c r="L40" s="39" t="inlineStr">
        <is>
          <t>-</t>
        </is>
      </c>
      <c r="M40" s="39" t="inlineStr">
        <is>
          <t>~3</t>
        </is>
      </c>
    </row>
    <row r="41">
      <c r="A41" s="39" t="inlineStr">
        <is>
          <t>Frost Prime</t>
        </is>
      </c>
      <c r="B41" s="39" t="inlineStr">
        <is>
          <t>Primary</t>
        </is>
      </c>
      <c r="C41" s="39" t="inlineStr">
        <is>
          <t>Glaxion Vandal</t>
        </is>
      </c>
      <c r="D41" s="39" t="inlineStr">
        <is>
          <t>Rifle</t>
        </is>
      </c>
      <c r="E41" s="39" t="n">
        <v>0.14</v>
      </c>
      <c r="F41" s="39" t="n">
        <v>0.38</v>
      </c>
      <c r="G41" s="39" t="inlineStr">
        <is>
          <t>status</t>
        </is>
      </c>
      <c r="H41" s="39" t="inlineStr">
        <is>
          <t>RIFLE_CRIT</t>
        </is>
      </c>
      <c r="I41" s="39" t="inlineStr">
        <is>
          <t>Serration | Galvanized Chamber | Point Strike | Vital Sense | Hammer Shot | Galvanized Aptitude | Primed Cryo Rounds | Malignant Force</t>
        </is>
      </c>
      <c r="J41" s="39" t="inlineStr">
        <is>
          <t>Primary Merciless</t>
        </is>
      </c>
      <c r="K41" s="39" t="inlineStr">
        <is>
          <t>Corrosive + Viral (status priority, Condition Overload/Galvanized scaling)</t>
        </is>
      </c>
      <c r="L41" s="39" t="inlineStr">
        <is>
          <t>-</t>
        </is>
      </c>
      <c r="M41" s="39" t="inlineStr">
        <is>
          <t>~3</t>
        </is>
      </c>
    </row>
    <row r="42">
      <c r="A42" s="39" t="inlineStr">
        <is>
          <t>Frost Prime</t>
        </is>
      </c>
      <c r="B42" s="39" t="inlineStr">
        <is>
          <t>Secondary</t>
        </is>
      </c>
      <c r="C42" s="39" t="inlineStr">
        <is>
          <t>Twin Kohmak</t>
        </is>
      </c>
      <c r="D42" s="39" t="inlineStr">
        <is>
          <t>Dual Shotguns</t>
        </is>
      </c>
      <c r="E42" s="39" t="n">
        <v>0.11</v>
      </c>
      <c r="F42" s="39" t="n">
        <v>0.6899999999999999</v>
      </c>
      <c r="G42" s="39" t="inlineStr">
        <is>
          <t>status</t>
        </is>
      </c>
      <c r="H42" s="39" t="inlineStr">
        <is>
          <t>PISTOL_CRIT</t>
        </is>
      </c>
      <c r="I42" s="39" t="inlineStr">
        <is>
          <t>Hornet Strike | Galvanized Diffusion | Primed Pistol Gambit | Primed Target Cracker | Galvanized Crosshairs | Primed Heated Charge | Pathogen Rounds | Galvanized Shot</t>
        </is>
      </c>
      <c r="J42" s="39" t="inlineStr">
        <is>
          <t>Secondary Encumber</t>
        </is>
      </c>
      <c r="K42" s="39" t="inlineStr">
        <is>
          <t>Corrosive + Viral (status priority, Condition Overload/Galvanized scaling)</t>
        </is>
      </c>
      <c r="L42" s="39" t="inlineStr">
        <is>
          <t>-</t>
        </is>
      </c>
      <c r="M42" s="39" t="inlineStr">
        <is>
          <t>~3</t>
        </is>
      </c>
    </row>
    <row r="43">
      <c r="A43" s="39" t="inlineStr">
        <is>
          <t>Frost Prime</t>
        </is>
      </c>
      <c r="B43" s="39" t="inlineStr">
        <is>
          <t>Melee</t>
        </is>
      </c>
      <c r="C43" s="39" t="inlineStr">
        <is>
          <t>Sibear</t>
        </is>
      </c>
      <c r="D43" s="39" t="inlineStr">
        <is>
          <t>Hammer</t>
        </is>
      </c>
      <c r="E43" s="39" t="n">
        <v>0.15</v>
      </c>
      <c r="F43" s="39" t="n">
        <v>0.3</v>
      </c>
      <c r="G43" s="39" t="inlineStr">
        <is>
          <t>status</t>
        </is>
      </c>
      <c r="H43" s="39" t="inlineStr">
        <is>
          <t>MELEE_CRIT</t>
        </is>
      </c>
      <c r="I43" s="39" t="inlineStr">
        <is>
          <t>Primed Pressure Point | Blood Rush | Weeping Wounds | Organ Shatter | Berserker Fury | Condition Overload | Primed Reach | Virulent Scourge</t>
        </is>
      </c>
      <c r="J43" s="39" t="inlineStr">
        <is>
          <t>Melee Influence</t>
        </is>
      </c>
      <c r="K43" s="39" t="inlineStr">
        <is>
          <t>Corrosive + Viral (status priority, Condition Overload/Galvanized scaling)</t>
        </is>
      </c>
      <c r="L43" s="39" t="inlineStr">
        <is>
          <t>EVO2: Master's Shatter; EVO3: Orokin Reach; EVO4: Red Right Hand</t>
        </is>
      </c>
      <c r="M43" s="39" t="inlineStr">
        <is>
          <t>~4 (Incarnon)</t>
        </is>
      </c>
    </row>
    <row r="44">
      <c r="A44" s="39" t="inlineStr">
        <is>
          <t>Gara Prime</t>
        </is>
      </c>
      <c r="B44" s="39" t="inlineStr">
        <is>
          <t>Primary</t>
        </is>
      </c>
      <c r="C44" s="39" t="inlineStr">
        <is>
          <t>Astilla Prime</t>
        </is>
      </c>
      <c r="D44" s="39" t="inlineStr">
        <is>
          <t>Shotgun</t>
        </is>
      </c>
      <c r="E44" s="39" t="n">
        <v>0.21</v>
      </c>
      <c r="F44" s="39" t="n">
        <v>0.37</v>
      </c>
      <c r="G44" s="39" t="inlineStr">
        <is>
          <t>status</t>
        </is>
      </c>
      <c r="H44" s="39" t="inlineStr">
        <is>
          <t>SHOTGUN</t>
        </is>
      </c>
      <c r="I44" s="39" t="inlineStr">
        <is>
          <t>Primed Point Blank | Galvanized Hell | Primed Ravage | Critical Deceleration | Galvanized Savvy | Primed Charged Shell | Toxic Barrage | Incendiary Coat</t>
        </is>
      </c>
      <c r="J44" s="39" t="inlineStr">
        <is>
          <t>Shotgun Vendetta</t>
        </is>
      </c>
      <c r="K44" s="39" t="inlineStr">
        <is>
          <t>Corrosive + Viral (status priority, Condition Overload/Galvanized scaling)</t>
        </is>
      </c>
      <c r="L44" s="39" t="inlineStr">
        <is>
          <t>-</t>
        </is>
      </c>
      <c r="M44" s="39" t="inlineStr">
        <is>
          <t>~3</t>
        </is>
      </c>
    </row>
    <row r="45">
      <c r="A45" s="39" t="inlineStr">
        <is>
          <t>Gara Prime</t>
        </is>
      </c>
      <c r="B45" s="39" t="inlineStr">
        <is>
          <t>Secondary</t>
        </is>
      </c>
      <c r="C45" s="39" t="inlineStr">
        <is>
          <t>Fusilai</t>
        </is>
      </c>
      <c r="D45" s="39" t="inlineStr">
        <is>
          <t>Thrown</t>
        </is>
      </c>
      <c r="E45" s="39" t="n">
        <v>0.23</v>
      </c>
      <c r="F45" s="39" t="n">
        <v>0.29</v>
      </c>
      <c r="G45" s="39" t="inlineStr">
        <is>
          <t>status</t>
        </is>
      </c>
      <c r="H45" s="39" t="inlineStr">
        <is>
          <t>PISTOL_CRIT</t>
        </is>
      </c>
      <c r="I45" s="39" t="inlineStr">
        <is>
          <t>Hornet Strike | Galvanized Diffusion | Primed Pistol Gambit | Primed Target Cracker | Galvanized Crosshairs | Primed Heated Charge | Pathogen Rounds | Galvanized Shot</t>
        </is>
      </c>
      <c r="J45" s="39" t="inlineStr">
        <is>
          <t>Secondary Encumber</t>
        </is>
      </c>
      <c r="K45" s="39" t="inlineStr">
        <is>
          <t>Corrosive + Viral (status priority, Condition Overload/Galvanized scaling)</t>
        </is>
      </c>
      <c r="L45" s="39" t="inlineStr">
        <is>
          <t>-</t>
        </is>
      </c>
      <c r="M45" s="39" t="inlineStr">
        <is>
          <t>~3</t>
        </is>
      </c>
    </row>
    <row r="46">
      <c r="A46" s="39" t="inlineStr">
        <is>
          <t>Gara Prime</t>
        </is>
      </c>
      <c r="B46" s="39" t="inlineStr">
        <is>
          <t>Melee</t>
        </is>
      </c>
      <c r="C46" s="39" t="inlineStr">
        <is>
          <t>Volnus Prime</t>
        </is>
      </c>
      <c r="D46" s="39" t="inlineStr">
        <is>
          <t>Hammer</t>
        </is>
      </c>
      <c r="E46" s="39" t="n">
        <v>0.2</v>
      </c>
      <c r="F46" s="39" t="n">
        <v>0.34</v>
      </c>
      <c r="G46" s="39" t="inlineStr">
        <is>
          <t>status</t>
        </is>
      </c>
      <c r="H46" s="39" t="inlineStr">
        <is>
          <t>MELEE_CRIT</t>
        </is>
      </c>
      <c r="I46" s="39" t="inlineStr">
        <is>
          <t>Primed Pressure Point | Blood Rush | Weeping Wounds | Organ Shatter | Berserker Fury | Condition Overload | Primed Reach | Virulent Scourge</t>
        </is>
      </c>
      <c r="J46" s="39" t="inlineStr">
        <is>
          <t>Melee Influence</t>
        </is>
      </c>
      <c r="K46" s="39" t="inlineStr">
        <is>
          <t>Corrosive + Viral (status priority, Condition Overload/Galvanized scaling)</t>
        </is>
      </c>
      <c r="L46" s="39" t="inlineStr">
        <is>
          <t>-</t>
        </is>
      </c>
      <c r="M46" s="39" t="inlineStr">
        <is>
          <t>~3</t>
        </is>
      </c>
    </row>
    <row r="47">
      <c r="A47" s="39" t="inlineStr">
        <is>
          <t>Garuda Prime</t>
        </is>
      </c>
      <c r="B47" s="39" t="inlineStr">
        <is>
          <t>Primary</t>
        </is>
      </c>
      <c r="C47" s="39" t="inlineStr">
        <is>
          <t>Nagantaka Prime</t>
        </is>
      </c>
      <c r="D47" s="39" t="inlineStr">
        <is>
          <t>Crossbow</t>
        </is>
      </c>
      <c r="E47" s="39" t="n">
        <v>0.25</v>
      </c>
      <c r="F47" s="39" t="n">
        <v>0.39</v>
      </c>
      <c r="G47" s="39" t="inlineStr">
        <is>
          <t>crit</t>
        </is>
      </c>
      <c r="H47" s="39" t="inlineStr">
        <is>
          <t>RIFLE_CRIT</t>
        </is>
      </c>
      <c r="I47" s="39" t="inlineStr">
        <is>
          <t>Serration | Galvanized Chamber | Point Strike | Vital Sense | Hammer Shot | Galvanized Aptitude | Primed Cryo Rounds | Malignant Force</t>
        </is>
      </c>
      <c r="J47" s="39" t="inlineStr">
        <is>
          <t>Primary Deadhead</t>
        </is>
      </c>
      <c r="K47" s="39" t="inlineStr">
        <is>
          <t>Viral + Heat (Steel Path generalist; swap Heat-&gt;Corrosive vs armored Grineer)</t>
        </is>
      </c>
      <c r="L47" s="39" t="inlineStr">
        <is>
          <t>-</t>
        </is>
      </c>
      <c r="M47" s="39" t="inlineStr">
        <is>
          <t>~3</t>
        </is>
      </c>
    </row>
    <row r="48">
      <c r="A48" s="39" t="inlineStr">
        <is>
          <t>Garuda Prime</t>
        </is>
      </c>
      <c r="B48" s="39" t="inlineStr">
        <is>
          <t>Secondary</t>
        </is>
      </c>
      <c r="C48" s="39" t="inlineStr">
        <is>
          <t>Despair</t>
        </is>
      </c>
      <c r="D48" s="39" t="inlineStr">
        <is>
          <t>Thrown</t>
        </is>
      </c>
      <c r="E48" s="39" t="n">
        <v>0.16</v>
      </c>
      <c r="F48" s="39" t="n">
        <v>0.16</v>
      </c>
      <c r="G48" s="39" t="inlineStr">
        <is>
          <t>crit</t>
        </is>
      </c>
      <c r="H48" s="39" t="inlineStr">
        <is>
          <t>PISTOL_CRIT</t>
        </is>
      </c>
      <c r="I48" s="39" t="inlineStr">
        <is>
          <t>Hornet Strike | Galvanized Diffusion | Primed Pistol Gambit | Primed Target Cracker | Galvanized Crosshairs | Primed Heated Charge | Pathogen Rounds | Galvanized Shot</t>
        </is>
      </c>
      <c r="J48" s="39" t="inlineStr">
        <is>
          <t>Secondary Outburst</t>
        </is>
      </c>
      <c r="K48" s="39" t="inlineStr">
        <is>
          <t>Viral + Heat (Steel Path generalist; swap Heat-&gt;Corrosive vs armored Grineer)</t>
        </is>
      </c>
      <c r="L48" s="39" t="inlineStr">
        <is>
          <t>EVO2: Stalker's Vendetta; EVO3: Marksman's Focus; EVO4: Critical Parallel</t>
        </is>
      </c>
      <c r="M48" s="39" t="inlineStr">
        <is>
          <t>~4 (Incarnon)</t>
        </is>
      </c>
    </row>
    <row r="49">
      <c r="A49" s="39" t="inlineStr">
        <is>
          <t>Gauss Prime</t>
        </is>
      </c>
      <c r="B49" s="39" t="inlineStr">
        <is>
          <t>Primary</t>
        </is>
      </c>
      <c r="C49" s="39" t="inlineStr">
        <is>
          <t>Acceltra Prime</t>
        </is>
      </c>
      <c r="D49" s="39" t="inlineStr">
        <is>
          <t>Rifle</t>
        </is>
      </c>
      <c r="E49" s="39" t="n">
        <v>0.34</v>
      </c>
      <c r="F49" s="39" t="n">
        <v>0.18</v>
      </c>
      <c r="G49" s="39" t="inlineStr">
        <is>
          <t>crit</t>
        </is>
      </c>
      <c r="H49" s="39" t="inlineStr">
        <is>
          <t>RIFLE_CRIT</t>
        </is>
      </c>
      <c r="I49" s="39" t="inlineStr">
        <is>
          <t>Serration | Galvanized Chamber | Point Strike | Vital Sense | Hammer Shot | Galvanized Aptitude | Primed Cryo Rounds | Malignant Force</t>
        </is>
      </c>
      <c r="J49" s="39" t="inlineStr">
        <is>
          <t>Primary Merciless</t>
        </is>
      </c>
      <c r="K49" s="39" t="inlineStr">
        <is>
          <t>Viral + Heat (Steel Path generalist; swap Heat-&gt;Corrosive vs armored Grineer)</t>
        </is>
      </c>
      <c r="L49" s="39" t="inlineStr">
        <is>
          <t>-</t>
        </is>
      </c>
      <c r="M49" s="39" t="inlineStr">
        <is>
          <t>~3</t>
        </is>
      </c>
    </row>
    <row r="50">
      <c r="A50" s="39" t="inlineStr">
        <is>
          <t>Gauss Prime</t>
        </is>
      </c>
      <c r="B50" s="39" t="inlineStr">
        <is>
          <t>Secondary</t>
        </is>
      </c>
      <c r="C50" s="39" t="inlineStr">
        <is>
          <t>Akarius Prime</t>
        </is>
      </c>
      <c r="D50" s="39" t="inlineStr">
        <is>
          <t>Dual Pistols</t>
        </is>
      </c>
      <c r="E50" s="39" t="n">
        <v>0.18</v>
      </c>
      <c r="F50" s="39" t="n">
        <v>0.34</v>
      </c>
      <c r="G50" s="39" t="inlineStr">
        <is>
          <t>status</t>
        </is>
      </c>
      <c r="H50" s="39" t="inlineStr">
        <is>
          <t>PISTOL_CRIT</t>
        </is>
      </c>
      <c r="I50" s="39" t="inlineStr">
        <is>
          <t>Hornet Strike | Galvanized Diffusion | Primed Pistol Gambit | Primed Target Cracker | Galvanized Crosshairs | Primed Heated Charge | Pathogen Rounds | Galvanized Shot</t>
        </is>
      </c>
      <c r="J50" s="39" t="inlineStr">
        <is>
          <t>Secondary Encumber</t>
        </is>
      </c>
      <c r="K50" s="39" t="inlineStr">
        <is>
          <t>Corrosive + Viral (status priority, Condition Overload/Galvanized scaling)</t>
        </is>
      </c>
      <c r="L50" s="39" t="inlineStr">
        <is>
          <t>-</t>
        </is>
      </c>
      <c r="M50" s="39" t="inlineStr">
        <is>
          <t>~3</t>
        </is>
      </c>
    </row>
    <row r="51">
      <c r="A51" s="39" t="inlineStr">
        <is>
          <t>Gauss Prime</t>
        </is>
      </c>
      <c r="B51" s="39" t="inlineStr">
        <is>
          <t>Melee</t>
        </is>
      </c>
      <c r="C51" s="39" t="inlineStr">
        <is>
          <t>Praedos</t>
        </is>
      </c>
      <c r="D51" s="39" t="inlineStr">
        <is>
          <t>Tonfa</t>
        </is>
      </c>
      <c r="E51" s="39" t="n">
        <v>0.2</v>
      </c>
      <c r="F51" s="39" t="n">
        <v>0.2</v>
      </c>
      <c r="G51" s="39" t="inlineStr">
        <is>
          <t>crit</t>
        </is>
      </c>
      <c r="H51" s="39" t="inlineStr">
        <is>
          <t>MELEE_CRIT</t>
        </is>
      </c>
      <c r="I51" s="39" t="inlineStr">
        <is>
          <t>Primed Pressure Point | Blood Rush | Weeping Wounds | Organ Shatter | Berserker Fury | Condition Overload | Primed Reach | Virulent Scourge</t>
        </is>
      </c>
      <c r="J51" s="39" t="inlineStr">
        <is>
          <t>Melee Duplicate</t>
        </is>
      </c>
      <c r="K51" s="39" t="inlineStr">
        <is>
          <t>Viral + Heat (Steel Path generalist; swap Heat-&gt;Corrosive vs armored Grineer)</t>
        </is>
      </c>
      <c r="L51" s="39" t="inlineStr">
        <is>
          <t>EVO2: Seismic Slam; EVO3: Shockwave Synergy; EVO4: Swift Transmute; EVO5: Transfigured Momentum</t>
        </is>
      </c>
      <c r="M51" s="39" t="inlineStr">
        <is>
          <t>~4 (Incarnon)</t>
        </is>
      </c>
    </row>
    <row r="52">
      <c r="A52" s="39" t="inlineStr">
        <is>
          <t>Grendel Prime</t>
        </is>
      </c>
      <c r="B52" s="39" t="inlineStr">
        <is>
          <t>Primary</t>
        </is>
      </c>
      <c r="C52" s="39" t="inlineStr">
        <is>
          <t>Trumna</t>
        </is>
      </c>
      <c r="D52" s="39" t="inlineStr">
        <is>
          <t>Rifle</t>
        </is>
      </c>
      <c r="E52" s="39" t="n">
        <v>0.24</v>
      </c>
      <c r="F52" s="39" t="n">
        <v>0.3</v>
      </c>
      <c r="G52" s="39" t="inlineStr">
        <is>
          <t>crit</t>
        </is>
      </c>
      <c r="H52" s="39" t="inlineStr">
        <is>
          <t>RIFLE_CRIT</t>
        </is>
      </c>
      <c r="I52" s="39" t="inlineStr">
        <is>
          <t>Serration | Galvanized Chamber | Point Strike | Vital Sense | Hammer Shot | Galvanized Aptitude | Primed Cryo Rounds | Malignant Force</t>
        </is>
      </c>
      <c r="J52" s="39" t="inlineStr">
        <is>
          <t>Primary Merciless</t>
        </is>
      </c>
      <c r="K52" s="39" t="inlineStr">
        <is>
          <t>Viral + Heat (Steel Path generalist; swap Heat-&gt;Corrosive vs armored Grineer)</t>
        </is>
      </c>
      <c r="L52" s="39" t="inlineStr">
        <is>
          <t>-</t>
        </is>
      </c>
      <c r="M52" s="39" t="inlineStr">
        <is>
          <t>~3</t>
        </is>
      </c>
    </row>
    <row r="53">
      <c r="A53" s="39" t="inlineStr">
        <is>
          <t>Grendel Prime</t>
        </is>
      </c>
      <c r="B53" s="39" t="inlineStr">
        <is>
          <t>Secondary</t>
        </is>
      </c>
      <c r="C53" s="39" t="inlineStr">
        <is>
          <t>Sepulcrum</t>
        </is>
      </c>
      <c r="D53" s="39" t="inlineStr">
        <is>
          <t>Pistol</t>
        </is>
      </c>
      <c r="E53" s="39" t="n">
        <v>0.3</v>
      </c>
      <c r="F53" s="39" t="n">
        <v>0.14</v>
      </c>
      <c r="G53" s="39" t="inlineStr">
        <is>
          <t>crit</t>
        </is>
      </c>
      <c r="H53" s="39" t="inlineStr">
        <is>
          <t>PISTOL_CRIT</t>
        </is>
      </c>
      <c r="I53" s="39" t="inlineStr">
        <is>
          <t>Hornet Strike | Galvanized Diffusion | Primed Pistol Gambit | Primed Target Cracker | Galvanized Crosshairs | Primed Heated Charge | Pathogen Rounds | Galvanized Shot</t>
        </is>
      </c>
      <c r="J53" s="39" t="inlineStr">
        <is>
          <t>Secondary Merciless</t>
        </is>
      </c>
      <c r="K53" s="39" t="inlineStr">
        <is>
          <t>Viral + Heat (Steel Path generalist; swap Heat-&gt;Corrosive vs armored Grineer)</t>
        </is>
      </c>
      <c r="L53" s="39" t="inlineStr">
        <is>
          <t>-</t>
        </is>
      </c>
      <c r="M53" s="39" t="inlineStr">
        <is>
          <t>~3</t>
        </is>
      </c>
    </row>
    <row r="54">
      <c r="A54" s="39" t="inlineStr">
        <is>
          <t>Grendel Prime</t>
        </is>
      </c>
      <c r="B54" s="39" t="inlineStr">
        <is>
          <t>Melee</t>
        </is>
      </c>
      <c r="C54" s="39" t="inlineStr">
        <is>
          <t>Masseter Prime</t>
        </is>
      </c>
      <c r="D54" s="39" t="inlineStr">
        <is>
          <t>Heavy Blade</t>
        </is>
      </c>
      <c r="E54" s="39" t="n">
        <v>0.26</v>
      </c>
      <c r="F54" s="39" t="n">
        <v>0.36</v>
      </c>
      <c r="G54" s="39" t="inlineStr">
        <is>
          <t>crit</t>
        </is>
      </c>
      <c r="H54" s="39" t="inlineStr">
        <is>
          <t>MELEE_CRIT</t>
        </is>
      </c>
      <c r="I54" s="39" t="inlineStr">
        <is>
          <t>Primed Pressure Point | Blood Rush | Weeping Wounds | Organ Shatter | Berserker Fury | Condition Overload | Primed Reach | Virulent Scourge</t>
        </is>
      </c>
      <c r="J54" s="39" t="inlineStr">
        <is>
          <t>Melee Animosity</t>
        </is>
      </c>
      <c r="K54" s="39" t="inlineStr">
        <is>
          <t>Viral + Heat (Steel Path generalist; swap Heat-&gt;Corrosive vs armored Grineer)</t>
        </is>
      </c>
      <c r="L54" s="39" t="inlineStr">
        <is>
          <t>-</t>
        </is>
      </c>
      <c r="M54" s="39" t="inlineStr">
        <is>
          <t>~3</t>
        </is>
      </c>
    </row>
    <row r="55">
      <c r="A55" s="39" t="inlineStr">
        <is>
          <t>Gyre Prime</t>
        </is>
      </c>
      <c r="B55" s="39" t="inlineStr">
        <is>
          <t>Primary</t>
        </is>
      </c>
      <c r="C55" s="39" t="inlineStr">
        <is>
          <t>Alternox Prime</t>
        </is>
      </c>
      <c r="D55" s="39" t="inlineStr">
        <is>
          <t>Rifle</t>
        </is>
      </c>
      <c r="E55" s="39" t="n">
        <v>0.2</v>
      </c>
      <c r="F55" s="39" t="n">
        <v>0.4</v>
      </c>
      <c r="G55" s="39" t="inlineStr">
        <is>
          <t>status</t>
        </is>
      </c>
      <c r="H55" s="39" t="inlineStr">
        <is>
          <t>RIFLE_CRIT</t>
        </is>
      </c>
      <c r="I55" s="39" t="inlineStr">
        <is>
          <t>Serration | Galvanized Chamber | Point Strike | Vital Sense | Hammer Shot | Galvanized Aptitude | Primed Cryo Rounds | Malignant Force</t>
        </is>
      </c>
      <c r="J55" s="39" t="inlineStr">
        <is>
          <t>Primary Merciless</t>
        </is>
      </c>
      <c r="K55" s="39" t="inlineStr">
        <is>
          <t>Corrosive + Viral (status priority, Condition Overload/Galvanized scaling)</t>
        </is>
      </c>
      <c r="L55" s="39" t="inlineStr">
        <is>
          <t>-</t>
        </is>
      </c>
      <c r="M55" s="39" t="inlineStr">
        <is>
          <t>~3</t>
        </is>
      </c>
    </row>
    <row r="56">
      <c r="A56" s="39" t="inlineStr">
        <is>
          <t>Gyre Prime</t>
        </is>
      </c>
      <c r="B56" s="39" t="inlineStr">
        <is>
          <t>Secondary</t>
        </is>
      </c>
      <c r="C56" s="39" t="inlineStr">
        <is>
          <t>Prisma Angstrum</t>
        </is>
      </c>
      <c r="D56" s="39" t="inlineStr">
        <is>
          <t>Pistol</t>
        </is>
      </c>
      <c r="E56" s="39" t="n">
        <v>0.18</v>
      </c>
      <c r="F56" s="39" t="n">
        <v>0.26</v>
      </c>
      <c r="G56" s="39" t="inlineStr">
        <is>
          <t>status</t>
        </is>
      </c>
      <c r="H56" s="39" t="inlineStr">
        <is>
          <t>PISTOL_CRIT</t>
        </is>
      </c>
      <c r="I56" s="39" t="inlineStr">
        <is>
          <t>Hornet Strike | Galvanized Diffusion | Primed Pistol Gambit | Primed Target Cracker | Galvanized Crosshairs | Primed Heated Charge | Pathogen Rounds | Galvanized Shot</t>
        </is>
      </c>
      <c r="J56" s="39" t="inlineStr">
        <is>
          <t>Secondary Encumber</t>
        </is>
      </c>
      <c r="K56" s="39" t="inlineStr">
        <is>
          <t>Corrosive + Viral (status priority, Condition Overload/Galvanized scaling)</t>
        </is>
      </c>
      <c r="L56" s="39" t="inlineStr">
        <is>
          <t>EVO2: Haven Foray; EVO3: Swift Deliverance; EVO4: Fatal Affliction</t>
        </is>
      </c>
      <c r="M56" s="39" t="inlineStr">
        <is>
          <t>~4 (Incarnon)</t>
        </is>
      </c>
    </row>
    <row r="57">
      <c r="A57" s="39" t="inlineStr">
        <is>
          <t>Gyre Prime</t>
        </is>
      </c>
      <c r="B57" s="39" t="inlineStr">
        <is>
          <t>Melee</t>
        </is>
      </c>
      <c r="C57" s="39" t="inlineStr">
        <is>
          <t>Kestrel Prime</t>
        </is>
      </c>
      <c r="D57" s="39" t="inlineStr">
        <is>
          <t>Glaive</t>
        </is>
      </c>
      <c r="E57" s="39" t="n">
        <v>0.2</v>
      </c>
      <c r="F57" s="39" t="n">
        <v>0.4</v>
      </c>
      <c r="G57" s="39" t="inlineStr">
        <is>
          <t>status</t>
        </is>
      </c>
      <c r="H57" s="39" t="inlineStr">
        <is>
          <t>MELEE_CRIT</t>
        </is>
      </c>
      <c r="I57" s="39" t="inlineStr">
        <is>
          <t>Primed Pressure Point | Blood Rush | Weeping Wounds | Organ Shatter | Berserker Fury | Condition Overload | Primed Reach | Virulent Scourge</t>
        </is>
      </c>
      <c r="J57" s="39" t="inlineStr">
        <is>
          <t>Melee Influence</t>
        </is>
      </c>
      <c r="K57" s="39" t="inlineStr">
        <is>
          <t>Corrosive + Viral (status priority, Condition Overload/Galvanized scaling)</t>
        </is>
      </c>
      <c r="L57" s="39" t="inlineStr">
        <is>
          <t>-</t>
        </is>
      </c>
      <c r="M57" s="39" t="inlineStr">
        <is>
          <t>~3</t>
        </is>
      </c>
    </row>
    <row r="58">
      <c r="A58" s="39" t="inlineStr">
        <is>
          <t>Harrow Prime</t>
        </is>
      </c>
      <c r="B58" s="39" t="inlineStr">
        <is>
          <t>Primary</t>
        </is>
      </c>
      <c r="C58" s="39" t="inlineStr">
        <is>
          <t>Scourge Prime</t>
        </is>
      </c>
      <c r="D58" s="39" t="inlineStr">
        <is>
          <t>Speargun</t>
        </is>
      </c>
      <c r="E58" s="39" t="n">
        <v>0.1</v>
      </c>
      <c r="F58" s="39" t="n">
        <v>0.3</v>
      </c>
      <c r="G58" s="39" t="inlineStr">
        <is>
          <t>status</t>
        </is>
      </c>
      <c r="H58" s="39" t="inlineStr">
        <is>
          <t>RIFLE_CRIT</t>
        </is>
      </c>
      <c r="I58" s="39" t="inlineStr">
        <is>
          <t>Serration | Galvanized Chamber | Point Strike | Vital Sense | Hammer Shot | Galvanized Aptitude | Primed Cryo Rounds | Malignant Force</t>
        </is>
      </c>
      <c r="J58" s="39" t="inlineStr">
        <is>
          <t>Primary Merciless</t>
        </is>
      </c>
      <c r="K58" s="39" t="inlineStr">
        <is>
          <t>Corrosive + Viral (status priority, Condition Overload/Galvanized scaling)</t>
        </is>
      </c>
      <c r="L58" s="39" t="inlineStr">
        <is>
          <t>-</t>
        </is>
      </c>
      <c r="M58" s="39" t="inlineStr">
        <is>
          <t>~3</t>
        </is>
      </c>
    </row>
    <row r="59">
      <c r="A59" s="39" t="inlineStr">
        <is>
          <t>Harrow Prime</t>
        </is>
      </c>
      <c r="B59" s="39" t="inlineStr">
        <is>
          <t>Secondary</t>
        </is>
      </c>
      <c r="C59" s="39" t="inlineStr">
        <is>
          <t>Knell Prime</t>
        </is>
      </c>
      <c r="D59" s="39" t="inlineStr">
        <is>
          <t>Pistol</t>
        </is>
      </c>
      <c r="E59" s="39" t="n">
        <v>0.4</v>
      </c>
      <c r="F59" s="39" t="n">
        <v>0.1</v>
      </c>
      <c r="G59" s="39" t="inlineStr">
        <is>
          <t>crit</t>
        </is>
      </c>
      <c r="H59" s="39" t="inlineStr">
        <is>
          <t>PISTOL_CRIT</t>
        </is>
      </c>
      <c r="I59" s="39" t="inlineStr">
        <is>
          <t>Hornet Strike | Galvanized Diffusion | Primed Pistol Gambit | Primed Target Cracker | Galvanized Crosshairs | Primed Heated Charge | Pathogen Rounds | Galvanized Shot</t>
        </is>
      </c>
      <c r="J59" s="39" t="inlineStr">
        <is>
          <t>Secondary Merciless</t>
        </is>
      </c>
      <c r="K59" s="39" t="inlineStr">
        <is>
          <t>Viral + Heat (Steel Path generalist; swap Heat-&gt;Corrosive vs armored Grineer)</t>
        </is>
      </c>
      <c r="L59" s="39" t="inlineStr">
        <is>
          <t>-</t>
        </is>
      </c>
      <c r="M59" s="39" t="inlineStr">
        <is>
          <t>~3</t>
        </is>
      </c>
    </row>
    <row r="60">
      <c r="A60" s="39" t="inlineStr">
        <is>
          <t>Harrow Prime</t>
        </is>
      </c>
      <c r="B60" s="39" t="inlineStr">
        <is>
          <t>Melee</t>
        </is>
      </c>
      <c r="C60" s="39" t="inlineStr">
        <is>
          <t>Dual Keres</t>
        </is>
      </c>
      <c r="D60" s="39" t="inlineStr">
        <is>
          <t>Dual Swords</t>
        </is>
      </c>
      <c r="E60" s="39" t="n">
        <v>0.28</v>
      </c>
      <c r="F60" s="39" t="n">
        <v>0.14</v>
      </c>
      <c r="G60" s="39" t="inlineStr">
        <is>
          <t>crit</t>
        </is>
      </c>
      <c r="H60" s="39" t="inlineStr">
        <is>
          <t>MELEE_CRIT</t>
        </is>
      </c>
      <c r="I60" s="39" t="inlineStr">
        <is>
          <t>Primed Pressure Point | Blood Rush | Weeping Wounds | Organ Shatter | Berserker Fury | Condition Overload | Primed Reach | Virulent Scourge</t>
        </is>
      </c>
      <c r="J60" s="39" t="inlineStr">
        <is>
          <t>Melee Duplicate</t>
        </is>
      </c>
      <c r="K60" s="39" t="inlineStr">
        <is>
          <t>Viral + Heat (Steel Path generalist; swap Heat-&gt;Corrosive vs armored Grineer)</t>
        </is>
      </c>
      <c r="L60" s="39" t="inlineStr">
        <is>
          <t>-</t>
        </is>
      </c>
      <c r="M60" s="39" t="inlineStr">
        <is>
          <t>~3</t>
        </is>
      </c>
    </row>
    <row r="61">
      <c r="A61" s="39" t="inlineStr">
        <is>
          <t>Hildryn Prime</t>
        </is>
      </c>
      <c r="B61" s="39" t="inlineStr">
        <is>
          <t>Primary</t>
        </is>
      </c>
      <c r="C61" s="39" t="inlineStr">
        <is>
          <t>Gorgon Wraith</t>
        </is>
      </c>
      <c r="D61" s="39" t="inlineStr">
        <is>
          <t>Rifle</t>
        </is>
      </c>
      <c r="E61" s="39" t="n">
        <v>0.15</v>
      </c>
      <c r="F61" s="39" t="n">
        <v>0.21</v>
      </c>
      <c r="G61" s="39" t="inlineStr">
        <is>
          <t>status</t>
        </is>
      </c>
      <c r="H61" s="39" t="inlineStr">
        <is>
          <t>RIFLE_CRIT</t>
        </is>
      </c>
      <c r="I61" s="39" t="inlineStr">
        <is>
          <t>Serration | Galvanized Chamber | Point Strike | Vital Sense | Hammer Shot | Galvanized Aptitude | Primed Cryo Rounds | Malignant Force</t>
        </is>
      </c>
      <c r="J61" s="39" t="inlineStr">
        <is>
          <t>Primary Merciless</t>
        </is>
      </c>
      <c r="K61" s="39" t="inlineStr">
        <is>
          <t>Corrosive + Viral (status priority, Condition Overload/Galvanized scaling)</t>
        </is>
      </c>
      <c r="L61" s="39" t="inlineStr">
        <is>
          <t>EVO2: Hunter's Mantra; EVO3: Resonant Restore; EVO4: Survivor's Edge</t>
        </is>
      </c>
      <c r="M61" s="39" t="inlineStr">
        <is>
          <t>~4 (Incarnon)</t>
        </is>
      </c>
    </row>
    <row r="62">
      <c r="A62" s="39" t="inlineStr">
        <is>
          <t>Hildryn Prime</t>
        </is>
      </c>
      <c r="B62" s="39" t="inlineStr">
        <is>
          <t>Melee</t>
        </is>
      </c>
      <c r="C62" s="39" t="inlineStr">
        <is>
          <t>Hirudo</t>
        </is>
      </c>
      <c r="D62" s="39" t="inlineStr">
        <is>
          <t>Sparring</t>
        </is>
      </c>
      <c r="E62" s="39" t="n">
        <v>0.3</v>
      </c>
      <c r="F62" s="39" t="n">
        <v>0.11</v>
      </c>
      <c r="G62" s="39" t="inlineStr">
        <is>
          <t>crit</t>
        </is>
      </c>
      <c r="H62" s="39" t="inlineStr">
        <is>
          <t>MELEE_CRIT</t>
        </is>
      </c>
      <c r="I62" s="39" t="inlineStr">
        <is>
          <t>Primed Pressure Point | Blood Rush | Weeping Wounds | Organ Shatter | Berserker Fury | Condition Overload | Primed Reach | Virulent Scourge</t>
        </is>
      </c>
      <c r="J62" s="39" t="inlineStr">
        <is>
          <t>Melee Duplicate</t>
        </is>
      </c>
      <c r="K62" s="39" t="inlineStr">
        <is>
          <t>Viral + Heat (Steel Path generalist; swap Heat-&gt;Corrosive vs armored Grineer)</t>
        </is>
      </c>
      <c r="L62" s="39" t="inlineStr">
        <is>
          <t>-</t>
        </is>
      </c>
      <c r="M62" s="39" t="inlineStr">
        <is>
          <t>~3</t>
        </is>
      </c>
    </row>
    <row r="63">
      <c r="A63" s="39" t="inlineStr">
        <is>
          <t>Hydroid Prime</t>
        </is>
      </c>
      <c r="B63" s="39" t="inlineStr">
        <is>
          <t>Primary</t>
        </is>
      </c>
      <c r="C63" s="39" t="inlineStr">
        <is>
          <t>Kuva Sobek</t>
        </is>
      </c>
      <c r="D63" s="39" t="inlineStr">
        <is>
          <t>Shotgun</t>
        </is>
      </c>
      <c r="E63" s="39" t="n">
        <v>0.21</v>
      </c>
      <c r="F63" s="39" t="n">
        <v>0.21</v>
      </c>
      <c r="G63" s="39" t="inlineStr">
        <is>
          <t>crit</t>
        </is>
      </c>
      <c r="H63" s="39" t="inlineStr">
        <is>
          <t>SHOTGUN</t>
        </is>
      </c>
      <c r="I63" s="39" t="inlineStr">
        <is>
          <t>Primed Point Blank | Galvanized Hell | Primed Ravage | Critical Deceleration | Galvanized Savvy | Primed Charged Shell | Toxic Barrage | Incendiary Coat</t>
        </is>
      </c>
      <c r="J63" s="39" t="inlineStr">
        <is>
          <t>Shotgun Vendetta</t>
        </is>
      </c>
      <c r="K63" s="39" t="inlineStr">
        <is>
          <t>Adversary innate element (see Adversary sheet) + Viral</t>
        </is>
      </c>
      <c r="L63" s="39" t="inlineStr">
        <is>
          <t>-</t>
        </is>
      </c>
      <c r="M63" s="39" t="inlineStr">
        <is>
          <t>5 Forma to Rank 40 + ~3 polarization</t>
        </is>
      </c>
    </row>
    <row r="64">
      <c r="A64" s="39" t="inlineStr">
        <is>
          <t>Hydroid Prime</t>
        </is>
      </c>
      <c r="B64" s="39" t="inlineStr">
        <is>
          <t>Secondary</t>
        </is>
      </c>
      <c r="C64" s="39" t="inlineStr">
        <is>
          <t>Pox</t>
        </is>
      </c>
      <c r="D64" s="39" t="inlineStr">
        <is>
          <t>Thrown</t>
        </is>
      </c>
      <c r="E64" s="39" t="n">
        <v>0.01</v>
      </c>
      <c r="F64" s="39" t="n">
        <v>0.35</v>
      </c>
      <c r="G64" s="39" t="inlineStr">
        <is>
          <t>status</t>
        </is>
      </c>
      <c r="H64" s="39" t="inlineStr">
        <is>
          <t>PISTOL_CRIT</t>
        </is>
      </c>
      <c r="I64" s="39" t="inlineStr">
        <is>
          <t>Hornet Strike | Galvanized Diffusion | Primed Pistol Gambit | Primed Target Cracker | Galvanized Crosshairs | Primed Heated Charge | Pathogen Rounds | Galvanized Shot</t>
        </is>
      </c>
      <c r="J64" s="39" t="inlineStr">
        <is>
          <t>Secondary Encumber</t>
        </is>
      </c>
      <c r="K64" s="39" t="inlineStr">
        <is>
          <t>Corrosive + Viral (status priority, Condition Overload/Galvanized scaling)</t>
        </is>
      </c>
      <c r="L64" s="39" t="inlineStr">
        <is>
          <t>-</t>
        </is>
      </c>
      <c r="M64" s="39" t="inlineStr">
        <is>
          <t>~3</t>
        </is>
      </c>
    </row>
    <row r="65">
      <c r="A65" s="39" t="inlineStr">
        <is>
          <t>Hydroid Prime</t>
        </is>
      </c>
      <c r="B65" s="39" t="inlineStr">
        <is>
          <t>Melee</t>
        </is>
      </c>
      <c r="C65" s="39" t="inlineStr">
        <is>
          <t>Nami Skyla Prime</t>
        </is>
      </c>
      <c r="D65" s="39" t="inlineStr">
        <is>
          <t>Dual Swords</t>
        </is>
      </c>
      <c r="E65" s="39" t="n">
        <v>0.22</v>
      </c>
      <c r="F65" s="39" t="n">
        <v>0.34</v>
      </c>
      <c r="G65" s="39" t="inlineStr">
        <is>
          <t>status</t>
        </is>
      </c>
      <c r="H65" s="39" t="inlineStr">
        <is>
          <t>MELEE_CRIT</t>
        </is>
      </c>
      <c r="I65" s="39" t="inlineStr">
        <is>
          <t>Primed Pressure Point | Blood Rush | Weeping Wounds | Organ Shatter | Berserker Fury | Condition Overload | Primed Reach | Virulent Scourge</t>
        </is>
      </c>
      <c r="J65" s="39" t="inlineStr">
        <is>
          <t>Melee Influence</t>
        </is>
      </c>
      <c r="K65" s="39" t="inlineStr">
        <is>
          <t>Corrosive + Viral (status priority, Condition Overload/Galvanized scaling)</t>
        </is>
      </c>
      <c r="L65" s="39" t="inlineStr">
        <is>
          <t>-</t>
        </is>
      </c>
      <c r="M65" s="39" t="inlineStr">
        <is>
          <t>~3</t>
        </is>
      </c>
    </row>
    <row r="66">
      <c r="A66" s="39" t="inlineStr">
        <is>
          <t>Inaros Prime</t>
        </is>
      </c>
      <c r="B66" s="39" t="inlineStr">
        <is>
          <t>Primary</t>
        </is>
      </c>
      <c r="C66" s="39" t="inlineStr">
        <is>
          <t>Panthera Prime</t>
        </is>
      </c>
      <c r="D66" s="39" t="inlineStr">
        <is>
          <t>Rifle</t>
        </is>
      </c>
      <c r="E66" s="39" t="n">
        <v>0.18</v>
      </c>
      <c r="F66" s="39" t="n">
        <v>0.3</v>
      </c>
      <c r="G66" s="39" t="inlineStr">
        <is>
          <t>status</t>
        </is>
      </c>
      <c r="H66" s="39" t="inlineStr">
        <is>
          <t>RIFLE_CRIT</t>
        </is>
      </c>
      <c r="I66" s="39" t="inlineStr">
        <is>
          <t>Serration | Galvanized Chamber | Point Strike | Vital Sense | Hammer Shot | Galvanized Aptitude | Primed Cryo Rounds | Malignant Force</t>
        </is>
      </c>
      <c r="J66" s="39" t="inlineStr">
        <is>
          <t>Primary Merciless</t>
        </is>
      </c>
      <c r="K66" s="39" t="inlineStr">
        <is>
          <t>Corrosive + Viral (status priority, Condition Overload/Galvanized scaling)</t>
        </is>
      </c>
      <c r="L66" s="39" t="inlineStr">
        <is>
          <t>-</t>
        </is>
      </c>
      <c r="M66" s="39" t="inlineStr">
        <is>
          <t>~3</t>
        </is>
      </c>
    </row>
    <row r="67">
      <c r="A67" s="39" t="inlineStr">
        <is>
          <t>Inaros Prime</t>
        </is>
      </c>
      <c r="B67" s="39" t="inlineStr">
        <is>
          <t>Secondary</t>
        </is>
      </c>
      <c r="C67" s="39" t="inlineStr">
        <is>
          <t>Zymos</t>
        </is>
      </c>
      <c r="D67" s="39" t="inlineStr">
        <is>
          <t>Pistol</t>
        </is>
      </c>
      <c r="E67" s="39" t="n">
        <v>0.05</v>
      </c>
      <c r="F67" s="39" t="n">
        <v>0.3</v>
      </c>
      <c r="G67" s="39" t="inlineStr">
        <is>
          <t>status</t>
        </is>
      </c>
      <c r="H67" s="39" t="inlineStr">
        <is>
          <t>PISTOL_CRIT</t>
        </is>
      </c>
      <c r="I67" s="39" t="inlineStr">
        <is>
          <t>Hornet Strike | Galvanized Diffusion | Primed Pistol Gambit | Primed Target Cracker | Galvanized Crosshairs | Primed Heated Charge | Pathogen Rounds | Galvanized Shot</t>
        </is>
      </c>
      <c r="J67" s="39" t="inlineStr">
        <is>
          <t>Secondary Encumber</t>
        </is>
      </c>
      <c r="K67" s="39" t="inlineStr">
        <is>
          <t>Corrosive + Viral (status priority, Condition Overload/Galvanized scaling)</t>
        </is>
      </c>
      <c r="L67" s="39" t="inlineStr">
        <is>
          <t>-</t>
        </is>
      </c>
      <c r="M67" s="39" t="inlineStr">
        <is>
          <t>~3</t>
        </is>
      </c>
    </row>
    <row r="68">
      <c r="A68" s="39" t="inlineStr">
        <is>
          <t>Inaros Prime</t>
        </is>
      </c>
      <c r="B68" s="39" t="inlineStr">
        <is>
          <t>Melee</t>
        </is>
      </c>
      <c r="C68" s="39" t="inlineStr">
        <is>
          <t>Karyst Prime</t>
        </is>
      </c>
      <c r="D68" s="39" t="inlineStr">
        <is>
          <t>Dagger</t>
        </is>
      </c>
      <c r="E68" s="39" t="n">
        <v>0.24</v>
      </c>
      <c r="F68" s="39" t="n">
        <v>0.3</v>
      </c>
      <c r="G68" s="39" t="inlineStr">
        <is>
          <t>crit</t>
        </is>
      </c>
      <c r="H68" s="39" t="inlineStr">
        <is>
          <t>MELEE_CRIT</t>
        </is>
      </c>
      <c r="I68" s="39" t="inlineStr">
        <is>
          <t>Primed Pressure Point | Blood Rush | Weeping Wounds | Organ Shatter | Berserker Fury | Condition Overload | Primed Reach | Virulent Scourge</t>
        </is>
      </c>
      <c r="J68" s="39" t="inlineStr">
        <is>
          <t>Melee Duplicate</t>
        </is>
      </c>
      <c r="K68" s="39" t="inlineStr">
        <is>
          <t>Viral + Heat (Steel Path generalist; swap Heat-&gt;Corrosive vs armored Grineer)</t>
        </is>
      </c>
      <c r="L68" s="39" t="inlineStr">
        <is>
          <t>-</t>
        </is>
      </c>
      <c r="M68" s="39" t="inlineStr">
        <is>
          <t>~3</t>
        </is>
      </c>
    </row>
    <row r="69">
      <c r="A69" s="39" t="inlineStr">
        <is>
          <t>Ivara Prime</t>
        </is>
      </c>
      <c r="B69" s="39" t="inlineStr">
        <is>
          <t>Secondary</t>
        </is>
      </c>
      <c r="C69" s="39" t="inlineStr">
        <is>
          <t>Akstiletto Prime</t>
        </is>
      </c>
      <c r="D69" s="39" t="inlineStr">
        <is>
          <t>Dual Pistols</t>
        </is>
      </c>
      <c r="E69" s="39" t="n">
        <v>0.15</v>
      </c>
      <c r="F69" s="39" t="n">
        <v>0.3</v>
      </c>
      <c r="G69" s="39" t="inlineStr">
        <is>
          <t>status</t>
        </is>
      </c>
      <c r="H69" s="39" t="inlineStr">
        <is>
          <t>PISTOL_CRIT</t>
        </is>
      </c>
      <c r="I69" s="39" t="inlineStr">
        <is>
          <t>Hornet Strike | Galvanized Diffusion | Primed Pistol Gambit | Primed Target Cracker | Galvanized Crosshairs | Primed Heated Charge | Pathogen Rounds | Galvanized Shot</t>
        </is>
      </c>
      <c r="J69" s="39" t="inlineStr">
        <is>
          <t>Secondary Encumber</t>
        </is>
      </c>
      <c r="K69" s="39" t="inlineStr">
        <is>
          <t>Corrosive + Viral (status priority, Condition Overload/Galvanized scaling)</t>
        </is>
      </c>
      <c r="L69" s="39" t="inlineStr">
        <is>
          <t>-</t>
        </is>
      </c>
      <c r="M69" s="39" t="inlineStr">
        <is>
          <t>~3</t>
        </is>
      </c>
    </row>
    <row r="70">
      <c r="A70" s="39" t="inlineStr">
        <is>
          <t>Ivara Prime</t>
        </is>
      </c>
      <c r="B70" s="39" t="inlineStr">
        <is>
          <t>Melee</t>
        </is>
      </c>
      <c r="C70" s="39" t="inlineStr">
        <is>
          <t>Cerata</t>
        </is>
      </c>
      <c r="D70" s="39" t="inlineStr">
        <is>
          <t>Glaive</t>
        </is>
      </c>
      <c r="E70" s="39" t="n">
        <v>0.15</v>
      </c>
      <c r="F70" s="39" t="n">
        <v>0.3</v>
      </c>
      <c r="G70" s="39" t="inlineStr">
        <is>
          <t>status</t>
        </is>
      </c>
      <c r="H70" s="39" t="inlineStr">
        <is>
          <t>MELEE_CRIT</t>
        </is>
      </c>
      <c r="I70" s="39" t="inlineStr">
        <is>
          <t>Primed Pressure Point | Blood Rush | Weeping Wounds | Organ Shatter | Berserker Fury | Condition Overload | Primed Reach | Virulent Scourge</t>
        </is>
      </c>
      <c r="J70" s="39" t="inlineStr">
        <is>
          <t>Melee Influence</t>
        </is>
      </c>
      <c r="K70" s="39" t="inlineStr">
        <is>
          <t>Corrosive + Viral (status priority, Condition Overload/Galvanized scaling)</t>
        </is>
      </c>
      <c r="L70" s="39" t="inlineStr">
        <is>
          <t>-</t>
        </is>
      </c>
      <c r="M70" s="39" t="inlineStr">
        <is>
          <t>~3</t>
        </is>
      </c>
    </row>
    <row r="71">
      <c r="A71" s="39" t="inlineStr">
        <is>
          <t>Jade</t>
        </is>
      </c>
      <c r="B71" s="39" t="inlineStr">
        <is>
          <t>Primary</t>
        </is>
      </c>
      <c r="C71" s="39" t="inlineStr">
        <is>
          <t>Evensong</t>
        </is>
      </c>
      <c r="D71" s="39" t="inlineStr">
        <is>
          <t>Bow</t>
        </is>
      </c>
      <c r="E71" s="39" t="n">
        <v>0.25</v>
      </c>
      <c r="F71" s="39" t="n">
        <v>0.38</v>
      </c>
      <c r="G71" s="39" t="inlineStr">
        <is>
          <t>crit</t>
        </is>
      </c>
      <c r="H71" s="39" t="inlineStr">
        <is>
          <t>RIFLE_CRIT</t>
        </is>
      </c>
      <c r="I71" s="39" t="inlineStr">
        <is>
          <t>Serration | Galvanized Chamber | Point Strike | Vital Sense | Hammer Shot | Galvanized Aptitude | Primed Cryo Rounds | Malignant Force</t>
        </is>
      </c>
      <c r="J71" s="39" t="inlineStr">
        <is>
          <t>Primary Deadhead</t>
        </is>
      </c>
      <c r="K71" s="39" t="inlineStr">
        <is>
          <t>Viral + Heat (Steel Path generalist; swap Heat-&gt;Corrosive vs armored Grineer)</t>
        </is>
      </c>
      <c r="L71" s="39" t="inlineStr">
        <is>
          <t>-</t>
        </is>
      </c>
      <c r="M71" s="39" t="inlineStr">
        <is>
          <t>~3</t>
        </is>
      </c>
    </row>
    <row r="72">
      <c r="A72" s="39" t="inlineStr">
        <is>
          <t>Jade</t>
        </is>
      </c>
      <c r="B72" s="39" t="inlineStr">
        <is>
          <t>Secondary</t>
        </is>
      </c>
      <c r="C72" s="39" t="inlineStr">
        <is>
          <t>Cantare</t>
        </is>
      </c>
      <c r="D72" s="39" t="inlineStr">
        <is>
          <t>Thrown</t>
        </is>
      </c>
      <c r="E72" s="39" t="n">
        <v>0.18</v>
      </c>
      <c r="F72" s="39" t="n">
        <v>0.22</v>
      </c>
      <c r="G72" s="39" t="inlineStr">
        <is>
          <t>status</t>
        </is>
      </c>
      <c r="H72" s="39" t="inlineStr">
        <is>
          <t>PISTOL_CRIT</t>
        </is>
      </c>
      <c r="I72" s="39" t="inlineStr">
        <is>
          <t>Hornet Strike | Galvanized Diffusion | Primed Pistol Gambit | Primed Target Cracker | Galvanized Crosshairs | Primed Heated Charge | Pathogen Rounds | Galvanized Shot</t>
        </is>
      </c>
      <c r="J72" s="39" t="inlineStr">
        <is>
          <t>Secondary Encumber</t>
        </is>
      </c>
      <c r="K72" s="39" t="inlineStr">
        <is>
          <t>Corrosive + Viral (status priority, Condition Overload/Galvanized scaling)</t>
        </is>
      </c>
      <c r="L72" s="39" t="inlineStr">
        <is>
          <t>-</t>
        </is>
      </c>
      <c r="M72" s="39" t="inlineStr">
        <is>
          <t>~3</t>
        </is>
      </c>
    </row>
    <row r="73">
      <c r="A73" s="39" t="inlineStr">
        <is>
          <t>Jade</t>
        </is>
      </c>
      <c r="B73" s="39" t="inlineStr">
        <is>
          <t>Melee</t>
        </is>
      </c>
      <c r="C73" s="39" t="inlineStr">
        <is>
          <t>Harmony</t>
        </is>
      </c>
      <c r="D73" s="39" t="inlineStr">
        <is>
          <t>Scythe</t>
        </is>
      </c>
      <c r="E73" s="39" t="n">
        <v>0.2</v>
      </c>
      <c r="F73" s="39" t="n">
        <v>0.36</v>
      </c>
      <c r="G73" s="39" t="inlineStr">
        <is>
          <t>status</t>
        </is>
      </c>
      <c r="H73" s="39" t="inlineStr">
        <is>
          <t>MELEE_CRIT</t>
        </is>
      </c>
      <c r="I73" s="39" t="inlineStr">
        <is>
          <t>Primed Pressure Point | Blood Rush | Weeping Wounds | Organ Shatter | Berserker Fury | Condition Overload | Primed Reach | Virulent Scourge</t>
        </is>
      </c>
      <c r="J73" s="39" t="inlineStr">
        <is>
          <t>Melee Influence</t>
        </is>
      </c>
      <c r="K73" s="39" t="inlineStr">
        <is>
          <t>Corrosive + Viral (status priority, Condition Overload/Galvanized scaling)</t>
        </is>
      </c>
      <c r="L73" s="39" t="inlineStr">
        <is>
          <t>-</t>
        </is>
      </c>
      <c r="M73" s="39" t="inlineStr">
        <is>
          <t>~3</t>
        </is>
      </c>
    </row>
    <row r="74">
      <c r="A74" s="39" t="inlineStr">
        <is>
          <t>Khora Prime</t>
        </is>
      </c>
      <c r="B74" s="39" t="inlineStr">
        <is>
          <t>Primary</t>
        </is>
      </c>
      <c r="C74" s="39" t="inlineStr">
        <is>
          <t>Corinth Prime</t>
        </is>
      </c>
      <c r="D74" s="39" t="inlineStr">
        <is>
          <t>Shotgun</t>
        </is>
      </c>
      <c r="E74" s="39" t="n">
        <v>0.3</v>
      </c>
      <c r="F74" s="39" t="n">
        <v>0.09</v>
      </c>
      <c r="G74" s="39" t="inlineStr">
        <is>
          <t>crit</t>
        </is>
      </c>
      <c r="H74" s="39" t="inlineStr">
        <is>
          <t>SHOTGUN</t>
        </is>
      </c>
      <c r="I74" s="39" t="inlineStr">
        <is>
          <t>Primed Point Blank | Galvanized Hell | Primed Ravage | Critical Deceleration | Galvanized Savvy | Primed Charged Shell | Toxic Barrage | Incendiary Coat</t>
        </is>
      </c>
      <c r="J74" s="39" t="inlineStr">
        <is>
          <t>Shotgun Vendetta</t>
        </is>
      </c>
      <c r="K74" s="39" t="inlineStr">
        <is>
          <t>Viral + Heat (Steel Path generalist; swap Heat-&gt;Corrosive vs armored Grineer)</t>
        </is>
      </c>
      <c r="L74" s="39" t="inlineStr">
        <is>
          <t>-</t>
        </is>
      </c>
      <c r="M74" s="39" t="inlineStr">
        <is>
          <t>~3</t>
        </is>
      </c>
    </row>
    <row r="75">
      <c r="A75" s="39" t="inlineStr">
        <is>
          <t>Khora Prime</t>
        </is>
      </c>
      <c r="B75" s="39" t="inlineStr">
        <is>
          <t>Secondary</t>
        </is>
      </c>
      <c r="C75" s="39" t="inlineStr">
        <is>
          <t>Hystrix Prime</t>
        </is>
      </c>
      <c r="D75" s="39" t="inlineStr">
        <is>
          <t>Pistol</t>
        </is>
      </c>
      <c r="E75" s="39" t="n">
        <v>0.28</v>
      </c>
      <c r="F75" s="39" t="n">
        <v>0.2</v>
      </c>
      <c r="G75" s="39" t="inlineStr">
        <is>
          <t>crit</t>
        </is>
      </c>
      <c r="H75" s="39" t="inlineStr">
        <is>
          <t>PISTOL_CRIT</t>
        </is>
      </c>
      <c r="I75" s="39" t="inlineStr">
        <is>
          <t>Hornet Strike | Galvanized Diffusion | Primed Pistol Gambit | Primed Target Cracker | Galvanized Crosshairs | Primed Heated Charge | Pathogen Rounds | Galvanized Shot</t>
        </is>
      </c>
      <c r="J75" s="39" t="inlineStr">
        <is>
          <t>Secondary Merciless</t>
        </is>
      </c>
      <c r="K75" s="39" t="inlineStr">
        <is>
          <t>Viral + Heat (Steel Path generalist; swap Heat-&gt;Corrosive vs armored Grineer)</t>
        </is>
      </c>
      <c r="L75" s="39" t="inlineStr">
        <is>
          <t>-</t>
        </is>
      </c>
      <c r="M75" s="39" t="inlineStr">
        <is>
          <t>~3</t>
        </is>
      </c>
    </row>
    <row r="76">
      <c r="A76" s="39" t="inlineStr">
        <is>
          <t>Khora Prime</t>
        </is>
      </c>
      <c r="B76" s="39" t="inlineStr">
        <is>
          <t>Melee</t>
        </is>
      </c>
      <c r="C76" s="39" t="inlineStr">
        <is>
          <t>Dual Keres Prime</t>
        </is>
      </c>
      <c r="D76" s="39" t="inlineStr">
        <is>
          <t>Dual Swords</t>
        </is>
      </c>
      <c r="E76" s="39" t="n">
        <v>0.32</v>
      </c>
      <c r="F76" s="39" t="n">
        <v>0.24</v>
      </c>
      <c r="G76" s="39" t="inlineStr">
        <is>
          <t>crit</t>
        </is>
      </c>
      <c r="H76" s="39" t="inlineStr">
        <is>
          <t>MELEE_CRIT</t>
        </is>
      </c>
      <c r="I76" s="39" t="inlineStr">
        <is>
          <t>Primed Pressure Point | Blood Rush | Weeping Wounds | Organ Shatter | Berserker Fury | Condition Overload | Primed Reach | Virulent Scourge</t>
        </is>
      </c>
      <c r="J76" s="39" t="inlineStr">
        <is>
          <t>Melee Duplicate</t>
        </is>
      </c>
      <c r="K76" s="39" t="inlineStr">
        <is>
          <t>Viral + Heat (Steel Path generalist; swap Heat-&gt;Corrosive vs armored Grineer)</t>
        </is>
      </c>
      <c r="L76" s="39" t="inlineStr">
        <is>
          <t>-</t>
        </is>
      </c>
      <c r="M76" s="39" t="inlineStr">
        <is>
          <t>~3</t>
        </is>
      </c>
    </row>
    <row r="77">
      <c r="A77" s="39" t="inlineStr">
        <is>
          <t>Koumei</t>
        </is>
      </c>
      <c r="B77" s="39" t="inlineStr">
        <is>
          <t>Primary</t>
        </is>
      </c>
      <c r="C77" s="39" t="inlineStr">
        <is>
          <t>Higasa</t>
        </is>
      </c>
      <c r="D77" s="39" t="inlineStr">
        <is>
          <t>Rifle</t>
        </is>
      </c>
      <c r="E77" s="39" t="n">
        <v>0.24</v>
      </c>
      <c r="F77" s="39" t="n">
        <v>0.18</v>
      </c>
      <c r="G77" s="39" t="inlineStr">
        <is>
          <t>crit</t>
        </is>
      </c>
      <c r="H77" s="39" t="inlineStr">
        <is>
          <t>RIFLE_CRIT</t>
        </is>
      </c>
      <c r="I77" s="39" t="inlineStr">
        <is>
          <t>Serration | Galvanized Chamber | Point Strike | Vital Sense | Hammer Shot | Galvanized Aptitude | Primed Cryo Rounds | Malignant Force</t>
        </is>
      </c>
      <c r="J77" s="39" t="inlineStr">
        <is>
          <t>Primary Merciless</t>
        </is>
      </c>
      <c r="K77" s="39" t="inlineStr">
        <is>
          <t>Viral + Heat (Steel Path generalist; swap Heat-&gt;Corrosive vs armored Grineer)</t>
        </is>
      </c>
      <c r="L77" s="39" t="inlineStr">
        <is>
          <t>-</t>
        </is>
      </c>
      <c r="M77" s="39" t="inlineStr">
        <is>
          <t>~3</t>
        </is>
      </c>
    </row>
    <row r="78">
      <c r="A78" s="39" t="inlineStr">
        <is>
          <t>Koumei</t>
        </is>
      </c>
      <c r="B78" s="39" t="inlineStr">
        <is>
          <t>Secondary</t>
        </is>
      </c>
      <c r="C78" s="39" t="inlineStr">
        <is>
          <t>Kunai</t>
        </is>
      </c>
      <c r="D78" s="39" t="inlineStr">
        <is>
          <t>Thrown</t>
        </is>
      </c>
      <c r="E78" s="39" t="n">
        <v>0.08</v>
      </c>
      <c r="F78" s="39" t="n">
        <v>0.08</v>
      </c>
      <c r="G78" s="39" t="inlineStr">
        <is>
          <t>crit</t>
        </is>
      </c>
      <c r="H78" s="39" t="inlineStr">
        <is>
          <t>PISTOL_CRIT</t>
        </is>
      </c>
      <c r="I78" s="39" t="inlineStr">
        <is>
          <t>Hornet Strike | Galvanized Diffusion | Primed Pistol Gambit | Primed Target Cracker | Galvanized Crosshairs | Primed Heated Charge | Pathogen Rounds | Galvanized Shot</t>
        </is>
      </c>
      <c r="J78" s="39" t="inlineStr">
        <is>
          <t>Secondary Merciless</t>
        </is>
      </c>
      <c r="K78" s="39" t="inlineStr">
        <is>
          <t>Viral + Heat (Steel Path generalist; swap Heat-&gt;Corrosive vs armored Grineer)</t>
        </is>
      </c>
      <c r="L78" s="39" t="inlineStr">
        <is>
          <t>EVO2: Sage's Resolve; EVO3: Swift Deliverance; EVO4: Deathtrap Trigger</t>
        </is>
      </c>
      <c r="M78" s="39" t="inlineStr">
        <is>
          <t>~4 (Incarnon)</t>
        </is>
      </c>
    </row>
    <row r="79">
      <c r="A79" s="39" t="inlineStr">
        <is>
          <t>Koumei</t>
        </is>
      </c>
      <c r="B79" s="39" t="inlineStr">
        <is>
          <t>Melee</t>
        </is>
      </c>
      <c r="C79" s="39" t="inlineStr">
        <is>
          <t>Amanata</t>
        </is>
      </c>
      <c r="D79" s="39" t="inlineStr">
        <is>
          <t>Polearm</t>
        </is>
      </c>
      <c r="E79" s="39" t="n">
        <v>0.24</v>
      </c>
      <c r="F79" s="39" t="n">
        <v>0.24</v>
      </c>
      <c r="G79" s="39" t="inlineStr">
        <is>
          <t>crit</t>
        </is>
      </c>
      <c r="H79" s="39" t="inlineStr">
        <is>
          <t>MELEE_CRIT</t>
        </is>
      </c>
      <c r="I79" s="39" t="inlineStr">
        <is>
          <t>Primed Pressure Point | Blood Rush | Weeping Wounds | Organ Shatter | Berserker Fury | Condition Overload | Primed Reach | Virulent Scourge</t>
        </is>
      </c>
      <c r="J79" s="39" t="inlineStr">
        <is>
          <t>Melee Duplicate</t>
        </is>
      </c>
      <c r="K79" s="39" t="inlineStr">
        <is>
          <t>Viral + Heat (Steel Path generalist; swap Heat-&gt;Corrosive vs armored Grineer)</t>
        </is>
      </c>
      <c r="L79" s="39" t="inlineStr">
        <is>
          <t>-</t>
        </is>
      </c>
      <c r="M79" s="39" t="inlineStr">
        <is>
          <t>~3</t>
        </is>
      </c>
    </row>
    <row r="80">
      <c r="A80" s="39" t="inlineStr">
        <is>
          <t>Kullervo</t>
        </is>
      </c>
      <c r="B80" s="39" t="inlineStr">
        <is>
          <t>Primary</t>
        </is>
      </c>
      <c r="C80" s="39" t="inlineStr">
        <is>
          <t>Rauta</t>
        </is>
      </c>
      <c r="D80" s="39" t="inlineStr">
        <is>
          <t>Shotgun</t>
        </is>
      </c>
      <c r="E80" s="39" t="n">
        <v>0.06</v>
      </c>
      <c r="F80" s="39" t="n">
        <v>0.12</v>
      </c>
      <c r="G80" s="39" t="inlineStr">
        <is>
          <t>status</t>
        </is>
      </c>
      <c r="H80" s="39" t="inlineStr">
        <is>
          <t>SHOTGUN</t>
        </is>
      </c>
      <c r="I80" s="39" t="inlineStr">
        <is>
          <t>Primed Point Blank | Galvanized Hell | Primed Ravage | Critical Deceleration | Galvanized Savvy | Primed Charged Shell | Toxic Barrage | Incendiary Coat</t>
        </is>
      </c>
      <c r="J80" s="39" t="inlineStr">
        <is>
          <t>Shotgun Vendetta</t>
        </is>
      </c>
      <c r="K80" s="39" t="inlineStr">
        <is>
          <t>Corrosive + Viral (status priority, Condition Overload/Galvanized scaling)</t>
        </is>
      </c>
      <c r="L80" s="39" t="inlineStr">
        <is>
          <t>-</t>
        </is>
      </c>
      <c r="M80" s="39" t="inlineStr">
        <is>
          <t>~3</t>
        </is>
      </c>
    </row>
    <row r="81">
      <c r="A81" s="39" t="inlineStr">
        <is>
          <t>Kullervo</t>
        </is>
      </c>
      <c r="B81" s="39" t="inlineStr">
        <is>
          <t>Secondary</t>
        </is>
      </c>
      <c r="C81" s="39" t="inlineStr">
        <is>
          <t>Epitaph</t>
        </is>
      </c>
      <c r="D81" s="39" t="inlineStr">
        <is>
          <t>Pistol</t>
        </is>
      </c>
      <c r="E81" s="39" t="n">
        <v>0.48</v>
      </c>
      <c r="F81" s="39" t="n">
        <v>0.04</v>
      </c>
      <c r="G81" s="39" t="inlineStr">
        <is>
          <t>crit</t>
        </is>
      </c>
      <c r="H81" s="39" t="inlineStr">
        <is>
          <t>PISTOL_CRIT</t>
        </is>
      </c>
      <c r="I81" s="39" t="inlineStr">
        <is>
          <t>Hornet Strike | Galvanized Diffusion | Primed Pistol Gambit | Primed Target Cracker | Galvanized Crosshairs | Primed Heated Charge | Pathogen Rounds | Galvanized Shot</t>
        </is>
      </c>
      <c r="J81" s="39" t="inlineStr">
        <is>
          <t>Secondary Outburst</t>
        </is>
      </c>
      <c r="K81" s="39" t="inlineStr">
        <is>
          <t>Viral + Heat (Steel Path generalist; swap Heat-&gt;Corrosive vs armored Grineer)</t>
        </is>
      </c>
      <c r="L81" s="39" t="inlineStr">
        <is>
          <t>-</t>
        </is>
      </c>
      <c r="M81" s="39" t="inlineStr">
        <is>
          <t>~3</t>
        </is>
      </c>
    </row>
    <row r="82">
      <c r="A82" s="39" t="inlineStr">
        <is>
          <t>Kullervo</t>
        </is>
      </c>
      <c r="B82" s="39" t="inlineStr">
        <is>
          <t>Melee</t>
        </is>
      </c>
      <c r="C82" s="39" t="inlineStr">
        <is>
          <t>Azothane</t>
        </is>
      </c>
      <c r="D82" s="39" t="inlineStr">
        <is>
          <t>Two-Handed Nikana</t>
        </is>
      </c>
      <c r="E82" s="39" t="n">
        <v>0.34</v>
      </c>
      <c r="F82" s="39" t="n">
        <v>0.22</v>
      </c>
      <c r="G82" s="39" t="inlineStr">
        <is>
          <t>crit</t>
        </is>
      </c>
      <c r="H82" s="39" t="inlineStr">
        <is>
          <t>MELEE_CRIT</t>
        </is>
      </c>
      <c r="I82" s="39" t="inlineStr">
        <is>
          <t>Primed Pressure Point | Blood Rush | Weeping Wounds | Organ Shatter | Berserker Fury | Condition Overload | Primed Reach | Virulent Scourge</t>
        </is>
      </c>
      <c r="J82" s="39" t="inlineStr">
        <is>
          <t>Melee Duplicate</t>
        </is>
      </c>
      <c r="K82" s="39" t="inlineStr">
        <is>
          <t>Viral + Heat (Steel Path generalist; swap Heat-&gt;Corrosive vs armored Grineer)</t>
        </is>
      </c>
      <c r="L82" s="39" t="inlineStr">
        <is>
          <t>-</t>
        </is>
      </c>
      <c r="M82" s="39" t="inlineStr">
        <is>
          <t>~3</t>
        </is>
      </c>
    </row>
    <row r="83">
      <c r="A83" s="39" t="inlineStr">
        <is>
          <t>Lavos Prime</t>
        </is>
      </c>
      <c r="B83" s="39" t="inlineStr">
        <is>
          <t>Primary</t>
        </is>
      </c>
      <c r="C83" s="39" t="inlineStr">
        <is>
          <t>Cedo Prime</t>
        </is>
      </c>
      <c r="D83" s="39" t="inlineStr">
        <is>
          <t>Shotgun</t>
        </is>
      </c>
      <c r="E83" s="39" t="n">
        <v>0.24</v>
      </c>
      <c r="F83" s="39" t="n">
        <v>0.02</v>
      </c>
      <c r="G83" s="39" t="inlineStr">
        <is>
          <t>crit</t>
        </is>
      </c>
      <c r="H83" s="39" t="inlineStr">
        <is>
          <t>SHOTGUN</t>
        </is>
      </c>
      <c r="I83" s="39" t="inlineStr">
        <is>
          <t>Primed Point Blank | Galvanized Hell | Primed Ravage | Critical Deceleration | Galvanized Savvy | Primed Charged Shell | Toxic Barrage | Incendiary Coat</t>
        </is>
      </c>
      <c r="J83" s="39" t="inlineStr">
        <is>
          <t>Shotgun Vendetta</t>
        </is>
      </c>
      <c r="K83" s="39" t="inlineStr">
        <is>
          <t>Viral + Heat (Steel Path generalist; swap Heat-&gt;Corrosive vs armored Grineer)</t>
        </is>
      </c>
      <c r="L83" s="39" t="inlineStr">
        <is>
          <t>-</t>
        </is>
      </c>
      <c r="M83" s="39" t="inlineStr">
        <is>
          <t>~3</t>
        </is>
      </c>
    </row>
    <row r="84">
      <c r="A84" s="39" t="inlineStr">
        <is>
          <t>Lavos Prime</t>
        </is>
      </c>
      <c r="B84" s="39" t="inlineStr">
        <is>
          <t>Secondary</t>
        </is>
      </c>
      <c r="C84" s="39" t="inlineStr">
        <is>
          <t>Cyanex</t>
        </is>
      </c>
      <c r="D84" s="39" t="inlineStr">
        <is>
          <t>Pistol</t>
        </is>
      </c>
      <c r="E84" s="39" t="n">
        <v>0.08</v>
      </c>
      <c r="F84" s="39" t="n">
        <v>0.32</v>
      </c>
      <c r="G84" s="39" t="inlineStr">
        <is>
          <t>status</t>
        </is>
      </c>
      <c r="H84" s="39" t="inlineStr">
        <is>
          <t>PISTOL_CRIT</t>
        </is>
      </c>
      <c r="I84" s="39" t="inlineStr">
        <is>
          <t>Hornet Strike | Galvanized Diffusion | Primed Pistol Gambit | Primed Target Cracker | Galvanized Crosshairs | Primed Heated Charge | Pathogen Rounds | Galvanized Shot</t>
        </is>
      </c>
      <c r="J84" s="39" t="inlineStr">
        <is>
          <t>Secondary Encumber</t>
        </is>
      </c>
      <c r="K84" s="39" t="inlineStr">
        <is>
          <t>Corrosive + Viral (status priority, Condition Overload/Galvanized scaling)</t>
        </is>
      </c>
      <c r="L84" s="39" t="inlineStr">
        <is>
          <t>-</t>
        </is>
      </c>
      <c r="M84" s="39" t="inlineStr">
        <is>
          <t>~3</t>
        </is>
      </c>
    </row>
    <row r="85">
      <c r="A85" s="39" t="inlineStr">
        <is>
          <t>Lavos Prime</t>
        </is>
      </c>
      <c r="B85" s="39" t="inlineStr">
        <is>
          <t>Melee</t>
        </is>
      </c>
      <c r="C85" s="39" t="inlineStr">
        <is>
          <t>Dual Zoren Prime</t>
        </is>
      </c>
      <c r="D85" s="39" t="inlineStr">
        <is>
          <t>Dual Swords</t>
        </is>
      </c>
      <c r="E85" s="39" t="n">
        <v>0.3</v>
      </c>
      <c r="F85" s="39" t="n">
        <v>0.22</v>
      </c>
      <c r="G85" s="39" t="inlineStr">
        <is>
          <t>crit</t>
        </is>
      </c>
      <c r="H85" s="39" t="inlineStr">
        <is>
          <t>MELEE_CRIT</t>
        </is>
      </c>
      <c r="I85" s="39" t="inlineStr">
        <is>
          <t>Primed Pressure Point | Blood Rush | Weeping Wounds | Organ Shatter | Berserker Fury | Condition Overload | Primed Reach | Virulent Scourge</t>
        </is>
      </c>
      <c r="J85" s="39" t="inlineStr">
        <is>
          <t>Melee Duplicate</t>
        </is>
      </c>
      <c r="K85" s="39" t="inlineStr">
        <is>
          <t>Viral + Heat (Steel Path generalist; swap Heat-&gt;Corrosive vs armored Grineer)</t>
        </is>
      </c>
      <c r="L85" s="39" t="inlineStr">
        <is>
          <t>-</t>
        </is>
      </c>
      <c r="M85" s="39" t="inlineStr">
        <is>
          <t>~3</t>
        </is>
      </c>
    </row>
    <row r="86">
      <c r="A86" s="39" t="inlineStr">
        <is>
          <t>Limbo Prime</t>
        </is>
      </c>
      <c r="B86" s="39" t="inlineStr">
        <is>
          <t>Primary</t>
        </is>
      </c>
      <c r="C86" s="39" t="inlineStr">
        <is>
          <t>Vectis</t>
        </is>
      </c>
      <c r="D86" s="39" t="inlineStr">
        <is>
          <t>Sniper Rifle</t>
        </is>
      </c>
      <c r="E86" s="39" t="n">
        <v>0.25</v>
      </c>
      <c r="F86" s="39" t="n">
        <v>0.3</v>
      </c>
      <c r="G86" s="39" t="inlineStr">
        <is>
          <t>crit</t>
        </is>
      </c>
      <c r="H86" s="39" t="inlineStr">
        <is>
          <t>RIFLE_CRIT</t>
        </is>
      </c>
      <c r="I86" s="39" t="inlineStr">
        <is>
          <t>Serration | Galvanized Chamber | Point Strike | Vital Sense | Hammer Shot | Galvanized Aptitude | Primed Cryo Rounds | Malignant Force</t>
        </is>
      </c>
      <c r="J86" s="39" t="inlineStr">
        <is>
          <t>Primary Deadhead</t>
        </is>
      </c>
      <c r="K86" s="39" t="inlineStr">
        <is>
          <t>Viral + Heat (Steel Path generalist; swap Heat-&gt;Corrosive vs armored Grineer)</t>
        </is>
      </c>
      <c r="L86" s="39" t="inlineStr">
        <is>
          <t>EVO2: Lone Enforcer; EVO3: Rapid Reinforcement; EVO4: Critical Parallel</t>
        </is>
      </c>
      <c r="M86" s="39" t="inlineStr">
        <is>
          <t>~4 (Incarnon)</t>
        </is>
      </c>
    </row>
    <row r="87">
      <c r="A87" s="39" t="inlineStr">
        <is>
          <t>Limbo Prime</t>
        </is>
      </c>
      <c r="B87" s="39" t="inlineStr">
        <is>
          <t>Secondary</t>
        </is>
      </c>
      <c r="C87" s="39" t="inlineStr">
        <is>
          <t>Pyrana Prime</t>
        </is>
      </c>
      <c r="D87" s="39" t="inlineStr">
        <is>
          <t>Shotgun Sidearm</t>
        </is>
      </c>
      <c r="E87" s="39" t="n">
        <v>0.24</v>
      </c>
      <c r="F87" s="39" t="n">
        <v>0.036</v>
      </c>
      <c r="G87" s="39" t="inlineStr">
        <is>
          <t>crit</t>
        </is>
      </c>
      <c r="H87" s="39" t="inlineStr">
        <is>
          <t>PISTOL_CRIT</t>
        </is>
      </c>
      <c r="I87" s="39" t="inlineStr">
        <is>
          <t>Hornet Strike | Galvanized Diffusion | Primed Pistol Gambit | Primed Target Cracker | Galvanized Crosshairs | Primed Heated Charge | Pathogen Rounds | Galvanized Shot</t>
        </is>
      </c>
      <c r="J87" s="39" t="inlineStr">
        <is>
          <t>Secondary Merciless</t>
        </is>
      </c>
      <c r="K87" s="39" t="inlineStr">
        <is>
          <t>Viral + Heat (Steel Path generalist; swap Heat-&gt;Corrosive vs armored Grineer)</t>
        </is>
      </c>
      <c r="L87" s="39" t="inlineStr">
        <is>
          <t>-</t>
        </is>
      </c>
      <c r="M87" s="39" t="inlineStr">
        <is>
          <t>~3</t>
        </is>
      </c>
    </row>
    <row r="88">
      <c r="A88" s="39" t="inlineStr">
        <is>
          <t>Limbo Prime</t>
        </is>
      </c>
      <c r="B88" s="39" t="inlineStr">
        <is>
          <t>Melee</t>
        </is>
      </c>
      <c r="C88" s="39" t="inlineStr">
        <is>
          <t>Destreza Prime</t>
        </is>
      </c>
      <c r="D88" s="39" t="inlineStr">
        <is>
          <t>Rapier</t>
        </is>
      </c>
      <c r="E88" s="39" t="n">
        <v>0.32</v>
      </c>
      <c r="F88" s="39" t="n">
        <v>0.2</v>
      </c>
      <c r="G88" s="39" t="inlineStr">
        <is>
          <t>crit</t>
        </is>
      </c>
      <c r="H88" s="39" t="inlineStr">
        <is>
          <t>MELEE_CRIT</t>
        </is>
      </c>
      <c r="I88" s="39" t="inlineStr">
        <is>
          <t>Primed Pressure Point | Blood Rush | Weeping Wounds | Organ Shatter | Berserker Fury | Condition Overload | Primed Reach | Virulent Scourge</t>
        </is>
      </c>
      <c r="J88" s="39" t="inlineStr">
        <is>
          <t>Melee Duplicate</t>
        </is>
      </c>
      <c r="K88" s="39" t="inlineStr">
        <is>
          <t>Viral + Heat (Steel Path generalist; swap Heat-&gt;Corrosive vs armored Grineer)</t>
        </is>
      </c>
      <c r="L88" s="39" t="inlineStr">
        <is>
          <t>EVO2: Weighted Impetus; EVO3: Orokin Reach; EVO4: Critical Forte</t>
        </is>
      </c>
      <c r="M88" s="39" t="inlineStr">
        <is>
          <t>~4 (Incarnon)</t>
        </is>
      </c>
    </row>
    <row r="89">
      <c r="A89" s="39" t="inlineStr">
        <is>
          <t>Loki Prime</t>
        </is>
      </c>
      <c r="B89" s="39" t="inlineStr">
        <is>
          <t>Primary</t>
        </is>
      </c>
      <c r="C89" s="39" t="inlineStr">
        <is>
          <t>Baza Prime</t>
        </is>
      </c>
      <c r="D89" s="39" t="inlineStr">
        <is>
          <t>Rifle</t>
        </is>
      </c>
      <c r="E89" s="39" t="n">
        <v>0.28</v>
      </c>
      <c r="F89" s="39" t="n">
        <v>0.14</v>
      </c>
      <c r="G89" s="39" t="inlineStr">
        <is>
          <t>crit</t>
        </is>
      </c>
      <c r="H89" s="39" t="inlineStr">
        <is>
          <t>RIFLE_CRIT</t>
        </is>
      </c>
      <c r="I89" s="39" t="inlineStr">
        <is>
          <t>Serration | Galvanized Chamber | Point Strike | Vital Sense | Hammer Shot | Galvanized Aptitude | Primed Cryo Rounds | Malignant Force</t>
        </is>
      </c>
      <c r="J89" s="39" t="inlineStr">
        <is>
          <t>Primary Merciless</t>
        </is>
      </c>
      <c r="K89" s="39" t="inlineStr">
        <is>
          <t>Viral + Heat (Steel Path generalist; swap Heat-&gt;Corrosive vs armored Grineer)</t>
        </is>
      </c>
      <c r="L89" s="39" t="inlineStr">
        <is>
          <t>-</t>
        </is>
      </c>
      <c r="M89" s="39" t="inlineStr">
        <is>
          <t>~3</t>
        </is>
      </c>
    </row>
    <row r="90">
      <c r="A90" s="39" t="inlineStr">
        <is>
          <t>Loki Prime</t>
        </is>
      </c>
      <c r="B90" s="39" t="inlineStr">
        <is>
          <t>Secondary</t>
        </is>
      </c>
      <c r="C90" s="39" t="inlineStr">
        <is>
          <t>Spira Prime</t>
        </is>
      </c>
      <c r="D90" s="39" t="inlineStr">
        <is>
          <t>Thrown</t>
        </is>
      </c>
      <c r="E90" s="39" t="n">
        <v>0.3</v>
      </c>
      <c r="F90" s="39" t="n">
        <v>0.14</v>
      </c>
      <c r="G90" s="39" t="inlineStr">
        <is>
          <t>crit</t>
        </is>
      </c>
      <c r="H90" s="39" t="inlineStr">
        <is>
          <t>PISTOL_CRIT</t>
        </is>
      </c>
      <c r="I90" s="39" t="inlineStr">
        <is>
          <t>Hornet Strike | Galvanized Diffusion | Primed Pistol Gambit | Primed Target Cracker | Galvanized Crosshairs | Primed Heated Charge | Pathogen Rounds | Galvanized Shot</t>
        </is>
      </c>
      <c r="J90" s="39" t="inlineStr">
        <is>
          <t>Secondary Merciless</t>
        </is>
      </c>
      <c r="K90" s="39" t="inlineStr">
        <is>
          <t>Viral + Heat (Steel Path generalist; swap Heat-&gt;Corrosive vs armored Grineer)</t>
        </is>
      </c>
      <c r="L90" s="39" t="inlineStr">
        <is>
          <t>-</t>
        </is>
      </c>
      <c r="M90" s="39" t="inlineStr">
        <is>
          <t>~3</t>
        </is>
      </c>
    </row>
    <row r="91">
      <c r="A91" s="39" t="inlineStr">
        <is>
          <t>Loki Prime</t>
        </is>
      </c>
      <c r="B91" s="39" t="inlineStr">
        <is>
          <t>Melee</t>
        </is>
      </c>
      <c r="C91" s="39" t="inlineStr">
        <is>
          <t>Nikana Prime</t>
        </is>
      </c>
      <c r="D91" s="39" t="inlineStr">
        <is>
          <t>Nikana</t>
        </is>
      </c>
      <c r="E91" s="39" t="n">
        <v>0.28</v>
      </c>
      <c r="F91" s="39" t="n">
        <v>0.28</v>
      </c>
      <c r="G91" s="39" t="inlineStr">
        <is>
          <t>crit</t>
        </is>
      </c>
      <c r="H91" s="39" t="inlineStr">
        <is>
          <t>MELEE_CRIT</t>
        </is>
      </c>
      <c r="I91" s="39" t="inlineStr">
        <is>
          <t>Primed Pressure Point | Blood Rush | Weeping Wounds | Organ Shatter | Berserker Fury | Condition Overload | Primed Reach | Virulent Scourge</t>
        </is>
      </c>
      <c r="J91" s="39" t="inlineStr">
        <is>
          <t>Melee Duplicate</t>
        </is>
      </c>
      <c r="K91" s="39" t="inlineStr">
        <is>
          <t>Viral + Heat (Steel Path generalist; swap Heat-&gt;Corrosive vs armored Grineer)</t>
        </is>
      </c>
      <c r="L91" s="39" t="inlineStr">
        <is>
          <t>-</t>
        </is>
      </c>
      <c r="M91" s="39" t="inlineStr">
        <is>
          <t>~3</t>
        </is>
      </c>
    </row>
    <row r="92">
      <c r="A92" s="39" t="inlineStr">
        <is>
          <t>Mag Prime</t>
        </is>
      </c>
      <c r="B92" s="39" t="inlineStr">
        <is>
          <t>Primary</t>
        </is>
      </c>
      <c r="C92" s="39" t="inlineStr">
        <is>
          <t>Tenet Arca Plasmor</t>
        </is>
      </c>
      <c r="D92" s="39" t="inlineStr">
        <is>
          <t>Shotgun</t>
        </is>
      </c>
      <c r="E92" s="39" t="n">
        <v>0.22</v>
      </c>
      <c r="F92" s="39" t="n">
        <v>0.34</v>
      </c>
      <c r="G92" s="39" t="inlineStr">
        <is>
          <t>status</t>
        </is>
      </c>
      <c r="H92" s="39" t="inlineStr">
        <is>
          <t>SHOTGUN</t>
        </is>
      </c>
      <c r="I92" s="39" t="inlineStr">
        <is>
          <t>Primed Point Blank | Galvanized Hell | Primed Ravage | Critical Deceleration | Galvanized Savvy | Primed Charged Shell | Toxic Barrage | Incendiary Coat</t>
        </is>
      </c>
      <c r="J92" s="39" t="inlineStr">
        <is>
          <t>Shotgun Vendetta</t>
        </is>
      </c>
      <c r="K92" s="39" t="inlineStr">
        <is>
          <t>Adversary innate element (see Adversary sheet) + Viral</t>
        </is>
      </c>
      <c r="L92" s="39" t="inlineStr">
        <is>
          <t>-</t>
        </is>
      </c>
      <c r="M92" s="39" t="inlineStr">
        <is>
          <t>5 Forma to Rank 40 + ~3 polarization</t>
        </is>
      </c>
    </row>
    <row r="93">
      <c r="A93" s="39" t="inlineStr">
        <is>
          <t>Mag Prime</t>
        </is>
      </c>
      <c r="B93" s="39" t="inlineStr">
        <is>
          <t>Secondary</t>
        </is>
      </c>
      <c r="C93" s="39" t="inlineStr">
        <is>
          <t>Mara Detron</t>
        </is>
      </c>
      <c r="D93" s="39" t="inlineStr">
        <is>
          <t>Shotgun Sidearm</t>
        </is>
      </c>
      <c r="E93" s="39" t="n">
        <v>0.08</v>
      </c>
      <c r="F93" s="39" t="n">
        <v>0.1371</v>
      </c>
      <c r="G93" s="39" t="inlineStr">
        <is>
          <t>status</t>
        </is>
      </c>
      <c r="H93" s="39" t="inlineStr">
        <is>
          <t>PISTOL_CRIT</t>
        </is>
      </c>
      <c r="I93" s="39" t="inlineStr">
        <is>
          <t>Hornet Strike | Galvanized Diffusion | Primed Pistol Gambit | Primed Target Cracker | Galvanized Crosshairs | Primed Heated Charge | Pathogen Rounds | Galvanized Shot</t>
        </is>
      </c>
      <c r="J93" s="39" t="inlineStr">
        <is>
          <t>Secondary Encumber</t>
        </is>
      </c>
      <c r="K93" s="39" t="inlineStr">
        <is>
          <t>Corrosive + Viral (status priority, Condition Overload/Galvanized scaling)</t>
        </is>
      </c>
      <c r="L93" s="39" t="inlineStr">
        <is>
          <t>-</t>
        </is>
      </c>
      <c r="M93" s="39" t="inlineStr">
        <is>
          <t>~3</t>
        </is>
      </c>
    </row>
    <row r="94">
      <c r="A94" s="39" t="inlineStr">
        <is>
          <t>Mag Prime</t>
        </is>
      </c>
      <c r="B94" s="39" t="inlineStr">
        <is>
          <t>Melee</t>
        </is>
      </c>
      <c r="C94" s="39" t="inlineStr">
        <is>
          <t>Dakra Prime</t>
        </is>
      </c>
      <c r="D94" s="39" t="inlineStr">
        <is>
          <t>Sword</t>
        </is>
      </c>
      <c r="E94" s="39" t="n">
        <v>0.36</v>
      </c>
      <c r="F94" s="39" t="n">
        <v>0.18</v>
      </c>
      <c r="G94" s="39" t="inlineStr">
        <is>
          <t>crit</t>
        </is>
      </c>
      <c r="H94" s="39" t="inlineStr">
        <is>
          <t>MELEE_CRIT</t>
        </is>
      </c>
      <c r="I94" s="39" t="inlineStr">
        <is>
          <t>Primed Pressure Point | Blood Rush | Weeping Wounds | Organ Shatter | Berserker Fury | Condition Overload | Primed Reach | Virulent Scourge</t>
        </is>
      </c>
      <c r="J94" s="39" t="inlineStr">
        <is>
          <t>Melee Duplicate</t>
        </is>
      </c>
      <c r="K94" s="39" t="inlineStr">
        <is>
          <t>Viral + Heat (Steel Path generalist; swap Heat-&gt;Corrosive vs armored Grineer)</t>
        </is>
      </c>
      <c r="L94" s="39" t="inlineStr">
        <is>
          <t>-</t>
        </is>
      </c>
      <c r="M94" s="39" t="inlineStr">
        <is>
          <t>~3</t>
        </is>
      </c>
    </row>
    <row r="95">
      <c r="A95" s="39" t="inlineStr">
        <is>
          <t>Mesa Prime</t>
        </is>
      </c>
      <c r="B95" s="39" t="inlineStr">
        <is>
          <t>Primary</t>
        </is>
      </c>
      <c r="C95" s="39" t="inlineStr">
        <is>
          <t>Cedo</t>
        </is>
      </c>
      <c r="D95" s="39" t="inlineStr">
        <is>
          <t>Shotgun</t>
        </is>
      </c>
      <c r="E95" s="39" t="n">
        <v>0.2</v>
      </c>
      <c r="F95" s="39" t="n">
        <v>0.003</v>
      </c>
      <c r="G95" s="39" t="inlineStr">
        <is>
          <t>crit</t>
        </is>
      </c>
      <c r="H95" s="39" t="inlineStr">
        <is>
          <t>SHOTGUN</t>
        </is>
      </c>
      <c r="I95" s="39" t="inlineStr">
        <is>
          <t>Primed Point Blank | Galvanized Hell | Primed Ravage | Critical Deceleration | Galvanized Savvy | Primed Charged Shell | Toxic Barrage | Incendiary Coat</t>
        </is>
      </c>
      <c r="J95" s="39" t="inlineStr">
        <is>
          <t>Shotgun Vendetta</t>
        </is>
      </c>
      <c r="K95" s="39" t="inlineStr">
        <is>
          <t>Viral + Heat (Steel Path generalist; swap Heat-&gt;Corrosive vs armored Grineer)</t>
        </is>
      </c>
      <c r="L95" s="39" t="inlineStr">
        <is>
          <t>-</t>
        </is>
      </c>
      <c r="M95" s="39" t="inlineStr">
        <is>
          <t>~3</t>
        </is>
      </c>
    </row>
    <row r="96">
      <c r="A96" s="39" t="inlineStr">
        <is>
          <t>Mesa Prime</t>
        </is>
      </c>
      <c r="B96" s="39" t="inlineStr">
        <is>
          <t>Secondary</t>
        </is>
      </c>
      <c r="C96" s="39" t="inlineStr">
        <is>
          <t>Akjagara Prime</t>
        </is>
      </c>
      <c r="D96" s="39" t="inlineStr">
        <is>
          <t>Dual Pistols</t>
        </is>
      </c>
      <c r="E96" s="39" t="n">
        <v>0.18</v>
      </c>
      <c r="F96" s="39" t="n">
        <v>0.32</v>
      </c>
      <c r="G96" s="39" t="inlineStr">
        <is>
          <t>status</t>
        </is>
      </c>
      <c r="H96" s="39" t="inlineStr">
        <is>
          <t>PISTOL_CRIT</t>
        </is>
      </c>
      <c r="I96" s="39" t="inlineStr">
        <is>
          <t>Hornet Strike | Galvanized Diffusion | Primed Pistol Gambit | Primed Target Cracker | Galvanized Crosshairs | Primed Heated Charge | Pathogen Rounds | Galvanized Shot</t>
        </is>
      </c>
      <c r="J96" s="39" t="inlineStr">
        <is>
          <t>Secondary Encumber</t>
        </is>
      </c>
      <c r="K96" s="39" t="inlineStr">
        <is>
          <t>Corrosive + Viral (status priority, Condition Overload/Galvanized scaling)</t>
        </is>
      </c>
      <c r="L96" s="39" t="inlineStr">
        <is>
          <t>-</t>
        </is>
      </c>
      <c r="M96" s="39" t="inlineStr">
        <is>
          <t>~3</t>
        </is>
      </c>
    </row>
    <row r="97">
      <c r="A97" s="39" t="inlineStr">
        <is>
          <t>Mirage Prime</t>
        </is>
      </c>
      <c r="B97" s="39" t="inlineStr">
        <is>
          <t>Primary</t>
        </is>
      </c>
      <c r="C97" s="39" t="inlineStr">
        <is>
          <t>Kuva Bramma</t>
        </is>
      </c>
      <c r="D97" s="39" t="inlineStr">
        <is>
          <t>Bow</t>
        </is>
      </c>
      <c r="E97" s="39" t="n">
        <v>0.35</v>
      </c>
      <c r="F97" s="39" t="n">
        <v>0.21</v>
      </c>
      <c r="G97" s="39" t="inlineStr">
        <is>
          <t>crit</t>
        </is>
      </c>
      <c r="H97" s="39" t="inlineStr">
        <is>
          <t>RIFLE_CRIT</t>
        </is>
      </c>
      <c r="I97" s="39" t="inlineStr">
        <is>
          <t>Serration | Galvanized Chamber | Point Strike | Vital Sense | Hammer Shot | Galvanized Aptitude | Primed Cryo Rounds | Malignant Force</t>
        </is>
      </c>
      <c r="J97" s="39" t="inlineStr">
        <is>
          <t>Primary Deadhead</t>
        </is>
      </c>
      <c r="K97" s="39" t="inlineStr">
        <is>
          <t>Adversary innate element (see Adversary sheet) + Viral</t>
        </is>
      </c>
      <c r="L97" s="39" t="inlineStr">
        <is>
          <t>-</t>
        </is>
      </c>
      <c r="M97" s="39" t="inlineStr">
        <is>
          <t>5 Forma to Rank 40 + ~3 polarization</t>
        </is>
      </c>
    </row>
    <row r="98">
      <c r="A98" s="39" t="inlineStr">
        <is>
          <t>Mirage Prime</t>
        </is>
      </c>
      <c r="B98" s="39" t="inlineStr">
        <is>
          <t>Secondary</t>
        </is>
      </c>
      <c r="C98" s="39" t="inlineStr">
        <is>
          <t>Akzani</t>
        </is>
      </c>
      <c r="D98" s="39" t="inlineStr">
        <is>
          <t>Dual Pistols</t>
        </is>
      </c>
      <c r="E98" s="39" t="n">
        <v>0.14</v>
      </c>
      <c r="F98" s="39" t="n">
        <v>0.14</v>
      </c>
      <c r="G98" s="39" t="inlineStr">
        <is>
          <t>crit</t>
        </is>
      </c>
      <c r="H98" s="39" t="inlineStr">
        <is>
          <t>PISTOL_CRIT</t>
        </is>
      </c>
      <c r="I98" s="39" t="inlineStr">
        <is>
          <t>Hornet Strike | Galvanized Diffusion | Primed Pistol Gambit | Primed Target Cracker | Galvanized Crosshairs | Primed Heated Charge | Pathogen Rounds | Galvanized Shot</t>
        </is>
      </c>
      <c r="J98" s="39" t="inlineStr">
        <is>
          <t>Secondary Merciless</t>
        </is>
      </c>
      <c r="K98" s="39" t="inlineStr">
        <is>
          <t>Viral + Heat (Steel Path generalist; swap Heat-&gt;Corrosive vs armored Grineer)</t>
        </is>
      </c>
      <c r="L98" s="39" t="inlineStr">
        <is>
          <t>-</t>
        </is>
      </c>
      <c r="M98" s="39" t="inlineStr">
        <is>
          <t>~3</t>
        </is>
      </c>
    </row>
    <row r="99">
      <c r="A99" s="39" t="inlineStr">
        <is>
          <t>Mirage Prime</t>
        </is>
      </c>
      <c r="B99" s="39" t="inlineStr">
        <is>
          <t>Melee</t>
        </is>
      </c>
      <c r="C99" s="39" t="inlineStr">
        <is>
          <t>Glaive Prime</t>
        </is>
      </c>
      <c r="D99" s="39" t="inlineStr">
        <is>
          <t>Glaive</t>
        </is>
      </c>
      <c r="E99" s="39" t="n">
        <v>0.22</v>
      </c>
      <c r="F99" s="39" t="n">
        <v>0.3</v>
      </c>
      <c r="G99" s="39" t="inlineStr">
        <is>
          <t>status</t>
        </is>
      </c>
      <c r="H99" s="39" t="inlineStr">
        <is>
          <t>MELEE_CRIT</t>
        </is>
      </c>
      <c r="I99" s="39" t="inlineStr">
        <is>
          <t>Primed Pressure Point | Blood Rush | Weeping Wounds | Organ Shatter | Berserker Fury | Condition Overload | Primed Reach | Virulent Scourge</t>
        </is>
      </c>
      <c r="J99" s="39" t="inlineStr">
        <is>
          <t>Melee Influence</t>
        </is>
      </c>
      <c r="K99" s="39" t="inlineStr">
        <is>
          <t>Corrosive + Viral (status priority, Condition Overload/Galvanized scaling)</t>
        </is>
      </c>
      <c r="L99" s="39" t="inlineStr">
        <is>
          <t>-</t>
        </is>
      </c>
      <c r="M99" s="39" t="inlineStr">
        <is>
          <t>~3</t>
        </is>
      </c>
    </row>
    <row r="100">
      <c r="A100" s="39" t="inlineStr">
        <is>
          <t>Narin</t>
        </is>
      </c>
      <c r="B100" s="39" t="inlineStr">
        <is>
          <t>Primary</t>
        </is>
      </c>
      <c r="C100" s="39" t="inlineStr">
        <is>
          <t>Nunchasa</t>
        </is>
      </c>
      <c r="D100" s="39" t="inlineStr">
        <is>
          <t>Bow</t>
        </is>
      </c>
      <c r="E100" s="39" t="n">
        <v>0.32</v>
      </c>
      <c r="F100" s="39" t="n">
        <v>0.32</v>
      </c>
      <c r="G100" s="39" t="inlineStr">
        <is>
          <t>crit</t>
        </is>
      </c>
      <c r="H100" s="39" t="inlineStr">
        <is>
          <t>RIFLE_CRIT</t>
        </is>
      </c>
      <c r="I100" s="39" t="inlineStr">
        <is>
          <t>Serration | Galvanized Chamber | Point Strike | Vital Sense | Hammer Shot | Galvanized Aptitude | Primed Cryo Rounds | Malignant Force</t>
        </is>
      </c>
      <c r="J100" s="39" t="inlineStr">
        <is>
          <t>Primary Deadhead</t>
        </is>
      </c>
      <c r="K100" s="39" t="inlineStr">
        <is>
          <t>Viral + Heat (Steel Path generalist; swap Heat-&gt;Corrosive vs armored Grineer)</t>
        </is>
      </c>
      <c r="L100" s="39" t="inlineStr">
        <is>
          <t>-</t>
        </is>
      </c>
      <c r="M100" s="39" t="inlineStr">
        <is>
          <t>~3</t>
        </is>
      </c>
    </row>
    <row r="101">
      <c r="A101" s="39" t="inlineStr">
        <is>
          <t>Narin</t>
        </is>
      </c>
      <c r="B101" s="39" t="inlineStr">
        <is>
          <t>Secondary</t>
        </is>
      </c>
      <c r="C101" s="39" t="inlineStr">
        <is>
          <t>Aksondol</t>
        </is>
      </c>
      <c r="D101" s="39" t="inlineStr">
        <is>
          <t>Dual Pistols</t>
        </is>
      </c>
      <c r="E101" s="39" t="n">
        <v>0.24</v>
      </c>
      <c r="F101" s="39" t="n">
        <v>0.22</v>
      </c>
      <c r="G101" s="39" t="inlineStr">
        <is>
          <t>crit</t>
        </is>
      </c>
      <c r="H101" s="39" t="inlineStr">
        <is>
          <t>PISTOL_CRIT</t>
        </is>
      </c>
      <c r="I101" s="39" t="inlineStr">
        <is>
          <t>Hornet Strike | Galvanized Diffusion | Primed Pistol Gambit | Primed Target Cracker | Galvanized Crosshairs | Primed Heated Charge | Pathogen Rounds | Galvanized Shot</t>
        </is>
      </c>
      <c r="J101" s="39" t="inlineStr">
        <is>
          <t>Secondary Merciless</t>
        </is>
      </c>
      <c r="K101" s="39" t="inlineStr">
        <is>
          <t>Viral + Heat (Steel Path generalist; swap Heat-&gt;Corrosive vs armored Grineer)</t>
        </is>
      </c>
      <c r="L101" s="39" t="inlineStr">
        <is>
          <t>-</t>
        </is>
      </c>
      <c r="M101" s="39" t="inlineStr">
        <is>
          <t>~3</t>
        </is>
      </c>
    </row>
    <row r="102">
      <c r="A102" s="39" t="inlineStr">
        <is>
          <t>Narin</t>
        </is>
      </c>
      <c r="B102" s="39" t="inlineStr">
        <is>
          <t>Melee</t>
        </is>
      </c>
      <c r="C102" s="39" t="inlineStr">
        <is>
          <t>Prisma Skana</t>
        </is>
      </c>
      <c r="D102" s="39" t="inlineStr">
        <is>
          <t>Sword</t>
        </is>
      </c>
      <c r="E102" s="39" t="n">
        <v>0.28</v>
      </c>
      <c r="F102" s="39" t="n">
        <v>0.16</v>
      </c>
      <c r="G102" s="39" t="inlineStr">
        <is>
          <t>crit</t>
        </is>
      </c>
      <c r="H102" s="39" t="inlineStr">
        <is>
          <t>MELEE_CRIT</t>
        </is>
      </c>
      <c r="I102" s="39" t="inlineStr">
        <is>
          <t>Primed Pressure Point | Blood Rush | Weeping Wounds | Organ Shatter | Berserker Fury | Condition Overload | Primed Reach | Virulent Scourge</t>
        </is>
      </c>
      <c r="J102" s="39" t="inlineStr">
        <is>
          <t>Melee Duplicate</t>
        </is>
      </c>
      <c r="K102" s="39" t="inlineStr">
        <is>
          <t>Viral + Heat (Steel Path generalist; swap Heat-&gt;Corrosive vs armored Grineer)</t>
        </is>
      </c>
      <c r="L102" s="39" t="inlineStr">
        <is>
          <t>EVO2: Guardian's Promise; EVO3: Orokin Reach; EVO4: Survivor's Edge</t>
        </is>
      </c>
      <c r="M102" s="39" t="inlineStr">
        <is>
          <t>~4 (Incarnon)</t>
        </is>
      </c>
    </row>
    <row r="103">
      <c r="A103" s="39" t="inlineStr">
        <is>
          <t>Nekros Prime</t>
        </is>
      </c>
      <c r="B103" s="39" t="inlineStr">
        <is>
          <t>Primary</t>
        </is>
      </c>
      <c r="C103" s="39" t="inlineStr">
        <is>
          <t>Tigris Prime</t>
        </is>
      </c>
      <c r="D103" s="39" t="inlineStr">
        <is>
          <t>Shotgun</t>
        </is>
      </c>
      <c r="E103" s="39" t="n">
        <v>0.1</v>
      </c>
      <c r="F103" s="39" t="n">
        <v>0.1125</v>
      </c>
      <c r="G103" s="39" t="inlineStr">
        <is>
          <t>status</t>
        </is>
      </c>
      <c r="H103" s="39" t="inlineStr">
        <is>
          <t>SHOTGUN</t>
        </is>
      </c>
      <c r="I103" s="39" t="inlineStr">
        <is>
          <t>Primed Point Blank | Galvanized Hell | Primed Ravage | Critical Deceleration | Galvanized Savvy | Primed Charged Shell | Toxic Barrage | Incendiary Coat</t>
        </is>
      </c>
      <c r="J103" s="39" t="inlineStr">
        <is>
          <t>Shotgun Vendetta</t>
        </is>
      </c>
      <c r="K103" s="39" t="inlineStr">
        <is>
          <t>Corrosive + Viral (status priority, Condition Overload/Galvanized scaling)</t>
        </is>
      </c>
      <c r="L103" s="39" t="inlineStr">
        <is>
          <t>-</t>
        </is>
      </c>
      <c r="M103" s="39" t="inlineStr">
        <is>
          <t>~3</t>
        </is>
      </c>
    </row>
    <row r="104">
      <c r="A104" s="39" t="inlineStr">
        <is>
          <t>Nekros Prime</t>
        </is>
      </c>
      <c r="B104" s="39" t="inlineStr">
        <is>
          <t>Secondary</t>
        </is>
      </c>
      <c r="C104" s="39" t="inlineStr">
        <is>
          <t>Twin Grakatas</t>
        </is>
      </c>
      <c r="D104" s="39" t="inlineStr">
        <is>
          <t>Dual Pistols</t>
        </is>
      </c>
      <c r="E104" s="39" t="n">
        <v>0.25</v>
      </c>
      <c r="F104" s="39" t="n">
        <v>0.165</v>
      </c>
      <c r="G104" s="39" t="inlineStr">
        <is>
          <t>crit</t>
        </is>
      </c>
      <c r="H104" s="39" t="inlineStr">
        <is>
          <t>PISTOL_CRIT</t>
        </is>
      </c>
      <c r="I104" s="39" t="inlineStr">
        <is>
          <t>Hornet Strike | Galvanized Diffusion | Primed Pistol Gambit | Primed Target Cracker | Galvanized Crosshairs | Primed Heated Charge | Pathogen Rounds | Galvanized Shot</t>
        </is>
      </c>
      <c r="J104" s="39" t="inlineStr">
        <is>
          <t>Secondary Merciless</t>
        </is>
      </c>
      <c r="K104" s="39" t="inlineStr">
        <is>
          <t>Viral + Heat (Steel Path generalist; swap Heat-&gt;Corrosive vs armored Grineer)</t>
        </is>
      </c>
      <c r="L104" s="39" t="inlineStr">
        <is>
          <t>-</t>
        </is>
      </c>
      <c r="M104" s="39" t="inlineStr">
        <is>
          <t>~3</t>
        </is>
      </c>
    </row>
    <row r="105">
      <c r="A105" s="39" t="inlineStr">
        <is>
          <t>Nekros Prime</t>
        </is>
      </c>
      <c r="B105" s="39" t="inlineStr">
        <is>
          <t>Melee</t>
        </is>
      </c>
      <c r="C105" s="39" t="inlineStr">
        <is>
          <t>Galatine Prime</t>
        </is>
      </c>
      <c r="D105" s="39" t="inlineStr">
        <is>
          <t>Heavy Blade</t>
        </is>
      </c>
      <c r="E105" s="39" t="n">
        <v>0.26</v>
      </c>
      <c r="F105" s="39" t="n">
        <v>0.26</v>
      </c>
      <c r="G105" s="39" t="inlineStr">
        <is>
          <t>crit</t>
        </is>
      </c>
      <c r="H105" s="39" t="inlineStr">
        <is>
          <t>MELEE_CRIT</t>
        </is>
      </c>
      <c r="I105" s="39" t="inlineStr">
        <is>
          <t>Primed Pressure Point | Blood Rush | Weeping Wounds | Organ Shatter | Berserker Fury | Condition Overload | Primed Reach | Virulent Scourge</t>
        </is>
      </c>
      <c r="J105" s="39" t="inlineStr">
        <is>
          <t>Melee Animosity</t>
        </is>
      </c>
      <c r="K105" s="39" t="inlineStr">
        <is>
          <t>Viral + Heat (Steel Path generalist; swap Heat-&gt;Corrosive vs armored Grineer)</t>
        </is>
      </c>
      <c r="L105" s="39" t="inlineStr">
        <is>
          <t>-</t>
        </is>
      </c>
      <c r="M105" s="39" t="inlineStr">
        <is>
          <t>~3</t>
        </is>
      </c>
    </row>
    <row r="106">
      <c r="A106" s="39" t="inlineStr">
        <is>
          <t>Nezha Prime</t>
        </is>
      </c>
      <c r="B106" s="39" t="inlineStr">
        <is>
          <t>Primary</t>
        </is>
      </c>
      <c r="C106" s="39" t="inlineStr">
        <is>
          <t>Proboscis Cernos</t>
        </is>
      </c>
      <c r="D106" s="39" t="inlineStr">
        <is>
          <t>Bow</t>
        </is>
      </c>
      <c r="E106" s="39" t="n">
        <v>0.07000000000000001</v>
      </c>
      <c r="F106" s="39" t="n">
        <v>0.43</v>
      </c>
      <c r="G106" s="39" t="inlineStr">
        <is>
          <t>status</t>
        </is>
      </c>
      <c r="H106" s="39" t="inlineStr">
        <is>
          <t>RIFLE_CRIT</t>
        </is>
      </c>
      <c r="I106" s="39" t="inlineStr">
        <is>
          <t>Serration | Galvanized Chamber | Point Strike | Vital Sense | Hammer Shot | Galvanized Aptitude | Primed Cryo Rounds | Malignant Force</t>
        </is>
      </c>
      <c r="J106" s="39" t="inlineStr">
        <is>
          <t>Primary Deadhead</t>
        </is>
      </c>
      <c r="K106" s="39" t="inlineStr">
        <is>
          <t>Corrosive + Viral (status priority, Condition Overload/Galvanized scaling)</t>
        </is>
      </c>
      <c r="L106" s="39" t="inlineStr">
        <is>
          <t>-</t>
        </is>
      </c>
      <c r="M106" s="39" t="inlineStr">
        <is>
          <t>~3</t>
        </is>
      </c>
    </row>
    <row r="107">
      <c r="A107" s="39" t="inlineStr">
        <is>
          <t>Nezha Prime</t>
        </is>
      </c>
      <c r="B107" s="39" t="inlineStr">
        <is>
          <t>Secondary</t>
        </is>
      </c>
      <c r="C107" s="39" t="inlineStr">
        <is>
          <t>Zakti Prime</t>
        </is>
      </c>
      <c r="D107" s="39" t="inlineStr">
        <is>
          <t>Pistol</t>
        </is>
      </c>
      <c r="E107" s="39" t="n">
        <v>0.08</v>
      </c>
      <c r="F107" s="39" t="n">
        <v>0.42</v>
      </c>
      <c r="G107" s="39" t="inlineStr">
        <is>
          <t>status</t>
        </is>
      </c>
      <c r="H107" s="39" t="inlineStr">
        <is>
          <t>PISTOL_CRIT</t>
        </is>
      </c>
      <c r="I107" s="39" t="inlineStr">
        <is>
          <t>Hornet Strike | Galvanized Diffusion | Primed Pistol Gambit | Primed Target Cracker | Galvanized Crosshairs | Primed Heated Charge | Pathogen Rounds | Galvanized Shot</t>
        </is>
      </c>
      <c r="J107" s="39" t="inlineStr">
        <is>
          <t>Secondary Encumber</t>
        </is>
      </c>
      <c r="K107" s="39" t="inlineStr">
        <is>
          <t>Corrosive + Viral (status priority, Condition Overload/Galvanized scaling)</t>
        </is>
      </c>
      <c r="L107" s="39" t="inlineStr">
        <is>
          <t>-</t>
        </is>
      </c>
      <c r="M107" s="39" t="inlineStr">
        <is>
          <t>~3</t>
        </is>
      </c>
    </row>
    <row r="108">
      <c r="A108" s="39" t="inlineStr">
        <is>
          <t>Nezha Prime</t>
        </is>
      </c>
      <c r="B108" s="39" t="inlineStr">
        <is>
          <t>Melee</t>
        </is>
      </c>
      <c r="C108" s="39" t="inlineStr">
        <is>
          <t>Guandao Prime</t>
        </is>
      </c>
      <c r="D108" s="39" t="inlineStr">
        <is>
          <t>Polearm</t>
        </is>
      </c>
      <c r="E108" s="39" t="n">
        <v>0.32</v>
      </c>
      <c r="F108" s="39" t="n">
        <v>0.2</v>
      </c>
      <c r="G108" s="39" t="inlineStr">
        <is>
          <t>crit</t>
        </is>
      </c>
      <c r="H108" s="39" t="inlineStr">
        <is>
          <t>MELEE_CRIT</t>
        </is>
      </c>
      <c r="I108" s="39" t="inlineStr">
        <is>
          <t>Primed Pressure Point | Blood Rush | Weeping Wounds | Organ Shatter | Berserker Fury | Condition Overload | Primed Reach | Virulent Scourge</t>
        </is>
      </c>
      <c r="J108" s="39" t="inlineStr">
        <is>
          <t>Melee Duplicate</t>
        </is>
      </c>
      <c r="K108" s="39" t="inlineStr">
        <is>
          <t>Viral + Heat (Steel Path generalist; swap Heat-&gt;Corrosive vs armored Grineer)</t>
        </is>
      </c>
      <c r="L108" s="39" t="inlineStr">
        <is>
          <t>-</t>
        </is>
      </c>
      <c r="M108" s="39" t="inlineStr">
        <is>
          <t>~3</t>
        </is>
      </c>
    </row>
    <row r="109">
      <c r="A109" s="39" t="inlineStr">
        <is>
          <t>Nidus Prime</t>
        </is>
      </c>
      <c r="B109" s="39" t="inlineStr">
        <is>
          <t>Primary</t>
        </is>
      </c>
      <c r="C109" s="39" t="inlineStr">
        <is>
          <t>Strun Prime</t>
        </is>
      </c>
      <c r="D109" s="39" t="inlineStr">
        <is>
          <t>Shotgun</t>
        </is>
      </c>
      <c r="E109" s="39" t="n">
        <v>0.24</v>
      </c>
      <c r="F109" s="39" t="n">
        <v>0.0667</v>
      </c>
      <c r="G109" s="39" t="inlineStr">
        <is>
          <t>crit</t>
        </is>
      </c>
      <c r="H109" s="39" t="inlineStr">
        <is>
          <t>SHOTGUN</t>
        </is>
      </c>
      <c r="I109" s="39" t="inlineStr">
        <is>
          <t>Primed Point Blank | Galvanized Hell | Primed Ravage | Critical Deceleration | Galvanized Savvy | Primed Charged Shell | Toxic Barrage | Incendiary Coat</t>
        </is>
      </c>
      <c r="J109" s="39" t="inlineStr">
        <is>
          <t>Shotgun Vendetta</t>
        </is>
      </c>
      <c r="K109" s="39" t="inlineStr">
        <is>
          <t>Viral + Heat (Steel Path generalist; swap Heat-&gt;Corrosive vs armored Grineer)</t>
        </is>
      </c>
      <c r="L109" s="39" t="inlineStr">
        <is>
          <t>EVO2: Blazing Barrel; EVO3: Rapid Reinforcement; EVO4: Commodore's Fortune</t>
        </is>
      </c>
      <c r="M109" s="39" t="inlineStr">
        <is>
          <t>~4 (Incarnon)</t>
        </is>
      </c>
    </row>
    <row r="110">
      <c r="A110" s="39" t="inlineStr">
        <is>
          <t>Nidus Prime</t>
        </is>
      </c>
      <c r="B110" s="39" t="inlineStr">
        <is>
          <t>Secondary</t>
        </is>
      </c>
      <c r="C110" s="39" t="inlineStr">
        <is>
          <t>Magnus Prime</t>
        </is>
      </c>
      <c r="D110" s="39" t="inlineStr">
        <is>
          <t>Pistol</t>
        </is>
      </c>
      <c r="E110" s="39" t="n">
        <v>0.28</v>
      </c>
      <c r="F110" s="39" t="n">
        <v>0.28</v>
      </c>
      <c r="G110" s="39" t="inlineStr">
        <is>
          <t>crit</t>
        </is>
      </c>
      <c r="H110" s="39" t="inlineStr">
        <is>
          <t>PISTOL_CRIT</t>
        </is>
      </c>
      <c r="I110" s="39" t="inlineStr">
        <is>
          <t>Hornet Strike | Galvanized Diffusion | Primed Pistol Gambit | Primed Target Cracker | Galvanized Crosshairs | Primed Heated Charge | Pathogen Rounds | Galvanized Shot</t>
        </is>
      </c>
      <c r="J110" s="39" t="inlineStr">
        <is>
          <t>Secondary Merciless</t>
        </is>
      </c>
      <c r="K110" s="39" t="inlineStr">
        <is>
          <t>Viral + Heat (Steel Path generalist; swap Heat-&gt;Corrosive vs armored Grineer)</t>
        </is>
      </c>
      <c r="L110" s="39" t="inlineStr">
        <is>
          <t>-</t>
        </is>
      </c>
      <c r="M110" s="39" t="inlineStr">
        <is>
          <t>~3</t>
        </is>
      </c>
    </row>
    <row r="111">
      <c r="A111" s="39" t="inlineStr">
        <is>
          <t>Nidus Prime</t>
        </is>
      </c>
      <c r="B111" s="39" t="inlineStr">
        <is>
          <t>Melee</t>
        </is>
      </c>
      <c r="C111" s="39" t="inlineStr">
        <is>
          <t>Pathocyst</t>
        </is>
      </c>
      <c r="D111" s="39" t="inlineStr">
        <is>
          <t>Glaive</t>
        </is>
      </c>
      <c r="E111" s="39" t="n">
        <v>0.15</v>
      </c>
      <c r="F111" s="39" t="n">
        <v>0.3</v>
      </c>
      <c r="G111" s="39" t="inlineStr">
        <is>
          <t>status</t>
        </is>
      </c>
      <c r="H111" s="39" t="inlineStr">
        <is>
          <t>MELEE_CRIT</t>
        </is>
      </c>
      <c r="I111" s="39" t="inlineStr">
        <is>
          <t>Primed Pressure Point | Blood Rush | Weeping Wounds | Organ Shatter | Berserker Fury | Condition Overload | Primed Reach | Virulent Scourge</t>
        </is>
      </c>
      <c r="J111" s="39" t="inlineStr">
        <is>
          <t>Melee Influence</t>
        </is>
      </c>
      <c r="K111" s="39" t="inlineStr">
        <is>
          <t>Corrosive + Viral (status priority, Condition Overload/Galvanized scaling)</t>
        </is>
      </c>
      <c r="L111" s="39" t="inlineStr">
        <is>
          <t>-</t>
        </is>
      </c>
      <c r="M111" s="39" t="inlineStr">
        <is>
          <t>~3</t>
        </is>
      </c>
    </row>
    <row r="112">
      <c r="A112" s="39" t="inlineStr">
        <is>
          <t>Nokko</t>
        </is>
      </c>
      <c r="B112" s="39" t="inlineStr">
        <is>
          <t>Primary</t>
        </is>
      </c>
      <c r="C112" s="39" t="inlineStr">
        <is>
          <t>Sporothrix</t>
        </is>
      </c>
      <c r="D112" s="39" t="inlineStr">
        <is>
          <t>Sniper Rifle</t>
        </is>
      </c>
      <c r="E112" s="39" t="n">
        <v>0.01</v>
      </c>
      <c r="F112" s="39" t="n">
        <v>0.53</v>
      </c>
      <c r="G112" s="39" t="inlineStr">
        <is>
          <t>status</t>
        </is>
      </c>
      <c r="H112" s="39" t="inlineStr">
        <is>
          <t>RIFLE_CRIT</t>
        </is>
      </c>
      <c r="I112" s="39" t="inlineStr">
        <is>
          <t>Serration | Galvanized Chamber | Point Strike | Vital Sense | Hammer Shot | Galvanized Aptitude | Primed Cryo Rounds | Malignant Force</t>
        </is>
      </c>
      <c r="J112" s="39" t="inlineStr">
        <is>
          <t>Primary Deadhead</t>
        </is>
      </c>
      <c r="K112" s="39" t="inlineStr">
        <is>
          <t>Corrosive + Viral (status priority, Condition Overload/Galvanized scaling)</t>
        </is>
      </c>
      <c r="L112" s="39" t="inlineStr">
        <is>
          <t>-</t>
        </is>
      </c>
      <c r="M112" s="39" t="inlineStr">
        <is>
          <t>~3</t>
        </is>
      </c>
    </row>
    <row r="113">
      <c r="A113" s="39" t="inlineStr">
        <is>
          <t>Nokko</t>
        </is>
      </c>
      <c r="B113" s="39" t="inlineStr">
        <is>
          <t>Secondary</t>
        </is>
      </c>
      <c r="C113" s="39" t="inlineStr">
        <is>
          <t>Ocucor</t>
        </is>
      </c>
      <c r="D113" s="39" t="inlineStr">
        <is>
          <t>Pistol</t>
        </is>
      </c>
      <c r="E113" s="39" t="n">
        <v>0.16</v>
      </c>
      <c r="F113" s="39" t="n">
        <v>0.24</v>
      </c>
      <c r="G113" s="39" t="inlineStr">
        <is>
          <t>status</t>
        </is>
      </c>
      <c r="H113" s="39" t="inlineStr">
        <is>
          <t>PISTOL_CRIT</t>
        </is>
      </c>
      <c r="I113" s="39" t="inlineStr">
        <is>
          <t>Hornet Strike | Galvanized Diffusion | Primed Pistol Gambit | Primed Target Cracker | Galvanized Crosshairs | Primed Heated Charge | Pathogen Rounds | Galvanized Shot</t>
        </is>
      </c>
      <c r="J113" s="39" t="inlineStr">
        <is>
          <t>Secondary Encumber</t>
        </is>
      </c>
      <c r="K113" s="39" t="inlineStr">
        <is>
          <t>Corrosive + Viral (status priority, Condition Overload/Galvanized scaling)</t>
        </is>
      </c>
      <c r="L113" s="39" t="inlineStr">
        <is>
          <t>-</t>
        </is>
      </c>
      <c r="M113" s="39" t="inlineStr">
        <is>
          <t>~3</t>
        </is>
      </c>
    </row>
    <row r="114">
      <c r="A114" s="39" t="inlineStr">
        <is>
          <t>Nokko</t>
        </is>
      </c>
      <c r="B114" s="39" t="inlineStr">
        <is>
          <t>Melee</t>
        </is>
      </c>
      <c r="C114" s="39" t="inlineStr">
        <is>
          <t>Mios</t>
        </is>
      </c>
      <c r="D114" s="39" t="inlineStr">
        <is>
          <t>Blade and Whip</t>
        </is>
      </c>
      <c r="E114" s="39" t="n">
        <v>0.19</v>
      </c>
      <c r="F114" s="39" t="n">
        <v>0.25</v>
      </c>
      <c r="G114" s="39" t="inlineStr">
        <is>
          <t>status</t>
        </is>
      </c>
      <c r="H114" s="39" t="inlineStr">
        <is>
          <t>MELEE_CRIT</t>
        </is>
      </c>
      <c r="I114" s="39" t="inlineStr">
        <is>
          <t>Primed Pressure Point | Blood Rush | Weeping Wounds | Organ Shatter | Berserker Fury | Condition Overload | Primed Reach | Virulent Scourge</t>
        </is>
      </c>
      <c r="J114" s="39" t="inlineStr">
        <is>
          <t>Melee Influence</t>
        </is>
      </c>
      <c r="K114" s="39" t="inlineStr">
        <is>
          <t>Corrosive + Viral (status priority, Condition Overload/Galvanized scaling)</t>
        </is>
      </c>
      <c r="L114" s="39" t="inlineStr">
        <is>
          <t>-</t>
        </is>
      </c>
      <c r="M114" s="39" t="inlineStr">
        <is>
          <t>~3</t>
        </is>
      </c>
    </row>
    <row r="115">
      <c r="A115" s="39" t="inlineStr">
        <is>
          <t>Nova Prime</t>
        </is>
      </c>
      <c r="B115" s="39" t="inlineStr">
        <is>
          <t>Primary</t>
        </is>
      </c>
      <c r="C115" s="39" t="inlineStr">
        <is>
          <t>Soma Prime</t>
        </is>
      </c>
      <c r="D115" s="39" t="inlineStr">
        <is>
          <t>Rifle</t>
        </is>
      </c>
      <c r="E115" s="39" t="n">
        <v>0.3</v>
      </c>
      <c r="F115" s="39" t="n">
        <v>0.1</v>
      </c>
      <c r="G115" s="39" t="inlineStr">
        <is>
          <t>crit</t>
        </is>
      </c>
      <c r="H115" s="39" t="inlineStr">
        <is>
          <t>RIFLE_CRIT</t>
        </is>
      </c>
      <c r="I115" s="39" t="inlineStr">
        <is>
          <t>Serration | Galvanized Chamber | Point Strike | Vital Sense | Hammer Shot | Galvanized Aptitude | Primed Cryo Rounds | Malignant Force</t>
        </is>
      </c>
      <c r="J115" s="39" t="inlineStr">
        <is>
          <t>Primary Merciless</t>
        </is>
      </c>
      <c r="K115" s="39" t="inlineStr">
        <is>
          <t>Viral + Heat (Steel Path generalist; swap Heat-&gt;Corrosive vs armored Grineer)</t>
        </is>
      </c>
      <c r="L115" s="39" t="inlineStr">
        <is>
          <t>EVO2: Fortress Salvo; EVO3: Kinetic Battle; EVO4: Zeroed In</t>
        </is>
      </c>
      <c r="M115" s="39" t="inlineStr">
        <is>
          <t>~4 (Incarnon)</t>
        </is>
      </c>
    </row>
    <row r="116">
      <c r="A116" s="39" t="inlineStr">
        <is>
          <t>Nova Prime</t>
        </is>
      </c>
      <c r="B116" s="39" t="inlineStr">
        <is>
          <t>Secondary</t>
        </is>
      </c>
      <c r="C116" s="39" t="inlineStr">
        <is>
          <t>Aksomati Prime</t>
        </is>
      </c>
      <c r="D116" s="39" t="inlineStr">
        <is>
          <t>Dual Pistols</t>
        </is>
      </c>
      <c r="E116" s="39" t="n">
        <v>0.24</v>
      </c>
      <c r="F116" s="39" t="n">
        <v>0.18</v>
      </c>
      <c r="G116" s="39" t="inlineStr">
        <is>
          <t>crit</t>
        </is>
      </c>
      <c r="H116" s="39" t="inlineStr">
        <is>
          <t>PISTOL_CRIT</t>
        </is>
      </c>
      <c r="I116" s="39" t="inlineStr">
        <is>
          <t>Hornet Strike | Galvanized Diffusion | Primed Pistol Gambit | Primed Target Cracker | Galvanized Crosshairs | Primed Heated Charge | Pathogen Rounds | Galvanized Shot</t>
        </is>
      </c>
      <c r="J116" s="39" t="inlineStr">
        <is>
          <t>Secondary Merciless</t>
        </is>
      </c>
      <c r="K116" s="39" t="inlineStr">
        <is>
          <t>Viral + Heat (Steel Path generalist; swap Heat-&gt;Corrosive vs armored Grineer)</t>
        </is>
      </c>
      <c r="L116" s="39" t="inlineStr">
        <is>
          <t>-</t>
        </is>
      </c>
      <c r="M116" s="39" t="inlineStr">
        <is>
          <t>~3</t>
        </is>
      </c>
    </row>
    <row r="117">
      <c r="A117" s="39" t="inlineStr">
        <is>
          <t>Nova Prime</t>
        </is>
      </c>
      <c r="B117" s="39" t="inlineStr">
        <is>
          <t>Melee</t>
        </is>
      </c>
      <c r="C117" s="39" t="inlineStr">
        <is>
          <t>Gunsen Prime</t>
        </is>
      </c>
      <c r="D117" s="39" t="inlineStr">
        <is>
          <t>Warfan</t>
        </is>
      </c>
      <c r="E117" s="39" t="n">
        <v>0.2</v>
      </c>
      <c r="F117" s="39" t="n">
        <v>0.34</v>
      </c>
      <c r="G117" s="39" t="inlineStr">
        <is>
          <t>status</t>
        </is>
      </c>
      <c r="H117" s="39" t="inlineStr">
        <is>
          <t>MELEE_CRIT</t>
        </is>
      </c>
      <c r="I117" s="39" t="inlineStr">
        <is>
          <t>Primed Pressure Point | Blood Rush | Weeping Wounds | Organ Shatter | Berserker Fury | Condition Overload | Primed Reach | Virulent Scourge</t>
        </is>
      </c>
      <c r="J117" s="39" t="inlineStr">
        <is>
          <t>Melee Influence</t>
        </is>
      </c>
      <c r="K117" s="39" t="inlineStr">
        <is>
          <t>Corrosive + Viral (status priority, Condition Overload/Galvanized scaling)</t>
        </is>
      </c>
      <c r="L117" s="39" t="inlineStr">
        <is>
          <t>-</t>
        </is>
      </c>
      <c r="M117" s="39" t="inlineStr">
        <is>
          <t>~3</t>
        </is>
      </c>
    </row>
    <row r="118">
      <c r="A118" s="39" t="inlineStr">
        <is>
          <t>Nyx Prime</t>
        </is>
      </c>
      <c r="B118" s="39" t="inlineStr">
        <is>
          <t>Primary</t>
        </is>
      </c>
      <c r="C118" s="39" t="inlineStr">
        <is>
          <t>Synapse</t>
        </is>
      </c>
      <c r="D118" s="39" t="inlineStr">
        <is>
          <t>Rifle</t>
        </is>
      </c>
      <c r="E118" s="39" t="n">
        <v>0.39</v>
      </c>
      <c r="F118" s="39" t="n">
        <v>0.13</v>
      </c>
      <c r="G118" s="39" t="inlineStr">
        <is>
          <t>crit</t>
        </is>
      </c>
      <c r="H118" s="39" t="inlineStr">
        <is>
          <t>RIFLE_CRIT</t>
        </is>
      </c>
      <c r="I118" s="39" t="inlineStr">
        <is>
          <t>Serration | Galvanized Chamber | Point Strike | Vital Sense | Hammer Shot | Galvanized Aptitude | Primed Cryo Rounds | Malignant Force</t>
        </is>
      </c>
      <c r="J118" s="39" t="inlineStr">
        <is>
          <t>Primary Merciless</t>
        </is>
      </c>
      <c r="K118" s="39" t="inlineStr">
        <is>
          <t>Viral + Heat (Steel Path generalist; swap Heat-&gt;Corrosive vs armored Grineer)</t>
        </is>
      </c>
      <c r="L118" s="39" t="inlineStr">
        <is>
          <t>-</t>
        </is>
      </c>
      <c r="M118" s="39" t="inlineStr">
        <is>
          <t>~3</t>
        </is>
      </c>
    </row>
    <row r="119">
      <c r="A119" s="39" t="inlineStr">
        <is>
          <t>Nyx Prime</t>
        </is>
      </c>
      <c r="B119" s="39" t="inlineStr">
        <is>
          <t>Secondary</t>
        </is>
      </c>
      <c r="C119" s="39" t="inlineStr">
        <is>
          <t>Hikou Prime</t>
        </is>
      </c>
      <c r="D119" s="39" t="inlineStr">
        <is>
          <t>Thrown</t>
        </is>
      </c>
      <c r="E119" s="39" t="n">
        <v>0.06</v>
      </c>
      <c r="F119" s="39" t="n">
        <v>0.28</v>
      </c>
      <c r="G119" s="39" t="inlineStr">
        <is>
          <t>status</t>
        </is>
      </c>
      <c r="H119" s="39" t="inlineStr">
        <is>
          <t>PISTOL_CRIT</t>
        </is>
      </c>
      <c r="I119" s="39" t="inlineStr">
        <is>
          <t>Hornet Strike | Galvanized Diffusion | Primed Pistol Gambit | Primed Target Cracker | Galvanized Crosshairs | Primed Heated Charge | Pathogen Rounds | Galvanized Shot</t>
        </is>
      </c>
      <c r="J119" s="39" t="inlineStr">
        <is>
          <t>Secondary Encumber</t>
        </is>
      </c>
      <c r="K119" s="39" t="inlineStr">
        <is>
          <t>Corrosive + Viral (status priority, Condition Overload/Galvanized scaling)</t>
        </is>
      </c>
      <c r="L119" s="39" t="inlineStr">
        <is>
          <t>-</t>
        </is>
      </c>
      <c r="M119" s="39" t="inlineStr">
        <is>
          <t>~3</t>
        </is>
      </c>
    </row>
    <row r="120">
      <c r="A120" s="39" t="inlineStr">
        <is>
          <t>Nyx Prime</t>
        </is>
      </c>
      <c r="B120" s="39" t="inlineStr">
        <is>
          <t>Melee</t>
        </is>
      </c>
      <c r="C120" s="39" t="inlineStr">
        <is>
          <t>Scindo Prime</t>
        </is>
      </c>
      <c r="D120" s="39" t="inlineStr">
        <is>
          <t>Heavy Blade</t>
        </is>
      </c>
      <c r="E120" s="39" t="n">
        <v>0.26</v>
      </c>
      <c r="F120" s="39" t="n">
        <v>0.24</v>
      </c>
      <c r="G120" s="39" t="inlineStr">
        <is>
          <t>crit</t>
        </is>
      </c>
      <c r="H120" s="39" t="inlineStr">
        <is>
          <t>MELEE_CRIT</t>
        </is>
      </c>
      <c r="I120" s="39" t="inlineStr">
        <is>
          <t>Primed Pressure Point | Blood Rush | Weeping Wounds | Organ Shatter | Berserker Fury | Condition Overload | Primed Reach | Virulent Scourge</t>
        </is>
      </c>
      <c r="J120" s="39" t="inlineStr">
        <is>
          <t>Melee Animosity</t>
        </is>
      </c>
      <c r="K120" s="39" t="inlineStr">
        <is>
          <t>Viral + Heat (Steel Path generalist; swap Heat-&gt;Corrosive vs armored Grineer)</t>
        </is>
      </c>
      <c r="L120" s="39" t="inlineStr">
        <is>
          <t>-</t>
        </is>
      </c>
      <c r="M120" s="39" t="inlineStr">
        <is>
          <t>~3</t>
        </is>
      </c>
    </row>
    <row r="121">
      <c r="A121" s="39" t="inlineStr">
        <is>
          <t>Oberon Prime</t>
        </is>
      </c>
      <c r="B121" s="39" t="inlineStr">
        <is>
          <t>Primary</t>
        </is>
      </c>
      <c r="C121" s="39" t="inlineStr">
        <is>
          <t>Sybaris Prime</t>
        </is>
      </c>
      <c r="D121" s="39" t="inlineStr">
        <is>
          <t>Rifle</t>
        </is>
      </c>
      <c r="E121" s="39" t="n">
        <v>0.3</v>
      </c>
      <c r="F121" s="39" t="n">
        <v>0.25</v>
      </c>
      <c r="G121" s="39" t="inlineStr">
        <is>
          <t>crit</t>
        </is>
      </c>
      <c r="H121" s="39" t="inlineStr">
        <is>
          <t>RIFLE_CRIT</t>
        </is>
      </c>
      <c r="I121" s="39" t="inlineStr">
        <is>
          <t>Serration | Galvanized Chamber | Point Strike | Vital Sense | Hammer Shot | Galvanized Aptitude | Primed Cryo Rounds | Malignant Force</t>
        </is>
      </c>
      <c r="J121" s="39" t="inlineStr">
        <is>
          <t>Primary Merciless</t>
        </is>
      </c>
      <c r="K121" s="39" t="inlineStr">
        <is>
          <t>Viral + Heat (Steel Path generalist; swap Heat-&gt;Corrosive vs armored Grineer)</t>
        </is>
      </c>
      <c r="L121" s="39" t="inlineStr">
        <is>
          <t>EVO2: Blazing Barrel; EVO3: Extended Volley; EVO4: Survivor's Edge</t>
        </is>
      </c>
      <c r="M121" s="39" t="inlineStr">
        <is>
          <t>~4 (Incarnon)</t>
        </is>
      </c>
    </row>
    <row r="122">
      <c r="A122" s="39" t="inlineStr">
        <is>
          <t>Oberon Prime</t>
        </is>
      </c>
      <c r="B122" s="39" t="inlineStr">
        <is>
          <t>Secondary</t>
        </is>
      </c>
      <c r="C122" s="39" t="inlineStr">
        <is>
          <t>Sicarus Prime</t>
        </is>
      </c>
      <c r="D122" s="39" t="inlineStr">
        <is>
          <t>Pistol</t>
        </is>
      </c>
      <c r="E122" s="39" t="n">
        <v>0.25</v>
      </c>
      <c r="F122" s="39" t="n">
        <v>0.2</v>
      </c>
      <c r="G122" s="39" t="inlineStr">
        <is>
          <t>crit</t>
        </is>
      </c>
      <c r="H122" s="39" t="inlineStr">
        <is>
          <t>PISTOL_CRIT</t>
        </is>
      </c>
      <c r="I122" s="39" t="inlineStr">
        <is>
          <t>Hornet Strike | Galvanized Diffusion | Primed Pistol Gambit | Primed Target Cracker | Galvanized Crosshairs | Primed Heated Charge | Pathogen Rounds | Galvanized Shot</t>
        </is>
      </c>
      <c r="J122" s="39" t="inlineStr">
        <is>
          <t>Secondary Merciless</t>
        </is>
      </c>
      <c r="K122" s="39" t="inlineStr">
        <is>
          <t>Viral + Heat (Steel Path generalist; swap Heat-&gt;Corrosive vs armored Grineer)</t>
        </is>
      </c>
      <c r="L122" s="39" t="inlineStr">
        <is>
          <t>EVO2: King's Gambit; EVO3: Void's Guidance; EVO4: Commodore's Fortune</t>
        </is>
      </c>
      <c r="M122" s="39" t="inlineStr">
        <is>
          <t>~4 (Incarnon)</t>
        </is>
      </c>
    </row>
    <row r="123">
      <c r="A123" s="39" t="inlineStr">
        <is>
          <t>Oberon Prime</t>
        </is>
      </c>
      <c r="B123" s="39" t="inlineStr">
        <is>
          <t>Melee</t>
        </is>
      </c>
      <c r="C123" s="39" t="inlineStr">
        <is>
          <t>Silva &amp; Aegis Prime</t>
        </is>
      </c>
      <c r="D123" s="39" t="inlineStr">
        <is>
          <t>Sword and Shield</t>
        </is>
      </c>
      <c r="E123" s="39" t="n">
        <v>0.25</v>
      </c>
      <c r="F123" s="39" t="n">
        <v>0.3</v>
      </c>
      <c r="G123" s="39" t="inlineStr">
        <is>
          <t>crit</t>
        </is>
      </c>
      <c r="H123" s="39" t="inlineStr">
        <is>
          <t>MELEE_CRIT</t>
        </is>
      </c>
      <c r="I123" s="39" t="inlineStr">
        <is>
          <t>Primed Pressure Point | Blood Rush | Weeping Wounds | Organ Shatter | Berserker Fury | Condition Overload | Primed Reach | Virulent Scourge</t>
        </is>
      </c>
      <c r="J123" s="39" t="inlineStr">
        <is>
          <t>Melee Duplicate</t>
        </is>
      </c>
      <c r="K123" s="39" t="inlineStr">
        <is>
          <t>Viral + Heat (Steel Path generalist; swap Heat-&gt;Corrosive vs armored Grineer)</t>
        </is>
      </c>
      <c r="L123" s="39" t="inlineStr">
        <is>
          <t>-</t>
        </is>
      </c>
      <c r="M123" s="39" t="inlineStr">
        <is>
          <t>~3</t>
        </is>
      </c>
    </row>
    <row r="124">
      <c r="A124" s="39" t="inlineStr">
        <is>
          <t>Octavia Prime</t>
        </is>
      </c>
      <c r="B124" s="39" t="inlineStr">
        <is>
          <t>Primary</t>
        </is>
      </c>
      <c r="C124" s="39" t="inlineStr">
        <is>
          <t>Tenora Prime</t>
        </is>
      </c>
      <c r="D124" s="39" t="inlineStr">
        <is>
          <t>Rifle</t>
        </is>
      </c>
      <c r="E124" s="39" t="n">
        <v>0.3</v>
      </c>
      <c r="F124" s="39" t="n">
        <v>0.24</v>
      </c>
      <c r="G124" s="39" t="inlineStr">
        <is>
          <t>crit</t>
        </is>
      </c>
      <c r="H124" s="39" t="inlineStr">
        <is>
          <t>RIFLE_CRIT</t>
        </is>
      </c>
      <c r="I124" s="39" t="inlineStr">
        <is>
          <t>Serration | Galvanized Chamber | Point Strike | Vital Sense | Hammer Shot | Galvanized Aptitude | Primed Cryo Rounds | Malignant Force</t>
        </is>
      </c>
      <c r="J124" s="39" t="inlineStr">
        <is>
          <t>Primary Merciless</t>
        </is>
      </c>
      <c r="K124" s="39" t="inlineStr">
        <is>
          <t>Viral + Heat (Steel Path generalist; swap Heat-&gt;Corrosive vs armored Grineer)</t>
        </is>
      </c>
      <c r="L124" s="39" t="inlineStr">
        <is>
          <t>-</t>
        </is>
      </c>
      <c r="M124" s="39" t="inlineStr">
        <is>
          <t>~3</t>
        </is>
      </c>
    </row>
    <row r="125">
      <c r="A125" s="39" t="inlineStr">
        <is>
          <t>Octavia Prime</t>
        </is>
      </c>
      <c r="B125" s="39" t="inlineStr">
        <is>
          <t>Secondary</t>
        </is>
      </c>
      <c r="C125" s="39" t="inlineStr">
        <is>
          <t>Pandero Prime</t>
        </is>
      </c>
      <c r="D125" s="39" t="inlineStr">
        <is>
          <t>Pistol</t>
        </is>
      </c>
      <c r="E125" s="39" t="n">
        <v>0.3</v>
      </c>
      <c r="F125" s="39" t="n">
        <v>0.24</v>
      </c>
      <c r="G125" s="39" t="inlineStr">
        <is>
          <t>crit</t>
        </is>
      </c>
      <c r="H125" s="39" t="inlineStr">
        <is>
          <t>PISTOL_CRIT</t>
        </is>
      </c>
      <c r="I125" s="39" t="inlineStr">
        <is>
          <t>Hornet Strike | Galvanized Diffusion | Primed Pistol Gambit | Primed Target Cracker | Galvanized Crosshairs | Primed Heated Charge | Pathogen Rounds | Galvanized Shot</t>
        </is>
      </c>
      <c r="J125" s="39" t="inlineStr">
        <is>
          <t>Secondary Merciless</t>
        </is>
      </c>
      <c r="K125" s="39" t="inlineStr">
        <is>
          <t>Viral + Heat (Steel Path generalist; swap Heat-&gt;Corrosive vs armored Grineer)</t>
        </is>
      </c>
      <c r="L125" s="39" t="inlineStr">
        <is>
          <t>-</t>
        </is>
      </c>
      <c r="M125" s="39" t="inlineStr">
        <is>
          <t>~3</t>
        </is>
      </c>
    </row>
    <row r="126">
      <c r="A126" s="39" t="inlineStr">
        <is>
          <t>Octavia Prime</t>
        </is>
      </c>
      <c r="B126" s="39" t="inlineStr">
        <is>
          <t>Melee</t>
        </is>
      </c>
      <c r="C126" s="39" t="inlineStr">
        <is>
          <t>Stropha</t>
        </is>
      </c>
      <c r="D126" s="39" t="inlineStr">
        <is>
          <t>Gunblade</t>
        </is>
      </c>
      <c r="E126" s="39" t="n">
        <v>0.3</v>
      </c>
      <c r="F126" s="39" t="n">
        <v>0.14</v>
      </c>
      <c r="G126" s="39" t="inlineStr">
        <is>
          <t>crit</t>
        </is>
      </c>
      <c r="H126" s="39" t="inlineStr">
        <is>
          <t>MELEE_CRIT</t>
        </is>
      </c>
      <c r="I126" s="39" t="inlineStr">
        <is>
          <t>Primed Pressure Point | Blood Rush | Weeping Wounds | Organ Shatter | Berserker Fury | Condition Overload | Primed Reach | Virulent Scourge</t>
        </is>
      </c>
      <c r="J126" s="39" t="inlineStr">
        <is>
          <t>Melee Duplicate</t>
        </is>
      </c>
      <c r="K126" s="39" t="inlineStr">
        <is>
          <t>Viral + Heat (Steel Path generalist; swap Heat-&gt;Corrosive vs armored Grineer)</t>
        </is>
      </c>
      <c r="L126" s="39" t="inlineStr">
        <is>
          <t>-</t>
        </is>
      </c>
      <c r="M126" s="39" t="inlineStr">
        <is>
          <t>~3</t>
        </is>
      </c>
    </row>
    <row r="127">
      <c r="A127" s="39" t="inlineStr">
        <is>
          <t>Oraxia</t>
        </is>
      </c>
      <c r="B127" s="39" t="inlineStr">
        <is>
          <t>Primary</t>
        </is>
      </c>
      <c r="C127" s="39" t="inlineStr">
        <is>
          <t>Torid</t>
        </is>
      </c>
      <c r="D127" s="39" t="inlineStr">
        <is>
          <t>Launcher</t>
        </is>
      </c>
      <c r="E127" s="39" t="n">
        <v>0.15</v>
      </c>
      <c r="F127" s="39" t="n">
        <v>0.23</v>
      </c>
      <c r="G127" s="39" t="inlineStr">
        <is>
          <t>status</t>
        </is>
      </c>
      <c r="H127" s="39" t="inlineStr">
        <is>
          <t>RIFLE_CRIT</t>
        </is>
      </c>
      <c r="I127" s="39" t="inlineStr">
        <is>
          <t>Serration | Galvanized Chamber | Point Strike | Vital Sense | Hammer Shot | Galvanized Aptitude | Primed Cryo Rounds | Malignant Force</t>
        </is>
      </c>
      <c r="J127" s="39" t="inlineStr">
        <is>
          <t>Primary Merciless</t>
        </is>
      </c>
      <c r="K127" s="39" t="inlineStr">
        <is>
          <t>Corrosive + Viral (status priority, Condition Overload/Galvanized scaling)</t>
        </is>
      </c>
      <c r="L127" s="39" t="inlineStr">
        <is>
          <t>EVO2: Final Fusillade; EVO3: Renewed Horror; EVO4: Survivor's Edge</t>
        </is>
      </c>
      <c r="M127" s="39" t="inlineStr">
        <is>
          <t>~4 (Incarnon)</t>
        </is>
      </c>
    </row>
    <row r="128">
      <c r="A128" s="39" t="inlineStr">
        <is>
          <t>Oraxia</t>
        </is>
      </c>
      <c r="B128" s="39" t="inlineStr">
        <is>
          <t>Secondary</t>
        </is>
      </c>
      <c r="C128" s="39" t="inlineStr">
        <is>
          <t>Scyotid</t>
        </is>
      </c>
      <c r="D128" s="39" t="inlineStr">
        <is>
          <t>Thrown</t>
        </is>
      </c>
      <c r="E128" s="39" t="n">
        <v>0.24</v>
      </c>
      <c r="F128" s="39" t="n">
        <v>0.18</v>
      </c>
      <c r="G128" s="39" t="inlineStr">
        <is>
          <t>crit</t>
        </is>
      </c>
      <c r="H128" s="39" t="inlineStr">
        <is>
          <t>PISTOL_CRIT</t>
        </is>
      </c>
      <c r="I128" s="39" t="inlineStr">
        <is>
          <t>Hornet Strike | Galvanized Diffusion | Primed Pistol Gambit | Primed Target Cracker | Galvanized Crosshairs | Primed Heated Charge | Pathogen Rounds | Galvanized Shot</t>
        </is>
      </c>
      <c r="J128" s="39" t="inlineStr">
        <is>
          <t>Secondary Merciless</t>
        </is>
      </c>
      <c r="K128" s="39" t="inlineStr">
        <is>
          <t>Viral + Heat (Steel Path generalist; swap Heat-&gt;Corrosive vs armored Grineer)</t>
        </is>
      </c>
      <c r="L128" s="39" t="inlineStr">
        <is>
          <t>-</t>
        </is>
      </c>
      <c r="M128" s="39" t="inlineStr">
        <is>
          <t>~3</t>
        </is>
      </c>
    </row>
    <row r="129">
      <c r="A129" s="39" t="inlineStr">
        <is>
          <t>Oraxia</t>
        </is>
      </c>
      <c r="B129" s="39" t="inlineStr">
        <is>
          <t>Melee</t>
        </is>
      </c>
      <c r="C129" s="39" t="inlineStr">
        <is>
          <t>Spinnerex</t>
        </is>
      </c>
      <c r="D129" s="39" t="inlineStr">
        <is>
          <t>Whip</t>
        </is>
      </c>
      <c r="E129" s="39" t="n">
        <v>0.16</v>
      </c>
      <c r="F129" s="39" t="n">
        <v>0.4</v>
      </c>
      <c r="G129" s="39" t="inlineStr">
        <is>
          <t>status</t>
        </is>
      </c>
      <c r="H129" s="39" t="inlineStr">
        <is>
          <t>MELEE_CRIT</t>
        </is>
      </c>
      <c r="I129" s="39" t="inlineStr">
        <is>
          <t>Primed Pressure Point | Blood Rush | Weeping Wounds | Organ Shatter | Berserker Fury | Condition Overload | Primed Reach | Virulent Scourge</t>
        </is>
      </c>
      <c r="J129" s="39" t="inlineStr">
        <is>
          <t>Melee Influence</t>
        </is>
      </c>
      <c r="K129" s="39" t="inlineStr">
        <is>
          <t>Corrosive + Viral (status priority, Condition Overload/Galvanized scaling)</t>
        </is>
      </c>
      <c r="L129" s="39" t="inlineStr">
        <is>
          <t>-</t>
        </is>
      </c>
      <c r="M129" s="39" t="inlineStr">
        <is>
          <t>~3</t>
        </is>
      </c>
    </row>
    <row r="130">
      <c r="A130" s="39" t="inlineStr">
        <is>
          <t>Protea Prime</t>
        </is>
      </c>
      <c r="B130" s="39" t="inlineStr">
        <is>
          <t>Primary</t>
        </is>
      </c>
      <c r="C130" s="39" t="inlineStr">
        <is>
          <t>Stahlta</t>
        </is>
      </c>
      <c r="D130" s="39" t="inlineStr">
        <is>
          <t>Rifle</t>
        </is>
      </c>
      <c r="E130" s="39" t="n">
        <v>0.24</v>
      </c>
      <c r="F130" s="39" t="n">
        <v>0.22</v>
      </c>
      <c r="G130" s="39" t="inlineStr">
        <is>
          <t>crit</t>
        </is>
      </c>
      <c r="H130" s="39" t="inlineStr">
        <is>
          <t>RIFLE_CRIT</t>
        </is>
      </c>
      <c r="I130" s="39" t="inlineStr">
        <is>
          <t>Serration | Galvanized Chamber | Point Strike | Vital Sense | Hammer Shot | Galvanized Aptitude | Primed Cryo Rounds | Malignant Force</t>
        </is>
      </c>
      <c r="J130" s="39" t="inlineStr">
        <is>
          <t>Primary Merciless</t>
        </is>
      </c>
      <c r="K130" s="39" t="inlineStr">
        <is>
          <t>Viral + Heat (Steel Path generalist; swap Heat-&gt;Corrosive vs armored Grineer)</t>
        </is>
      </c>
      <c r="L130" s="39" t="inlineStr">
        <is>
          <t>-</t>
        </is>
      </c>
      <c r="M130" s="39" t="inlineStr">
        <is>
          <t>~3</t>
        </is>
      </c>
    </row>
    <row r="131">
      <c r="A131" s="39" t="inlineStr">
        <is>
          <t>Protea Prime</t>
        </is>
      </c>
      <c r="B131" s="39" t="inlineStr">
        <is>
          <t>Secondary</t>
        </is>
      </c>
      <c r="C131" s="39" t="inlineStr">
        <is>
          <t>Velox Prime</t>
        </is>
      </c>
      <c r="D131" s="39" t="inlineStr">
        <is>
          <t>Pistol</t>
        </is>
      </c>
      <c r="E131" s="39" t="n">
        <v>0.14</v>
      </c>
      <c r="F131" s="39" t="n">
        <v>0.32</v>
      </c>
      <c r="G131" s="39" t="inlineStr">
        <is>
          <t>status</t>
        </is>
      </c>
      <c r="H131" s="39" t="inlineStr">
        <is>
          <t>PISTOL_CRIT</t>
        </is>
      </c>
      <c r="I131" s="39" t="inlineStr">
        <is>
          <t>Hornet Strike | Galvanized Diffusion | Primed Pistol Gambit | Primed Target Cracker | Galvanized Crosshairs | Primed Heated Charge | Pathogen Rounds | Galvanized Shot</t>
        </is>
      </c>
      <c r="J131" s="39" t="inlineStr">
        <is>
          <t>Secondary Encumber</t>
        </is>
      </c>
      <c r="K131" s="39" t="inlineStr">
        <is>
          <t>Corrosive + Viral (status priority, Condition Overload/Galvanized scaling)</t>
        </is>
      </c>
      <c r="L131" s="39" t="inlineStr">
        <is>
          <t>-</t>
        </is>
      </c>
      <c r="M131" s="39" t="inlineStr">
        <is>
          <t>~3</t>
        </is>
      </c>
    </row>
    <row r="132">
      <c r="A132" s="39" t="inlineStr">
        <is>
          <t>Protea Prime</t>
        </is>
      </c>
      <c r="B132" s="39" t="inlineStr">
        <is>
          <t>Melee</t>
        </is>
      </c>
      <c r="C132" s="39" t="inlineStr">
        <is>
          <t>Okina Prime</t>
        </is>
      </c>
      <c r="D132" s="39" t="inlineStr">
        <is>
          <t>Dual Daggers</t>
        </is>
      </c>
      <c r="E132" s="39" t="n">
        <v>0.3</v>
      </c>
      <c r="F132" s="39" t="n">
        <v>0.24</v>
      </c>
      <c r="G132" s="39" t="inlineStr">
        <is>
          <t>crit</t>
        </is>
      </c>
      <c r="H132" s="39" t="inlineStr">
        <is>
          <t>MELEE_CRIT</t>
        </is>
      </c>
      <c r="I132" s="39" t="inlineStr">
        <is>
          <t>Primed Pressure Point | Blood Rush | Weeping Wounds | Organ Shatter | Berserker Fury | Condition Overload | Primed Reach | Virulent Scourge</t>
        </is>
      </c>
      <c r="J132" s="39" t="inlineStr">
        <is>
          <t>Melee Duplicate</t>
        </is>
      </c>
      <c r="K132" s="39" t="inlineStr">
        <is>
          <t>Viral + Heat (Steel Path generalist; swap Heat-&gt;Corrosive vs armored Grineer)</t>
        </is>
      </c>
      <c r="L132" s="39" t="inlineStr">
        <is>
          <t>EVO2: Synergist Surety; EVO3: Orokin Reach; EVO4: Commodore's Fortune</t>
        </is>
      </c>
      <c r="M132" s="39" t="inlineStr">
        <is>
          <t>~4 (Incarnon)</t>
        </is>
      </c>
    </row>
    <row r="133">
      <c r="A133" s="39" t="inlineStr">
        <is>
          <t>Qorvex</t>
        </is>
      </c>
      <c r="B133" s="39" t="inlineStr">
        <is>
          <t>Primary</t>
        </is>
      </c>
      <c r="C133" s="39" t="inlineStr">
        <is>
          <t>Felarx</t>
        </is>
      </c>
      <c r="D133" s="39" t="inlineStr">
        <is>
          <t>Shotgun</t>
        </is>
      </c>
      <c r="E133" s="39" t="n">
        <v>0.2</v>
      </c>
      <c r="F133" s="39" t="n">
        <v>0.055</v>
      </c>
      <c r="G133" s="39" t="inlineStr">
        <is>
          <t>crit</t>
        </is>
      </c>
      <c r="H133" s="39" t="inlineStr">
        <is>
          <t>SHOTGUN</t>
        </is>
      </c>
      <c r="I133" s="39" t="inlineStr">
        <is>
          <t>Primed Point Blank | Galvanized Hell | Primed Ravage | Critical Deceleration | Galvanized Savvy | Primed Charged Shell | Toxic Barrage | Incendiary Coat</t>
        </is>
      </c>
      <c r="J133" s="39" t="inlineStr">
        <is>
          <t>Shotgun Vendetta</t>
        </is>
      </c>
      <c r="K133" s="39" t="inlineStr">
        <is>
          <t>Viral + Heat (Steel Path generalist; swap Heat-&gt;Corrosive vs armored Grineer)</t>
        </is>
      </c>
      <c r="L133" s="39" t="inlineStr">
        <is>
          <t>EVO2: Attuned Accuracy; EVO3: Dual-Mode; EVO4: Brutal Edge; EVO5: Devastating Attrition</t>
        </is>
      </c>
      <c r="M133" s="39" t="inlineStr">
        <is>
          <t>~4 (Incarnon)</t>
        </is>
      </c>
    </row>
    <row r="134">
      <c r="A134" s="39" t="inlineStr">
        <is>
          <t>Qorvex</t>
        </is>
      </c>
      <c r="B134" s="39" t="inlineStr">
        <is>
          <t>Secondary</t>
        </is>
      </c>
      <c r="C134" s="39" t="inlineStr">
        <is>
          <t>Bronco Prime</t>
        </is>
      </c>
      <c r="D134" s="39" t="inlineStr">
        <is>
          <t>Shotgun Sidearm</t>
        </is>
      </c>
      <c r="E134" s="39" t="n">
        <v>0.06</v>
      </c>
      <c r="F134" s="39" t="n">
        <v>0.1286</v>
      </c>
      <c r="G134" s="39" t="inlineStr">
        <is>
          <t>status</t>
        </is>
      </c>
      <c r="H134" s="39" t="inlineStr">
        <is>
          <t>PISTOL_CRIT</t>
        </is>
      </c>
      <c r="I134" s="39" t="inlineStr">
        <is>
          <t>Hornet Strike | Galvanized Diffusion | Primed Pistol Gambit | Primed Target Cracker | Galvanized Crosshairs | Primed Heated Charge | Pathogen Rounds | Galvanized Shot</t>
        </is>
      </c>
      <c r="J134" s="39" t="inlineStr">
        <is>
          <t>Secondary Encumber</t>
        </is>
      </c>
      <c r="K134" s="39" t="inlineStr">
        <is>
          <t>Corrosive + Viral (status priority, Condition Overload/Galvanized scaling)</t>
        </is>
      </c>
      <c r="L134" s="39" t="inlineStr">
        <is>
          <t>EVO2: Speeding Bullet; EVO3: Kinetic Battle; EVO4: Rain of Lead</t>
        </is>
      </c>
      <c r="M134" s="39" t="inlineStr">
        <is>
          <t>~4 (Incarnon)</t>
        </is>
      </c>
    </row>
    <row r="135">
      <c r="A135" s="39" t="inlineStr">
        <is>
          <t>Qorvex</t>
        </is>
      </c>
      <c r="B135" s="39" t="inlineStr">
        <is>
          <t>Melee</t>
        </is>
      </c>
      <c r="C135" s="39" t="inlineStr">
        <is>
          <t>Hate</t>
        </is>
      </c>
      <c r="D135" s="39" t="inlineStr">
        <is>
          <t>Scythe</t>
        </is>
      </c>
      <c r="E135" s="39" t="n">
        <v>0.3</v>
      </c>
      <c r="F135" s="39" t="n">
        <v>0.2</v>
      </c>
      <c r="G135" s="39" t="inlineStr">
        <is>
          <t>crit</t>
        </is>
      </c>
      <c r="H135" s="39" t="inlineStr">
        <is>
          <t>MELEE_CRIT</t>
        </is>
      </c>
      <c r="I135" s="39" t="inlineStr">
        <is>
          <t>Primed Pressure Point | Blood Rush | Weeping Wounds | Organ Shatter | Berserker Fury | Condition Overload | Primed Reach | Virulent Scourge</t>
        </is>
      </c>
      <c r="J135" s="39" t="inlineStr">
        <is>
          <t>Melee Animosity</t>
        </is>
      </c>
      <c r="K135" s="39" t="inlineStr">
        <is>
          <t>Viral + Heat (Steel Path generalist; swap Heat-&gt;Corrosive vs armored Grineer)</t>
        </is>
      </c>
      <c r="L135" s="39" t="inlineStr">
        <is>
          <t>EVO2: Swordsman's Flourish; EVO3: Orokin Reach; EVO4: Absolute Valor</t>
        </is>
      </c>
      <c r="M135" s="39" t="inlineStr">
        <is>
          <t>~4 (Incarnon)</t>
        </is>
      </c>
    </row>
    <row r="136">
      <c r="A136" s="39" t="inlineStr">
        <is>
          <t>Revenant Prime</t>
        </is>
      </c>
      <c r="B136" s="39" t="inlineStr">
        <is>
          <t>Primary</t>
        </is>
      </c>
      <c r="C136" s="39" t="inlineStr">
        <is>
          <t>Phantasma Prime</t>
        </is>
      </c>
      <c r="D136" s="39" t="inlineStr">
        <is>
          <t>Shotgun</t>
        </is>
      </c>
      <c r="E136" s="39" t="n">
        <v>0.11</v>
      </c>
      <c r="F136" s="39" t="n">
        <v>0.222</v>
      </c>
      <c r="G136" s="39" t="inlineStr">
        <is>
          <t>status</t>
        </is>
      </c>
      <c r="H136" s="39" t="inlineStr">
        <is>
          <t>SHOTGUN</t>
        </is>
      </c>
      <c r="I136" s="39" t="inlineStr">
        <is>
          <t>Primed Point Blank | Galvanized Hell | Primed Ravage | Critical Deceleration | Galvanized Savvy | Primed Charged Shell | Toxic Barrage | Incendiary Coat</t>
        </is>
      </c>
      <c r="J136" s="39" t="inlineStr">
        <is>
          <t>Shotgun Vendetta</t>
        </is>
      </c>
      <c r="K136" s="39" t="inlineStr">
        <is>
          <t>Corrosive + Viral (status priority, Condition Overload/Galvanized scaling)</t>
        </is>
      </c>
      <c r="L136" s="39" t="inlineStr">
        <is>
          <t>-</t>
        </is>
      </c>
      <c r="M136" s="39" t="inlineStr">
        <is>
          <t>~3</t>
        </is>
      </c>
    </row>
    <row r="137">
      <c r="A137" s="39" t="inlineStr">
        <is>
          <t>Revenant Prime</t>
        </is>
      </c>
      <c r="B137" s="39" t="inlineStr">
        <is>
          <t>Secondary</t>
        </is>
      </c>
      <c r="C137" s="39" t="inlineStr">
        <is>
          <t>Tenet Cycron</t>
        </is>
      </c>
      <c r="D137" s="39" t="inlineStr">
        <is>
          <t>Pistol</t>
        </is>
      </c>
      <c r="E137" s="39" t="n">
        <v>0.2</v>
      </c>
      <c r="F137" s="39" t="n">
        <v>0.4</v>
      </c>
      <c r="G137" s="39" t="inlineStr">
        <is>
          <t>status</t>
        </is>
      </c>
      <c r="H137" s="39" t="inlineStr">
        <is>
          <t>PISTOL_CRIT</t>
        </is>
      </c>
      <c r="I137" s="39" t="inlineStr">
        <is>
          <t>Hornet Strike | Galvanized Diffusion | Primed Pistol Gambit | Primed Target Cracker | Galvanized Crosshairs | Primed Heated Charge | Pathogen Rounds | Galvanized Shot</t>
        </is>
      </c>
      <c r="J137" s="39" t="inlineStr">
        <is>
          <t>Secondary Encumber</t>
        </is>
      </c>
      <c r="K137" s="39" t="inlineStr">
        <is>
          <t>Adversary innate element (see Adversary sheet) + Viral</t>
        </is>
      </c>
      <c r="L137" s="39" t="inlineStr">
        <is>
          <t>-</t>
        </is>
      </c>
      <c r="M137" s="39" t="inlineStr">
        <is>
          <t>5 Forma to Rank 40 + ~3 polarization</t>
        </is>
      </c>
    </row>
    <row r="138">
      <c r="A138" s="39" t="inlineStr">
        <is>
          <t>Revenant Prime</t>
        </is>
      </c>
      <c r="B138" s="39" t="inlineStr">
        <is>
          <t>Melee</t>
        </is>
      </c>
      <c r="C138" s="39" t="inlineStr">
        <is>
          <t>Tatsu Prime</t>
        </is>
      </c>
      <c r="D138" s="39" t="inlineStr">
        <is>
          <t>Two-Handed Nikana</t>
        </is>
      </c>
      <c r="E138" s="39" t="n">
        <v>0.22</v>
      </c>
      <c r="F138" s="39" t="n">
        <v>0.3</v>
      </c>
      <c r="G138" s="39" t="inlineStr">
        <is>
          <t>status</t>
        </is>
      </c>
      <c r="H138" s="39" t="inlineStr">
        <is>
          <t>MELEE_CRIT</t>
        </is>
      </c>
      <c r="I138" s="39" t="inlineStr">
        <is>
          <t>Primed Pressure Point | Blood Rush | Weeping Wounds | Organ Shatter | Berserker Fury | Condition Overload | Primed Reach | Virulent Scourge</t>
        </is>
      </c>
      <c r="J138" s="39" t="inlineStr">
        <is>
          <t>Melee Influence</t>
        </is>
      </c>
      <c r="K138" s="39" t="inlineStr">
        <is>
          <t>Corrosive + Viral (status priority, Condition Overload/Galvanized scaling)</t>
        </is>
      </c>
      <c r="L138" s="39" t="inlineStr">
        <is>
          <t>-</t>
        </is>
      </c>
      <c r="M138" s="39" t="inlineStr">
        <is>
          <t>~3</t>
        </is>
      </c>
    </row>
    <row r="139">
      <c r="A139" s="39" t="inlineStr">
        <is>
          <t>Rhino Prime</t>
        </is>
      </c>
      <c r="B139" s="39" t="inlineStr">
        <is>
          <t>Primary</t>
        </is>
      </c>
      <c r="C139" s="39" t="inlineStr">
        <is>
          <t>Boltor Prime</t>
        </is>
      </c>
      <c r="D139" s="39" t="inlineStr">
        <is>
          <t>Rifle</t>
        </is>
      </c>
      <c r="E139" s="39" t="n">
        <v>0.12</v>
      </c>
      <c r="F139" s="39" t="n">
        <v>0.34</v>
      </c>
      <c r="G139" s="39" t="inlineStr">
        <is>
          <t>status</t>
        </is>
      </c>
      <c r="H139" s="39" t="inlineStr">
        <is>
          <t>RIFLE_CRIT</t>
        </is>
      </c>
      <c r="I139" s="39" t="inlineStr">
        <is>
          <t>Serration | Galvanized Chamber | Point Strike | Vital Sense | Hammer Shot | Galvanized Aptitude | Primed Cryo Rounds | Malignant Force</t>
        </is>
      </c>
      <c r="J139" s="39" t="inlineStr">
        <is>
          <t>Primary Merciless</t>
        </is>
      </c>
      <c r="K139" s="39" t="inlineStr">
        <is>
          <t>Corrosive + Viral (status priority, Condition Overload/Galvanized scaling)</t>
        </is>
      </c>
      <c r="L139" s="39" t="inlineStr">
        <is>
          <t>EVO2: Hunter's Mantra; EVO3: Swift Deliverance; EVO4: Elemental Balance</t>
        </is>
      </c>
      <c r="M139" s="39" t="inlineStr">
        <is>
          <t>~4 (Incarnon)</t>
        </is>
      </c>
    </row>
    <row r="140">
      <c r="A140" s="39" t="inlineStr">
        <is>
          <t>Rhino Prime</t>
        </is>
      </c>
      <c r="B140" s="39" t="inlineStr">
        <is>
          <t>Secondary</t>
        </is>
      </c>
      <c r="C140" s="39" t="inlineStr">
        <is>
          <t>Viper Wraith</t>
        </is>
      </c>
      <c r="D140" s="39" t="inlineStr">
        <is>
          <t>Pistol</t>
        </is>
      </c>
      <c r="E140" s="39" t="n">
        <v>0.19</v>
      </c>
      <c r="F140" s="39" t="n">
        <v>0.09</v>
      </c>
      <c r="G140" s="39" t="inlineStr">
        <is>
          <t>crit</t>
        </is>
      </c>
      <c r="H140" s="39" t="inlineStr">
        <is>
          <t>PISTOL_CRIT</t>
        </is>
      </c>
      <c r="I140" s="39" t="inlineStr">
        <is>
          <t>Hornet Strike | Galvanized Diffusion | Primed Pistol Gambit | Primed Target Cracker | Galvanized Crosshairs | Primed Heated Charge | Pathogen Rounds | Galvanized Shot</t>
        </is>
      </c>
      <c r="J140" s="39" t="inlineStr">
        <is>
          <t>Secondary Merciless</t>
        </is>
      </c>
      <c r="K140" s="39" t="inlineStr">
        <is>
          <t>Viral + Heat (Steel Path generalist; swap Heat-&gt;Corrosive vs armored Grineer)</t>
        </is>
      </c>
      <c r="L140" s="39" t="inlineStr">
        <is>
          <t>-</t>
        </is>
      </c>
      <c r="M140" s="39" t="inlineStr">
        <is>
          <t>~3</t>
        </is>
      </c>
    </row>
    <row r="141">
      <c r="A141" s="39" t="inlineStr">
        <is>
          <t>Rhino Prime</t>
        </is>
      </c>
      <c r="B141" s="39" t="inlineStr">
        <is>
          <t>Melee</t>
        </is>
      </c>
      <c r="C141" s="39" t="inlineStr">
        <is>
          <t>Ankyros Prime</t>
        </is>
      </c>
      <c r="D141" s="39" t="inlineStr">
        <is>
          <t>Fist</t>
        </is>
      </c>
      <c r="E141" s="39" t="n">
        <v>0.28</v>
      </c>
      <c r="F141" s="39" t="n">
        <v>0.16</v>
      </c>
      <c r="G141" s="39" t="inlineStr">
        <is>
          <t>crit</t>
        </is>
      </c>
      <c r="H141" s="39" t="inlineStr">
        <is>
          <t>MELEE_CRIT</t>
        </is>
      </c>
      <c r="I141" s="39" t="inlineStr">
        <is>
          <t>Primed Pressure Point | Blood Rush | Weeping Wounds | Organ Shatter | Berserker Fury | Condition Overload | Primed Reach | Virulent Scourge</t>
        </is>
      </c>
      <c r="J141" s="39" t="inlineStr">
        <is>
          <t>Melee Duplicate</t>
        </is>
      </c>
      <c r="K141" s="39" t="inlineStr">
        <is>
          <t>Viral + Heat (Steel Path generalist; swap Heat-&gt;Corrosive vs armored Grineer)</t>
        </is>
      </c>
      <c r="L141" s="39" t="inlineStr">
        <is>
          <t>-</t>
        </is>
      </c>
      <c r="M141" s="39" t="inlineStr">
        <is>
          <t>~3</t>
        </is>
      </c>
    </row>
    <row r="142">
      <c r="A142" s="39" t="inlineStr">
        <is>
          <t>Saryn Prime</t>
        </is>
      </c>
      <c r="B142" s="39" t="inlineStr">
        <is>
          <t>Primary</t>
        </is>
      </c>
      <c r="C142" s="39" t="inlineStr">
        <is>
          <t>Kuva Ogris</t>
        </is>
      </c>
      <c r="D142" s="39" t="inlineStr">
        <is>
          <t>Launcher</t>
        </is>
      </c>
      <c r="E142" s="39" t="n">
        <v>0.09</v>
      </c>
      <c r="F142" s="39" t="n">
        <v>0.47</v>
      </c>
      <c r="G142" s="39" t="inlineStr">
        <is>
          <t>status</t>
        </is>
      </c>
      <c r="H142" s="39" t="inlineStr">
        <is>
          <t>RIFLE_CRIT</t>
        </is>
      </c>
      <c r="I142" s="39" t="inlineStr">
        <is>
          <t>Serration | Galvanized Chamber | Point Strike | Vital Sense | Hammer Shot | Galvanized Aptitude | Primed Cryo Rounds | Malignant Force</t>
        </is>
      </c>
      <c r="J142" s="39" t="inlineStr">
        <is>
          <t>Primary Merciless</t>
        </is>
      </c>
      <c r="K142" s="39" t="inlineStr">
        <is>
          <t>Adversary innate element (see Adversary sheet) + Viral</t>
        </is>
      </c>
      <c r="L142" s="39" t="inlineStr">
        <is>
          <t>-</t>
        </is>
      </c>
      <c r="M142" s="39" t="inlineStr">
        <is>
          <t>5 Forma to Rank 40 + ~3 polarization</t>
        </is>
      </c>
    </row>
    <row r="143">
      <c r="A143" s="39" t="inlineStr">
        <is>
          <t>Saryn Prime</t>
        </is>
      </c>
      <c r="B143" s="39" t="inlineStr">
        <is>
          <t>Secondary</t>
        </is>
      </c>
      <c r="C143" s="39" t="inlineStr">
        <is>
          <t>Pyrana</t>
        </is>
      </c>
      <c r="D143" s="39" t="inlineStr">
        <is>
          <t>Shotgun Sidearm</t>
        </is>
      </c>
      <c r="E143" s="39" t="n">
        <v>0.2</v>
      </c>
      <c r="F143" s="39" t="n">
        <v>0.025</v>
      </c>
      <c r="G143" s="39" t="inlineStr">
        <is>
          <t>crit</t>
        </is>
      </c>
      <c r="H143" s="39" t="inlineStr">
        <is>
          <t>PISTOL_CRIT</t>
        </is>
      </c>
      <c r="I143" s="39" t="inlineStr">
        <is>
          <t>Hornet Strike | Galvanized Diffusion | Primed Pistol Gambit | Primed Target Cracker | Galvanized Crosshairs | Primed Heated Charge | Pathogen Rounds | Galvanized Shot</t>
        </is>
      </c>
      <c r="J143" s="39" t="inlineStr">
        <is>
          <t>Secondary Merciless</t>
        </is>
      </c>
      <c r="K143" s="39" t="inlineStr">
        <is>
          <t>Viral + Heat (Steel Path generalist; swap Heat-&gt;Corrosive vs armored Grineer)</t>
        </is>
      </c>
      <c r="L143" s="39" t="inlineStr">
        <is>
          <t>-</t>
        </is>
      </c>
      <c r="M143" s="39" t="inlineStr">
        <is>
          <t>~3</t>
        </is>
      </c>
    </row>
    <row r="144">
      <c r="A144" s="39" t="inlineStr">
        <is>
          <t>Saryn Prime</t>
        </is>
      </c>
      <c r="B144" s="39" t="inlineStr">
        <is>
          <t>Melee</t>
        </is>
      </c>
      <c r="C144" s="39" t="inlineStr">
        <is>
          <t>Dual Ichor</t>
        </is>
      </c>
      <c r="D144" s="39" t="inlineStr">
        <is>
          <t>Dual Swords</t>
        </is>
      </c>
      <c r="E144" s="39" t="n">
        <v>0.25</v>
      </c>
      <c r="F144" s="39" t="n">
        <v>0.15</v>
      </c>
      <c r="G144" s="39" t="inlineStr">
        <is>
          <t>crit</t>
        </is>
      </c>
      <c r="H144" s="39" t="inlineStr">
        <is>
          <t>MELEE_CRIT</t>
        </is>
      </c>
      <c r="I144" s="39" t="inlineStr">
        <is>
          <t>Primed Pressure Point | Blood Rush | Weeping Wounds | Organ Shatter | Berserker Fury | Condition Overload | Primed Reach | Virulent Scourge</t>
        </is>
      </c>
      <c r="J144" s="39" t="inlineStr">
        <is>
          <t>Melee Duplicate</t>
        </is>
      </c>
      <c r="K144" s="39" t="inlineStr">
        <is>
          <t>Viral + Heat (Steel Path generalist; swap Heat-&gt;Corrosive vs armored Grineer)</t>
        </is>
      </c>
      <c r="L144" s="39" t="inlineStr">
        <is>
          <t>EVO2: Alchemist's Wrath; EVO3: Orokin Reach; EVO4: Poison Parasite</t>
        </is>
      </c>
      <c r="M144" s="39" t="inlineStr">
        <is>
          <t>~4 (Incarnon)</t>
        </is>
      </c>
    </row>
    <row r="145">
      <c r="A145" s="39" t="inlineStr">
        <is>
          <t>Sevagoth Prime</t>
        </is>
      </c>
      <c r="B145" s="39" t="inlineStr">
        <is>
          <t>Primary</t>
        </is>
      </c>
      <c r="C145" s="39" t="inlineStr">
        <is>
          <t>Bubonico</t>
        </is>
      </c>
      <c r="D145" s="39" t="inlineStr">
        <is>
          <t>Shotgun</t>
        </is>
      </c>
      <c r="E145" s="39" t="n">
        <v>0.25</v>
      </c>
      <c r="F145" s="39" t="n">
        <v>0.0929</v>
      </c>
      <c r="G145" s="39" t="inlineStr">
        <is>
          <t>crit</t>
        </is>
      </c>
      <c r="H145" s="39" t="inlineStr">
        <is>
          <t>SHOTGUN</t>
        </is>
      </c>
      <c r="I145" s="39" t="inlineStr">
        <is>
          <t>Primed Point Blank | Galvanized Hell | Primed Ravage | Critical Deceleration | Galvanized Savvy | Primed Charged Shell | Toxic Barrage | Incendiary Coat</t>
        </is>
      </c>
      <c r="J145" s="39" t="inlineStr">
        <is>
          <t>Shotgun Vendetta</t>
        </is>
      </c>
      <c r="K145" s="39" t="inlineStr">
        <is>
          <t>Viral + Heat (Steel Path generalist; swap Heat-&gt;Corrosive vs armored Grineer)</t>
        </is>
      </c>
      <c r="L145" s="39" t="inlineStr">
        <is>
          <t>-</t>
        </is>
      </c>
      <c r="M145" s="39" t="inlineStr">
        <is>
          <t>~3</t>
        </is>
      </c>
    </row>
    <row r="146">
      <c r="A146" s="39" t="inlineStr">
        <is>
          <t>Sevagoth Prime</t>
        </is>
      </c>
      <c r="B146" s="39" t="inlineStr">
        <is>
          <t>Secondary</t>
        </is>
      </c>
      <c r="C146" s="39" t="inlineStr">
        <is>
          <t>Epitaph Prime</t>
        </is>
      </c>
      <c r="D146" s="39" t="inlineStr">
        <is>
          <t>Pistol</t>
        </is>
      </c>
      <c r="E146" s="39" t="n">
        <v>0.5</v>
      </c>
      <c r="F146" s="39" t="n">
        <v>0.14</v>
      </c>
      <c r="G146" s="39" t="inlineStr">
        <is>
          <t>crit</t>
        </is>
      </c>
      <c r="H146" s="39" t="inlineStr">
        <is>
          <t>PISTOL_CRIT</t>
        </is>
      </c>
      <c r="I146" s="39" t="inlineStr">
        <is>
          <t>Hornet Strike | Galvanized Diffusion | Primed Pistol Gambit | Primed Target Cracker | Galvanized Crosshairs | Primed Heated Charge | Pathogen Rounds | Galvanized Shot</t>
        </is>
      </c>
      <c r="J146" s="39" t="inlineStr">
        <is>
          <t>Secondary Merciless</t>
        </is>
      </c>
      <c r="K146" s="39" t="inlineStr">
        <is>
          <t>Viral + Heat (Steel Path generalist; swap Heat-&gt;Corrosive vs armored Grineer)</t>
        </is>
      </c>
      <c r="L146" s="39" t="inlineStr">
        <is>
          <t>-</t>
        </is>
      </c>
      <c r="M146" s="39" t="inlineStr">
        <is>
          <t>~3</t>
        </is>
      </c>
    </row>
    <row r="147">
      <c r="A147" s="39" t="inlineStr">
        <is>
          <t>Sirius &amp; Orion</t>
        </is>
      </c>
      <c r="B147" s="39" t="inlineStr">
        <is>
          <t>Primary</t>
        </is>
      </c>
      <c r="C147" s="39" t="inlineStr">
        <is>
          <t>Battacor</t>
        </is>
      </c>
      <c r="D147" s="39" t="inlineStr">
        <is>
          <t>Rifle</t>
        </is>
      </c>
      <c r="E147" s="39" t="n">
        <v>0.32</v>
      </c>
      <c r="F147" s="39" t="n">
        <v>0.18</v>
      </c>
      <c r="G147" s="39" t="inlineStr">
        <is>
          <t>crit</t>
        </is>
      </c>
      <c r="H147" s="39" t="inlineStr">
        <is>
          <t>RIFLE_CRIT</t>
        </is>
      </c>
      <c r="I147" s="39" t="inlineStr">
        <is>
          <t>Serration | Galvanized Chamber | Point Strike | Vital Sense | Hammer Shot | Galvanized Aptitude | Primed Cryo Rounds | Malignant Force</t>
        </is>
      </c>
      <c r="J147" s="39" t="inlineStr">
        <is>
          <t>Primary Merciless</t>
        </is>
      </c>
      <c r="K147" s="39" t="inlineStr">
        <is>
          <t>Viral + Heat (Steel Path generalist; swap Heat-&gt;Corrosive vs armored Grineer)</t>
        </is>
      </c>
      <c r="L147" s="39" t="inlineStr">
        <is>
          <t>-</t>
        </is>
      </c>
      <c r="M147" s="39" t="inlineStr">
        <is>
          <t>~3</t>
        </is>
      </c>
    </row>
    <row r="148">
      <c r="A148" s="39" t="inlineStr">
        <is>
          <t>Sirius &amp; Orion</t>
        </is>
      </c>
      <c r="B148" s="39" t="inlineStr">
        <is>
          <t>Secondary</t>
        </is>
      </c>
      <c r="C148" s="39" t="inlineStr">
        <is>
          <t>Spectra Vandal</t>
        </is>
      </c>
      <c r="D148" s="39" t="inlineStr">
        <is>
          <t>Pistol</t>
        </is>
      </c>
      <c r="E148" s="39" t="n">
        <v>0.2</v>
      </c>
      <c r="F148" s="39" t="n">
        <v>0.28</v>
      </c>
      <c r="G148" s="39" t="inlineStr">
        <is>
          <t>status</t>
        </is>
      </c>
      <c r="H148" s="39" t="inlineStr">
        <is>
          <t>PISTOL_CRIT</t>
        </is>
      </c>
      <c r="I148" s="39" t="inlineStr">
        <is>
          <t>Hornet Strike | Galvanized Diffusion | Primed Pistol Gambit | Primed Target Cracker | Galvanized Crosshairs | Primed Heated Charge | Pathogen Rounds | Galvanized Shot</t>
        </is>
      </c>
      <c r="J148" s="39" t="inlineStr">
        <is>
          <t>Secondary Encumber</t>
        </is>
      </c>
      <c r="K148" s="39" t="inlineStr">
        <is>
          <t>Corrosive + Viral (status priority, Condition Overload/Galvanized scaling)</t>
        </is>
      </c>
      <c r="L148" s="39" t="inlineStr">
        <is>
          <t>-</t>
        </is>
      </c>
      <c r="M148" s="39" t="inlineStr">
        <is>
          <t>~3</t>
        </is>
      </c>
    </row>
    <row r="149">
      <c r="A149" s="39" t="inlineStr">
        <is>
          <t>Sirius &amp; Orion</t>
        </is>
      </c>
      <c r="B149" s="39" t="inlineStr">
        <is>
          <t>Melee</t>
        </is>
      </c>
      <c r="C149" s="39" t="inlineStr">
        <is>
          <t>Pride</t>
        </is>
      </c>
      <c r="D149" s="39" t="inlineStr">
        <is>
          <t>Heavy Scythe</t>
        </is>
      </c>
      <c r="E149" s="39" t="n">
        <v>0.15</v>
      </c>
      <c r="F149" s="39" t="n">
        <v>0.35</v>
      </c>
      <c r="G149" s="39" t="inlineStr">
        <is>
          <t>status</t>
        </is>
      </c>
      <c r="H149" s="39" t="inlineStr">
        <is>
          <t>MELEE_CRIT</t>
        </is>
      </c>
      <c r="I149" s="39" t="inlineStr">
        <is>
          <t>Primed Pressure Point | Blood Rush | Weeping Wounds | Organ Shatter | Berserker Fury | Condition Overload | Primed Reach | Virulent Scourge</t>
        </is>
      </c>
      <c r="J149" s="39" t="inlineStr">
        <is>
          <t>Melee Influence</t>
        </is>
      </c>
      <c r="K149" s="39" t="inlineStr">
        <is>
          <t>Corrosive + Viral (status priority, Condition Overload/Galvanized scaling)</t>
        </is>
      </c>
      <c r="L149" s="39" t="inlineStr">
        <is>
          <t>-</t>
        </is>
      </c>
      <c r="M149" s="39" t="inlineStr">
        <is>
          <t>~3</t>
        </is>
      </c>
    </row>
    <row r="150">
      <c r="A150" s="39" t="inlineStr">
        <is>
          <t>Styanax Prime</t>
        </is>
      </c>
      <c r="B150" s="39" t="inlineStr">
        <is>
          <t>Primary</t>
        </is>
      </c>
      <c r="C150" s="39" t="inlineStr">
        <is>
          <t>Afentis Prime</t>
        </is>
      </c>
      <c r="D150" s="39" t="inlineStr">
        <is>
          <t>Speargun</t>
        </is>
      </c>
      <c r="E150" s="39" t="n">
        <v>0.26</v>
      </c>
      <c r="F150" s="39" t="n">
        <v>0.3</v>
      </c>
      <c r="G150" s="39" t="inlineStr">
        <is>
          <t>crit</t>
        </is>
      </c>
      <c r="H150" s="39" t="inlineStr">
        <is>
          <t>RIFLE_CRIT</t>
        </is>
      </c>
      <c r="I150" s="39" t="inlineStr">
        <is>
          <t>Serration | Galvanized Chamber | Point Strike | Vital Sense | Hammer Shot | Galvanized Aptitude | Primed Cryo Rounds | Malignant Force</t>
        </is>
      </c>
      <c r="J150" s="39" t="inlineStr">
        <is>
          <t>Primary Merciless</t>
        </is>
      </c>
      <c r="K150" s="39" t="inlineStr">
        <is>
          <t>Viral + Heat (Steel Path generalist; swap Heat-&gt;Corrosive vs armored Grineer)</t>
        </is>
      </c>
      <c r="L150" s="39" t="inlineStr">
        <is>
          <t>-</t>
        </is>
      </c>
      <c r="M150" s="39" t="inlineStr">
        <is>
          <t>~3</t>
        </is>
      </c>
    </row>
    <row r="151">
      <c r="A151" s="39" t="inlineStr">
        <is>
          <t>Styanax Prime</t>
        </is>
      </c>
      <c r="B151" s="39" t="inlineStr">
        <is>
          <t>Secondary</t>
        </is>
      </c>
      <c r="C151" s="39" t="inlineStr">
        <is>
          <t>Aegrit</t>
        </is>
      </c>
      <c r="D151" s="39" t="inlineStr">
        <is>
          <t>Thrown</t>
        </is>
      </c>
      <c r="E151" s="39" t="n">
        <v>0.37</v>
      </c>
      <c r="F151" s="39" t="n">
        <v>0.19</v>
      </c>
      <c r="G151" s="39" t="inlineStr">
        <is>
          <t>crit</t>
        </is>
      </c>
      <c r="H151" s="39" t="inlineStr">
        <is>
          <t>PISTOL_CRIT</t>
        </is>
      </c>
      <c r="I151" s="39" t="inlineStr">
        <is>
          <t>Hornet Strike | Galvanized Diffusion | Primed Pistol Gambit | Primed Target Cracker | Galvanized Crosshairs | Primed Heated Charge | Pathogen Rounds | Galvanized Shot</t>
        </is>
      </c>
      <c r="J151" s="39" t="inlineStr">
        <is>
          <t>Secondary Merciless</t>
        </is>
      </c>
      <c r="K151" s="39" t="inlineStr">
        <is>
          <t>Viral + Heat (Steel Path generalist; swap Heat-&gt;Corrosive vs armored Grineer)</t>
        </is>
      </c>
      <c r="L151" s="39" t="inlineStr">
        <is>
          <t>-</t>
        </is>
      </c>
      <c r="M151" s="39" t="inlineStr">
        <is>
          <t>~3</t>
        </is>
      </c>
    </row>
    <row r="152">
      <c r="A152" s="39" t="inlineStr">
        <is>
          <t>Styanax Prime</t>
        </is>
      </c>
      <c r="B152" s="39" t="inlineStr">
        <is>
          <t>Melee</t>
        </is>
      </c>
      <c r="C152" s="39" t="inlineStr">
        <is>
          <t>Slaytra</t>
        </is>
      </c>
      <c r="D152" s="39" t="inlineStr">
        <is>
          <t>Machete</t>
        </is>
      </c>
      <c r="E152" s="39" t="n">
        <v>0.21</v>
      </c>
      <c r="F152" s="39" t="n">
        <v>0.35</v>
      </c>
      <c r="G152" s="39" t="inlineStr">
        <is>
          <t>status</t>
        </is>
      </c>
      <c r="H152" s="39" t="inlineStr">
        <is>
          <t>MELEE_CRIT</t>
        </is>
      </c>
      <c r="I152" s="39" t="inlineStr">
        <is>
          <t>Primed Pressure Point | Blood Rush | Weeping Wounds | Organ Shatter | Berserker Fury | Condition Overload | Primed Reach | Virulent Scourge</t>
        </is>
      </c>
      <c r="J152" s="39" t="inlineStr">
        <is>
          <t>Melee Influence</t>
        </is>
      </c>
      <c r="K152" s="39" t="inlineStr">
        <is>
          <t>Corrosive + Viral (status priority, Condition Overload/Galvanized scaling)</t>
        </is>
      </c>
      <c r="L152" s="39" t="inlineStr">
        <is>
          <t>-</t>
        </is>
      </c>
      <c r="M152" s="39" t="inlineStr">
        <is>
          <t>~3</t>
        </is>
      </c>
    </row>
    <row r="153">
      <c r="A153" s="39" t="inlineStr">
        <is>
          <t>Temple</t>
        </is>
      </c>
      <c r="B153" s="39" t="inlineStr">
        <is>
          <t>Secondary</t>
        </is>
      </c>
      <c r="C153" s="39" t="inlineStr">
        <is>
          <t>Riot-848</t>
        </is>
      </c>
      <c r="D153" s="39" t="inlineStr">
        <is>
          <t>Pistol</t>
        </is>
      </c>
      <c r="E153" s="39" t="n">
        <v>0.26</v>
      </c>
      <c r="F153" s="39" t="n">
        <v>0.26</v>
      </c>
      <c r="G153" s="39" t="inlineStr">
        <is>
          <t>crit</t>
        </is>
      </c>
      <c r="H153" s="39" t="inlineStr">
        <is>
          <t>PISTOL_CRIT</t>
        </is>
      </c>
      <c r="I153" s="39" t="inlineStr">
        <is>
          <t>Hornet Strike | Galvanized Diffusion | Primed Pistol Gambit | Primed Target Cracker | Galvanized Crosshairs | Primed Heated Charge | Pathogen Rounds | Galvanized Shot</t>
        </is>
      </c>
      <c r="J153" s="39" t="inlineStr">
        <is>
          <t>Secondary Merciless</t>
        </is>
      </c>
      <c r="K153" s="39" t="inlineStr">
        <is>
          <t>Viral + Heat (Steel Path generalist; swap Heat-&gt;Corrosive vs armored Grineer)</t>
        </is>
      </c>
      <c r="L153" s="39" t="inlineStr">
        <is>
          <t>-</t>
        </is>
      </c>
      <c r="M153" s="39" t="inlineStr">
        <is>
          <t>~3</t>
        </is>
      </c>
    </row>
    <row r="154">
      <c r="A154" s="39" t="inlineStr">
        <is>
          <t>Temple</t>
        </is>
      </c>
      <c r="B154" s="39" t="inlineStr">
        <is>
          <t>Melee</t>
        </is>
      </c>
      <c r="C154" s="39" t="inlineStr">
        <is>
          <t>Prisma Ohma</t>
        </is>
      </c>
      <c r="D154" s="39" t="inlineStr">
        <is>
          <t>Tonfa</t>
        </is>
      </c>
      <c r="E154" s="39" t="n">
        <v>0.3</v>
      </c>
      <c r="F154" s="39" t="n">
        <v>0.2</v>
      </c>
      <c r="G154" s="39" t="inlineStr">
        <is>
          <t>crit</t>
        </is>
      </c>
      <c r="H154" s="39" t="inlineStr">
        <is>
          <t>MELEE_CRIT</t>
        </is>
      </c>
      <c r="I154" s="39" t="inlineStr">
        <is>
          <t>Primed Pressure Point | Blood Rush | Weeping Wounds | Organ Shatter | Berserker Fury | Condition Overload | Primed Reach | Virulent Scourge</t>
        </is>
      </c>
      <c r="J154" s="39" t="inlineStr">
        <is>
          <t>Melee Duplicate</t>
        </is>
      </c>
      <c r="K154" s="39" t="inlineStr">
        <is>
          <t>Viral + Heat (Steel Path generalist; swap Heat-&gt;Corrosive vs armored Grineer)</t>
        </is>
      </c>
      <c r="L154" s="39" t="inlineStr">
        <is>
          <t>-</t>
        </is>
      </c>
      <c r="M154" s="39" t="inlineStr">
        <is>
          <t>~3</t>
        </is>
      </c>
    </row>
    <row r="155">
      <c r="A155" s="39" t="inlineStr">
        <is>
          <t>Trinity Prime</t>
        </is>
      </c>
      <c r="B155" s="39" t="inlineStr">
        <is>
          <t>Primary</t>
        </is>
      </c>
      <c r="C155" s="39" t="inlineStr">
        <is>
          <t>Boar Prime</t>
        </is>
      </c>
      <c r="D155" s="39" t="inlineStr">
        <is>
          <t>Shotgun</t>
        </is>
      </c>
      <c r="E155" s="39" t="n">
        <v>0.15</v>
      </c>
      <c r="F155" s="39" t="n">
        <v>0.1125</v>
      </c>
      <c r="G155" s="39" t="inlineStr">
        <is>
          <t>crit</t>
        </is>
      </c>
      <c r="H155" s="39" t="inlineStr">
        <is>
          <t>SHOTGUN</t>
        </is>
      </c>
      <c r="I155" s="39" t="inlineStr">
        <is>
          <t>Primed Point Blank | Galvanized Hell | Primed Ravage | Critical Deceleration | Galvanized Savvy | Primed Charged Shell | Toxic Barrage | Incendiary Coat</t>
        </is>
      </c>
      <c r="J155" s="39" t="inlineStr">
        <is>
          <t>Shotgun Vendetta</t>
        </is>
      </c>
      <c r="K155" s="39" t="inlineStr">
        <is>
          <t>Viral + Heat (Steel Path generalist; swap Heat-&gt;Corrosive vs armored Grineer)</t>
        </is>
      </c>
      <c r="L155" s="39" t="inlineStr">
        <is>
          <t>EVO2: Fortress Salvo; EVO3: Ready Retaliation; EVO4: Critical Parallel</t>
        </is>
      </c>
      <c r="M155" s="39" t="inlineStr">
        <is>
          <t>~4 (Incarnon)</t>
        </is>
      </c>
    </row>
    <row r="156">
      <c r="A156" s="39" t="inlineStr">
        <is>
          <t>Trinity Prime</t>
        </is>
      </c>
      <c r="B156" s="39" t="inlineStr">
        <is>
          <t>Secondary</t>
        </is>
      </c>
      <c r="C156" s="39" t="inlineStr">
        <is>
          <t>Akbronco Prime</t>
        </is>
      </c>
      <c r="D156" s="39" t="inlineStr">
        <is>
          <t>Dual Shotguns</t>
        </is>
      </c>
      <c r="E156" s="39" t="n">
        <v>0.06</v>
      </c>
      <c r="F156" s="39" t="n">
        <v>0.1286</v>
      </c>
      <c r="G156" s="39" t="inlineStr">
        <is>
          <t>status</t>
        </is>
      </c>
      <c r="H156" s="39" t="inlineStr">
        <is>
          <t>PISTOL_CRIT</t>
        </is>
      </c>
      <c r="I156" s="39" t="inlineStr">
        <is>
          <t>Hornet Strike | Galvanized Diffusion | Primed Pistol Gambit | Primed Target Cracker | Galvanized Crosshairs | Primed Heated Charge | Pathogen Rounds | Galvanized Shot</t>
        </is>
      </c>
      <c r="J156" s="39" t="inlineStr">
        <is>
          <t>Secondary Encumber</t>
        </is>
      </c>
      <c r="K156" s="39" t="inlineStr">
        <is>
          <t>Corrosive + Viral (status priority, Condition Overload/Galvanized scaling)</t>
        </is>
      </c>
      <c r="L156" s="39" t="inlineStr">
        <is>
          <t>-</t>
        </is>
      </c>
      <c r="M156" s="39" t="inlineStr">
        <is>
          <t>~3</t>
        </is>
      </c>
    </row>
    <row r="157">
      <c r="A157" s="39" t="inlineStr">
        <is>
          <t>Trinity Prime</t>
        </is>
      </c>
      <c r="B157" s="39" t="inlineStr">
        <is>
          <t>Melee</t>
        </is>
      </c>
      <c r="C157" s="39" t="inlineStr">
        <is>
          <t>Dual Kamas Prime</t>
        </is>
      </c>
      <c r="D157" s="39" t="inlineStr">
        <is>
          <t>Dual Swords</t>
        </is>
      </c>
      <c r="E157" s="39" t="n">
        <v>0.2</v>
      </c>
      <c r="F157" s="39" t="n">
        <v>0.25</v>
      </c>
      <c r="G157" s="39" t="inlineStr">
        <is>
          <t>status</t>
        </is>
      </c>
      <c r="H157" s="39" t="inlineStr">
        <is>
          <t>MELEE_CRIT</t>
        </is>
      </c>
      <c r="I157" s="39" t="inlineStr">
        <is>
          <t>Primed Pressure Point | Blood Rush | Weeping Wounds | Organ Shatter | Berserker Fury | Condition Overload | Primed Reach | Virulent Scourge</t>
        </is>
      </c>
      <c r="J157" s="39" t="inlineStr">
        <is>
          <t>Melee Influence</t>
        </is>
      </c>
      <c r="K157" s="39" t="inlineStr">
        <is>
          <t>Corrosive + Viral (status priority, Condition Overload/Galvanized scaling)</t>
        </is>
      </c>
      <c r="L157" s="39" t="inlineStr">
        <is>
          <t>-</t>
        </is>
      </c>
      <c r="M157" s="39" t="inlineStr">
        <is>
          <t>~3</t>
        </is>
      </c>
    </row>
    <row r="158">
      <c r="A158" s="39" t="inlineStr">
        <is>
          <t>Uriel</t>
        </is>
      </c>
      <c r="B158" s="39" t="inlineStr">
        <is>
          <t>Primary</t>
        </is>
      </c>
      <c r="C158" s="39" t="inlineStr">
        <is>
          <t>Vinquibus (Primary)</t>
        </is>
      </c>
      <c r="D158" s="39" t="inlineStr">
        <is>
          <t>Rifle</t>
        </is>
      </c>
      <c r="E158" s="39" t="n">
        <v>0.4</v>
      </c>
      <c r="F158" s="39" t="n">
        <v>0.2</v>
      </c>
      <c r="G158" s="39" t="inlineStr">
        <is>
          <t>crit</t>
        </is>
      </c>
      <c r="H158" s="39" t="inlineStr">
        <is>
          <t>RIFLE_CRIT</t>
        </is>
      </c>
      <c r="I158" s="39" t="inlineStr">
        <is>
          <t>Serration | Galvanized Chamber | Point Strike | Vital Sense | Hammer Shot | Galvanized Aptitude | Primed Cryo Rounds | Malignant Force</t>
        </is>
      </c>
      <c r="J158" s="39" t="inlineStr">
        <is>
          <t>Primary Merciless</t>
        </is>
      </c>
      <c r="K158" s="39" t="inlineStr">
        <is>
          <t>Viral + Heat (Steel Path generalist; swap Heat-&gt;Corrosive vs armored Grineer)</t>
        </is>
      </c>
      <c r="L158" s="39" t="inlineStr">
        <is>
          <t>-</t>
        </is>
      </c>
      <c r="M158" s="39" t="inlineStr">
        <is>
          <t>~3</t>
        </is>
      </c>
    </row>
    <row r="159">
      <c r="A159" s="39" t="inlineStr">
        <is>
          <t>Uriel</t>
        </is>
      </c>
      <c r="B159" s="39" t="inlineStr">
        <is>
          <t>Secondary</t>
        </is>
      </c>
      <c r="C159" s="39" t="inlineStr">
        <is>
          <t>Kuva Twin Stubbas</t>
        </is>
      </c>
      <c r="D159" s="39" t="inlineStr">
        <is>
          <t>Dual Pistols</t>
        </is>
      </c>
      <c r="E159" s="39" t="n">
        <v>0.23</v>
      </c>
      <c r="F159" s="39" t="n">
        <v>0.31</v>
      </c>
      <c r="G159" s="39" t="inlineStr">
        <is>
          <t>status</t>
        </is>
      </c>
      <c r="H159" s="39" t="inlineStr">
        <is>
          <t>PISTOL_CRIT</t>
        </is>
      </c>
      <c r="I159" s="39" t="inlineStr">
        <is>
          <t>Hornet Strike | Galvanized Diffusion | Primed Pistol Gambit | Primed Target Cracker | Galvanized Crosshairs | Primed Heated Charge | Pathogen Rounds | Galvanized Shot</t>
        </is>
      </c>
      <c r="J159" s="39" t="inlineStr">
        <is>
          <t>Secondary Encumber</t>
        </is>
      </c>
      <c r="K159" s="39" t="inlineStr">
        <is>
          <t>Adversary innate element (see Adversary sheet) + Viral</t>
        </is>
      </c>
      <c r="L159" s="39" t="inlineStr">
        <is>
          <t>-</t>
        </is>
      </c>
      <c r="M159" s="39" t="inlineStr">
        <is>
          <t>5 Forma to Rank 40 + ~3 polarization</t>
        </is>
      </c>
    </row>
    <row r="160">
      <c r="A160" s="39" t="inlineStr">
        <is>
          <t>Uriel</t>
        </is>
      </c>
      <c r="B160" s="39" t="inlineStr">
        <is>
          <t>Melee</t>
        </is>
      </c>
      <c r="C160" s="39" t="inlineStr">
        <is>
          <t>Vinquibus (Melee)</t>
        </is>
      </c>
      <c r="D160" s="39" t="inlineStr">
        <is>
          <t>Bayonet</t>
        </is>
      </c>
      <c r="E160" s="39" t="n">
        <v>0.4</v>
      </c>
      <c r="F160" s="39" t="n">
        <v>0.2</v>
      </c>
      <c r="G160" s="39" t="inlineStr">
        <is>
          <t>crit</t>
        </is>
      </c>
      <c r="H160" s="39" t="inlineStr">
        <is>
          <t>MELEE_CRIT</t>
        </is>
      </c>
      <c r="I160" s="39" t="inlineStr">
        <is>
          <t>Primed Pressure Point | Blood Rush | Weeping Wounds | Organ Shatter | Berserker Fury | Condition Overload | Primed Reach | Virulent Scourge</t>
        </is>
      </c>
      <c r="J160" s="39" t="inlineStr">
        <is>
          <t>Melee Duplicate</t>
        </is>
      </c>
      <c r="K160" s="39" t="inlineStr">
        <is>
          <t>Viral + Heat (Steel Path generalist; swap Heat-&gt;Corrosive vs armored Grineer)</t>
        </is>
      </c>
      <c r="L160" s="39" t="inlineStr">
        <is>
          <t>-</t>
        </is>
      </c>
      <c r="M160" s="39" t="inlineStr">
        <is>
          <t>~3</t>
        </is>
      </c>
    </row>
    <row r="161">
      <c r="A161" s="39" t="inlineStr">
        <is>
          <t>Valkyr Prime</t>
        </is>
      </c>
      <c r="B161" s="39" t="inlineStr">
        <is>
          <t>Primary</t>
        </is>
      </c>
      <c r="C161" s="39" t="inlineStr">
        <is>
          <t>Cernos Prime</t>
        </is>
      </c>
      <c r="D161" s="39" t="inlineStr">
        <is>
          <t>Bow</t>
        </is>
      </c>
      <c r="E161" s="39" t="n">
        <v>0.35</v>
      </c>
      <c r="F161" s="39" t="n">
        <v>0.3</v>
      </c>
      <c r="G161" s="39" t="inlineStr">
        <is>
          <t>crit</t>
        </is>
      </c>
      <c r="H161" s="39" t="inlineStr">
        <is>
          <t>RIFLE_CRIT</t>
        </is>
      </c>
      <c r="I161" s="39" t="inlineStr">
        <is>
          <t>Serration | Galvanized Chamber | Point Strike | Vital Sense | Hammer Shot | Galvanized Aptitude | Primed Cryo Rounds | Malignant Force</t>
        </is>
      </c>
      <c r="J161" s="39" t="inlineStr">
        <is>
          <t>Primary Deadhead</t>
        </is>
      </c>
      <c r="K161" s="39" t="inlineStr">
        <is>
          <t>Viral + Heat (Steel Path generalist; swap Heat-&gt;Corrosive vs armored Grineer)</t>
        </is>
      </c>
      <c r="L161" s="39" t="inlineStr">
        <is>
          <t>-</t>
        </is>
      </c>
      <c r="M161" s="39" t="inlineStr">
        <is>
          <t>~3</t>
        </is>
      </c>
    </row>
    <row r="162">
      <c r="A162" s="39" t="inlineStr">
        <is>
          <t>Valkyr Prime</t>
        </is>
      </c>
      <c r="B162" s="39" t="inlineStr">
        <is>
          <t>Secondary</t>
        </is>
      </c>
      <c r="C162" s="39" t="inlineStr">
        <is>
          <t>Twin Vipers Wraith</t>
        </is>
      </c>
      <c r="D162" s="39" t="inlineStr">
        <is>
          <t>Dual Pistols</t>
        </is>
      </c>
      <c r="E162" s="39" t="n">
        <v>0.19</v>
      </c>
      <c r="F162" s="39" t="n">
        <v>0.09</v>
      </c>
      <c r="G162" s="39" t="inlineStr">
        <is>
          <t>crit</t>
        </is>
      </c>
      <c r="H162" s="39" t="inlineStr">
        <is>
          <t>PISTOL_CRIT</t>
        </is>
      </c>
      <c r="I162" s="39" t="inlineStr">
        <is>
          <t>Hornet Strike | Galvanized Diffusion | Primed Pistol Gambit | Primed Target Cracker | Galvanized Crosshairs | Primed Heated Charge | Pathogen Rounds | Galvanized Shot</t>
        </is>
      </c>
      <c r="J162" s="39" t="inlineStr">
        <is>
          <t>Secondary Outburst</t>
        </is>
      </c>
      <c r="K162" s="39" t="inlineStr">
        <is>
          <t>Viral + Heat (Steel Path generalist; swap Heat-&gt;Corrosive vs armored Grineer)</t>
        </is>
      </c>
      <c r="L162" s="39" t="inlineStr">
        <is>
          <t>-</t>
        </is>
      </c>
      <c r="M162" s="39" t="inlineStr">
        <is>
          <t>~3</t>
        </is>
      </c>
    </row>
    <row r="163">
      <c r="A163" s="39" t="inlineStr">
        <is>
          <t>Vauban Prime</t>
        </is>
      </c>
      <c r="B163" s="39" t="inlineStr">
        <is>
          <t>Primary</t>
        </is>
      </c>
      <c r="C163" s="39" t="inlineStr">
        <is>
          <t>Ferrox</t>
        </is>
      </c>
      <c r="D163" s="39" t="inlineStr">
        <is>
          <t>Speargun</t>
        </is>
      </c>
      <c r="E163" s="39" t="n">
        <v>0.32</v>
      </c>
      <c r="F163" s="39" t="n">
        <v>0.1</v>
      </c>
      <c r="G163" s="39" t="inlineStr">
        <is>
          <t>crit</t>
        </is>
      </c>
      <c r="H163" s="39" t="inlineStr">
        <is>
          <t>RIFLE_CRIT</t>
        </is>
      </c>
      <c r="I163" s="39" t="inlineStr">
        <is>
          <t>Serration | Galvanized Chamber | Point Strike | Vital Sense | Hammer Shot | Galvanized Aptitude | Primed Cryo Rounds | Malignant Force</t>
        </is>
      </c>
      <c r="J163" s="39" t="inlineStr">
        <is>
          <t>Primary Merciless</t>
        </is>
      </c>
      <c r="K163" s="39" t="inlineStr">
        <is>
          <t>Viral + Heat (Steel Path generalist; swap Heat-&gt;Corrosive vs armored Grineer)</t>
        </is>
      </c>
      <c r="L163" s="39" t="inlineStr">
        <is>
          <t>-</t>
        </is>
      </c>
      <c r="M163" s="39" t="inlineStr">
        <is>
          <t>~3</t>
        </is>
      </c>
    </row>
    <row r="164">
      <c r="A164" s="39" t="inlineStr">
        <is>
          <t>Vauban Prime</t>
        </is>
      </c>
      <c r="B164" s="39" t="inlineStr">
        <is>
          <t>Secondary</t>
        </is>
      </c>
      <c r="C164" s="39" t="inlineStr">
        <is>
          <t>Kulstar</t>
        </is>
      </c>
      <c r="D164" s="39" t="inlineStr">
        <is>
          <t>Pistol</t>
        </is>
      </c>
      <c r="E164" s="39" t="n">
        <v>0.17</v>
      </c>
      <c r="F164" s="39" t="n">
        <v>0.19</v>
      </c>
      <c r="G164" s="39" t="inlineStr">
        <is>
          <t>status</t>
        </is>
      </c>
      <c r="H164" s="39" t="inlineStr">
        <is>
          <t>PISTOL_CRIT</t>
        </is>
      </c>
      <c r="I164" s="39" t="inlineStr">
        <is>
          <t>Hornet Strike | Galvanized Diffusion | Primed Pistol Gambit | Primed Target Cracker | Galvanized Crosshairs | Primed Heated Charge | Pathogen Rounds | Galvanized Shot</t>
        </is>
      </c>
      <c r="J164" s="39" t="inlineStr">
        <is>
          <t>Secondary Encumber</t>
        </is>
      </c>
      <c r="K164" s="39" t="inlineStr">
        <is>
          <t>Corrosive + Viral (status priority, Condition Overload/Galvanized scaling)</t>
        </is>
      </c>
      <c r="L164" s="39" t="inlineStr">
        <is>
          <t>-</t>
        </is>
      </c>
      <c r="M164" s="39" t="inlineStr">
        <is>
          <t>~3</t>
        </is>
      </c>
    </row>
    <row r="165">
      <c r="A165" s="39" t="inlineStr">
        <is>
          <t>Vauban Prime</t>
        </is>
      </c>
      <c r="B165" s="39" t="inlineStr">
        <is>
          <t>Melee</t>
        </is>
      </c>
      <c r="C165" s="39" t="inlineStr">
        <is>
          <t>Fragor Prime</t>
        </is>
      </c>
      <c r="D165" s="39" t="inlineStr">
        <is>
          <t>Hammer</t>
        </is>
      </c>
      <c r="E165" s="39" t="n">
        <v>0.4</v>
      </c>
      <c r="F165" s="39" t="n">
        <v>0.18</v>
      </c>
      <c r="G165" s="39" t="inlineStr">
        <is>
          <t>crit</t>
        </is>
      </c>
      <c r="H165" s="39" t="inlineStr">
        <is>
          <t>MELEE_CRIT</t>
        </is>
      </c>
      <c r="I165" s="39" t="inlineStr">
        <is>
          <t>Primed Pressure Point | Blood Rush | Weeping Wounds | Organ Shatter | Berserker Fury | Condition Overload | Primed Reach | Virulent Scourge</t>
        </is>
      </c>
      <c r="J165" s="39" t="inlineStr">
        <is>
          <t>Melee Animosity</t>
        </is>
      </c>
      <c r="K165" s="39" t="inlineStr">
        <is>
          <t>Viral + Heat (Steel Path generalist; swap Heat-&gt;Corrosive vs armored Grineer)</t>
        </is>
      </c>
      <c r="L165" s="39" t="inlineStr">
        <is>
          <t>-</t>
        </is>
      </c>
      <c r="M165" s="39" t="inlineStr">
        <is>
          <t>~3</t>
        </is>
      </c>
    </row>
    <row r="166">
      <c r="A166" s="39" t="inlineStr">
        <is>
          <t>Volt Prime</t>
        </is>
      </c>
      <c r="B166" s="39" t="inlineStr">
        <is>
          <t>Primary</t>
        </is>
      </c>
      <c r="C166" s="39" t="inlineStr">
        <is>
          <t>Rubico Prime</t>
        </is>
      </c>
      <c r="D166" s="39" t="inlineStr">
        <is>
          <t>Sniper Rifle</t>
        </is>
      </c>
      <c r="E166" s="39" t="n">
        <v>0.38</v>
      </c>
      <c r="F166" s="39" t="n">
        <v>0.16</v>
      </c>
      <c r="G166" s="39" t="inlineStr">
        <is>
          <t>crit</t>
        </is>
      </c>
      <c r="H166" s="39" t="inlineStr">
        <is>
          <t>RIFLE_CRIT</t>
        </is>
      </c>
      <c r="I166" s="39" t="inlineStr">
        <is>
          <t>Serration | Galvanized Chamber | Point Strike | Vital Sense | Hammer Shot | Galvanized Aptitude | Primed Cryo Rounds | Malignant Force</t>
        </is>
      </c>
      <c r="J166" s="39" t="inlineStr">
        <is>
          <t>Primary Deadhead</t>
        </is>
      </c>
      <c r="K166" s="39" t="inlineStr">
        <is>
          <t>Viral + Heat (Steel Path generalist; swap Heat-&gt;Corrosive vs armored Grineer)</t>
        </is>
      </c>
      <c r="L166" s="39" t="inlineStr">
        <is>
          <t>-</t>
        </is>
      </c>
      <c r="M166" s="39" t="inlineStr">
        <is>
          <t>~3</t>
        </is>
      </c>
    </row>
    <row r="167">
      <c r="A167" s="39" t="inlineStr">
        <is>
          <t>Volt Prime</t>
        </is>
      </c>
      <c r="B167" s="39" t="inlineStr">
        <is>
          <t>Secondary</t>
        </is>
      </c>
      <c r="C167" s="39" t="inlineStr">
        <is>
          <t>Tenet Spirex</t>
        </is>
      </c>
      <c r="D167" s="39" t="inlineStr">
        <is>
          <t>Pistol</t>
        </is>
      </c>
      <c r="E167" s="39" t="n">
        <v>0.26</v>
      </c>
      <c r="F167" s="39" t="n">
        <v>0.4</v>
      </c>
      <c r="G167" s="39" t="inlineStr">
        <is>
          <t>crit</t>
        </is>
      </c>
      <c r="H167" s="39" t="inlineStr">
        <is>
          <t>PISTOL_CRIT</t>
        </is>
      </c>
      <c r="I167" s="39" t="inlineStr">
        <is>
          <t>Hornet Strike | Galvanized Diffusion | Primed Pistol Gambit | Primed Target Cracker | Galvanized Crosshairs | Primed Heated Charge | Pathogen Rounds | Galvanized Shot</t>
        </is>
      </c>
      <c r="J167" s="39" t="inlineStr">
        <is>
          <t>Secondary Merciless</t>
        </is>
      </c>
      <c r="K167" s="39" t="inlineStr">
        <is>
          <t>Adversary innate element (see Adversary sheet) + Viral</t>
        </is>
      </c>
      <c r="L167" s="39" t="inlineStr">
        <is>
          <t>-</t>
        </is>
      </c>
      <c r="M167" s="39" t="inlineStr">
        <is>
          <t>5 Forma to Rank 40 + ~3 polarization</t>
        </is>
      </c>
    </row>
    <row r="168">
      <c r="A168" s="39" t="inlineStr">
        <is>
          <t>Volt Prime</t>
        </is>
      </c>
      <c r="B168" s="39" t="inlineStr">
        <is>
          <t>Melee</t>
        </is>
      </c>
      <c r="C168" s="39" t="inlineStr">
        <is>
          <t>Ohma</t>
        </is>
      </c>
      <c r="D168" s="39" t="inlineStr">
        <is>
          <t>Tonfa</t>
        </is>
      </c>
      <c r="E168" s="39" t="n">
        <v>0.15</v>
      </c>
      <c r="F168" s="39" t="n">
        <v>0.3</v>
      </c>
      <c r="G168" s="39" t="inlineStr">
        <is>
          <t>status</t>
        </is>
      </c>
      <c r="H168" s="39" t="inlineStr">
        <is>
          <t>MELEE_CRIT</t>
        </is>
      </c>
      <c r="I168" s="39" t="inlineStr">
        <is>
          <t>Primed Pressure Point | Blood Rush | Weeping Wounds | Organ Shatter | Berserker Fury | Condition Overload | Primed Reach | Virulent Scourge</t>
        </is>
      </c>
      <c r="J168" s="39" t="inlineStr">
        <is>
          <t>Melee Influence</t>
        </is>
      </c>
      <c r="K168" s="39" t="inlineStr">
        <is>
          <t>Corrosive + Viral (status priority, Condition Overload/Galvanized scaling)</t>
        </is>
      </c>
      <c r="L168" s="39" t="inlineStr">
        <is>
          <t>-</t>
        </is>
      </c>
      <c r="M168" s="39" t="inlineStr">
        <is>
          <t>~3</t>
        </is>
      </c>
    </row>
    <row r="169">
      <c r="A169" s="39" t="inlineStr">
        <is>
          <t>Voruna Prime</t>
        </is>
      </c>
      <c r="B169" s="39" t="inlineStr">
        <is>
          <t>Primary</t>
        </is>
      </c>
      <c r="C169" s="39" t="inlineStr">
        <is>
          <t>Perigale Prime</t>
        </is>
      </c>
      <c r="D169" s="39" t="inlineStr">
        <is>
          <t>Sniper Rifle</t>
        </is>
      </c>
      <c r="E169" s="39" t="n">
        <v>0.32</v>
      </c>
      <c r="F169" s="39" t="n">
        <v>0.2</v>
      </c>
      <c r="G169" s="39" t="inlineStr">
        <is>
          <t>crit</t>
        </is>
      </c>
      <c r="H169" s="39" t="inlineStr">
        <is>
          <t>RIFLE_CRIT</t>
        </is>
      </c>
      <c r="I169" s="39" t="inlineStr">
        <is>
          <t>Serration | Galvanized Chamber | Point Strike | Vital Sense | Hammer Shot | Galvanized Aptitude | Primed Cryo Rounds | Malignant Force</t>
        </is>
      </c>
      <c r="J169" s="39" t="inlineStr">
        <is>
          <t>Primary Deadhead</t>
        </is>
      </c>
      <c r="K169" s="39" t="inlineStr">
        <is>
          <t>Viral + Heat (Steel Path generalist; swap Heat-&gt;Corrosive vs armored Grineer)</t>
        </is>
      </c>
      <c r="L169" s="39" t="inlineStr">
        <is>
          <t>-</t>
        </is>
      </c>
      <c r="M169" s="39" t="inlineStr">
        <is>
          <t>~3</t>
        </is>
      </c>
    </row>
    <row r="170">
      <c r="A170" s="39" t="inlineStr">
        <is>
          <t>Voruna Prime</t>
        </is>
      </c>
      <c r="B170" s="39" t="inlineStr">
        <is>
          <t>Secondary</t>
        </is>
      </c>
      <c r="C170" s="39" t="inlineStr">
        <is>
          <t>Grimoire</t>
        </is>
      </c>
      <c r="D170" s="39" t="inlineStr">
        <is>
          <t>Tome</t>
        </is>
      </c>
      <c r="E170" s="39" t="n">
        <v>0.2</v>
      </c>
      <c r="F170" s="39" t="n">
        <v>0.26</v>
      </c>
      <c r="G170" s="39" t="inlineStr">
        <is>
          <t>status</t>
        </is>
      </c>
      <c r="H170" s="39" t="inlineStr">
        <is>
          <t>PISTOL_CRIT</t>
        </is>
      </c>
      <c r="I170" s="39" t="inlineStr">
        <is>
          <t>Hornet Strike | Galvanized Diffusion | Primed Pistol Gambit | Primed Target Cracker | Galvanized Crosshairs | Primed Heated Charge | Pathogen Rounds | Galvanized Shot</t>
        </is>
      </c>
      <c r="J170" s="39" t="inlineStr">
        <is>
          <t>Secondary Outburst</t>
        </is>
      </c>
      <c r="K170" s="39" t="inlineStr">
        <is>
          <t>Corrosive + Viral (status priority, Condition Overload/Galvanized scaling)</t>
        </is>
      </c>
      <c r="L170" s="39" t="inlineStr">
        <is>
          <t>-</t>
        </is>
      </c>
      <c r="M170" s="39" t="inlineStr">
        <is>
          <t>~3</t>
        </is>
      </c>
    </row>
    <row r="171">
      <c r="A171" s="39" t="inlineStr">
        <is>
          <t>Voruna Prime</t>
        </is>
      </c>
      <c r="B171" s="39" t="inlineStr">
        <is>
          <t>Melee</t>
        </is>
      </c>
      <c r="C171" s="39" t="inlineStr">
        <is>
          <t>Sarofang Prime</t>
        </is>
      </c>
      <c r="D171" s="39" t="inlineStr">
        <is>
          <t>Heavy Blade</t>
        </is>
      </c>
      <c r="E171" s="39" t="n">
        <v>0.3</v>
      </c>
      <c r="F171" s="39" t="n">
        <v>0.3</v>
      </c>
      <c r="G171" s="39" t="inlineStr">
        <is>
          <t>crit</t>
        </is>
      </c>
      <c r="H171" s="39" t="inlineStr">
        <is>
          <t>MELEE_CRIT</t>
        </is>
      </c>
      <c r="I171" s="39" t="inlineStr">
        <is>
          <t>Primed Pressure Point | Blood Rush | Weeping Wounds | Organ Shatter | Berserker Fury | Condition Overload | Primed Reach | Virulent Scourge</t>
        </is>
      </c>
      <c r="J171" s="39" t="inlineStr">
        <is>
          <t>Melee Animosity</t>
        </is>
      </c>
      <c r="K171" s="39" t="inlineStr">
        <is>
          <t>Viral + Heat (Steel Path generalist; swap Heat-&gt;Corrosive vs armored Grineer)</t>
        </is>
      </c>
      <c r="L171" s="39" t="inlineStr">
        <is>
          <t>-</t>
        </is>
      </c>
      <c r="M171" s="39" t="inlineStr">
        <is>
          <t>~3</t>
        </is>
      </c>
    </row>
    <row r="172">
      <c r="A172" s="39" t="inlineStr">
        <is>
          <t>Wisp Prime</t>
        </is>
      </c>
      <c r="B172" s="39" t="inlineStr">
        <is>
          <t>Primary</t>
        </is>
      </c>
      <c r="C172" s="39" t="inlineStr">
        <is>
          <t>Fulmin Prime</t>
        </is>
      </c>
      <c r="D172" s="39" t="inlineStr">
        <is>
          <t>Rifle</t>
        </is>
      </c>
      <c r="E172" s="39" t="n">
        <v>0.34</v>
      </c>
      <c r="F172" s="39" t="n">
        <v>0.1</v>
      </c>
      <c r="G172" s="39" t="inlineStr">
        <is>
          <t>crit</t>
        </is>
      </c>
      <c r="H172" s="39" t="inlineStr">
        <is>
          <t>RIFLE_CRIT</t>
        </is>
      </c>
      <c r="I172" s="39" t="inlineStr">
        <is>
          <t>Serration | Galvanized Chamber | Point Strike | Vital Sense | Hammer Shot | Galvanized Aptitude | Primed Cryo Rounds | Malignant Force</t>
        </is>
      </c>
      <c r="J172" s="39" t="inlineStr">
        <is>
          <t>Primary Merciless</t>
        </is>
      </c>
      <c r="K172" s="39" t="inlineStr">
        <is>
          <t>Viral + Heat (Steel Path generalist; swap Heat-&gt;Corrosive vs armored Grineer)</t>
        </is>
      </c>
      <c r="L172" s="39" t="inlineStr">
        <is>
          <t>-</t>
        </is>
      </c>
      <c r="M172" s="39" t="inlineStr">
        <is>
          <t>~3</t>
        </is>
      </c>
    </row>
    <row r="173">
      <c r="A173" s="39" t="inlineStr">
        <is>
          <t>Wisp Prime</t>
        </is>
      </c>
      <c r="B173" s="39" t="inlineStr">
        <is>
          <t>Secondary</t>
        </is>
      </c>
      <c r="C173" s="39" t="inlineStr">
        <is>
          <t>Furis</t>
        </is>
      </c>
      <c r="D173" s="39" t="inlineStr">
        <is>
          <t>Pistol</t>
        </is>
      </c>
      <c r="E173" s="39" t="n">
        <v>0.05</v>
      </c>
      <c r="F173" s="39" t="n">
        <v>0.12</v>
      </c>
      <c r="G173" s="39" t="inlineStr">
        <is>
          <t>status</t>
        </is>
      </c>
      <c r="H173" s="39" t="inlineStr">
        <is>
          <t>PISTOL_CRIT</t>
        </is>
      </c>
      <c r="I173" s="39" t="inlineStr">
        <is>
          <t>Hornet Strike | Galvanized Diffusion | Primed Pistol Gambit | Primed Target Cracker | Galvanized Crosshairs | Primed Heated Charge | Pathogen Rounds | Galvanized Shot</t>
        </is>
      </c>
      <c r="J173" s="39" t="inlineStr">
        <is>
          <t>Secondary Encumber</t>
        </is>
      </c>
      <c r="K173" s="39" t="inlineStr">
        <is>
          <t>Corrosive + Viral (status priority, Condition Overload/Galvanized scaling)</t>
        </is>
      </c>
      <c r="L173" s="39" t="inlineStr">
        <is>
          <t>EVO2: Stormburst; EVO3: Practiced Grip; EVO4: Prelude of Might</t>
        </is>
      </c>
      <c r="M173" s="39" t="inlineStr">
        <is>
          <t>~4 (Incarnon)</t>
        </is>
      </c>
    </row>
    <row r="174">
      <c r="A174" s="39" t="inlineStr">
        <is>
          <t>Wisp Prime</t>
        </is>
      </c>
      <c r="B174" s="39" t="inlineStr">
        <is>
          <t>Melee</t>
        </is>
      </c>
      <c r="C174" s="39" t="inlineStr">
        <is>
          <t>Tipedo Prime</t>
        </is>
      </c>
      <c r="D174" s="39" t="inlineStr">
        <is>
          <t>Staff</t>
        </is>
      </c>
      <c r="E174" s="39" t="n">
        <v>0.24</v>
      </c>
      <c r="F174" s="39" t="n">
        <v>0.24</v>
      </c>
      <c r="G174" s="39" t="inlineStr">
        <is>
          <t>crit</t>
        </is>
      </c>
      <c r="H174" s="39" t="inlineStr">
        <is>
          <t>MELEE_CRIT</t>
        </is>
      </c>
      <c r="I174" s="39" t="inlineStr">
        <is>
          <t>Primed Pressure Point | Blood Rush | Weeping Wounds | Organ Shatter | Berserker Fury | Condition Overload | Primed Reach | Virulent Scourge</t>
        </is>
      </c>
      <c r="J174" s="39" t="inlineStr">
        <is>
          <t>Melee Duplicate</t>
        </is>
      </c>
      <c r="K174" s="39" t="inlineStr">
        <is>
          <t>Viral + Heat (Steel Path generalist; swap Heat-&gt;Corrosive vs armored Grineer)</t>
        </is>
      </c>
      <c r="L174" s="39" t="inlineStr">
        <is>
          <t>-</t>
        </is>
      </c>
      <c r="M174" s="39" t="inlineStr">
        <is>
          <t>~3</t>
        </is>
      </c>
    </row>
    <row r="175">
      <c r="A175" s="39" t="inlineStr">
        <is>
          <t>Wukong Prime</t>
        </is>
      </c>
      <c r="B175" s="39" t="inlineStr">
        <is>
          <t>Primary</t>
        </is>
      </c>
      <c r="C175" s="39" t="inlineStr">
        <is>
          <t>Zhuge Prime</t>
        </is>
      </c>
      <c r="D175" s="39" t="inlineStr">
        <is>
          <t>Crossbow</t>
        </is>
      </c>
      <c r="E175" s="39" t="n">
        <v>0.26</v>
      </c>
      <c r="F175" s="39" t="n">
        <v>0.3</v>
      </c>
      <c r="G175" s="39" t="inlineStr">
        <is>
          <t>crit</t>
        </is>
      </c>
      <c r="H175" s="39" t="inlineStr">
        <is>
          <t>RIFLE_CRIT</t>
        </is>
      </c>
      <c r="I175" s="39" t="inlineStr">
        <is>
          <t>Serration | Galvanized Chamber | Point Strike | Vital Sense | Hammer Shot | Galvanized Aptitude | Primed Cryo Rounds | Malignant Force</t>
        </is>
      </c>
      <c r="J175" s="39" t="inlineStr">
        <is>
          <t>Primary Deadhead</t>
        </is>
      </c>
      <c r="K175" s="39" t="inlineStr">
        <is>
          <t>Viral + Heat (Steel Path generalist; swap Heat-&gt;Corrosive vs armored Grineer)</t>
        </is>
      </c>
      <c r="L175" s="39" t="inlineStr">
        <is>
          <t>-</t>
        </is>
      </c>
      <c r="M175" s="39" t="inlineStr">
        <is>
          <t>~3</t>
        </is>
      </c>
    </row>
    <row r="176">
      <c r="A176" s="39" t="inlineStr">
        <is>
          <t>Wukong Prime</t>
        </is>
      </c>
      <c r="B176" s="39" t="inlineStr">
        <is>
          <t>Secondary</t>
        </is>
      </c>
      <c r="C176" s="39" t="inlineStr">
        <is>
          <t>Ballistica Prime</t>
        </is>
      </c>
      <c r="D176" s="39" t="inlineStr">
        <is>
          <t>Crossbow</t>
        </is>
      </c>
      <c r="E176" s="39" t="n">
        <v>0.2</v>
      </c>
      <c r="F176" s="39" t="n">
        <v>0.15</v>
      </c>
      <c r="G176" s="39" t="inlineStr">
        <is>
          <t>crit</t>
        </is>
      </c>
      <c r="H176" s="39" t="inlineStr">
        <is>
          <t>PISTOL_CRIT</t>
        </is>
      </c>
      <c r="I176" s="39" t="inlineStr">
        <is>
          <t>Hornet Strike | Galvanized Diffusion | Primed Pistol Gambit | Primed Target Cracker | Galvanized Crosshairs | Primed Heated Charge | Pathogen Rounds | Galvanized Shot</t>
        </is>
      </c>
      <c r="J176" s="39" t="inlineStr">
        <is>
          <t>Secondary Outburst</t>
        </is>
      </c>
      <c r="K176" s="39" t="inlineStr">
        <is>
          <t>Viral + Heat (Steel Path generalist; swap Heat-&gt;Corrosive vs armored Grineer)</t>
        </is>
      </c>
      <c r="L176" s="39" t="inlineStr">
        <is>
          <t>EVO2: Prolific Perforation; EVO3: Rapid Reinforcement; EVO4: Critical Parallel</t>
        </is>
      </c>
      <c r="M176" s="39" t="inlineStr">
        <is>
          <t>~4 (Incarnon)</t>
        </is>
      </c>
    </row>
    <row r="177">
      <c r="A177" s="39" t="inlineStr">
        <is>
          <t>Xaku Prime</t>
        </is>
      </c>
      <c r="B177" s="39" t="inlineStr">
        <is>
          <t>Primary</t>
        </is>
      </c>
      <c r="C177" s="39" t="inlineStr">
        <is>
          <t>Trumna Prime</t>
        </is>
      </c>
      <c r="D177" s="39" t="inlineStr">
        <is>
          <t>Rifle</t>
        </is>
      </c>
      <c r="E177" s="39" t="n">
        <v>0.24</v>
      </c>
      <c r="F177" s="39" t="n">
        <v>0.34</v>
      </c>
      <c r="G177" s="39" t="inlineStr">
        <is>
          <t>crit</t>
        </is>
      </c>
      <c r="H177" s="39" t="inlineStr">
        <is>
          <t>RIFLE_CRIT</t>
        </is>
      </c>
      <c r="I177" s="39" t="inlineStr">
        <is>
          <t>Serration | Galvanized Chamber | Point Strike | Vital Sense | Hammer Shot | Galvanized Aptitude | Primed Cryo Rounds | Malignant Force</t>
        </is>
      </c>
      <c r="J177" s="39" t="inlineStr">
        <is>
          <t>Primary Merciless</t>
        </is>
      </c>
      <c r="K177" s="39" t="inlineStr">
        <is>
          <t>Viral + Heat (Steel Path generalist; swap Heat-&gt;Corrosive vs armored Grineer)</t>
        </is>
      </c>
      <c r="L177" s="39" t="inlineStr">
        <is>
          <t>-</t>
        </is>
      </c>
      <c r="M177" s="39" t="inlineStr">
        <is>
          <t>~3</t>
        </is>
      </c>
    </row>
    <row r="178">
      <c r="A178" s="39" t="inlineStr">
        <is>
          <t>Xaku Prime</t>
        </is>
      </c>
      <c r="B178" s="39" t="inlineStr">
        <is>
          <t>Secondary</t>
        </is>
      </c>
      <c r="C178" s="39" t="inlineStr">
        <is>
          <t>Laetum</t>
        </is>
      </c>
      <c r="D178" s="39" t="inlineStr">
        <is>
          <t>Pistol</t>
        </is>
      </c>
      <c r="E178" s="39" t="n">
        <v>0.22</v>
      </c>
      <c r="F178" s="39" t="n">
        <v>0.22</v>
      </c>
      <c r="G178" s="39" t="inlineStr">
        <is>
          <t>crit</t>
        </is>
      </c>
      <c r="H178" s="39" t="inlineStr">
        <is>
          <t>PISTOL_CRIT</t>
        </is>
      </c>
      <c r="I178" s="39" t="inlineStr">
        <is>
          <t>Hornet Strike | Galvanized Diffusion | Primed Pistol Gambit | Primed Target Cracker | Galvanized Crosshairs | Primed Heated Charge | Pathogen Rounds | Galvanized Shot</t>
        </is>
      </c>
      <c r="J178" s="39" t="inlineStr">
        <is>
          <t>Secondary Merciless</t>
        </is>
      </c>
      <c r="K178" s="39" t="inlineStr">
        <is>
          <t>Viral + Heat (Steel Path generalist; swap Heat-&gt;Corrosive vs armored Grineer)</t>
        </is>
      </c>
      <c r="L178" s="39" t="inlineStr">
        <is>
          <t>EVO2: Marksman's Hand; EVO3: Lethal Rearmament; EVO4: Elemental Excess; EVO5: Devouring Attrition</t>
        </is>
      </c>
      <c r="M178" s="39" t="inlineStr">
        <is>
          <t>~4 (Incarnon)</t>
        </is>
      </c>
    </row>
    <row r="179">
      <c r="A179" s="39" t="inlineStr">
        <is>
          <t>Xaku Prime</t>
        </is>
      </c>
      <c r="B179" s="39" t="inlineStr">
        <is>
          <t>Melee</t>
        </is>
      </c>
      <c r="C179" s="39" t="inlineStr">
        <is>
          <t>Quassus Prime</t>
        </is>
      </c>
      <c r="D179" s="39" t="inlineStr">
        <is>
          <t>Warfan</t>
        </is>
      </c>
      <c r="E179" s="39" t="n">
        <v>0.35</v>
      </c>
      <c r="F179" s="39" t="n">
        <v>0.18</v>
      </c>
      <c r="G179" s="39" t="inlineStr">
        <is>
          <t>crit</t>
        </is>
      </c>
      <c r="H179" s="39" t="inlineStr">
        <is>
          <t>MELEE_CRIT</t>
        </is>
      </c>
      <c r="I179" s="39" t="inlineStr">
        <is>
          <t>Primed Pressure Point | Blood Rush | Weeping Wounds | Organ Shatter | Berserker Fury | Condition Overload | Primed Reach | Virulent Scourge</t>
        </is>
      </c>
      <c r="J179" s="39" t="inlineStr">
        <is>
          <t>Melee Duplicate</t>
        </is>
      </c>
      <c r="K179" s="39" t="inlineStr">
        <is>
          <t>Viral + Heat (Steel Path generalist; swap Heat-&gt;Corrosive vs armored Grineer)</t>
        </is>
      </c>
      <c r="L179" s="39" t="inlineStr">
        <is>
          <t>-</t>
        </is>
      </c>
      <c r="M179" s="39" t="inlineStr">
        <is>
          <t>~3</t>
        </is>
      </c>
    </row>
    <row r="180">
      <c r="A180" s="39" t="inlineStr">
        <is>
          <t>Yareli Prime</t>
        </is>
      </c>
      <c r="B180" s="39" t="inlineStr">
        <is>
          <t>Primary</t>
        </is>
      </c>
      <c r="C180" s="39" t="inlineStr">
        <is>
          <t>Komorex</t>
        </is>
      </c>
      <c r="D180" s="39" t="inlineStr">
        <is>
          <t>Sniper Rifle</t>
        </is>
      </c>
      <c r="E180" s="39" t="n">
        <v>0.16</v>
      </c>
      <c r="F180" s="39" t="n">
        <v>0.35</v>
      </c>
      <c r="G180" s="39" t="inlineStr">
        <is>
          <t>status</t>
        </is>
      </c>
      <c r="H180" s="39" t="inlineStr">
        <is>
          <t>RIFLE_CRIT</t>
        </is>
      </c>
      <c r="I180" s="39" t="inlineStr">
        <is>
          <t>Serration | Galvanized Chamber | Point Strike | Vital Sense | Hammer Shot | Galvanized Aptitude | Primed Cryo Rounds | Malignant Force</t>
        </is>
      </c>
      <c r="J180" s="39" t="inlineStr">
        <is>
          <t>Primary Deadhead</t>
        </is>
      </c>
      <c r="K180" s="39" t="inlineStr">
        <is>
          <t>Corrosive + Viral (status priority, Condition Overload/Galvanized scaling)</t>
        </is>
      </c>
      <c r="L180" s="39" t="inlineStr">
        <is>
          <t>-</t>
        </is>
      </c>
      <c r="M180" s="39" t="inlineStr">
        <is>
          <t>~3</t>
        </is>
      </c>
    </row>
    <row r="181">
      <c r="A181" s="39" t="inlineStr">
        <is>
          <t>Yareli Prime</t>
        </is>
      </c>
      <c r="B181" s="39" t="inlineStr">
        <is>
          <t>Secondary</t>
        </is>
      </c>
      <c r="C181" s="39" t="inlineStr">
        <is>
          <t>Kompressa Prime</t>
        </is>
      </c>
      <c r="D181" s="39" t="inlineStr">
        <is>
          <t>Pistol</t>
        </is>
      </c>
      <c r="E181" s="39" t="n">
        <v>0.16</v>
      </c>
      <c r="F181" s="39" t="n">
        <v>0.36</v>
      </c>
      <c r="G181" s="39" t="inlineStr">
        <is>
          <t>status</t>
        </is>
      </c>
      <c r="H181" s="39" t="inlineStr">
        <is>
          <t>PISTOL_CRIT</t>
        </is>
      </c>
      <c r="I181" s="39" t="inlineStr">
        <is>
          <t>Hornet Strike | Galvanized Diffusion | Primed Pistol Gambit | Primed Target Cracker | Galvanized Crosshairs | Primed Heated Charge | Pathogen Rounds | Galvanized Shot</t>
        </is>
      </c>
      <c r="J181" s="39" t="inlineStr">
        <is>
          <t>Secondary Encumber</t>
        </is>
      </c>
      <c r="K181" s="39" t="inlineStr">
        <is>
          <t>Corrosive + Viral (status priority, Condition Overload/Galvanized scaling)</t>
        </is>
      </c>
      <c r="L181" s="39" t="inlineStr">
        <is>
          <t>-</t>
        </is>
      </c>
      <c r="M181" s="39" t="inlineStr">
        <is>
          <t>~3</t>
        </is>
      </c>
    </row>
    <row r="182">
      <c r="A182" s="39" t="inlineStr">
        <is>
          <t>Yareli Prime</t>
        </is>
      </c>
      <c r="B182" s="39" t="inlineStr">
        <is>
          <t>Melee</t>
        </is>
      </c>
      <c r="C182" s="39" t="inlineStr">
        <is>
          <t>Ghoulsaw</t>
        </is>
      </c>
      <c r="D182" s="39" t="inlineStr">
        <is>
          <t>Assault Saw</t>
        </is>
      </c>
      <c r="E182" s="39" t="n">
        <v>0.15</v>
      </c>
      <c r="F182" s="39" t="n">
        <v>0.27</v>
      </c>
      <c r="G182" s="39" t="inlineStr">
        <is>
          <t>status</t>
        </is>
      </c>
      <c r="H182" s="39" t="inlineStr">
        <is>
          <t>MELEE_CRIT</t>
        </is>
      </c>
      <c r="I182" s="39" t="inlineStr">
        <is>
          <t>Primed Pressure Point | Blood Rush | Weeping Wounds | Organ Shatter | Berserker Fury | Condition Overload | Primed Reach | Virulent Scourge</t>
        </is>
      </c>
      <c r="J182" s="39" t="inlineStr">
        <is>
          <t>Melee Influence</t>
        </is>
      </c>
      <c r="K182" s="39" t="inlineStr">
        <is>
          <t>Corrosive + Viral (status priority, Condition Overload/Galvanized scaling)</t>
        </is>
      </c>
      <c r="L182" s="39" t="inlineStr">
        <is>
          <t>-</t>
        </is>
      </c>
      <c r="M182" s="39" t="inlineStr">
        <is>
          <t>~3</t>
        </is>
      </c>
    </row>
    <row r="183">
      <c r="A183" s="39" t="inlineStr">
        <is>
          <t>Zephyr Prime</t>
        </is>
      </c>
      <c r="B183" s="39" t="inlineStr">
        <is>
          <t>Primary</t>
        </is>
      </c>
      <c r="C183" s="39" t="inlineStr">
        <is>
          <t>Nataruk</t>
        </is>
      </c>
      <c r="D183" s="39" t="inlineStr">
        <is>
          <t>Bow</t>
        </is>
      </c>
      <c r="E183" s="39" t="n">
        <v>0.2</v>
      </c>
      <c r="F183" s="39" t="n">
        <v>0.3</v>
      </c>
      <c r="G183" s="39" t="inlineStr">
        <is>
          <t>status</t>
        </is>
      </c>
      <c r="H183" s="39" t="inlineStr">
        <is>
          <t>RIFLE_CRIT</t>
        </is>
      </c>
      <c r="I183" s="39" t="inlineStr">
        <is>
          <t>Serration | Galvanized Chamber | Point Strike | Vital Sense | Hammer Shot | Galvanized Aptitude | Primed Cryo Rounds | Malignant Force</t>
        </is>
      </c>
      <c r="J183" s="39" t="inlineStr">
        <is>
          <t>Primary Deadhead</t>
        </is>
      </c>
      <c r="K183" s="39" t="inlineStr">
        <is>
          <t>Corrosive + Viral (status priority, Condition Overload/Galvanized scaling)</t>
        </is>
      </c>
      <c r="L183" s="39" t="inlineStr">
        <is>
          <t>-</t>
        </is>
      </c>
      <c r="M183" s="39" t="inlineStr">
        <is>
          <t>~3</t>
        </is>
      </c>
    </row>
    <row r="184">
      <c r="A184" s="39" t="inlineStr">
        <is>
          <t>Zephyr Prime</t>
        </is>
      </c>
      <c r="B184" s="39" t="inlineStr">
        <is>
          <t>Secondary</t>
        </is>
      </c>
      <c r="C184" s="39" t="inlineStr">
        <is>
          <t>Catchmoon</t>
        </is>
      </c>
      <c r="D184" s="39" t="inlineStr">
        <is>
          <t>Shotgun</t>
        </is>
      </c>
      <c r="E184" s="39" t="n">
        <v>0</v>
      </c>
      <c r="F184" s="39" t="n">
        <v>0</v>
      </c>
      <c r="G184" s="39" t="inlineStr">
        <is>
          <t>crit</t>
        </is>
      </c>
      <c r="H184" s="39" t="inlineStr">
        <is>
          <t>PISTOL_CRIT</t>
        </is>
      </c>
      <c r="I184" s="39" t="inlineStr">
        <is>
          <t>Hornet Strike | Galvanized Diffusion | Primed Pistol Gambit | Primed Target Cracker | Galvanized Crosshairs | Primed Heated Charge | Pathogen Rounds | Galvanized Shot</t>
        </is>
      </c>
      <c r="J184" s="39" t="inlineStr">
        <is>
          <t>Secondary Merciless</t>
        </is>
      </c>
      <c r="K184" s="39" t="inlineStr">
        <is>
          <t>Viral + Heat (Steel Path generalist; swap Heat-&gt;Corrosive vs armored Grineer)</t>
        </is>
      </c>
      <c r="L184" s="39" t="inlineStr">
        <is>
          <t>-</t>
        </is>
      </c>
      <c r="M184" s="39" t="inlineStr">
        <is>
          <t>~3</t>
        </is>
      </c>
    </row>
    <row r="185">
      <c r="A185" s="39" t="inlineStr">
        <is>
          <t>Zephyr Prime</t>
        </is>
      </c>
      <c r="B185" s="39" t="inlineStr">
        <is>
          <t>Melee</t>
        </is>
      </c>
      <c r="C185" s="39" t="inlineStr">
        <is>
          <t>Kronen Prime</t>
        </is>
      </c>
      <c r="D185" s="39" t="inlineStr">
        <is>
          <t>Tonfa</t>
        </is>
      </c>
      <c r="E185" s="39" t="n">
        <v>0.22</v>
      </c>
      <c r="F185" s="39" t="n">
        <v>0.34</v>
      </c>
      <c r="G185" s="39" t="inlineStr">
        <is>
          <t>status</t>
        </is>
      </c>
      <c r="H185" s="39" t="inlineStr">
        <is>
          <t>MELEE_CRIT</t>
        </is>
      </c>
      <c r="I185" s="39" t="inlineStr">
        <is>
          <t>Primed Pressure Point | Blood Rush | Weeping Wounds | Organ Shatter | Berserker Fury | Condition Overload | Primed Reach | Virulent Scourge</t>
        </is>
      </c>
      <c r="J185" s="39" t="inlineStr">
        <is>
          <t>Melee Influence</t>
        </is>
      </c>
      <c r="K185" s="39" t="inlineStr">
        <is>
          <t>Corrosive + Viral (status priority, Condition Overload/Galvanized scaling)</t>
        </is>
      </c>
      <c r="L185" s="39" t="inlineStr">
        <is>
          <t>-</t>
        </is>
      </c>
      <c r="M185" s="39" t="inlineStr">
        <is>
          <t>~3</t>
        </is>
      </c>
    </row>
  </sheetData>
  <autoFilter ref="A1:M18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style="26" min="1" max="1"/>
    <col width="80" customWidth="1" style="26" min="2" max="2"/>
    <col width="10" customWidth="1" style="26" min="3" max="3"/>
    <col width="14" customWidth="1" style="26" min="4" max="4"/>
    <col width="17" customWidth="1" style="26" min="5" max="5"/>
    <col width="15" customWidth="1" style="26" min="6" max="6"/>
    <col width="17" customWidth="1" style="26" min="7" max="7"/>
  </cols>
  <sheetData>
    <row r="1">
      <c r="A1" s="51" t="inlineStr">
        <is>
          <t>Category / section</t>
        </is>
      </c>
      <c r="B1" s="51" t="inlineStr">
        <is>
          <t>Item</t>
        </is>
      </c>
      <c r="C1" s="51" t="inlineStr">
        <is>
          <t>Floor Pt</t>
        </is>
      </c>
      <c r="D1" s="51" t="inlineStr">
        <is>
          <t>Realistic Pt</t>
        </is>
      </c>
      <c r="E1" s="51" t="inlineStr">
        <is>
          <t>Conservative Pt</t>
        </is>
      </c>
      <c r="F1" s="51" t="inlineStr">
        <is>
          <t>Status / note</t>
        </is>
      </c>
      <c r="G1" s="51" t="inlineStr">
        <is>
          <t>Priority / note</t>
        </is>
      </c>
    </row>
    <row r="2">
      <c r="A2" s="39" t="inlineStr">
        <is>
          <t>ADDED ITEMS (now counted in player-trade total)</t>
        </is>
      </c>
      <c r="B2" s="39" t="inlineStr"/>
      <c r="C2" s="39" t="inlineStr"/>
      <c r="D2" s="39" t="inlineStr"/>
      <c r="E2" s="39" t="inlineStr"/>
      <c r="F2" s="39" t="n"/>
      <c r="G2" s="39" t="n"/>
    </row>
    <row r="3">
      <c r="A3" s="39" t="inlineStr">
        <is>
          <t>Mod</t>
        </is>
      </c>
      <c r="B3" s="39" t="inlineStr">
        <is>
          <t>Swift Deth</t>
        </is>
      </c>
      <c r="C3" s="39" t="n"/>
      <c r="D3" s="39" t="n"/>
      <c r="E3" s="39" t="n"/>
      <c r="F3" s="39" t="inlineStr">
        <is>
          <t>MARKET DATA UNAVAILABLE</t>
        </is>
      </c>
      <c r="G3" s="39" t="n"/>
    </row>
    <row r="4">
      <c r="A4" s="39" t="inlineStr">
        <is>
          <t>Arcane</t>
        </is>
      </c>
      <c r="B4" s="39" t="inlineStr">
        <is>
          <t>Arcane Bellicose</t>
        </is>
      </c>
      <c r="C4" s="39" t="n">
        <v>25</v>
      </c>
      <c r="D4" s="39" t="n">
        <v>27</v>
      </c>
      <c r="E4" s="39" t="n">
        <v>31</v>
      </c>
      <c r="F4" s="39" t="inlineStr">
        <is>
          <t>OK</t>
        </is>
      </c>
      <c r="G4" s="39" t="inlineStr">
        <is>
          <t>Required (v4.2 frame builds)</t>
        </is>
      </c>
    </row>
    <row r="5">
      <c r="A5" s="39" t="inlineStr">
        <is>
          <t>Arcane</t>
        </is>
      </c>
      <c r="B5" s="39" t="inlineStr">
        <is>
          <t>Arcane Camisado</t>
        </is>
      </c>
      <c r="C5" s="39" t="n">
        <v>20</v>
      </c>
      <c r="D5" s="39" t="n">
        <v>30</v>
      </c>
      <c r="E5" s="39" t="n">
        <v>33</v>
      </c>
      <c r="F5" s="39" t="inlineStr">
        <is>
          <t>OK</t>
        </is>
      </c>
      <c r="G5" s="39" t="inlineStr">
        <is>
          <t>Required (v4.2 frame builds)</t>
        </is>
      </c>
    </row>
    <row r="6">
      <c r="A6" s="39" t="inlineStr">
        <is>
          <t>Arcane</t>
        </is>
      </c>
      <c r="B6" s="39" t="inlineStr">
        <is>
          <t>Arcane Crepuscular</t>
        </is>
      </c>
      <c r="C6" s="39" t="n">
        <v>25</v>
      </c>
      <c r="D6" s="39" t="n">
        <v>29</v>
      </c>
      <c r="E6" s="39" t="n">
        <v>33</v>
      </c>
      <c r="F6" s="39" t="inlineStr">
        <is>
          <t>OK</t>
        </is>
      </c>
      <c r="G6" s="39" t="inlineStr">
        <is>
          <t>Required (v4.2 frame builds)</t>
        </is>
      </c>
    </row>
    <row r="7">
      <c r="A7" s="39" t="inlineStr">
        <is>
          <t>Arcane</t>
        </is>
      </c>
      <c r="B7" s="39" t="inlineStr">
        <is>
          <t>Arcane Expertise</t>
        </is>
      </c>
      <c r="C7" s="39" t="n">
        <v>35</v>
      </c>
      <c r="D7" s="39" t="n">
        <v>39</v>
      </c>
      <c r="E7" s="39" t="n">
        <v>44</v>
      </c>
      <c r="F7" s="39" t="inlineStr">
        <is>
          <t>OK</t>
        </is>
      </c>
      <c r="G7" s="39" t="inlineStr">
        <is>
          <t>Required (v4.2 frame builds)</t>
        </is>
      </c>
    </row>
    <row r="8">
      <c r="A8" s="39" t="inlineStr">
        <is>
          <t>Arcane</t>
        </is>
      </c>
      <c r="B8" s="39" t="inlineStr">
        <is>
          <t>Arcane Hot Shot</t>
        </is>
      </c>
      <c r="C8" s="39" t="n">
        <v>310</v>
      </c>
      <c r="D8" s="39" t="n">
        <v>320</v>
      </c>
      <c r="E8" s="39" t="n">
        <v>386</v>
      </c>
      <c r="F8" s="39" t="inlineStr">
        <is>
          <t>OK</t>
        </is>
      </c>
      <c r="G8" s="39" t="inlineStr">
        <is>
          <t>Required (v4.2 frame builds)</t>
        </is>
      </c>
    </row>
    <row r="9">
      <c r="A9" s="39" t="inlineStr">
        <is>
          <t>Arcane</t>
        </is>
      </c>
      <c r="B9" s="39" t="inlineStr">
        <is>
          <t>Arcane Ice Storm</t>
        </is>
      </c>
      <c r="C9" s="39" t="n">
        <v>74</v>
      </c>
      <c r="D9" s="39" t="n">
        <v>78</v>
      </c>
      <c r="E9" s="39" t="n">
        <v>94</v>
      </c>
      <c r="F9" s="39" t="inlineStr">
        <is>
          <t>OK</t>
        </is>
      </c>
      <c r="G9" s="39" t="inlineStr">
        <is>
          <t>Required (v4.2 frame builds)</t>
        </is>
      </c>
    </row>
    <row r="10">
      <c r="A10" s="39" t="inlineStr">
        <is>
          <t>Arcane</t>
        </is>
      </c>
      <c r="B10" s="39" t="inlineStr">
        <is>
          <t>Arcane Reaper</t>
        </is>
      </c>
      <c r="C10" s="39" t="n">
        <v>350</v>
      </c>
      <c r="D10" s="39" t="n">
        <v>390</v>
      </c>
      <c r="E10" s="39" t="n">
        <v>441</v>
      </c>
      <c r="F10" s="39" t="inlineStr">
        <is>
          <t>OK</t>
        </is>
      </c>
      <c r="G10" s="39" t="inlineStr">
        <is>
          <t>Required (v4.2 frame builds)</t>
        </is>
      </c>
    </row>
    <row r="11">
      <c r="A11" s="39" t="inlineStr">
        <is>
          <t>Arcane</t>
        </is>
      </c>
      <c r="B11" s="39" t="inlineStr">
        <is>
          <t>Arcane Universal Fallout</t>
        </is>
      </c>
      <c r="C11" s="39" t="n">
        <v>90</v>
      </c>
      <c r="D11" s="39" t="n">
        <v>95</v>
      </c>
      <c r="E11" s="39" t="n">
        <v>111</v>
      </c>
      <c r="F11" s="39" t="inlineStr">
        <is>
          <t>OK</t>
        </is>
      </c>
      <c r="G11" s="39" t="inlineStr">
        <is>
          <t>Required (v4.2 frame builds)</t>
        </is>
      </c>
    </row>
    <row r="12">
      <c r="A12" s="39" t="inlineStr">
        <is>
          <t>Arcane</t>
        </is>
      </c>
      <c r="B12" s="39" t="inlineStr">
        <is>
          <t>Secondary Encumber</t>
        </is>
      </c>
      <c r="C12" s="39" t="n">
        <v>59</v>
      </c>
      <c r="D12" s="39" t="n">
        <v>60</v>
      </c>
      <c r="E12" s="39" t="n">
        <v>85</v>
      </c>
      <c r="F12" s="39" t="inlineStr">
        <is>
          <t>OK</t>
        </is>
      </c>
      <c r="G12" s="39" t="inlineStr">
        <is>
          <t>Required (v4.2 weapon/exalted builds)</t>
        </is>
      </c>
    </row>
    <row r="13">
      <c r="A13" s="39" t="inlineStr">
        <is>
          <t>Arcane</t>
        </is>
      </c>
      <c r="B13" s="39" t="inlineStr">
        <is>
          <t>Secondary Outburst</t>
        </is>
      </c>
      <c r="C13" s="39" t="n">
        <v>90</v>
      </c>
      <c r="D13" s="39" t="n">
        <v>90</v>
      </c>
      <c r="E13" s="39" t="n">
        <v>111</v>
      </c>
      <c r="F13" s="39" t="inlineStr">
        <is>
          <t>OK</t>
        </is>
      </c>
      <c r="G13" s="39" t="inlineStr">
        <is>
          <t>Required (v4.2 weapon/exalted builds)</t>
        </is>
      </c>
    </row>
    <row r="14">
      <c r="A14" s="39" t="inlineStr">
        <is>
          <t>Arcane</t>
        </is>
      </c>
      <c r="B14" s="39" t="inlineStr">
        <is>
          <t>Shotgun Vendetta</t>
        </is>
      </c>
      <c r="C14" s="39" t="n">
        <v>99</v>
      </c>
      <c r="D14" s="39" t="n">
        <v>100</v>
      </c>
      <c r="E14" s="39" t="n">
        <v>176</v>
      </c>
      <c r="F14" s="39" t="inlineStr">
        <is>
          <t>OK</t>
        </is>
      </c>
      <c r="G14" s="39" t="inlineStr">
        <is>
          <t>Required (v4.2 weapon/exalted builds)</t>
        </is>
      </c>
    </row>
    <row r="15">
      <c r="A15" s="39" t="inlineStr">
        <is>
          <t>REMOVED ITEMS (no longer counted)</t>
        </is>
      </c>
      <c r="B15" s="39" t="inlineStr"/>
      <c r="C15" s="39" t="inlineStr"/>
      <c r="D15" s="39" t="inlineStr"/>
      <c r="E15" s="39" t="inlineStr"/>
      <c r="F15" s="39" t="n"/>
      <c r="G15" s="39" t="n"/>
    </row>
    <row r="16">
      <c r="A16" s="39" t="inlineStr">
        <is>
          <t>Companion</t>
        </is>
      </c>
      <c r="B16" s="39" t="inlineStr">
        <is>
          <t>Nautilus Prime</t>
        </is>
      </c>
      <c r="C16" s="39" t="n">
        <v>-50</v>
      </c>
      <c r="D16" s="39" t="n">
        <v>-55</v>
      </c>
      <c r="E16" s="39" t="n">
        <v>-61</v>
      </c>
      <c r="F16" s="39" t="inlineStr">
        <is>
          <t>Optional (no v4.2 build assignment)</t>
        </is>
      </c>
      <c r="G16" s="39" t="inlineStr">
        <is>
          <t>was counted in v4.1</t>
        </is>
      </c>
    </row>
    <row r="17">
      <c r="A17" s="39" t="inlineStr">
        <is>
          <t>Companion</t>
        </is>
      </c>
      <c r="B17" s="39" t="inlineStr">
        <is>
          <t>Shade Prime</t>
        </is>
      </c>
      <c r="C17" s="39" t="n">
        <v>-55</v>
      </c>
      <c r="D17" s="39" t="n">
        <v>-55</v>
      </c>
      <c r="E17" s="39" t="n">
        <v>-61</v>
      </c>
      <c r="F17" s="39" t="inlineStr">
        <is>
          <t>Optional (no v4.2 build assignment)</t>
        </is>
      </c>
      <c r="G17" s="39" t="inlineStr">
        <is>
          <t>was counted in v4.1</t>
        </is>
      </c>
    </row>
    <row r="18">
      <c r="A18" s="39" t="inlineStr">
        <is>
          <t>Arcane</t>
        </is>
      </c>
      <c r="B18" s="39" t="inlineStr">
        <is>
          <t>Arcane Aegis</t>
        </is>
      </c>
      <c r="C18" s="39" t="n">
        <v>-120</v>
      </c>
      <c r="D18" s="39" t="n">
        <v>-129</v>
      </c>
      <c r="E18" s="39" t="n">
        <v>-143</v>
      </c>
      <c r="F18" s="39" t="inlineStr">
        <is>
          <t>Collection (optional)</t>
        </is>
      </c>
      <c r="G18" s="39" t="inlineStr">
        <is>
          <t>was counted in v4.1</t>
        </is>
      </c>
    </row>
    <row r="19">
      <c r="A19" s="39" t="inlineStr">
        <is>
          <t>Arcane</t>
        </is>
      </c>
      <c r="B19" s="39" t="inlineStr">
        <is>
          <t>Arcane Blessing</t>
        </is>
      </c>
      <c r="C19" s="39" t="n">
        <v>-34</v>
      </c>
      <c r="D19" s="39" t="n">
        <v>-40</v>
      </c>
      <c r="E19" s="39" t="n">
        <v>-50</v>
      </c>
      <c r="F19" s="39" t="inlineStr">
        <is>
          <t>Collection (optional)</t>
        </is>
      </c>
      <c r="G19" s="39" t="inlineStr">
        <is>
          <t>was counted in v4.1</t>
        </is>
      </c>
    </row>
    <row r="20">
      <c r="A20" s="39" t="inlineStr">
        <is>
          <t>Arcane</t>
        </is>
      </c>
      <c r="B20" s="39" t="inlineStr">
        <is>
          <t>Arcane Grace</t>
        </is>
      </c>
      <c r="C20" s="39" t="n">
        <v>-100</v>
      </c>
      <c r="D20" s="39" t="n">
        <v>-100</v>
      </c>
      <c r="E20" s="39" t="n">
        <v>-122</v>
      </c>
      <c r="F20" s="39" t="inlineStr">
        <is>
          <t>Collection (optional)</t>
        </is>
      </c>
      <c r="G20" s="39" t="inlineStr">
        <is>
          <t>was counted in v4.1</t>
        </is>
      </c>
    </row>
    <row r="21">
      <c r="A21" s="39" t="inlineStr">
        <is>
          <t>Arcane</t>
        </is>
      </c>
      <c r="B21" s="39" t="inlineStr">
        <is>
          <t>Arcane Guardian</t>
        </is>
      </c>
      <c r="C21" s="39" t="n">
        <v>-50</v>
      </c>
      <c r="D21" s="39" t="n">
        <v>-60</v>
      </c>
      <c r="E21" s="39" t="n">
        <v>-66</v>
      </c>
      <c r="F21" s="39" t="inlineStr">
        <is>
          <t>Collection (optional)</t>
        </is>
      </c>
      <c r="G21" s="39" t="inlineStr">
        <is>
          <t>was counted in v4.1</t>
        </is>
      </c>
    </row>
    <row r="22">
      <c r="A22" s="39" t="inlineStr">
        <is>
          <t>Arcane</t>
        </is>
      </c>
      <c r="B22" s="39" t="inlineStr">
        <is>
          <t>Arcane Precision</t>
        </is>
      </c>
      <c r="C22" s="39" t="n">
        <v>-145</v>
      </c>
      <c r="D22" s="39" t="n">
        <v>-150</v>
      </c>
      <c r="E22" s="39" t="n">
        <v>-176</v>
      </c>
      <c r="F22" s="39" t="inlineStr">
        <is>
          <t>Collection (optional)</t>
        </is>
      </c>
      <c r="G22" s="39" t="inlineStr">
        <is>
          <t>was counted in v4.1</t>
        </is>
      </c>
    </row>
    <row r="23">
      <c r="A23" s="39" t="inlineStr">
        <is>
          <t>Arcane</t>
        </is>
      </c>
      <c r="B23" s="39" t="inlineStr">
        <is>
          <t>Arcane Strike</t>
        </is>
      </c>
      <c r="C23" s="39" t="n">
        <v>-80</v>
      </c>
      <c r="D23" s="39" t="n">
        <v>-88</v>
      </c>
      <c r="E23" s="39" t="n">
        <v>-108</v>
      </c>
      <c r="F23" s="39" t="inlineStr">
        <is>
          <t>Collection (optional)</t>
        </is>
      </c>
      <c r="G23" s="39" t="inlineStr">
        <is>
          <t>was counted in v4.1</t>
        </is>
      </c>
    </row>
    <row r="24">
      <c r="A24" s="39" t="inlineStr">
        <is>
          <t>Arcane</t>
        </is>
      </c>
      <c r="B24" s="39" t="inlineStr">
        <is>
          <t>Arcane Velocity</t>
        </is>
      </c>
      <c r="C24" s="39" t="n">
        <v>-180</v>
      </c>
      <c r="D24" s="39" t="n">
        <v>-180</v>
      </c>
      <c r="E24" s="39" t="n">
        <v>-210</v>
      </c>
      <c r="F24" s="39" t="inlineStr">
        <is>
          <t>Collection (optional)</t>
        </is>
      </c>
      <c r="G24" s="39" t="inlineStr">
        <is>
          <t>was counted in v4.1</t>
        </is>
      </c>
    </row>
    <row r="25">
      <c r="A25" s="39" t="inlineStr">
        <is>
          <t>Arcane</t>
        </is>
      </c>
      <c r="B25" s="39" t="inlineStr">
        <is>
          <t>Melee Exposure</t>
        </is>
      </c>
      <c r="C25" s="39" t="n">
        <v>-69</v>
      </c>
      <c r="D25" s="39" t="n">
        <v>-73</v>
      </c>
      <c r="E25" s="39" t="n">
        <v>-83</v>
      </c>
      <c r="F25" s="39" t="inlineStr">
        <is>
          <t>Collection (optional)</t>
        </is>
      </c>
      <c r="G25" s="39" t="inlineStr">
        <is>
          <t>was counted in v4.1</t>
        </is>
      </c>
    </row>
    <row r="26">
      <c r="A26" s="39" t="inlineStr">
        <is>
          <t>Arcane</t>
        </is>
      </c>
      <c r="B26" s="39" t="inlineStr">
        <is>
          <t>Melee Vortex</t>
        </is>
      </c>
      <c r="C26" s="39" t="n">
        <v>-60</v>
      </c>
      <c r="D26" s="39" t="n">
        <v>-65</v>
      </c>
      <c r="E26" s="39" t="n">
        <v>-77</v>
      </c>
      <c r="F26" s="39" t="inlineStr">
        <is>
          <t>Collection (optional)</t>
        </is>
      </c>
      <c r="G26" s="39" t="inlineStr">
        <is>
          <t>was counted in v4.1</t>
        </is>
      </c>
    </row>
    <row r="27">
      <c r="A27" s="39" t="inlineStr">
        <is>
          <t>Arcane</t>
        </is>
      </c>
      <c r="B27" s="39" t="inlineStr">
        <is>
          <t>Molt Efficiency</t>
        </is>
      </c>
      <c r="C27" s="39" t="n">
        <v>-28</v>
      </c>
      <c r="D27" s="39" t="n">
        <v>-30</v>
      </c>
      <c r="E27" s="39" t="n">
        <v>-33</v>
      </c>
      <c r="F27" s="39" t="inlineStr">
        <is>
          <t>Collection (optional)</t>
        </is>
      </c>
      <c r="G27" s="39" t="inlineStr">
        <is>
          <t>was counted in v4.1</t>
        </is>
      </c>
    </row>
    <row r="28">
      <c r="A28" s="39" t="inlineStr">
        <is>
          <t>Arcane</t>
        </is>
      </c>
      <c r="B28" s="39" t="inlineStr">
        <is>
          <t>Molt Reconstruct</t>
        </is>
      </c>
      <c r="C28" s="39" t="n">
        <v>-15</v>
      </c>
      <c r="D28" s="39" t="n">
        <v>-20</v>
      </c>
      <c r="E28" s="39" t="n">
        <v>-22</v>
      </c>
      <c r="F28" s="39" t="inlineStr">
        <is>
          <t>Collection (optional)</t>
        </is>
      </c>
      <c r="G28" s="39" t="inlineStr">
        <is>
          <t>was counted in v4.1</t>
        </is>
      </c>
    </row>
    <row r="29">
      <c r="A29" s="39" t="inlineStr">
        <is>
          <t>Arcane</t>
        </is>
      </c>
      <c r="B29" s="39" t="inlineStr">
        <is>
          <t>Primary Dexterity</t>
        </is>
      </c>
      <c r="C29" s="39" t="n">
        <v>-6</v>
      </c>
      <c r="D29" s="39" t="n">
        <v>-7</v>
      </c>
      <c r="E29" s="39" t="n">
        <v>-9</v>
      </c>
      <c r="F29" s="39" t="inlineStr">
        <is>
          <t>Collection (optional)</t>
        </is>
      </c>
      <c r="G29" s="39" t="inlineStr">
        <is>
          <t>was counted in v4.1</t>
        </is>
      </c>
    </row>
    <row r="30">
      <c r="A30" s="39" t="inlineStr">
        <is>
          <t>Arcane</t>
        </is>
      </c>
      <c r="B30" s="39" t="inlineStr">
        <is>
          <t>Secondary Dexterity</t>
        </is>
      </c>
      <c r="C30" s="39" t="n">
        <v>-8</v>
      </c>
      <c r="D30" s="39" t="n">
        <v>-9</v>
      </c>
      <c r="E30" s="39" t="n">
        <v>-11</v>
      </c>
      <c r="F30" s="39" t="inlineStr">
        <is>
          <t>Collection (optional)</t>
        </is>
      </c>
      <c r="G30" s="39" t="inlineStr">
        <is>
          <t>was counted in v4.1</t>
        </is>
      </c>
    </row>
    <row r="31">
      <c r="A31" s="39" t="inlineStr">
        <is>
          <t>CHANGED ITEMS</t>
        </is>
      </c>
      <c r="B31" s="39" t="inlineStr"/>
      <c r="C31" s="39" t="inlineStr"/>
      <c r="D31" s="39" t="inlineStr"/>
      <c r="E31" s="39" t="inlineStr"/>
      <c r="F31" s="39" t="n"/>
      <c r="G31" s="39" t="n"/>
    </row>
    <row r="32">
      <c r="A32" s="39" t="inlineStr">
        <is>
          <t>Companion</t>
        </is>
      </c>
      <c r="B32" s="39" t="inlineStr">
        <is>
          <t>Sahasa Kubrow</t>
        </is>
      </c>
      <c r="C32" s="39" t="inlineStr"/>
      <c r="D32" s="39" t="inlineStr"/>
      <c r="E32" s="39" t="inlineStr"/>
      <c r="F32" s="39" t="inlineStr">
        <is>
          <t>Core -&gt; Optional (no v4.2 build assignment)</t>
        </is>
      </c>
      <c r="G32" s="39" t="inlineStr">
        <is>
          <t>No -&gt; No</t>
        </is>
      </c>
    </row>
    <row r="33">
      <c r="A33" s="39" t="inlineStr">
        <is>
          <t>Companion</t>
        </is>
      </c>
      <c r="B33" s="39" t="inlineStr">
        <is>
          <t>Taxon</t>
        </is>
      </c>
      <c r="C33" s="39" t="inlineStr"/>
      <c r="D33" s="39" t="inlineStr"/>
      <c r="E33" s="39" t="inlineStr"/>
      <c r="F33" s="39" t="inlineStr">
        <is>
          <t>Core -&gt; Optional (no v4.2 build assignment)</t>
        </is>
      </c>
      <c r="G33" s="39" t="inlineStr">
        <is>
          <t>No -&gt; No</t>
        </is>
      </c>
    </row>
    <row r="34">
      <c r="A34" s="39" t="inlineStr">
        <is>
          <t>Companion</t>
        </is>
      </c>
      <c r="B34" s="39" t="inlineStr">
        <is>
          <t>Helminth Charger</t>
        </is>
      </c>
      <c r="C34" s="39" t="inlineStr"/>
      <c r="D34" s="39" t="inlineStr"/>
      <c r="E34" s="39" t="inlineStr"/>
      <c r="F34" s="39" t="inlineStr">
        <is>
          <t>Core -&gt; Optional (no v4.2 build assignment)</t>
        </is>
      </c>
      <c r="G34" s="39" t="inlineStr">
        <is>
          <t>No -&gt; No</t>
        </is>
      </c>
    </row>
    <row r="35">
      <c r="A35" s="39" t="inlineStr">
        <is>
          <t>Arcane</t>
        </is>
      </c>
      <c r="B35" s="39" t="inlineStr">
        <is>
          <t>Arcane Avenger</t>
        </is>
      </c>
      <c r="C35" s="39" t="inlineStr"/>
      <c r="D35" s="39" t="inlineStr"/>
      <c r="E35" s="39" t="inlineStr"/>
      <c r="F35" s="39" t="inlineStr">
        <is>
          <t>Required (v3 build list) -&gt; Required (v4.2 frame builds)</t>
        </is>
      </c>
      <c r="G35" s="39" t="inlineStr">
        <is>
          <t>Yes -&gt; Yes</t>
        </is>
      </c>
    </row>
    <row r="36">
      <c r="A36" s="39" t="inlineStr">
        <is>
          <t>Arcane</t>
        </is>
      </c>
      <c r="B36" s="39" t="inlineStr">
        <is>
          <t>Arcane Energize</t>
        </is>
      </c>
      <c r="C36" s="39" t="inlineStr"/>
      <c r="D36" s="39" t="inlineStr"/>
      <c r="E36" s="39" t="inlineStr"/>
      <c r="F36" s="39" t="inlineStr">
        <is>
          <t>Required (v3 build list) -&gt; Required (v4.2 frame builds)</t>
        </is>
      </c>
      <c r="G36" s="39" t="inlineStr">
        <is>
          <t>Yes -&gt; Yes</t>
        </is>
      </c>
    </row>
    <row r="37">
      <c r="A37" s="39" t="inlineStr">
        <is>
          <t>Arcane</t>
        </is>
      </c>
      <c r="B37" s="39" t="inlineStr">
        <is>
          <t>Arcane Fury</t>
        </is>
      </c>
      <c r="C37" s="39" t="inlineStr"/>
      <c r="D37" s="39" t="inlineStr"/>
      <c r="E37" s="39" t="inlineStr"/>
      <c r="F37" s="39" t="inlineStr">
        <is>
          <t>Required (v3 build list) -&gt; Required (v4.2 frame builds)</t>
        </is>
      </c>
      <c r="G37" s="39" t="inlineStr">
        <is>
          <t>Yes -&gt; Yes</t>
        </is>
      </c>
    </row>
    <row r="38">
      <c r="A38" s="39" t="inlineStr">
        <is>
          <t>Arcane</t>
        </is>
      </c>
      <c r="B38" s="39" t="inlineStr">
        <is>
          <t>Melee Animosity</t>
        </is>
      </c>
      <c r="C38" s="39" t="inlineStr"/>
      <c r="D38" s="39" t="inlineStr"/>
      <c r="E38" s="39" t="inlineStr"/>
      <c r="F38" s="39" t="inlineStr">
        <is>
          <t>Required (v4 weapon-arcane baseline) -&gt; Required (v4.2 weapon/exalted builds)</t>
        </is>
      </c>
      <c r="G38" s="39" t="inlineStr">
        <is>
          <t>Yes -&gt; Yes</t>
        </is>
      </c>
    </row>
    <row r="39">
      <c r="A39" s="39" t="inlineStr">
        <is>
          <t>Arcane</t>
        </is>
      </c>
      <c r="B39" s="39" t="inlineStr">
        <is>
          <t>Melee Crescendo</t>
        </is>
      </c>
      <c r="C39" s="39" t="inlineStr"/>
      <c r="D39" s="39" t="inlineStr"/>
      <c r="E39" s="39" t="inlineStr"/>
      <c r="F39" s="39" t="inlineStr">
        <is>
          <t>Required (v3 build list) -&gt; Required (v4.2 weapon/exalted builds)</t>
        </is>
      </c>
      <c r="G39" s="39" t="inlineStr">
        <is>
          <t>Yes -&gt; Yes</t>
        </is>
      </c>
    </row>
    <row r="40">
      <c r="A40" s="39" t="inlineStr">
        <is>
          <t>Arcane</t>
        </is>
      </c>
      <c r="B40" s="39" t="inlineStr">
        <is>
          <t>Melee Duplicate</t>
        </is>
      </c>
      <c r="C40" s="39" t="inlineStr"/>
      <c r="D40" s="39" t="inlineStr"/>
      <c r="E40" s="39" t="inlineStr"/>
      <c r="F40" s="39" t="inlineStr">
        <is>
          <t>Required (v4 weapon-arcane baseline) -&gt; Required (v4.2 weapon/exalted builds)</t>
        </is>
      </c>
      <c r="G40" s="39" t="inlineStr">
        <is>
          <t>Yes -&gt; Yes</t>
        </is>
      </c>
    </row>
    <row r="41">
      <c r="A41" s="39" t="inlineStr">
        <is>
          <t>Arcane</t>
        </is>
      </c>
      <c r="B41" s="39" t="inlineStr">
        <is>
          <t>Melee Influence</t>
        </is>
      </c>
      <c r="C41" s="39" t="inlineStr"/>
      <c r="D41" s="39" t="inlineStr"/>
      <c r="E41" s="39" t="inlineStr"/>
      <c r="F41" s="39" t="inlineStr">
        <is>
          <t>Required (v4 weapon-arcane baseline) -&gt; Required (v4.2 weapon/exalted builds)</t>
        </is>
      </c>
      <c r="G41" s="39" t="inlineStr">
        <is>
          <t>Yes -&gt; Yes</t>
        </is>
      </c>
    </row>
    <row r="42">
      <c r="A42" s="39" t="inlineStr">
        <is>
          <t>Arcane</t>
        </is>
      </c>
      <c r="B42" s="39" t="inlineStr">
        <is>
          <t>Molt Augmented</t>
        </is>
      </c>
      <c r="C42" s="39" t="inlineStr"/>
      <c r="D42" s="39" t="inlineStr"/>
      <c r="E42" s="39" t="inlineStr"/>
      <c r="F42" s="39" t="inlineStr">
        <is>
          <t>Required (v3 build list) -&gt; Required (v4.2 frame builds)</t>
        </is>
      </c>
      <c r="G42" s="39" t="inlineStr">
        <is>
          <t>Yes -&gt; Yes</t>
        </is>
      </c>
    </row>
    <row r="43">
      <c r="A43" s="39" t="inlineStr">
        <is>
          <t>Arcane</t>
        </is>
      </c>
      <c r="B43" s="39" t="inlineStr">
        <is>
          <t>Primary Deadhead</t>
        </is>
      </c>
      <c r="C43" s="39" t="inlineStr"/>
      <c r="D43" s="39" t="inlineStr"/>
      <c r="E43" s="39" t="inlineStr"/>
      <c r="F43" s="39" t="inlineStr">
        <is>
          <t>Required (v4 weapon-arcane baseline) -&gt; Required (v4.2 weapon/exalted builds)</t>
        </is>
      </c>
      <c r="G43" s="39" t="inlineStr">
        <is>
          <t>Yes -&gt; Yes</t>
        </is>
      </c>
    </row>
    <row r="44">
      <c r="A44" s="39" t="inlineStr">
        <is>
          <t>Arcane</t>
        </is>
      </c>
      <c r="B44" s="39" t="inlineStr">
        <is>
          <t>Primary Merciless</t>
        </is>
      </c>
      <c r="C44" s="39" t="inlineStr"/>
      <c r="D44" s="39" t="inlineStr"/>
      <c r="E44" s="39" t="inlineStr"/>
      <c r="F44" s="39" t="inlineStr">
        <is>
          <t>Required (v4 weapon-arcane baseline) -&gt; Required (v4.2 weapon/exalted builds)</t>
        </is>
      </c>
      <c r="G44" s="39" t="inlineStr">
        <is>
          <t>Yes -&gt; Yes</t>
        </is>
      </c>
    </row>
    <row r="45">
      <c r="A45" s="39" t="inlineStr">
        <is>
          <t>Arcane</t>
        </is>
      </c>
      <c r="B45" s="39" t="inlineStr">
        <is>
          <t>Secondary Deadhead</t>
        </is>
      </c>
      <c r="C45" s="39" t="inlineStr"/>
      <c r="D45" s="39" t="inlineStr"/>
      <c r="E45" s="39" t="inlineStr"/>
      <c r="F45" s="39" t="inlineStr">
        <is>
          <t>Required (v4 weapon-arcane baseline) -&gt; Required (v4.2 weapon/exalted builds)</t>
        </is>
      </c>
      <c r="G45" s="39" t="inlineStr">
        <is>
          <t>Yes -&gt; Yes</t>
        </is>
      </c>
    </row>
    <row r="46">
      <c r="A46" s="39" t="inlineStr">
        <is>
          <t>Arcane</t>
        </is>
      </c>
      <c r="B46" s="39" t="inlineStr">
        <is>
          <t>Secondary Merciless</t>
        </is>
      </c>
      <c r="C46" s="39" t="inlineStr"/>
      <c r="D46" s="39" t="inlineStr"/>
      <c r="E46" s="39" t="inlineStr"/>
      <c r="F46" s="39" t="inlineStr">
        <is>
          <t>Required (v4 weapon-arcane baseline) -&gt; Required (v4.2 weapon/exalted builds)</t>
        </is>
      </c>
      <c r="G46" s="39" t="inlineStr">
        <is>
          <t>Yes -&gt; Yes</t>
        </is>
      </c>
    </row>
    <row r="47">
      <c r="A47" s="39" t="inlineStr">
        <is>
          <t>NEW ACCOUNT-BOUND REQUIREMENTS</t>
        </is>
      </c>
      <c r="B47" s="39" t="inlineStr">
        <is>
          <t>Umbral Intensify / Umbral Vitality / Umbral Fiber (one copy each; The Sacrifice, extra copies 100,000 Simaris standing) - used by 58-68 builds simultaneously (mods are shared)</t>
        </is>
      </c>
      <c r="C47" s="39" t="inlineStr"/>
      <c r="D47" s="39" t="inlineStr"/>
      <c r="E47" s="39" t="inlineStr"/>
      <c r="F47" s="39" t="inlineStr"/>
      <c r="G47" s="39" t="n"/>
    </row>
    <row r="48">
      <c r="A48" s="39" t="inlineStr">
        <is>
          <t>NEW ACCOUNT-BOUND REQUIREMENTS</t>
        </is>
      </c>
      <c r="B48" s="39" t="inlineStr">
        <is>
          <t>Archon Shards: 330 positions (80 Tauforged, 250 normal) - v3 planned 230 incl. invalid "Primary Critical Chance" Crimson option</t>
        </is>
      </c>
      <c r="C48" s="39" t="inlineStr"/>
      <c r="D48" s="39" t="inlineStr"/>
      <c r="E48" s="39" t="inlineStr"/>
      <c r="F48" s="39" t="inlineStr"/>
      <c r="G48" s="39" t="n"/>
    </row>
    <row r="49">
      <c r="A49" s="39" t="inlineStr">
        <is>
          <t>NEW ACCOUNT-BOUND REQUIREMENTS</t>
        </is>
      </c>
      <c r="B49" s="39" t="inlineStr">
        <is>
          <t>All five Focus schools used (Madurai, Zenurik, Vazarin, Naramon, Unairu)</t>
        </is>
      </c>
      <c r="C49" s="39" t="inlineStr"/>
      <c r="D49" s="39" t="inlineStr"/>
      <c r="E49" s="39" t="inlineStr"/>
      <c r="F49" s="39" t="inlineStr"/>
      <c r="G49" s="39" t="n"/>
    </row>
    <row r="50">
      <c r="A50" s="39" t="inlineStr">
        <is>
          <t>NEW FARM REQUIREMENTS</t>
        </is>
      </c>
      <c r="B50" s="39" t="inlineStr">
        <is>
          <t>Helminth donors to subsume: base Rhino (Roar), base Grendel (Nourish), base Saryn (Molt); Rebuild Shields is a Helminth-native ability</t>
        </is>
      </c>
      <c r="C50" s="39" t="inlineStr"/>
      <c r="D50" s="39" t="inlineStr"/>
      <c r="E50" s="39" t="inlineStr"/>
      <c r="F50" s="39" t="inlineStr"/>
      <c r="G50" s="39" t="n"/>
    </row>
    <row r="51">
      <c r="A51" s="39" t="inlineStr">
        <is>
          <t>NEW FARM REQUIREMENTS</t>
        </is>
      </c>
      <c r="B51" s="39" t="inlineStr">
        <is>
          <t>Swift Deth (Dethcube precept) - no Warframe.Market listing</t>
        </is>
      </c>
      <c r="C51" s="39" t="inlineStr"/>
      <c r="D51" s="39" t="inlineStr"/>
      <c r="E51" s="39" t="inlineStr"/>
      <c r="F51" s="39" t="inlineStr"/>
      <c r="G51" s="39" t="n"/>
    </row>
    <row r="52">
      <c r="A52" s="39" t="inlineStr">
        <is>
          <t>NEW FARM REQUIREMENTS</t>
        </is>
      </c>
      <c r="B52" s="39" t="inlineStr">
        <is>
          <t>32 Incarnon Genesis adapters (Steel Path Circuit) - optional 120p each via Cavalero now in Optional Convenience</t>
        </is>
      </c>
      <c r="C52" s="39" t="inlineStr"/>
      <c r="D52" s="39" t="inlineStr"/>
      <c r="E52" s="39" t="inlineStr"/>
      <c r="F52" s="39" t="inlineStr"/>
      <c r="G52" s="39" t="n"/>
    </row>
    <row r="53">
      <c r="A53" s="39" t="inlineStr">
        <is>
          <t>NEW PLATINUM REQUIREMENTS</t>
        </is>
      </c>
      <c r="B53" s="39" t="inlineStr">
        <is>
          <t>Arcane set re-derived from builds: +1,258p realistic added</t>
        </is>
      </c>
      <c r="C53" s="39" t="inlineStr"/>
      <c r="D53" s="39" t="inlineStr"/>
      <c r="E53" s="39" t="inlineStr"/>
      <c r="F53" s="39" t="inlineStr"/>
      <c r="G53" s="39" t="n"/>
    </row>
    <row r="54">
      <c r="A54" s="39" t="inlineStr">
        <is>
          <t>PLATINUM REMOVED</t>
        </is>
      </c>
      <c r="B54" s="39" t="inlineStr">
        <is>
          <t>Arcanes dropped: -951p; companions unassigned: -110p realistic</t>
        </is>
      </c>
      <c r="C54" s="39" t="inlineStr"/>
      <c r="D54" s="39" t="inlineStr"/>
      <c r="E54" s="39" t="inlineStr"/>
      <c r="F54" s="39" t="inlineStr"/>
      <c r="G54" s="39" t="n"/>
    </row>
    <row r="55">
      <c r="A55" s="39" t="inlineStr">
        <is>
          <t>PLAYER-TRADE TOTAL v4.1 (F/R/C)</t>
        </is>
      </c>
      <c r="B55" s="39" t="inlineStr"/>
      <c r="C55" s="39" t="n">
        <v>44356</v>
      </c>
      <c r="D55" s="39" t="n">
        <v>51906</v>
      </c>
      <c r="E55" s="39" t="n">
        <v>78001</v>
      </c>
      <c r="F55" s="39" t="n"/>
      <c r="G55" s="39" t="n"/>
    </row>
    <row r="56">
      <c r="A56" s="39" t="inlineStr">
        <is>
          <t>PLAYER-TRADE TOTAL v4.2 (F/R/C)</t>
        </is>
      </c>
      <c r="B56" s="39" t="inlineStr"/>
      <c r="C56" s="39" t="n">
        <v>44533</v>
      </c>
      <c r="D56" s="39" t="n">
        <v>52102</v>
      </c>
      <c r="E56" s="39" t="n">
        <v>78314</v>
      </c>
      <c r="F56" s="39" t="n"/>
      <c r="G56" s="39" t="n"/>
    </row>
    <row r="57">
      <c r="A57" s="39" t="inlineStr">
        <is>
          <t>DELTA</t>
        </is>
      </c>
      <c r="B57" s="39" t="inlineStr"/>
      <c r="C57" s="39" t="n">
        <v>177</v>
      </c>
      <c r="D57" s="39" t="n">
        <v>197</v>
      </c>
      <c r="E57" s="39" t="n">
        <v>313</v>
      </c>
      <c r="F57" s="39" t="n"/>
      <c r="G57" s="39" t="n"/>
    </row>
    <row r="58">
      <c r="A58" s="39" t="inlineStr">
        <is>
          <t>Infrastructure change</t>
        </is>
      </c>
      <c r="B58" s="39" t="inlineStr">
        <is>
          <t>Companion slots: v4.1 20 slots (120p gross / 60p net) -&gt; v4.2 12 slots (72p gross / 12p net); new optional Incarnon Genesis line 3,840p (32 x 120p)</t>
        </is>
      </c>
      <c r="C58" s="39" t="n"/>
      <c r="D58" s="39" t="n"/>
      <c r="E58" s="39" t="n"/>
      <c r="F58" s="39" t="n"/>
      <c r="G58" s="39" t="n"/>
    </row>
  </sheetData>
  <autoFilter ref="A1:G5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style="26" min="1" max="1"/>
    <col width="120" customWidth="1" style="26" min="2" max="2"/>
  </cols>
  <sheetData>
    <row r="1">
      <c r="A1" s="51" t="inlineStr">
        <is>
          <t>Frame / scope</t>
        </is>
      </c>
      <c r="B1" s="51" t="inlineStr">
        <is>
          <t>LIVE TEST REQUIRED / open item</t>
        </is>
      </c>
    </row>
    <row r="2">
      <c r="A2" s="39" t="inlineStr">
        <is>
          <t>Dante</t>
        </is>
      </c>
      <c r="B2" s="39" t="inlineStr">
        <is>
          <t>Light Verse replaced by Nourish: confirm Verse combos still reach Tragedy/Wordwarden via Dark Verse + Final Verse -&gt; LIVE TEST REQUIRED</t>
        </is>
      </c>
    </row>
    <row r="3">
      <c r="A3" s="39" t="inlineStr">
        <is>
          <t>Narin</t>
        </is>
      </c>
      <c r="B3" s="39" t="inlineStr">
        <is>
          <t>Hakchum replaced: Hakchum is a listed Ice source but Nurinarim cannot gain Ice during the dance; confirm Neote+Naraemagi alone sustain Ice -&gt; LIVE TEST REQUIRED</t>
        </is>
      </c>
    </row>
    <row r="4">
      <c r="A4" s="39" t="inlineStr">
        <is>
          <t>Sirius &amp; Orion</t>
        </is>
      </c>
      <c r="B4" s="39" t="inlineStr">
        <is>
          <t>Helminth: only Primary Son can receive the cyst; confirm Coronal Ejection replacement -&gt; LIVE TEST REQUIRED</t>
        </is>
      </c>
    </row>
    <row r="5">
      <c r="A5" s="39" t="inlineStr">
        <is>
          <t>Sirius &amp; Orion</t>
        </is>
      </c>
      <c r="B5" s="39" t="inlineStr">
        <is>
          <t>Reactor: Orion is an Exalted Warframe; one Reactor assumed -&gt; LIVE TEST REQUIRED</t>
        </is>
      </c>
    </row>
    <row r="6">
      <c r="A6" s="39" t="inlineStr">
        <is>
          <t>Exalted melee weapons</t>
        </is>
      </c>
      <c r="B6" s="39" t="inlineStr">
        <is>
          <t>Melee Arcane slot availability on Exalted/pseudo-Exalted melee weapons is not documented; no melee Arcane assigned to them -&gt; LIVE TEST REQUIRED</t>
        </is>
      </c>
    </row>
    <row r="7">
      <c r="A7" s="39" t="inlineStr">
        <is>
          <t>Orion</t>
        </is>
      </c>
      <c r="B7" s="39" t="inlineStr">
        <is>
          <t>Whether Orion has independent Arcane/Archon Shard slots (separately moddable Exalted Warframe). Shards/Arcanes recorded on Sirius &amp; Orion only -&gt; LIVE TEST REQUIRED</t>
        </is>
      </c>
    </row>
    <row r="8">
      <c r="A8" s="39" t="inlineStr">
        <is>
          <t>Dante</t>
        </is>
      </c>
      <c r="B8" s="39" t="inlineStr">
        <is>
          <t>Noctua no-slot-replacement ruling: Noctua is an ability-summoned Exalted Secondary; Onos retained. Practical use (Noctua uptime) -&gt; LIVE TEST REQUIRED to confirm Onos is still used</t>
        </is>
      </c>
    </row>
  </sheetData>
  <autoFilter ref="A1:B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style="26" min="1" max="1"/>
    <col width="20" customWidth="1" style="26" min="2" max="2"/>
  </cols>
  <sheetData>
    <row r="1">
      <c r="A1" s="51" t="inlineStr">
        <is>
          <t>Test</t>
        </is>
      </c>
      <c r="B1" s="51" t="inlineStr">
        <is>
          <t>Result</t>
        </is>
      </c>
    </row>
    <row r="2">
      <c r="A2" s="39" t="inlineStr">
        <is>
          <t>Frames complete</t>
        </is>
      </c>
      <c r="B2" s="39" t="inlineStr">
        <is>
          <t>66 / 66</t>
        </is>
      </c>
    </row>
    <row r="3">
      <c r="A3" s="39" t="inlineStr">
        <is>
          <t>Helminth decisions</t>
        </is>
      </c>
      <c r="B3" s="39" t="inlineStr">
        <is>
          <t>66 / 66</t>
        </is>
      </c>
    </row>
    <row r="4">
      <c r="A4" s="39" t="inlineStr">
        <is>
          <t>Aura/Exilus</t>
        </is>
      </c>
      <c r="B4" s="39" t="inlineStr">
        <is>
          <t>66 / 66</t>
        </is>
      </c>
    </row>
    <row r="5">
      <c r="A5" s="39" t="inlineStr">
        <is>
          <t>Full mod configs</t>
        </is>
      </c>
      <c r="B5" s="39" t="inlineStr">
        <is>
          <t>66 / 66</t>
        </is>
      </c>
    </row>
    <row r="6">
      <c r="A6" s="39" t="inlineStr">
        <is>
          <t>Arcane pairs</t>
        </is>
      </c>
      <c r="B6" s="39" t="inlineStr">
        <is>
          <t>66 / 66</t>
        </is>
      </c>
    </row>
    <row r="7">
      <c r="A7" s="39" t="inlineStr">
        <is>
          <t>Archon Shards</t>
        </is>
      </c>
      <c r="B7" s="39" t="inlineStr">
        <is>
          <t>330 / 330</t>
        </is>
      </c>
    </row>
    <row r="8">
      <c r="A8" s="39" t="inlineStr">
        <is>
          <t>Focus Schools</t>
        </is>
      </c>
      <c r="B8" s="39" t="inlineStr">
        <is>
          <t>66 / 66</t>
        </is>
      </c>
    </row>
    <row r="9">
      <c r="A9" s="39" t="inlineStr">
        <is>
          <t>Companions</t>
        </is>
      </c>
      <c r="B9" s="39" t="inlineStr">
        <is>
          <t>66 / 66</t>
        </is>
      </c>
    </row>
    <row r="10">
      <c r="A10" s="39" t="inlineStr">
        <is>
          <t>Weapon configurations complete</t>
        </is>
      </c>
      <c r="B10" s="39" t="inlineStr">
        <is>
          <t>66 / 66</t>
        </is>
      </c>
    </row>
    <row r="11">
      <c r="A11" s="39" t="inlineStr">
        <is>
          <t>Exalted builds complete</t>
        </is>
      </c>
      <c r="B11" s="39" t="inlineStr">
        <is>
          <t>22 / 22</t>
        </is>
      </c>
    </row>
    <row r="12">
      <c r="A12" s="39" t="inlineStr">
        <is>
          <t>Incarnon configurations complete</t>
        </is>
      </c>
      <c r="B12" s="39" t="inlineStr">
        <is>
          <t>39 / 39</t>
        </is>
      </c>
    </row>
    <row r="13">
      <c r="A13" s="39" t="inlineStr">
        <is>
          <t>LIVE TEST REQUIRED count</t>
        </is>
      </c>
      <c r="B13" s="39" t="inlineStr">
        <is>
          <t>7</t>
        </is>
      </c>
    </row>
  </sheetData>
  <autoFilter ref="A1:B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style="26" min="1" max="1"/>
    <col width="40" customWidth="1" style="26" min="2" max="2"/>
    <col width="70" customWidth="1" style="26" min="3" max="3"/>
    <col width="55" customWidth="1" style="26" min="4" max="4"/>
    <col width="45" customWidth="1" style="26" min="5" max="5"/>
  </cols>
  <sheetData>
    <row r="1">
      <c r="A1" s="51" t="inlineStr">
        <is>
          <t>Area</t>
        </is>
      </c>
      <c r="B1" s="51" t="inlineStr">
        <is>
          <t>OLD ASSUMPTION</t>
        </is>
      </c>
      <c r="C1" s="51" t="inlineStr">
        <is>
          <t>CURRENT EVIDENCE</t>
        </is>
      </c>
      <c r="D1" s="51" t="inlineStr">
        <is>
          <t>CORRECTION</t>
        </is>
      </c>
      <c r="E1" s="51" t="inlineStr">
        <is>
          <t>DOWNSTREAM EFFECT</t>
        </is>
      </c>
    </row>
    <row r="2">
      <c r="A2" t="inlineStr">
        <is>
          <t>Roster</t>
        </is>
      </c>
      <c r="B2" t="inlineStr">
        <is>
          <t>Roster may contain new frames/Primes</t>
        </is>
      </c>
      <c r="C2" t="inlineStr">
        <is>
          <t>Live wiki data 2026-10-05: no new released frames or Primes since the 66-frame snapshot. Brysko is announced for the Tau update (Late 2026/Early 2027). Excalibur Umbra Prime is China-build only.</t>
        </is>
      </c>
      <c r="D2" t="inlineStr">
        <is>
          <t>Roster unchanged at 66 frames. Brysko goes on a watchlist.</t>
        </is>
      </c>
      <c r="E2" t="inlineStr">
        <is>
          <t>Frame counts unchanged.</t>
        </is>
      </c>
    </row>
    <row r="3">
      <c r="A3" t="inlineStr">
        <is>
          <t>Uriel</t>
        </is>
      </c>
      <c r="B3" t="inlineStr">
        <is>
          <t>Vinquibus Primary + Mios Melee</t>
        </is>
      </c>
      <c r="C3" t="inlineStr">
        <is>
          <t>Vinquibus wiki: "Equipping Vinquibus will occupy both primary and melee weapon slots."</t>
        </is>
      </c>
      <c r="D3" t="inlineStr">
        <is>
          <t>Uriel Melee = Vinquibus (Melee). Mios released.</t>
        </is>
      </c>
      <c r="E3" t="inlineStr">
        <is>
          <t>One fewer weapon, slot and catalyst. Mios reassigned to Nokko.</t>
        </is>
      </c>
    </row>
    <row r="4">
      <c r="A4" t="inlineStr">
        <is>
          <t>Dante</t>
        </is>
      </c>
      <c r="B4" t="inlineStr">
        <is>
          <t>Ruvox as Primary</t>
        </is>
      </c>
      <c r="C4" t="inlineStr">
        <is>
          <t>Weapon data: Ruvox is a Melee Fist and Dante's signature melee. Ekhein is also Melee.</t>
        </is>
      </c>
      <c r="D4" t="inlineStr">
        <is>
          <t>Phenmor / Onos / Ruvox. Ekhein dropped.</t>
        </is>
      </c>
      <c r="E4" t="inlineStr">
        <is>
          <t>Dante had no valid Primary and two Melees.</t>
        </is>
      </c>
    </row>
    <row r="5">
      <c r="A5" t="inlineStr">
        <is>
          <t>Hildryn</t>
        </is>
      </c>
      <c r="B5" t="inlineStr">
        <is>
          <t>Larkspur Prime as Primary</t>
        </is>
      </c>
      <c r="C5" t="inlineStr">
        <is>
          <t>Weapon data: Larkspur Prime Slot = Archgun.</t>
        </is>
      </c>
      <c r="D5" t="inlineStr">
        <is>
          <t>Gorgon Wraith takes Primary. Larkspur Prime becomes an Archgun signature extra (Archweapon slot).</t>
        </is>
      </c>
      <c r="E5" t="inlineStr">
        <is>
          <t>Adds one Primary weapon and one Genesis adapter.</t>
        </is>
      </c>
    </row>
    <row r="6">
      <c r="A6" t="inlineStr">
        <is>
          <t>Rhino</t>
        </is>
      </c>
      <c r="B6" t="inlineStr">
        <is>
          <t>Ankyros Prime Incarnon</t>
        </is>
      </c>
      <c r="C6" t="inlineStr">
        <is>
          <t>Incarnon page and weapon data: no Ankyros Incarnon exists.</t>
        </is>
      </c>
      <c r="D6" t="inlineStr">
        <is>
          <t>Ankyros Prime kept as an ordinary weapon. Incarnon flag removed.</t>
        </is>
      </c>
      <c r="E6" t="inlineStr">
        <is>
          <t>Removes one Genesis requirement.</t>
        </is>
      </c>
    </row>
    <row r="7">
      <c r="A7" t="inlineStr">
        <is>
          <t>Vauban</t>
        </is>
      </c>
      <c r="B7" t="inlineStr">
        <is>
          <t>Kulstar Incarnon</t>
        </is>
      </c>
      <c r="C7" t="inlineStr">
        <is>
          <t>Incarnon page and weapon data: no Kulstar Incarnon exists.</t>
        </is>
      </c>
      <c r="D7" t="inlineStr">
        <is>
          <t>Kulstar kept as an ordinary weapon. Incarnon flag removed.</t>
        </is>
      </c>
      <c r="E7" t="inlineStr">
        <is>
          <t>Removes one Genesis requirement.</t>
        </is>
      </c>
    </row>
    <row r="8">
      <c r="A8" t="inlineStr">
        <is>
          <t>Incarnon list</t>
        </is>
      </c>
      <c r="B8" t="inlineStr">
        <is>
          <t>20-item historical Incarnon list</t>
        </is>
      </c>
      <c r="C8" t="inlineStr">
        <is>
          <t>Allocated weapons with a live Incarnon now total 39: 32 need a Genesis adapter and 7 are innate (Innodem, Praedos, Ruvox, Phenmor, Onos, Felarx, Laetum). Sybaris Prime, Sicarus Prime and Okina Prime were already allocated but were not flagged.</t>
        </is>
      </c>
      <c r="D8" t="inlineStr">
        <is>
          <t>Incarnon list rebuilt from live data.</t>
        </is>
      </c>
      <c r="E8" t="inlineStr">
        <is>
          <t>Genesis adapters are farmable (Steel Path Circuit), not plat.</t>
        </is>
      </c>
    </row>
    <row r="9">
      <c r="A9" t="inlineStr">
        <is>
          <t>Styanax</t>
        </is>
      </c>
      <c r="B9" t="inlineStr">
        <is>
          <t>Afentis</t>
        </is>
      </c>
      <c r="C9" t="inlineStr">
        <is>
          <t>Afentis Prime is live (Update 43) with the same signature bonus.</t>
        </is>
      </c>
      <c r="D9" t="inlineStr">
        <is>
          <t>Afentis Prime.</t>
        </is>
      </c>
      <c r="E9" t="inlineStr">
        <is>
          <t>Afentis Prime Set priced instead of base Afentis.</t>
        </is>
      </c>
    </row>
    <row r="10">
      <c r="A10" t="inlineStr">
        <is>
          <t>Yareli / Koumei</t>
        </is>
      </c>
      <c r="B10" t="inlineStr">
        <is>
          <t>Koumei holds Kompressa, Yareli uses Ocucor</t>
        </is>
      </c>
      <c r="C10" t="inlineStr">
        <is>
          <t>Kompressa / Kompressa Prime are Yareli signatures (+30% Projectile Speed). Koumei has no claim.</t>
        </is>
      </c>
      <c r="D10" t="inlineStr">
        <is>
          <t>Yareli: Kompressa Prime. Koumei: Kunai. Ocucor goes to Nokko.</t>
        </is>
      </c>
      <c r="E10" t="inlineStr">
        <is>
          <t>Kompressa Prime Set priced.</t>
        </is>
      </c>
    </row>
    <row r="11">
      <c r="A11" t="inlineStr">
        <is>
          <t>Qorvex</t>
        </is>
      </c>
      <c r="B11" t="inlineStr">
        <is>
          <t>Felarx / Laetum / Quassus</t>
        </is>
      </c>
      <c r="C11" t="inlineStr">
        <is>
          <t>Quassus is Xaku's signature line. Laetum collides with Xaku. Qorvex's only signature is the Mandonel archgun. The passive is +3 Punch Through for any weapon.</t>
        </is>
      </c>
      <c r="D11" t="inlineStr">
        <is>
          <t>Felarx / Bronco Prime / Hate, plus Mandonel.</t>
        </is>
      </c>
      <c r="E11" t="inlineStr">
        <is>
          <t>Removes two collisions.</t>
        </is>
      </c>
    </row>
    <row r="12">
      <c r="A12" t="inlineStr">
        <is>
          <t>Narin</t>
        </is>
      </c>
      <c r="B12" t="inlineStr">
        <is>
          <t>Nurinarim LIVE TEST</t>
        </is>
      </c>
      <c r="C12" t="inlineStr">
        <is>
          <t>Ability page: a 20s sword-dance ability that drains Ice and scales on Ability Strength, with no weapon modding. Same doctrine class as the U38.5 cast-based conversions.</t>
        </is>
      </c>
      <c r="D12" t="inlineStr">
        <is>
          <t>No replacement. Ordinary Melee required: Prisma Skana.</t>
        </is>
      </c>
      <c r="E12" t="inlineStr">
        <is>
          <t>Adds one Melee.</t>
        </is>
      </c>
    </row>
    <row r="13">
      <c r="A13" t="inlineStr">
        <is>
          <t>Dante</t>
        </is>
      </c>
      <c r="B13" t="inlineStr">
        <is>
          <t>Noctua not addressed</t>
        </is>
      </c>
      <c r="C13" t="inlineStr">
        <is>
          <t>Weapon data: Noctua is an Exalted secondary (first ability).</t>
        </is>
      </c>
      <c r="D13" t="inlineStr">
        <is>
          <t>Treated like Jade's Glory: an additional Exalted that does not replace Onos.</t>
        </is>
      </c>
      <c r="E13" t="inlineStr">
        <is>
          <t>LIVE TEST if a different ruling is wanted.</t>
        </is>
      </c>
    </row>
    <row r="14">
      <c r="A14" t="inlineStr">
        <is>
          <t>Garuda</t>
        </is>
      </c>
      <c r="B14" t="inlineStr">
        <is>
          <t>Garuda Talons as Exalted</t>
        </is>
      </c>
      <c r="C14" t="inlineStr">
        <is>
          <t>Weapon data: Garuda Prime Talons is class Claws, used when no melee is equipped (passive). No slot or catalyst.</t>
        </is>
      </c>
      <c r="D14" t="inlineStr">
        <is>
          <t>Kept as practical Melee. Excluded from slot and catalyst counts.</t>
        </is>
      </c>
      <c r="E14" t="inlineStr">
        <is>
          <t>-</t>
        </is>
      </c>
    </row>
    <row r="15">
      <c r="A15" t="inlineStr">
        <is>
          <t>Protea</t>
        </is>
      </c>
      <c r="B15" t="inlineStr">
        <is>
          <t>Roar replaces Temporal Anchor while running Temporal Artillery</t>
        </is>
      </c>
      <c r="C15" t="inlineStr">
        <is>
          <t>Mod data: Temporal Artillery is a Blaze Artillery augment that only triggers "When Temporal Anchor is activated".</t>
        </is>
      </c>
      <c r="D15" t="inlineStr">
        <is>
          <t>INTERNALLY INVALID. Recommended: Roar over Grenade Fan, keeping Temporal Anchor + Temporal Artillery. Alternative: keep Roar on Anchor and drop Temporal Artillery.</t>
        </is>
      </c>
      <c r="E15" t="inlineStr">
        <is>
          <t>Build sheet must be edited in the v3 workbook (not available here).</t>
        </is>
      </c>
    </row>
    <row r="16">
      <c r="A16" t="inlineStr">
        <is>
          <t>Mesa</t>
        </is>
      </c>
      <c r="B16" t="inlineStr">
        <is>
          <t>Regulators credited as Melee</t>
        </is>
      </c>
      <c r="C16" t="inlineStr">
        <is>
          <t>Weapon data lists Regulators Prime as an Exalted Secondary.</t>
        </is>
      </c>
      <c r="D16" t="inlineStr">
        <is>
          <t>Project doctrine kept (Melee credit). Game-side slot noted.</t>
        </is>
      </c>
      <c r="E16" t="inlineStr">
        <is>
          <t>None.</t>
        </is>
      </c>
    </row>
    <row r="17">
      <c r="A17" t="inlineStr">
        <is>
          <t>Duplicates</t>
        </is>
      </c>
      <c r="B17" t="inlineStr">
        <is>
          <t>"Zero duplicates" after earlier cleanup</t>
        </is>
      </c>
      <c r="C17" t="inlineStr">
        <is>
          <t>Logical audit of 66x3 slots found exact duplicates Zakti Prime, Pyrana Prime and Laetum, plus a hidden Quassus/Quassus Prime signature conflict.</t>
        </is>
      </c>
      <c r="D17" t="inlineStr">
        <is>
          <t>All resolved (see Weapon Allocation). 0 exact duplicates.</t>
        </is>
      </c>
      <c r="E17" t="inlineStr">
        <is>
          <t>Variant-family pairs remain by design: Vectis/Vectis Prime, Trumna/Trumna Prime, Dual Keres/Prime, Epitaph/Prime, Cedo/Prime, Pyrana/Pyrana Prime, Ohma/Prisma Ohma.</t>
        </is>
      </c>
    </row>
    <row r="18">
      <c r="A18" t="inlineStr">
        <is>
          <t>Zephyr</t>
        </is>
      </c>
      <c r="B18" t="inlineStr">
        <is>
          <t>Catchmoon</t>
        </is>
      </c>
      <c r="C18" t="inlineStr">
        <is>
          <t>Catchmoon is a Kitgun chamber and not tradeable.</t>
        </is>
      </c>
      <c r="D18" t="inlineStr">
        <is>
          <t>Kept. Classified as farmable (Solaris United).</t>
        </is>
      </c>
      <c r="E18" t="inlineStr">
        <is>
          <t>No plat.</t>
        </is>
      </c>
    </row>
    <row r="19">
      <c r="A19" t="inlineStr">
        <is>
          <t>Temple / Mirage / S&amp;O</t>
        </is>
      </c>
      <c r="B19" t="inlineStr">
        <is>
          <t>Signature weapons left unallocated (Riot-848, Akzani, Pride/Wrath)</t>
        </is>
      </c>
      <c r="C19" t="inlineStr">
        <is>
          <t>Live equipment reconciliation: each is the frame's own signature weapon for an uncontested, non-Exalted slot.</t>
        </is>
      </c>
      <c r="D19" t="inlineStr">
        <is>
          <t>v4.1: Temple Riot-848, Mirage Akzani, S&amp;O Pride (+ Wrath optional). Athodai, Prisma Twin Gremlins and Caustacyst released.</t>
        </is>
      </c>
      <c r="E19" t="inlineStr">
        <is>
          <t>Weapon count unchanged; Akzani, Pride and Riot-848 procurement routes differ.</t>
        </is>
      </c>
    </row>
    <row r="20">
      <c r="A20" t="inlineStr">
        <is>
          <t>Mods sheet</t>
        </is>
      </c>
      <c r="B20" t="inlineStr">
        <is>
          <t>Savage Silence listed as Ash augment</t>
        </is>
      </c>
      <c r="C20" t="inlineStr">
        <is>
          <t>Mod data: Savage Silence is the Banshee Silence augment.</t>
        </is>
      </c>
      <c r="D20" t="inlineStr">
        <is>
          <t>Reassigned to Banshee.</t>
        </is>
      </c>
      <c r="E20" t="inlineStr">
        <is>
          <t>None (collection buys every mod).</t>
        </is>
      </c>
    </row>
    <row r="21">
      <c r="A21" t="inlineStr">
        <is>
          <t>Mods sheet</t>
        </is>
      </c>
      <c r="B21" t="inlineStr">
        <is>
          <t>Repelling Bastille (Vauban)</t>
        </is>
      </c>
      <c r="C21" t="inlineStr">
        <is>
          <t>Mod data: no such mod exists live; the Bastille augment is Enduring Bastille.</t>
        </is>
      </c>
      <c r="D21" t="inlineStr">
        <is>
          <t>Replaced with Enduring Bastille.</t>
        </is>
      </c>
      <c r="E21" t="inlineStr">
        <is>
          <t>None (collection).</t>
        </is>
      </c>
    </row>
    <row r="22">
      <c r="A22" t="inlineStr">
        <is>
          <t>Archon Shards</t>
        </is>
      </c>
      <c r="B22" t="inlineStr">
        <is>
          <t>230 planned shards</t>
        </is>
      </c>
      <c r="C22" t="inlineStr">
        <is>
          <t>66 frames x 5 slots = 330.</t>
        </is>
      </c>
      <c r="D22" t="inlineStr">
        <is>
          <t>100 shards unplanned; flagged.</t>
        </is>
      </c>
      <c r="E22" t="inlineStr">
        <is>
          <t>Account-bound; no plat effect.</t>
        </is>
      </c>
    </row>
    <row r="23">
      <c r="A23" t="inlineStr">
        <is>
          <t>Companion slots</t>
        </is>
      </c>
      <c r="B23" t="inlineStr">
        <is>
          <t>7 pairs (14 slots) x 12p, zero free</t>
        </is>
      </c>
      <c r="C23" t="inlineStr">
        <is>
          <t>13 companions + 7 sentinel robotic weapons = 20 companion slots; 10 starter slots.</t>
        </is>
      </c>
      <c r="D23" t="inlineStr">
        <is>
          <t>Gross 10 pairs (120p); net 5 pairs (60p).</t>
        </is>
      </c>
      <c r="E23" t="inlineStr">
        <is>
          <t>Infrastructure recalculated.</t>
        </is>
      </c>
    </row>
    <row r="24">
      <c r="A24" t="inlineStr">
        <is>
          <t>Arcanes</t>
        </is>
      </c>
      <c r="B24" t="inlineStr">
        <is>
          <t>14 Warframe + Melee Crescendo only</t>
        </is>
      </c>
      <c r="C24" t="inlineStr">
        <is>
          <t>183 ordinary weapons have arcane slots but no weapon arcanes were specified.</t>
        </is>
      </c>
      <c r="D24" t="inlineStr">
        <is>
          <t>Added a v4 weapon-arcane baseline (11 Arcanes) as required.</t>
        </is>
      </c>
      <c r="E24" t="inlineStr">
        <is>
          <t>Required Arcane total increases.</t>
        </is>
      </c>
    </row>
    <row r="25">
      <c r="A25" t="inlineStr">
        <is>
          <t>Summary counts</t>
        </is>
      </c>
      <c r="B25" t="inlineStr">
        <is>
          <t>Adversary targets 11 / Incarnon 18 / weapons 176</t>
        </is>
      </c>
      <c r="C25" t="inlineStr">
        <is>
          <t>Normalized: adversary 12, Incarnon 39 (32 Genesis + 7 innate), 183 slot weapons + 14 Exalted/intrinsic.</t>
        </is>
      </c>
      <c r="D25" t="inlineStr">
        <is>
          <t>Summary updated.</t>
        </is>
      </c>
      <c r="E25" t="inlineStr">
        <is>
          <t>Slots, Catalysts, Elemental Vice (12) recalculated.</t>
        </is>
      </c>
    </row>
  </sheetData>
  <autoFilter ref="A1:E2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style="26" min="1" max="1"/>
    <col width="34" customWidth="1" style="26" min="2" max="2"/>
    <col width="10" customWidth="1" style="26" min="3" max="3"/>
    <col width="10" customWidth="1" style="26" min="4" max="4"/>
    <col width="36" customWidth="1" style="26" min="5" max="5"/>
    <col width="22" customWidth="1" style="26" min="6" max="6"/>
    <col width="34" customWidth="1" style="26" min="7" max="7"/>
    <col width="46" customWidth="1" style="26" min="8" max="8"/>
    <col width="80" customWidth="1" style="26" min="9" max="9"/>
  </cols>
  <sheetData>
    <row r="1">
      <c r="A1" s="51" t="inlineStr">
        <is>
          <t>LIVE ITEM</t>
        </is>
      </c>
      <c r="B1" s="51" t="inlineStr">
        <is>
          <t>Release (frames in that update)</t>
        </is>
      </c>
      <c r="C1" s="51" t="inlineStr">
        <is>
          <t>Slot</t>
        </is>
      </c>
      <c r="D1" s="51" t="inlineStr">
        <is>
          <t>Class</t>
        </is>
      </c>
      <c r="E1" s="51" t="inlineStr">
        <is>
          <t>Association</t>
        </is>
      </c>
      <c r="F1" s="51" t="inlineStr">
        <is>
          <t>PRESENT IN WORKBOOK?</t>
        </is>
      </c>
      <c r="G1" s="51" t="inlineStr">
        <is>
          <t>CURRENT ASSIGNMENT</t>
        </is>
      </c>
      <c r="H1" s="51" t="inlineStr">
        <is>
          <t>PROCUREMENT ROW?</t>
        </is>
      </c>
      <c r="I1" s="51" t="inlineStr">
        <is>
          <t>ACTION REQUIRED</t>
        </is>
      </c>
    </row>
    <row r="2">
      <c r="A2" t="inlineStr">
        <is>
          <t>Larkspur Prime</t>
        </is>
      </c>
      <c r="B2" t="inlineStr">
        <is>
          <t>U32.3.6</t>
        </is>
      </c>
      <c r="C2" t="inlineStr">
        <is>
          <t>Archgun</t>
        </is>
      </c>
      <c r="D2" t="inlineStr">
        <is>
          <t>Archgun</t>
        </is>
      </c>
      <c r="E2" t="inlineStr">
        <is>
          <t>Signature - Hildryn Prime</t>
        </is>
      </c>
      <c r="F2" t="inlineStr">
        <is>
          <t>YES</t>
        </is>
      </c>
      <c r="G2" t="inlineStr">
        <is>
          <t>Hildryn Prime (Archgun)</t>
        </is>
      </c>
      <c r="H2" t="inlineStr">
        <is>
          <t>Archgun: OK R=70p</t>
        </is>
      </c>
      <c r="I2" t="inlineStr">
        <is>
          <t>None</t>
        </is>
      </c>
    </row>
    <row r="3">
      <c r="A3" t="inlineStr">
        <is>
          <t>Azothane</t>
        </is>
      </c>
      <c r="B3" t="inlineStr">
        <is>
          <t>U33</t>
        </is>
      </c>
      <c r="C3" t="inlineStr">
        <is>
          <t>Melee</t>
        </is>
      </c>
      <c r="D3" t="inlineStr">
        <is>
          <t>Two-Handed Nikana</t>
        </is>
      </c>
      <c r="E3" t="inlineStr">
        <is>
          <t>No frame association</t>
        </is>
      </c>
      <c r="F3" t="inlineStr">
        <is>
          <t>YES</t>
        </is>
      </c>
      <c r="G3" t="inlineStr">
        <is>
          <t>Kullervo Melee</t>
        </is>
      </c>
      <c r="H3" t="inlineStr">
        <is>
          <t>Weapon: FARMABLE / ACCOUNT-BOUND</t>
        </is>
      </c>
      <c r="I3" t="inlineStr">
        <is>
          <t>None</t>
        </is>
      </c>
    </row>
    <row r="4">
      <c r="A4" t="inlineStr">
        <is>
          <t>Cinta</t>
        </is>
      </c>
      <c r="B4" t="inlineStr">
        <is>
          <t>U33</t>
        </is>
      </c>
      <c r="C4" t="inlineStr">
        <is>
          <t>Primary</t>
        </is>
      </c>
      <c r="D4" t="inlineStr">
        <is>
          <t>Bow</t>
        </is>
      </c>
      <c r="E4" t="inlineStr">
        <is>
          <t>No frame association</t>
        </is>
      </c>
      <c r="F4" t="inlineStr">
        <is>
          <t>YES</t>
        </is>
      </c>
      <c r="G4" t="inlineStr">
        <is>
          <t>Dagath Primary</t>
        </is>
      </c>
      <c r="H4" t="inlineStr">
        <is>
          <t>Weapon: OK R=100p</t>
        </is>
      </c>
      <c r="I4" t="inlineStr">
        <is>
          <t>None</t>
        </is>
      </c>
    </row>
    <row r="5">
      <c r="A5" t="inlineStr">
        <is>
          <t>Edun</t>
        </is>
      </c>
      <c r="B5" t="inlineStr">
        <is>
          <t>U33</t>
        </is>
      </c>
      <c r="C5" t="inlineStr">
        <is>
          <t>Melee</t>
        </is>
      </c>
      <c r="D5" t="inlineStr">
        <is>
          <t>Polearm</t>
        </is>
      </c>
      <c r="E5" t="inlineStr">
        <is>
          <t>No frame association</t>
        </is>
      </c>
      <c r="F5" t="inlineStr">
        <is>
          <t>NO</t>
        </is>
      </c>
      <c r="G5" t="inlineStr">
        <is>
          <t>-</t>
        </is>
      </c>
      <c r="H5" t="inlineStr">
        <is>
          <t>NO</t>
        </is>
      </c>
      <c r="I5" t="inlineStr">
        <is>
          <t>Not required (no frame association; MR/collection only)</t>
        </is>
      </c>
    </row>
    <row r="6">
      <c r="A6" t="inlineStr">
        <is>
          <t>Sampotes</t>
        </is>
      </c>
      <c r="B6" t="inlineStr">
        <is>
          <t>U33</t>
        </is>
      </c>
      <c r="C6" t="inlineStr">
        <is>
          <t>Melee</t>
        </is>
      </c>
      <c r="D6" t="inlineStr">
        <is>
          <t>Hammer</t>
        </is>
      </c>
      <c r="E6" t="inlineStr">
        <is>
          <t>No frame association</t>
        </is>
      </c>
      <c r="F6" t="inlineStr">
        <is>
          <t>NO</t>
        </is>
      </c>
      <c r="G6" t="inlineStr">
        <is>
          <t>-</t>
        </is>
      </c>
      <c r="H6" t="inlineStr">
        <is>
          <t>NO</t>
        </is>
      </c>
      <c r="I6" t="inlineStr">
        <is>
          <t>Not required (no frame association; MR/collection only)</t>
        </is>
      </c>
    </row>
    <row r="7">
      <c r="A7" t="inlineStr">
        <is>
          <t>Sun &amp; Moon</t>
        </is>
      </c>
      <c r="B7" t="inlineStr">
        <is>
          <t>U33</t>
        </is>
      </c>
      <c r="C7" t="inlineStr">
        <is>
          <t>Melee</t>
        </is>
      </c>
      <c r="D7" t="inlineStr">
        <is>
          <t>Dual Nikanas</t>
        </is>
      </c>
      <c r="E7" t="inlineStr">
        <is>
          <t>No frame association</t>
        </is>
      </c>
      <c r="F7" t="inlineStr">
        <is>
          <t>NO</t>
        </is>
      </c>
      <c r="G7" t="inlineStr">
        <is>
          <t>-</t>
        </is>
      </c>
      <c r="H7" t="inlineStr">
        <is>
          <t>NO</t>
        </is>
      </c>
      <c r="I7" t="inlineStr">
        <is>
          <t>Not required (no frame association; MR/collection only)</t>
        </is>
      </c>
    </row>
    <row r="8">
      <c r="A8" t="inlineStr">
        <is>
          <t>Syam</t>
        </is>
      </c>
      <c r="B8" t="inlineStr">
        <is>
          <t>U33</t>
        </is>
      </c>
      <c r="C8" t="inlineStr">
        <is>
          <t>Melee</t>
        </is>
      </c>
      <c r="D8" t="inlineStr">
        <is>
          <t>Nikana</t>
        </is>
      </c>
      <c r="E8" t="inlineStr">
        <is>
          <t>No frame association</t>
        </is>
      </c>
      <c r="F8" t="inlineStr">
        <is>
          <t>NO</t>
        </is>
      </c>
      <c r="G8" t="inlineStr">
        <is>
          <t>-</t>
        </is>
      </c>
      <c r="H8" t="inlineStr">
        <is>
          <t>NO</t>
        </is>
      </c>
      <c r="I8" t="inlineStr">
        <is>
          <t>Not required (no frame association; MR/collection only)</t>
        </is>
      </c>
    </row>
    <row r="9">
      <c r="A9" t="inlineStr">
        <is>
          <t>Prisma Lenz</t>
        </is>
      </c>
      <c r="B9" t="inlineStr">
        <is>
          <t>U33.0.10</t>
        </is>
      </c>
      <c r="C9" t="inlineStr">
        <is>
          <t>Primary</t>
        </is>
      </c>
      <c r="D9" t="inlineStr">
        <is>
          <t>Bow</t>
        </is>
      </c>
      <c r="E9" t="inlineStr">
        <is>
          <t>No frame association</t>
        </is>
      </c>
      <c r="F9" t="inlineStr">
        <is>
          <t>NO</t>
        </is>
      </c>
      <c r="G9" t="inlineStr">
        <is>
          <t>-</t>
        </is>
      </c>
      <c r="H9" t="inlineStr">
        <is>
          <t>NO</t>
        </is>
      </c>
      <c r="I9" t="inlineStr">
        <is>
          <t>Not required (no frame association; MR/collection only)</t>
        </is>
      </c>
    </row>
    <row r="10">
      <c r="A10" t="inlineStr">
        <is>
          <t>Rauta</t>
        </is>
      </c>
      <c r="B10" t="inlineStr">
        <is>
          <t>U33.5 (Kullervo)</t>
        </is>
      </c>
      <c r="C10" t="inlineStr">
        <is>
          <t>Primary</t>
        </is>
      </c>
      <c r="D10" t="inlineStr">
        <is>
          <t>Shotgun</t>
        </is>
      </c>
      <c r="E10" t="inlineStr">
        <is>
          <t>Signature - Kullervo</t>
        </is>
      </c>
      <c r="F10" t="inlineStr">
        <is>
          <t>YES</t>
        </is>
      </c>
      <c r="G10" t="inlineStr">
        <is>
          <t>Kullervo Primary</t>
        </is>
      </c>
      <c r="H10" t="inlineStr">
        <is>
          <t>Weapon: OK R=45p</t>
        </is>
      </c>
      <c r="I10" t="inlineStr">
        <is>
          <t>None</t>
        </is>
      </c>
    </row>
    <row r="11">
      <c r="A11" t="inlineStr">
        <is>
          <t>Argo &amp; Vel</t>
        </is>
      </c>
      <c r="B11" t="inlineStr">
        <is>
          <t>U33.6 (Wisp Prime)</t>
        </is>
      </c>
      <c r="C11" t="inlineStr">
        <is>
          <t>Melee</t>
        </is>
      </c>
      <c r="D11" t="inlineStr">
        <is>
          <t>Sword and Shield</t>
        </is>
      </c>
      <c r="E11" t="inlineStr">
        <is>
          <t>No frame association</t>
        </is>
      </c>
      <c r="F11" t="inlineStr">
        <is>
          <t>NO</t>
        </is>
      </c>
      <c r="G11" t="inlineStr">
        <is>
          <t>-</t>
        </is>
      </c>
      <c r="H11" t="inlineStr">
        <is>
          <t>NO</t>
        </is>
      </c>
      <c r="I11" t="inlineStr">
        <is>
          <t>Not required (no frame association; MR/collection only)</t>
        </is>
      </c>
    </row>
    <row r="12">
      <c r="A12" t="inlineStr">
        <is>
          <t>Fulmin Prime</t>
        </is>
      </c>
      <c r="B12" t="inlineStr">
        <is>
          <t>U33.6 (Wisp Prime)</t>
        </is>
      </c>
      <c r="C12" t="inlineStr">
        <is>
          <t>Primary</t>
        </is>
      </c>
      <c r="D12" t="inlineStr">
        <is>
          <t>Rifle</t>
        </is>
      </c>
      <c r="E12" t="inlineStr">
        <is>
          <t>Signature - Wisp Prime</t>
        </is>
      </c>
      <c r="F12" t="inlineStr">
        <is>
          <t>YES</t>
        </is>
      </c>
      <c r="G12" t="inlineStr">
        <is>
          <t>Wisp Prime Primary</t>
        </is>
      </c>
      <c r="H12" t="inlineStr">
        <is>
          <t>Weapon: OK R=40p</t>
        </is>
      </c>
      <c r="I12" t="inlineStr">
        <is>
          <t>None</t>
        </is>
      </c>
    </row>
    <row r="13">
      <c r="A13" t="inlineStr">
        <is>
          <t>Gunsen Prime</t>
        </is>
      </c>
      <c r="B13" t="inlineStr">
        <is>
          <t>U33.6 (Wisp Prime)</t>
        </is>
      </c>
      <c r="C13" t="inlineStr">
        <is>
          <t>Melee</t>
        </is>
      </c>
      <c r="D13" t="inlineStr">
        <is>
          <t>Warfan</t>
        </is>
      </c>
      <c r="E13" t="inlineStr">
        <is>
          <t>Prime Access co-release: Wisp Prime</t>
        </is>
      </c>
      <c r="F13" t="inlineStr">
        <is>
          <t>YES</t>
        </is>
      </c>
      <c r="G13" t="inlineStr">
        <is>
          <t>Nova Prime Melee</t>
        </is>
      </c>
      <c r="H13" t="inlineStr">
        <is>
          <t>Weapon: OK R=65p</t>
        </is>
      </c>
      <c r="I13" t="inlineStr">
        <is>
          <t>None</t>
        </is>
      </c>
    </row>
    <row r="14">
      <c r="A14" t="inlineStr">
        <is>
          <t>Prisma Ohma</t>
        </is>
      </c>
      <c r="B14" t="inlineStr">
        <is>
          <t>U33.6.3</t>
        </is>
      </c>
      <c r="C14" t="inlineStr">
        <is>
          <t>Melee</t>
        </is>
      </c>
      <c r="D14" t="inlineStr">
        <is>
          <t>Tonfa</t>
        </is>
      </c>
      <c r="E14" t="inlineStr">
        <is>
          <t>No frame association</t>
        </is>
      </c>
      <c r="F14" t="inlineStr">
        <is>
          <t>YES</t>
        </is>
      </c>
      <c r="G14" t="inlineStr">
        <is>
          <t>Temple Melee</t>
        </is>
      </c>
      <c r="H14" t="inlineStr">
        <is>
          <t>Weapon: OK R=60p</t>
        </is>
      </c>
      <c r="I14" t="inlineStr">
        <is>
          <t>None</t>
        </is>
      </c>
    </row>
    <row r="15">
      <c r="A15" t="inlineStr">
        <is>
          <t>Gotva Prime</t>
        </is>
      </c>
      <c r="B15" t="inlineStr">
        <is>
          <t>U33.6.6</t>
        </is>
      </c>
      <c r="C15" t="inlineStr">
        <is>
          <t>Primary</t>
        </is>
      </c>
      <c r="D15" t="inlineStr">
        <is>
          <t>Rifle</t>
        </is>
      </c>
      <c r="E15" t="inlineStr">
        <is>
          <t>No frame association</t>
        </is>
      </c>
      <c r="F15" t="inlineStr">
        <is>
          <t>NO</t>
        </is>
      </c>
      <c r="G15" t="inlineStr">
        <is>
          <t>-</t>
        </is>
      </c>
      <c r="H15" t="inlineStr">
        <is>
          <t>NO</t>
        </is>
      </c>
      <c r="I15" t="inlineStr">
        <is>
          <t>Not required (no frame association; MR/collection only)</t>
        </is>
      </c>
    </row>
    <row r="16">
      <c r="A16" t="inlineStr">
        <is>
          <t>Dorrclave</t>
        </is>
      </c>
      <c r="B16" t="inlineStr">
        <is>
          <t>U34 (Dagath, Grendel Prime)</t>
        </is>
      </c>
      <c r="C16" t="inlineStr">
        <is>
          <t>Melee</t>
        </is>
      </c>
      <c r="D16" t="inlineStr">
        <is>
          <t>Blade and Whip</t>
        </is>
      </c>
      <c r="E16" t="inlineStr">
        <is>
          <t>Signature - Dagath</t>
        </is>
      </c>
      <c r="F16" t="inlineStr">
        <is>
          <t>YES</t>
        </is>
      </c>
      <c r="G16" t="inlineStr">
        <is>
          <t>Dagath Melee</t>
        </is>
      </c>
      <c r="H16" t="inlineStr">
        <is>
          <t>Weapon: FARMABLE / ACCOUNT-BOUND</t>
        </is>
      </c>
      <c r="I16" t="inlineStr">
        <is>
          <t>None</t>
        </is>
      </c>
    </row>
    <row r="17">
      <c r="A17" t="inlineStr">
        <is>
          <t>Masseter Prime</t>
        </is>
      </c>
      <c r="B17" t="inlineStr">
        <is>
          <t>U34 (Dagath, Grendel Prime)</t>
        </is>
      </c>
      <c r="C17" t="inlineStr">
        <is>
          <t>Melee</t>
        </is>
      </c>
      <c r="D17" t="inlineStr">
        <is>
          <t>Heavy Blade</t>
        </is>
      </c>
      <c r="E17" t="inlineStr">
        <is>
          <t>Signature - Grendel Prime</t>
        </is>
      </c>
      <c r="F17" t="inlineStr">
        <is>
          <t>YES</t>
        </is>
      </c>
      <c r="G17" t="inlineStr">
        <is>
          <t>Grendel Prime Melee</t>
        </is>
      </c>
      <c r="H17" t="inlineStr">
        <is>
          <t>Weapon: OK R=25p</t>
        </is>
      </c>
      <c r="I17" t="inlineStr">
        <is>
          <t>None</t>
        </is>
      </c>
    </row>
    <row r="18">
      <c r="A18" t="inlineStr">
        <is>
          <t>Zylok Prime</t>
        </is>
      </c>
      <c r="B18" t="inlineStr">
        <is>
          <t>U34 (Dagath, Grendel Prime)</t>
        </is>
      </c>
      <c r="C18" t="inlineStr">
        <is>
          <t>Secondary</t>
        </is>
      </c>
      <c r="D18" t="inlineStr">
        <is>
          <t>Pistol</t>
        </is>
      </c>
      <c r="E18" t="inlineStr">
        <is>
          <t>Prime Access co-release: Grendel Prime</t>
        </is>
      </c>
      <c r="F18" t="inlineStr">
        <is>
          <t>YES</t>
        </is>
      </c>
      <c r="G18" t="inlineStr">
        <is>
          <t>Dagath Secondary</t>
        </is>
      </c>
      <c r="H18" t="inlineStr">
        <is>
          <t>Weapon: OK R=25p</t>
        </is>
      </c>
      <c r="I18" t="inlineStr">
        <is>
          <t>None</t>
        </is>
      </c>
    </row>
    <row r="19">
      <c r="A19" t="inlineStr">
        <is>
          <t>Ekhein</t>
        </is>
      </c>
      <c r="B19" t="inlineStr">
        <is>
          <t>U35 (Qorvex)</t>
        </is>
      </c>
      <c r="C19" t="inlineStr">
        <is>
          <t>Melee</t>
        </is>
      </c>
      <c r="D19" t="inlineStr">
        <is>
          <t>Hammer</t>
        </is>
      </c>
      <c r="E19" t="inlineStr">
        <is>
          <t>No frame association</t>
        </is>
      </c>
      <c r="F19" t="inlineStr">
        <is>
          <t>NO</t>
        </is>
      </c>
      <c r="G19" t="inlineStr">
        <is>
          <t>-</t>
        </is>
      </c>
      <c r="H19" t="inlineStr">
        <is>
          <t>NO</t>
        </is>
      </c>
      <c r="I19" t="inlineStr">
        <is>
          <t>Not required (no frame association; MR/collection only)</t>
        </is>
      </c>
    </row>
    <row r="20">
      <c r="A20" t="inlineStr">
        <is>
          <t>Grimoire</t>
        </is>
      </c>
      <c r="B20" t="inlineStr">
        <is>
          <t>U35 (Qorvex)</t>
        </is>
      </c>
      <c r="C20" t="inlineStr">
        <is>
          <t>Secondary</t>
        </is>
      </c>
      <c r="D20" t="inlineStr">
        <is>
          <t>Tome</t>
        </is>
      </c>
      <c r="E20" t="inlineStr">
        <is>
          <t>No frame association</t>
        </is>
      </c>
      <c r="F20" t="inlineStr">
        <is>
          <t>YES</t>
        </is>
      </c>
      <c r="G20" t="inlineStr">
        <is>
          <t>Voruna Prime Secondary</t>
        </is>
      </c>
      <c r="H20" t="inlineStr">
        <is>
          <t>Weapon: FARMABLE / ACCOUNT-BOUND</t>
        </is>
      </c>
      <c r="I20" t="inlineStr">
        <is>
          <t>None</t>
        </is>
      </c>
    </row>
    <row r="21">
      <c r="A21" t="inlineStr">
        <is>
          <t>Mandonel</t>
        </is>
      </c>
      <c r="B21" t="inlineStr">
        <is>
          <t>U35 (Qorvex)</t>
        </is>
      </c>
      <c r="C21" t="inlineStr">
        <is>
          <t>Archgun</t>
        </is>
      </c>
      <c r="D21" t="inlineStr">
        <is>
          <t>Archgun</t>
        </is>
      </c>
      <c r="E21" t="inlineStr">
        <is>
          <t>Signature - Qorvex</t>
        </is>
      </c>
      <c r="F21" t="inlineStr">
        <is>
          <t>YES</t>
        </is>
      </c>
      <c r="G21" t="inlineStr">
        <is>
          <t>Qorvex (Archgun)</t>
        </is>
      </c>
      <c r="H21" t="inlineStr">
        <is>
          <t>Archgun: OK R=20p</t>
        </is>
      </c>
      <c r="I21" t="inlineStr">
        <is>
          <t>None</t>
        </is>
      </c>
    </row>
    <row r="22">
      <c r="A22" t="inlineStr">
        <is>
          <t>Mandonel (Atmosphere)</t>
        </is>
      </c>
      <c r="B22" t="inlineStr">
        <is>
          <t>U35 (Qorvex)</t>
        </is>
      </c>
      <c r="C22" t="inlineStr">
        <is>
          <t>Archgun (Atmosphere)</t>
        </is>
      </c>
      <c r="D22" t="inlineStr">
        <is>
          <t>Shotgun</t>
        </is>
      </c>
      <c r="E22" t="inlineStr">
        <is>
          <t>No frame association</t>
        </is>
      </c>
      <c r="F22" t="inlineStr">
        <is>
          <t>YES (mode)</t>
        </is>
      </c>
      <c r="G22" t="inlineStr">
        <is>
          <t>-</t>
        </is>
      </c>
      <c r="H22" t="inlineStr">
        <is>
          <t>NO</t>
        </is>
      </c>
      <c r="I22" t="inlineStr">
        <is>
          <t>None - atmospheric mode of Mandonel (same item)</t>
        </is>
      </c>
    </row>
    <row r="23">
      <c r="A23" t="inlineStr">
        <is>
          <t>Acceltra Prime</t>
        </is>
      </c>
      <c r="B23" t="inlineStr">
        <is>
          <t>U35.0.9 (Gauss Prime)</t>
        </is>
      </c>
      <c r="C23" t="inlineStr">
        <is>
          <t>Primary</t>
        </is>
      </c>
      <c r="D23" t="inlineStr">
        <is>
          <t>Rifle</t>
        </is>
      </c>
      <c r="E23" t="inlineStr">
        <is>
          <t>Signature - Gauss Prime</t>
        </is>
      </c>
      <c r="F23" t="inlineStr">
        <is>
          <t>YES</t>
        </is>
      </c>
      <c r="G23" t="inlineStr">
        <is>
          <t>Gauss Prime Primary</t>
        </is>
      </c>
      <c r="H23" t="inlineStr">
        <is>
          <t>Weapon: OK R=44p</t>
        </is>
      </c>
      <c r="I23" t="inlineStr">
        <is>
          <t>None</t>
        </is>
      </c>
    </row>
    <row r="24">
      <c r="A24" t="inlineStr">
        <is>
          <t>Akarius Prime</t>
        </is>
      </c>
      <c r="B24" t="inlineStr">
        <is>
          <t>U35.0.9 (Gauss Prime)</t>
        </is>
      </c>
      <c r="C24" t="inlineStr">
        <is>
          <t>Secondary</t>
        </is>
      </c>
      <c r="D24" t="inlineStr">
        <is>
          <t>Dual Pistols</t>
        </is>
      </c>
      <c r="E24" t="inlineStr">
        <is>
          <t>Signature - Gauss Prime</t>
        </is>
      </c>
      <c r="F24" t="inlineStr">
        <is>
          <t>YES</t>
        </is>
      </c>
      <c r="G24" t="inlineStr">
        <is>
          <t>Gauss Prime Secondary</t>
        </is>
      </c>
      <c r="H24" t="inlineStr">
        <is>
          <t>Weapon: OK R=90p</t>
        </is>
      </c>
      <c r="I24" t="inlineStr">
        <is>
          <t>None</t>
        </is>
      </c>
    </row>
    <row r="25">
      <c r="A25" t="inlineStr">
        <is>
          <t>Dex Nikana</t>
        </is>
      </c>
      <c r="B25" t="inlineStr">
        <is>
          <t>U35.5 (Dante)</t>
        </is>
      </c>
      <c r="C25" t="inlineStr">
        <is>
          <t>Melee</t>
        </is>
      </c>
      <c r="D25" t="inlineStr">
        <is>
          <t>Nikana</t>
        </is>
      </c>
      <c r="E25" t="inlineStr">
        <is>
          <t>No frame association</t>
        </is>
      </c>
      <c r="F25" t="inlineStr">
        <is>
          <t>NO</t>
        </is>
      </c>
      <c r="G25" t="inlineStr">
        <is>
          <t>-</t>
        </is>
      </c>
      <c r="H25" t="inlineStr">
        <is>
          <t>NO</t>
        </is>
      </c>
      <c r="I25" t="inlineStr">
        <is>
          <t>Not required (no frame association; MR/collection only)</t>
        </is>
      </c>
    </row>
    <row r="26">
      <c r="A26" t="inlineStr">
        <is>
          <t>Noctua</t>
        </is>
      </c>
      <c r="B26" t="inlineStr">
        <is>
          <t>U35.5 (Dante)</t>
        </is>
      </c>
      <c r="C26" t="inlineStr">
        <is>
          <t>Secondary</t>
        </is>
      </c>
      <c r="D26" t="inlineStr">
        <is>
          <t>Exalted Weapon</t>
        </is>
      </c>
      <c r="E26" t="inlineStr">
        <is>
          <t>Exalted - Dante</t>
        </is>
      </c>
      <c r="F26" t="inlineStr">
        <is>
          <t>YES</t>
        </is>
      </c>
      <c r="G26" t="inlineStr">
        <is>
          <t>Dante (Additional (no slot replacement))</t>
        </is>
      </c>
      <c r="H26" t="inlineStr">
        <is>
          <t>Exalted / Intrinsic: INCLUDED WITH FRAME</t>
        </is>
      </c>
      <c r="I26" t="inlineStr">
        <is>
          <t>None</t>
        </is>
      </c>
    </row>
    <row r="27">
      <c r="A27" t="inlineStr">
        <is>
          <t>Onos</t>
        </is>
      </c>
      <c r="B27" t="inlineStr">
        <is>
          <t>U35.5 (Dante)</t>
        </is>
      </c>
      <c r="C27" t="inlineStr">
        <is>
          <t>Secondary</t>
        </is>
      </c>
      <c r="D27" t="inlineStr">
        <is>
          <t>Pistol</t>
        </is>
      </c>
      <c r="E27" t="inlineStr">
        <is>
          <t>Incarnon weapon</t>
        </is>
      </c>
      <c r="F27" t="inlineStr">
        <is>
          <t>YES</t>
        </is>
      </c>
      <c r="G27" t="inlineStr">
        <is>
          <t>Dante Secondary</t>
        </is>
      </c>
      <c r="H27" t="inlineStr">
        <is>
          <t>Weapon: FARMABLE / ACCOUNT-BOUND</t>
        </is>
      </c>
      <c r="I27" t="inlineStr">
        <is>
          <t>None</t>
        </is>
      </c>
    </row>
    <row r="28">
      <c r="A28" t="inlineStr">
        <is>
          <t>Ruvox</t>
        </is>
      </c>
      <c r="B28" t="inlineStr">
        <is>
          <t>U35.5 (Dante)</t>
        </is>
      </c>
      <c r="C28" t="inlineStr">
        <is>
          <t>Melee</t>
        </is>
      </c>
      <c r="D28" t="inlineStr">
        <is>
          <t>Fist</t>
        </is>
      </c>
      <c r="E28" t="inlineStr">
        <is>
          <t>Signature - Dante</t>
        </is>
      </c>
      <c r="F28" t="inlineStr">
        <is>
          <t>YES</t>
        </is>
      </c>
      <c r="G28" t="inlineStr">
        <is>
          <t>Dante Melee</t>
        </is>
      </c>
      <c r="H28" t="inlineStr">
        <is>
          <t>Weapon: FARMABLE / ACCOUNT-BOUND</t>
        </is>
      </c>
      <c r="I28" t="inlineStr">
        <is>
          <t>None</t>
        </is>
      </c>
    </row>
    <row r="29">
      <c r="A29" t="inlineStr">
        <is>
          <t>Okina Prime</t>
        </is>
      </c>
      <c r="B29" t="inlineStr">
        <is>
          <t>U35.5.9 (Protea Prime)</t>
        </is>
      </c>
      <c r="C29" t="inlineStr">
        <is>
          <t>Melee</t>
        </is>
      </c>
      <c r="D29" t="inlineStr">
        <is>
          <t>Dual Daggers</t>
        </is>
      </c>
      <c r="E29" t="inlineStr">
        <is>
          <t>Prime Access co-release: Protea Prime</t>
        </is>
      </c>
      <c r="F29" t="inlineStr">
        <is>
          <t>YES</t>
        </is>
      </c>
      <c r="G29" t="inlineStr">
        <is>
          <t>Protea Prime Melee</t>
        </is>
      </c>
      <c r="H29" t="inlineStr">
        <is>
          <t>Weapon: OK R=50p</t>
        </is>
      </c>
      <c r="I29" t="inlineStr">
        <is>
          <t>None</t>
        </is>
      </c>
    </row>
    <row r="30">
      <c r="A30" t="inlineStr">
        <is>
          <t>Velox Prime</t>
        </is>
      </c>
      <c r="B30" t="inlineStr">
        <is>
          <t>U35.5.9 (Protea Prime)</t>
        </is>
      </c>
      <c r="C30" t="inlineStr">
        <is>
          <t>Secondary</t>
        </is>
      </c>
      <c r="D30" t="inlineStr">
        <is>
          <t>Pistol</t>
        </is>
      </c>
      <c r="E30" t="inlineStr">
        <is>
          <t>Signature - Protea Prime</t>
        </is>
      </c>
      <c r="F30" t="inlineStr">
        <is>
          <t>YES</t>
        </is>
      </c>
      <c r="G30" t="inlineStr">
        <is>
          <t>Protea Prime Secondary</t>
        </is>
      </c>
      <c r="H30" t="inlineStr">
        <is>
          <t>Weapon: OK R=15p</t>
        </is>
      </c>
      <c r="I30" t="inlineStr">
        <is>
          <t>None</t>
        </is>
      </c>
    </row>
    <row r="31">
      <c r="A31" t="inlineStr">
        <is>
          <t>Kuva Sobek</t>
        </is>
      </c>
      <c r="B31" t="inlineStr">
        <is>
          <t>U35.6</t>
        </is>
      </c>
      <c r="C31" t="inlineStr">
        <is>
          <t>Primary</t>
        </is>
      </c>
      <c r="D31" t="inlineStr">
        <is>
          <t>Shotgun</t>
        </is>
      </c>
      <c r="E31" t="inlineStr">
        <is>
          <t>Adversary variant</t>
        </is>
      </c>
      <c r="F31" t="inlineStr">
        <is>
          <t>YES</t>
        </is>
      </c>
      <c r="G31" t="inlineStr">
        <is>
          <t>Hydroid Prime Primary</t>
        </is>
      </c>
      <c r="H31" t="inlineStr">
        <is>
          <t>Adversary Weapon: OK - target element, &gt;=58% valence R=300p</t>
        </is>
      </c>
      <c r="I31" t="inlineStr">
        <is>
          <t>None</t>
        </is>
      </c>
    </row>
    <row r="32">
      <c r="A32" t="inlineStr">
        <is>
          <t>Tenet Glaxion</t>
        </is>
      </c>
      <c r="B32" t="inlineStr">
        <is>
          <t>U35.6</t>
        </is>
      </c>
      <c r="C32" t="inlineStr">
        <is>
          <t>Primary</t>
        </is>
      </c>
      <c r="D32" t="inlineStr">
        <is>
          <t>Rifle</t>
        </is>
      </c>
      <c r="E32" t="inlineStr">
        <is>
          <t>Adversary variant</t>
        </is>
      </c>
      <c r="F32" t="inlineStr">
        <is>
          <t>NO</t>
        </is>
      </c>
      <c r="G32" t="inlineStr">
        <is>
          <t>-</t>
        </is>
      </c>
      <c r="H32" t="inlineStr">
        <is>
          <t>NO</t>
        </is>
      </c>
      <c r="I32" t="inlineStr">
        <is>
          <t>Optional upgrade only (Glaxion family: Frost Prime Primary)</t>
        </is>
      </c>
    </row>
    <row r="33">
      <c r="A33" t="inlineStr">
        <is>
          <t>Cantare</t>
        </is>
      </c>
      <c r="B33" t="inlineStr">
        <is>
          <t>U36 (Jade)</t>
        </is>
      </c>
      <c r="C33" t="inlineStr">
        <is>
          <t>Secondary</t>
        </is>
      </c>
      <c r="D33" t="inlineStr">
        <is>
          <t>Thrown</t>
        </is>
      </c>
      <c r="E33" t="inlineStr">
        <is>
          <t>Signature - Jade</t>
        </is>
      </c>
      <c r="F33" t="inlineStr">
        <is>
          <t>YES</t>
        </is>
      </c>
      <c r="G33" t="inlineStr">
        <is>
          <t>Jade Secondary</t>
        </is>
      </c>
      <c r="H33" t="inlineStr">
        <is>
          <t>Weapon: FARMABLE / ACCOUNT-BOUND</t>
        </is>
      </c>
      <c r="I33" t="inlineStr">
        <is>
          <t>None</t>
        </is>
      </c>
    </row>
    <row r="34">
      <c r="A34" t="inlineStr">
        <is>
          <t>Evensong</t>
        </is>
      </c>
      <c r="B34" t="inlineStr">
        <is>
          <t>U36 (Jade)</t>
        </is>
      </c>
      <c r="C34" t="inlineStr">
        <is>
          <t>Primary</t>
        </is>
      </c>
      <c r="D34" t="inlineStr">
        <is>
          <t>Bow</t>
        </is>
      </c>
      <c r="E34" t="inlineStr">
        <is>
          <t>Signature - Jade</t>
        </is>
      </c>
      <c r="F34" t="inlineStr">
        <is>
          <t>YES</t>
        </is>
      </c>
      <c r="G34" t="inlineStr">
        <is>
          <t>Jade Primary</t>
        </is>
      </c>
      <c r="H34" t="inlineStr">
        <is>
          <t>Weapon: FARMABLE / ACCOUNT-BOUND</t>
        </is>
      </c>
      <c r="I34" t="inlineStr">
        <is>
          <t>None</t>
        </is>
      </c>
    </row>
    <row r="35">
      <c r="A35" t="inlineStr">
        <is>
          <t>Glory</t>
        </is>
      </c>
      <c r="B35" t="inlineStr">
        <is>
          <t>U36 (Jade)</t>
        </is>
      </c>
      <c r="C35" t="inlineStr">
        <is>
          <t>Secondary</t>
        </is>
      </c>
      <c r="D35" t="inlineStr">
        <is>
          <t>Exalted Weapon</t>
        </is>
      </c>
      <c r="E35" t="inlineStr">
        <is>
          <t>Exalted - Jade</t>
        </is>
      </c>
      <c r="F35" t="inlineStr">
        <is>
          <t>YES</t>
        </is>
      </c>
      <c r="G35" t="inlineStr">
        <is>
          <t>Jade (Additional (no slot replacement))</t>
        </is>
      </c>
      <c r="H35" t="inlineStr">
        <is>
          <t>Exalted / Intrinsic: INCLUDED WITH FRAME</t>
        </is>
      </c>
      <c r="I35" t="inlineStr">
        <is>
          <t>None</t>
        </is>
      </c>
    </row>
    <row r="36">
      <c r="A36" t="inlineStr">
        <is>
          <t>Harmony</t>
        </is>
      </c>
      <c r="B36" t="inlineStr">
        <is>
          <t>U36 (Jade)</t>
        </is>
      </c>
      <c r="C36" t="inlineStr">
        <is>
          <t>Melee</t>
        </is>
      </c>
      <c r="D36" t="inlineStr">
        <is>
          <t>Scythe</t>
        </is>
      </c>
      <c r="E36" t="inlineStr">
        <is>
          <t>Signature - Jade</t>
        </is>
      </c>
      <c r="F36" t="inlineStr">
        <is>
          <t>YES</t>
        </is>
      </c>
      <c r="G36" t="inlineStr">
        <is>
          <t>Jade Melee</t>
        </is>
      </c>
      <c r="H36" t="inlineStr">
        <is>
          <t>Weapon: FARMABLE / ACCOUNT-BOUND</t>
        </is>
      </c>
      <c r="I36" t="inlineStr">
        <is>
          <t>None</t>
        </is>
      </c>
    </row>
    <row r="37">
      <c r="A37" t="inlineStr">
        <is>
          <t>AX-52</t>
        </is>
      </c>
      <c r="B37" t="inlineStr">
        <is>
          <t>U36.0.5</t>
        </is>
      </c>
      <c r="C37" t="inlineStr">
        <is>
          <t>Primary</t>
        </is>
      </c>
      <c r="D37" t="inlineStr">
        <is>
          <t>Rifle</t>
        </is>
      </c>
      <c r="E37" t="inlineStr">
        <is>
          <t>No frame association</t>
        </is>
      </c>
      <c r="F37" t="inlineStr">
        <is>
          <t>NO</t>
        </is>
      </c>
      <c r="G37" t="inlineStr">
        <is>
          <t>-</t>
        </is>
      </c>
      <c r="H37" t="inlineStr">
        <is>
          <t>NO</t>
        </is>
      </c>
      <c r="I37" t="inlineStr">
        <is>
          <t>Not required (no frame association; MR/collection only)</t>
        </is>
      </c>
    </row>
    <row r="38">
      <c r="A38" t="inlineStr">
        <is>
          <t>Akmagnus Prime</t>
        </is>
      </c>
      <c r="B38" t="inlineStr">
        <is>
          <t>U36.0.7</t>
        </is>
      </c>
      <c r="C38" t="inlineStr">
        <is>
          <t>Secondary</t>
        </is>
      </c>
      <c r="D38" t="inlineStr">
        <is>
          <t>Dual Pistols</t>
        </is>
      </c>
      <c r="E38" t="inlineStr">
        <is>
          <t>No frame association</t>
        </is>
      </c>
      <c r="F38" t="inlineStr">
        <is>
          <t>NO</t>
        </is>
      </c>
      <c r="G38" t="inlineStr">
        <is>
          <t>-</t>
        </is>
      </c>
      <c r="H38" t="inlineStr">
        <is>
          <t>NO</t>
        </is>
      </c>
      <c r="I38" t="inlineStr">
        <is>
          <t>Not required (no frame association; MR/collection only)</t>
        </is>
      </c>
    </row>
    <row r="39">
      <c r="A39" t="inlineStr">
        <is>
          <t>Lob Blobs</t>
        </is>
      </c>
      <c r="B39" t="inlineStr">
        <is>
          <t>U36.0.7</t>
        </is>
      </c>
      <c r="C39" t="inlineStr">
        <is>
          <t>Unique</t>
        </is>
      </c>
      <c r="D39" t="inlineStr">
        <is>
          <t>Unique</t>
        </is>
      </c>
      <c r="E39" t="inlineStr">
        <is>
          <t>No frame association</t>
        </is>
      </c>
      <c r="F39" t="inlineStr">
        <is>
          <t>NO</t>
        </is>
      </c>
      <c r="G39" t="inlineStr">
        <is>
          <t>-</t>
        </is>
      </c>
      <c r="H39" t="inlineStr">
        <is>
          <t>NO</t>
        </is>
      </c>
      <c r="I39" t="inlineStr">
        <is>
          <t>Not required (no frame association; MR/collection only)</t>
        </is>
      </c>
    </row>
    <row r="40">
      <c r="A40" t="inlineStr">
        <is>
          <t>Epitaph Prime</t>
        </is>
      </c>
      <c r="B40" t="inlineStr">
        <is>
          <t>U36.1 (Sevagoth Prime)</t>
        </is>
      </c>
      <c r="C40" t="inlineStr">
        <is>
          <t>Secondary</t>
        </is>
      </c>
      <c r="D40" t="inlineStr">
        <is>
          <t>Pistol</t>
        </is>
      </c>
      <c r="E40" t="inlineStr">
        <is>
          <t>Signature - Sevagoth Prime</t>
        </is>
      </c>
      <c r="F40" t="inlineStr">
        <is>
          <t>YES</t>
        </is>
      </c>
      <c r="G40" t="inlineStr">
        <is>
          <t>Sevagoth Prime Secondary</t>
        </is>
      </c>
      <c r="H40" t="inlineStr">
        <is>
          <t>Weapon: OK R=25p</t>
        </is>
      </c>
      <c r="I40" t="inlineStr">
        <is>
          <t>None</t>
        </is>
      </c>
    </row>
    <row r="41">
      <c r="A41" t="inlineStr">
        <is>
          <t>Shadow Claws Prime</t>
        </is>
      </c>
      <c r="B41" t="inlineStr">
        <is>
          <t>U36.1 (Sevagoth Prime)</t>
        </is>
      </c>
      <c r="C41" t="inlineStr">
        <is>
          <t>Melee</t>
        </is>
      </c>
      <c r="D41" t="inlineStr">
        <is>
          <t>Exalted Weapon</t>
        </is>
      </c>
      <c r="E41" t="inlineStr">
        <is>
          <t>Exalted - Sevagoth's Shadow Prime</t>
        </is>
      </c>
      <c r="F41" t="inlineStr">
        <is>
          <t>YES</t>
        </is>
      </c>
      <c r="G41" t="inlineStr">
        <is>
          <t>Sevagoth Prime Melee</t>
        </is>
      </c>
      <c r="H41" t="inlineStr">
        <is>
          <t>Exalted / Intrinsic: INCLUDED WITH FRAME</t>
        </is>
      </c>
      <c r="I41" t="inlineStr">
        <is>
          <t>None</t>
        </is>
      </c>
    </row>
    <row r="42">
      <c r="A42" t="inlineStr">
        <is>
          <t>Verglas Prime</t>
        </is>
      </c>
      <c r="B42" t="inlineStr">
        <is>
          <t>U36.1 (Sevagoth Prime)</t>
        </is>
      </c>
      <c r="C42" t="inlineStr">
        <is>
          <t>Robotic</t>
        </is>
      </c>
      <c r="D42" t="inlineStr">
        <is>
          <t>Rifle</t>
        </is>
      </c>
      <c r="E42" t="inlineStr">
        <is>
          <t>Sentinel weapon</t>
        </is>
      </c>
      <c r="F42" t="inlineStr">
        <is>
          <t>YES</t>
        </is>
      </c>
      <c r="G42" t="inlineStr">
        <is>
          <t>Nautilus Prime (Robotic)</t>
        </is>
      </c>
      <c r="H42" t="inlineStr">
        <is>
          <t>Companion Weapon: INCLUDED WITH COMPANION</t>
        </is>
      </c>
      <c r="I42" t="inlineStr">
        <is>
          <t>None</t>
        </is>
      </c>
    </row>
    <row r="43">
      <c r="A43" t="inlineStr">
        <is>
          <t>Adarza Claws</t>
        </is>
      </c>
      <c r="B43" t="inlineStr">
        <is>
          <t>U37 (Koumei)</t>
        </is>
      </c>
      <c r="C43" t="inlineStr">
        <is>
          <t>Beast</t>
        </is>
      </c>
      <c r="D43" t="inlineStr">
        <is>
          <t>Claws (Beast)</t>
        </is>
      </c>
      <c r="E43" t="inlineStr">
        <is>
          <t>Beast companion natural weapon</t>
        </is>
      </c>
      <c r="F43" t="inlineStr">
        <is>
          <t>NO</t>
        </is>
      </c>
      <c r="G43" t="inlineStr">
        <is>
          <t>-</t>
        </is>
      </c>
      <c r="H43" t="inlineStr">
        <is>
          <t>NO</t>
        </is>
      </c>
      <c r="I43" t="inlineStr">
        <is>
          <t>None - built into beast companion, no slot/procurement</t>
        </is>
      </c>
    </row>
    <row r="44">
      <c r="A44" t="inlineStr">
        <is>
          <t>Amanata</t>
        </is>
      </c>
      <c r="B44" t="inlineStr">
        <is>
          <t>U37 (Koumei)</t>
        </is>
      </c>
      <c r="C44" t="inlineStr">
        <is>
          <t>Melee</t>
        </is>
      </c>
      <c r="D44" t="inlineStr">
        <is>
          <t>Polearm</t>
        </is>
      </c>
      <c r="E44" t="inlineStr">
        <is>
          <t>Signature - Koumei</t>
        </is>
      </c>
      <c r="F44" t="inlineStr">
        <is>
          <t>YES</t>
        </is>
      </c>
      <c r="G44" t="inlineStr">
        <is>
          <t>Koumei Melee</t>
        </is>
      </c>
      <c r="H44" t="inlineStr">
        <is>
          <t>Weapon: FARMABLE / ACCOUNT-BOUND</t>
        </is>
      </c>
      <c r="I44" t="inlineStr">
        <is>
          <t>None</t>
        </is>
      </c>
    </row>
    <row r="45">
      <c r="A45" t="inlineStr">
        <is>
          <t>Chesa Claws</t>
        </is>
      </c>
      <c r="B45" t="inlineStr">
        <is>
          <t>U37 (Koumei)</t>
        </is>
      </c>
      <c r="C45" t="inlineStr">
        <is>
          <t>Beast</t>
        </is>
      </c>
      <c r="D45" t="inlineStr">
        <is>
          <t>Claws (Beast)</t>
        </is>
      </c>
      <c r="E45" t="inlineStr">
        <is>
          <t>Beast companion natural weapon</t>
        </is>
      </c>
      <c r="F45" t="inlineStr">
        <is>
          <t>NO</t>
        </is>
      </c>
      <c r="G45" t="inlineStr">
        <is>
          <t>-</t>
        </is>
      </c>
      <c r="H45" t="inlineStr">
        <is>
          <t>NO</t>
        </is>
      </c>
      <c r="I45" t="inlineStr">
        <is>
          <t>None - built into beast companion, no slot/procurement</t>
        </is>
      </c>
    </row>
    <row r="46">
      <c r="A46" t="inlineStr">
        <is>
          <t>Crescent Claws</t>
        </is>
      </c>
      <c r="B46" t="inlineStr">
        <is>
          <t>U37 (Koumei)</t>
        </is>
      </c>
      <c r="C46" t="inlineStr">
        <is>
          <t>Beast</t>
        </is>
      </c>
      <c r="D46" t="inlineStr">
        <is>
          <t>Claws (Beast)</t>
        </is>
      </c>
      <c r="E46" t="inlineStr">
        <is>
          <t>Beast companion natural weapon</t>
        </is>
      </c>
      <c r="F46" t="inlineStr">
        <is>
          <t>NO</t>
        </is>
      </c>
      <c r="G46" t="inlineStr">
        <is>
          <t>-</t>
        </is>
      </c>
      <c r="H46" t="inlineStr">
        <is>
          <t>NO</t>
        </is>
      </c>
      <c r="I46" t="inlineStr">
        <is>
          <t>None - built into beast companion, no slot/procurement</t>
        </is>
      </c>
    </row>
    <row r="47">
      <c r="A47" t="inlineStr">
        <is>
          <t>Helminth Claws</t>
        </is>
      </c>
      <c r="B47" t="inlineStr">
        <is>
          <t>U37 (Koumei)</t>
        </is>
      </c>
      <c r="C47" t="inlineStr">
        <is>
          <t>Beast</t>
        </is>
      </c>
      <c r="D47" t="inlineStr">
        <is>
          <t>Claws (Beast)</t>
        </is>
      </c>
      <c r="E47" t="inlineStr">
        <is>
          <t>Beast companion natural weapon</t>
        </is>
      </c>
      <c r="F47" t="inlineStr">
        <is>
          <t>NO</t>
        </is>
      </c>
      <c r="G47" t="inlineStr">
        <is>
          <t>-</t>
        </is>
      </c>
      <c r="H47" t="inlineStr">
        <is>
          <t>NO</t>
        </is>
      </c>
      <c r="I47" t="inlineStr">
        <is>
          <t>None - built into beast companion, no slot/procurement</t>
        </is>
      </c>
    </row>
    <row r="48">
      <c r="A48" t="inlineStr">
        <is>
          <t>Higasa</t>
        </is>
      </c>
      <c r="B48" t="inlineStr">
        <is>
          <t>U37 (Koumei)</t>
        </is>
      </c>
      <c r="C48" t="inlineStr">
        <is>
          <t>Primary</t>
        </is>
      </c>
      <c r="D48" t="inlineStr">
        <is>
          <t>Rifle</t>
        </is>
      </c>
      <c r="E48" t="inlineStr">
        <is>
          <t>Signature - Koumei</t>
        </is>
      </c>
      <c r="F48" t="inlineStr">
        <is>
          <t>YES</t>
        </is>
      </c>
      <c r="G48" t="inlineStr">
        <is>
          <t>Koumei Primary</t>
        </is>
      </c>
      <c r="H48" t="inlineStr">
        <is>
          <t>Weapon: FARMABLE / ACCOUNT-BOUND</t>
        </is>
      </c>
      <c r="I48" t="inlineStr">
        <is>
          <t>None</t>
        </is>
      </c>
    </row>
    <row r="49">
      <c r="A49" t="inlineStr">
        <is>
          <t>Huras Claws</t>
        </is>
      </c>
      <c r="B49" t="inlineStr">
        <is>
          <t>U37 (Koumei)</t>
        </is>
      </c>
      <c r="C49" t="inlineStr">
        <is>
          <t>Beast</t>
        </is>
      </c>
      <c r="D49" t="inlineStr">
        <is>
          <t>Claws (Beast)</t>
        </is>
      </c>
      <c r="E49" t="inlineStr">
        <is>
          <t>Beast companion natural weapon</t>
        </is>
      </c>
      <c r="F49" t="inlineStr">
        <is>
          <t>NO</t>
        </is>
      </c>
      <c r="G49" t="inlineStr">
        <is>
          <t>-</t>
        </is>
      </c>
      <c r="H49" t="inlineStr">
        <is>
          <t>NO</t>
        </is>
      </c>
      <c r="I49" t="inlineStr">
        <is>
          <t>None - built into beast companion, no slot/procurement</t>
        </is>
      </c>
    </row>
    <row r="50">
      <c r="A50" t="inlineStr">
        <is>
          <t>Medjay Claws</t>
        </is>
      </c>
      <c r="B50" t="inlineStr">
        <is>
          <t>U37 (Koumei)</t>
        </is>
      </c>
      <c r="C50" t="inlineStr">
        <is>
          <t>Beast</t>
        </is>
      </c>
      <c r="D50" t="inlineStr">
        <is>
          <t>Claws (Beast)</t>
        </is>
      </c>
      <c r="E50" t="inlineStr">
        <is>
          <t>Beast companion natural weapon</t>
        </is>
      </c>
      <c r="F50" t="inlineStr">
        <is>
          <t>NO</t>
        </is>
      </c>
      <c r="G50" t="inlineStr">
        <is>
          <t>-</t>
        </is>
      </c>
      <c r="H50" t="inlineStr">
        <is>
          <t>NO</t>
        </is>
      </c>
      <c r="I50" t="inlineStr">
        <is>
          <t>None - built into beast companion, no slot/procurement</t>
        </is>
      </c>
    </row>
    <row r="51">
      <c r="A51" t="inlineStr">
        <is>
          <t>Panzer Claws</t>
        </is>
      </c>
      <c r="B51" t="inlineStr">
        <is>
          <t>U37 (Koumei)</t>
        </is>
      </c>
      <c r="C51" t="inlineStr">
        <is>
          <t>Beast</t>
        </is>
      </c>
      <c r="D51" t="inlineStr">
        <is>
          <t>Claws (Beast)</t>
        </is>
      </c>
      <c r="E51" t="inlineStr">
        <is>
          <t>Beast companion natural weapon</t>
        </is>
      </c>
      <c r="F51" t="inlineStr">
        <is>
          <t>NO</t>
        </is>
      </c>
      <c r="G51" t="inlineStr">
        <is>
          <t>-</t>
        </is>
      </c>
      <c r="H51" t="inlineStr">
        <is>
          <t>NO</t>
        </is>
      </c>
      <c r="I51" t="inlineStr">
        <is>
          <t>None - built into beast companion, no slot/procurement</t>
        </is>
      </c>
    </row>
    <row r="52">
      <c r="A52" t="inlineStr">
        <is>
          <t>Pharaoh Claws</t>
        </is>
      </c>
      <c r="B52" t="inlineStr">
        <is>
          <t>U37 (Koumei)</t>
        </is>
      </c>
      <c r="C52" t="inlineStr">
        <is>
          <t>Beast</t>
        </is>
      </c>
      <c r="D52" t="inlineStr">
        <is>
          <t>Claws (Beast)</t>
        </is>
      </c>
      <c r="E52" t="inlineStr">
        <is>
          <t>Beast companion natural weapon</t>
        </is>
      </c>
      <c r="F52" t="inlineStr">
        <is>
          <t>NO</t>
        </is>
      </c>
      <c r="G52" t="inlineStr">
        <is>
          <t>-</t>
        </is>
      </c>
      <c r="H52" t="inlineStr">
        <is>
          <t>NO</t>
        </is>
      </c>
      <c r="I52" t="inlineStr">
        <is>
          <t>None - built into beast companion, no slot/procurement</t>
        </is>
      </c>
    </row>
    <row r="53">
      <c r="A53" t="inlineStr">
        <is>
          <t>Raksa Claws</t>
        </is>
      </c>
      <c r="B53" t="inlineStr">
        <is>
          <t>U37 (Koumei)</t>
        </is>
      </c>
      <c r="C53" t="inlineStr">
        <is>
          <t>Beast</t>
        </is>
      </c>
      <c r="D53" t="inlineStr">
        <is>
          <t>Claws (Beast)</t>
        </is>
      </c>
      <c r="E53" t="inlineStr">
        <is>
          <t>Beast companion natural weapon</t>
        </is>
      </c>
      <c r="F53" t="inlineStr">
        <is>
          <t>NO</t>
        </is>
      </c>
      <c r="G53" t="inlineStr">
        <is>
          <t>-</t>
        </is>
      </c>
      <c r="H53" t="inlineStr">
        <is>
          <t>NO</t>
        </is>
      </c>
      <c r="I53" t="inlineStr">
        <is>
          <t>None - built into beast companion, no slot/procurement</t>
        </is>
      </c>
    </row>
    <row r="54">
      <c r="A54" t="inlineStr">
        <is>
          <t>Sahasa Claws</t>
        </is>
      </c>
      <c r="B54" t="inlineStr">
        <is>
          <t>U37 (Koumei)</t>
        </is>
      </c>
      <c r="C54" t="inlineStr">
        <is>
          <t>Beast</t>
        </is>
      </c>
      <c r="D54" t="inlineStr">
        <is>
          <t>Claws (Beast)</t>
        </is>
      </c>
      <c r="E54" t="inlineStr">
        <is>
          <t>Beast companion natural weapon</t>
        </is>
      </c>
      <c r="F54" t="inlineStr">
        <is>
          <t>NO</t>
        </is>
      </c>
      <c r="G54" t="inlineStr">
        <is>
          <t>-</t>
        </is>
      </c>
      <c r="H54" t="inlineStr">
        <is>
          <t>NO</t>
        </is>
      </c>
      <c r="I54" t="inlineStr">
        <is>
          <t>None - built into beast companion, no slot/procurement</t>
        </is>
      </c>
    </row>
    <row r="55">
      <c r="A55" t="inlineStr">
        <is>
          <t>Sly Claws</t>
        </is>
      </c>
      <c r="B55" t="inlineStr">
        <is>
          <t>U37 (Koumei)</t>
        </is>
      </c>
      <c r="C55" t="inlineStr">
        <is>
          <t>Beast</t>
        </is>
      </c>
      <c r="D55" t="inlineStr">
        <is>
          <t>Claws (Beast)</t>
        </is>
      </c>
      <c r="E55" t="inlineStr">
        <is>
          <t>Beast companion natural weapon</t>
        </is>
      </c>
      <c r="F55" t="inlineStr">
        <is>
          <t>NO</t>
        </is>
      </c>
      <c r="G55" t="inlineStr">
        <is>
          <t>-</t>
        </is>
      </c>
      <c r="H55" t="inlineStr">
        <is>
          <t>NO</t>
        </is>
      </c>
      <c r="I55" t="inlineStr">
        <is>
          <t>None - built into beast companion, no slot/procurement</t>
        </is>
      </c>
    </row>
    <row r="56">
      <c r="A56" t="inlineStr">
        <is>
          <t>Smeeta Claws</t>
        </is>
      </c>
      <c r="B56" t="inlineStr">
        <is>
          <t>U37 (Koumei)</t>
        </is>
      </c>
      <c r="C56" t="inlineStr">
        <is>
          <t>Beast</t>
        </is>
      </c>
      <c r="D56" t="inlineStr">
        <is>
          <t>Claws (Beast)</t>
        </is>
      </c>
      <c r="E56" t="inlineStr">
        <is>
          <t>Beast companion natural weapon</t>
        </is>
      </c>
      <c r="F56" t="inlineStr">
        <is>
          <t>NO</t>
        </is>
      </c>
      <c r="G56" t="inlineStr">
        <is>
          <t>-</t>
        </is>
      </c>
      <c r="H56" t="inlineStr">
        <is>
          <t>NO</t>
        </is>
      </c>
      <c r="I56" t="inlineStr">
        <is>
          <t>None - built into beast companion, no slot/procurement</t>
        </is>
      </c>
    </row>
    <row r="57">
      <c r="A57" t="inlineStr">
        <is>
          <t>Sunika Claws</t>
        </is>
      </c>
      <c r="B57" t="inlineStr">
        <is>
          <t>U37 (Koumei)</t>
        </is>
      </c>
      <c r="C57" t="inlineStr">
        <is>
          <t>Beast</t>
        </is>
      </c>
      <c r="D57" t="inlineStr">
        <is>
          <t>Claws (Beast)</t>
        </is>
      </c>
      <c r="E57" t="inlineStr">
        <is>
          <t>Beast companion natural weapon</t>
        </is>
      </c>
      <c r="F57" t="inlineStr">
        <is>
          <t>NO</t>
        </is>
      </c>
      <c r="G57" t="inlineStr">
        <is>
          <t>-</t>
        </is>
      </c>
      <c r="H57" t="inlineStr">
        <is>
          <t>NO</t>
        </is>
      </c>
      <c r="I57" t="inlineStr">
        <is>
          <t>None - built into beast companion, no slot/procurement</t>
        </is>
      </c>
    </row>
    <row r="58">
      <c r="A58" t="inlineStr">
        <is>
          <t>Vasca Claws</t>
        </is>
      </c>
      <c r="B58" t="inlineStr">
        <is>
          <t>U37 (Koumei)</t>
        </is>
      </c>
      <c r="C58" t="inlineStr">
        <is>
          <t>Beast</t>
        </is>
      </c>
      <c r="D58" t="inlineStr">
        <is>
          <t>Claws (Beast)</t>
        </is>
      </c>
      <c r="E58" t="inlineStr">
        <is>
          <t>Beast companion natural weapon</t>
        </is>
      </c>
      <c r="F58" t="inlineStr">
        <is>
          <t>NO</t>
        </is>
      </c>
      <c r="G58" t="inlineStr">
        <is>
          <t>-</t>
        </is>
      </c>
      <c r="H58" t="inlineStr">
        <is>
          <t>NO</t>
        </is>
      </c>
      <c r="I58" t="inlineStr">
        <is>
          <t>None - built into beast companion, no slot/procurement</t>
        </is>
      </c>
    </row>
    <row r="59">
      <c r="A59" t="inlineStr">
        <is>
          <t>Venari Claws</t>
        </is>
      </c>
      <c r="B59" t="inlineStr">
        <is>
          <t>U37 (Koumei)</t>
        </is>
      </c>
      <c r="C59" t="inlineStr">
        <is>
          <t>Beast</t>
        </is>
      </c>
      <c r="D59" t="inlineStr">
        <is>
          <t>Claws (Beast)</t>
        </is>
      </c>
      <c r="E59" t="inlineStr">
        <is>
          <t>Beast companion natural weapon</t>
        </is>
      </c>
      <c r="F59" t="inlineStr">
        <is>
          <t>NO</t>
        </is>
      </c>
      <c r="G59" t="inlineStr">
        <is>
          <t>-</t>
        </is>
      </c>
      <c r="H59" t="inlineStr">
        <is>
          <t>NO</t>
        </is>
      </c>
      <c r="I59" t="inlineStr">
        <is>
          <t>None - built into beast companion, no slot/procurement</t>
        </is>
      </c>
    </row>
    <row r="60">
      <c r="A60" t="inlineStr">
        <is>
          <t>Venari Prime Claws</t>
        </is>
      </c>
      <c r="B60" t="inlineStr">
        <is>
          <t>U37 (Koumei)</t>
        </is>
      </c>
      <c r="C60" t="inlineStr">
        <is>
          <t>Beast</t>
        </is>
      </c>
      <c r="D60" t="inlineStr">
        <is>
          <t>Claws (Beast)</t>
        </is>
      </c>
      <c r="E60" t="inlineStr">
        <is>
          <t>Beast companion natural weapon</t>
        </is>
      </c>
      <c r="F60" t="inlineStr">
        <is>
          <t>NO</t>
        </is>
      </c>
      <c r="G60" t="inlineStr">
        <is>
          <t>-</t>
        </is>
      </c>
      <c r="H60" t="inlineStr">
        <is>
          <t>NO</t>
        </is>
      </c>
      <c r="I60" t="inlineStr">
        <is>
          <t>None - built into beast companion, no slot/procurement</t>
        </is>
      </c>
    </row>
    <row r="61">
      <c r="A61" t="inlineStr">
        <is>
          <t>Vizier Claws</t>
        </is>
      </c>
      <c r="B61" t="inlineStr">
        <is>
          <t>U37 (Koumei)</t>
        </is>
      </c>
      <c r="C61" t="inlineStr">
        <is>
          <t>Beast</t>
        </is>
      </c>
      <c r="D61" t="inlineStr">
        <is>
          <t>Claws (Beast)</t>
        </is>
      </c>
      <c r="E61" t="inlineStr">
        <is>
          <t>Beast companion natural weapon</t>
        </is>
      </c>
      <c r="F61" t="inlineStr">
        <is>
          <t>NO</t>
        </is>
      </c>
      <c r="G61" t="inlineStr">
        <is>
          <t>-</t>
        </is>
      </c>
      <c r="H61" t="inlineStr">
        <is>
          <t>NO</t>
        </is>
      </c>
      <c r="I61" t="inlineStr">
        <is>
          <t>None - built into beast companion, no slot/procurement</t>
        </is>
      </c>
    </row>
    <row r="62">
      <c r="A62" t="inlineStr">
        <is>
          <t>Quassus Prime</t>
        </is>
      </c>
      <c r="B62" t="inlineStr">
        <is>
          <t>U37.0.9 (Xaku Prime)</t>
        </is>
      </c>
      <c r="C62" t="inlineStr">
        <is>
          <t>Melee</t>
        </is>
      </c>
      <c r="D62" t="inlineStr">
        <is>
          <t>Warfan</t>
        </is>
      </c>
      <c r="E62" t="inlineStr">
        <is>
          <t>Signature - Xaku Prime</t>
        </is>
      </c>
      <c r="F62" t="inlineStr">
        <is>
          <t>YES</t>
        </is>
      </c>
      <c r="G62" t="inlineStr">
        <is>
          <t>Xaku Prime Melee</t>
        </is>
      </c>
      <c r="H62" t="inlineStr">
        <is>
          <t>Weapon: OK R=30p</t>
        </is>
      </c>
      <c r="I62" t="inlineStr">
        <is>
          <t>None</t>
        </is>
      </c>
    </row>
    <row r="63">
      <c r="A63" t="inlineStr">
        <is>
          <t>Trumna Prime</t>
        </is>
      </c>
      <c r="B63" t="inlineStr">
        <is>
          <t>U37.0.9 (Xaku Prime)</t>
        </is>
      </c>
      <c r="C63" t="inlineStr">
        <is>
          <t>Primary</t>
        </is>
      </c>
      <c r="D63" t="inlineStr">
        <is>
          <t>Rifle</t>
        </is>
      </c>
      <c r="E63" t="inlineStr">
        <is>
          <t>Prime Access co-release: Xaku Prime</t>
        </is>
      </c>
      <c r="F63" t="inlineStr">
        <is>
          <t>YES</t>
        </is>
      </c>
      <c r="G63" t="inlineStr">
        <is>
          <t>Xaku Prime Primary</t>
        </is>
      </c>
      <c r="H63" t="inlineStr">
        <is>
          <t>Weapon: OK R=25p</t>
        </is>
      </c>
      <c r="I63" t="inlineStr">
        <is>
          <t>None</t>
        </is>
      </c>
    </row>
    <row r="64">
      <c r="A64" t="inlineStr">
        <is>
          <t>Neutralizer</t>
        </is>
      </c>
      <c r="B64" t="inlineStr">
        <is>
          <t>U38.0</t>
        </is>
      </c>
      <c r="C64" t="inlineStr">
        <is>
          <t>Primary</t>
        </is>
      </c>
      <c r="D64" t="inlineStr">
        <is>
          <t>Exalted Weapon</t>
        </is>
      </c>
      <c r="E64" t="inlineStr">
        <is>
          <t>Exalted - Cyte-09</t>
        </is>
      </c>
      <c r="F64" t="inlineStr">
        <is>
          <t>YES</t>
        </is>
      </c>
      <c r="G64" t="inlineStr">
        <is>
          <t>Cyte-09 Primary</t>
        </is>
      </c>
      <c r="H64" t="inlineStr">
        <is>
          <t>Exalted / Intrinsic: INCLUDED WITH FRAME</t>
        </is>
      </c>
      <c r="I64" t="inlineStr">
        <is>
          <t>None</t>
        </is>
      </c>
    </row>
    <row r="65">
      <c r="A65" t="inlineStr">
        <is>
          <t>Reconifex</t>
        </is>
      </c>
      <c r="B65" t="inlineStr">
        <is>
          <t>U38.0</t>
        </is>
      </c>
      <c r="C65" t="inlineStr">
        <is>
          <t>Primary</t>
        </is>
      </c>
      <c r="D65" t="inlineStr">
        <is>
          <t>Rifle</t>
        </is>
      </c>
      <c r="E65" t="inlineStr">
        <is>
          <t>Signature - Cyte-09</t>
        </is>
      </c>
      <c r="F65" t="inlineStr">
        <is>
          <t>YES</t>
        </is>
      </c>
      <c r="G65" t="inlineStr">
        <is>
          <t>Cyte-09 (Signature extra)</t>
        </is>
      </c>
      <c r="H65" t="inlineStr">
        <is>
          <t>Signature Extra: OK R=18p</t>
        </is>
      </c>
      <c r="I65" t="inlineStr">
        <is>
          <t>None</t>
        </is>
      </c>
    </row>
    <row r="66">
      <c r="A66" t="inlineStr">
        <is>
          <t>Vesper 77</t>
        </is>
      </c>
      <c r="B66" t="inlineStr">
        <is>
          <t>U38.0</t>
        </is>
      </c>
      <c r="C66" t="inlineStr">
        <is>
          <t>Secondary</t>
        </is>
      </c>
      <c r="D66" t="inlineStr">
        <is>
          <t>Pistol</t>
        </is>
      </c>
      <c r="E66" t="inlineStr">
        <is>
          <t>No frame association</t>
        </is>
      </c>
      <c r="F66" t="inlineStr">
        <is>
          <t>NO</t>
        </is>
      </c>
      <c r="G66" t="inlineStr">
        <is>
          <t>-</t>
        </is>
      </c>
      <c r="H66" t="inlineStr">
        <is>
          <t>NO</t>
        </is>
      </c>
      <c r="I66" t="inlineStr">
        <is>
          <t>Not required (no frame association; MR/collection only)</t>
        </is>
      </c>
    </row>
    <row r="67">
      <c r="A67" t="inlineStr">
        <is>
          <t>Cedo Prime</t>
        </is>
      </c>
      <c r="B67" t="inlineStr">
        <is>
          <t>U38.0.10 (Lavos Prime)</t>
        </is>
      </c>
      <c r="C67" t="inlineStr">
        <is>
          <t>Primary</t>
        </is>
      </c>
      <c r="D67" t="inlineStr">
        <is>
          <t>Shotgun</t>
        </is>
      </c>
      <c r="E67" t="inlineStr">
        <is>
          <t>Signature - Lavos Prime</t>
        </is>
      </c>
      <c r="F67" t="inlineStr">
        <is>
          <t>YES</t>
        </is>
      </c>
      <c r="G67" t="inlineStr">
        <is>
          <t>Lavos Prime Primary</t>
        </is>
      </c>
      <c r="H67" t="inlineStr">
        <is>
          <t>Weapon: OK R=19p</t>
        </is>
      </c>
      <c r="I67" t="inlineStr">
        <is>
          <t>None</t>
        </is>
      </c>
    </row>
    <row r="68">
      <c r="A68" t="inlineStr">
        <is>
          <t>Dual Zoren Prime</t>
        </is>
      </c>
      <c r="B68" t="inlineStr">
        <is>
          <t>U38.0.10 (Lavos Prime)</t>
        </is>
      </c>
      <c r="C68" t="inlineStr">
        <is>
          <t>Melee</t>
        </is>
      </c>
      <c r="D68" t="inlineStr">
        <is>
          <t>Dual Swords</t>
        </is>
      </c>
      <c r="E68" t="inlineStr">
        <is>
          <t>Prime Access co-release: Lavos Prime</t>
        </is>
      </c>
      <c r="F68" t="inlineStr">
        <is>
          <t>YES</t>
        </is>
      </c>
      <c r="G68" t="inlineStr">
        <is>
          <t>Lavos Prime Melee</t>
        </is>
      </c>
      <c r="H68" t="inlineStr">
        <is>
          <t>Weapon: OK R=30p</t>
        </is>
      </c>
      <c r="I68" t="inlineStr">
        <is>
          <t>None</t>
        </is>
      </c>
    </row>
    <row r="69">
      <c r="A69" t="inlineStr">
        <is>
          <t>Coda Bassocyst</t>
        </is>
      </c>
      <c r="B69" t="inlineStr">
        <is>
          <t>U38.5 (Temple)</t>
        </is>
      </c>
      <c r="C69" t="inlineStr">
        <is>
          <t>Primary</t>
        </is>
      </c>
      <c r="D69" t="inlineStr">
        <is>
          <t>Shotgun</t>
        </is>
      </c>
      <c r="E69" t="inlineStr">
        <is>
          <t>Technocyte Coda variant</t>
        </is>
      </c>
      <c r="F69" t="inlineStr">
        <is>
          <t>NO</t>
        </is>
      </c>
      <c r="G69" t="inlineStr">
        <is>
          <t>-</t>
        </is>
      </c>
      <c r="H69" t="inlineStr">
        <is>
          <t>NO</t>
        </is>
      </c>
      <c r="I69" t="inlineStr">
        <is>
          <t>None - doctrine: no automatic Coda substitution (base Bassocyst not allocated)</t>
        </is>
      </c>
    </row>
    <row r="70">
      <c r="A70" t="inlineStr">
        <is>
          <t>Coda Catabolyst</t>
        </is>
      </c>
      <c r="B70" t="inlineStr">
        <is>
          <t>U38.5 (Temple)</t>
        </is>
      </c>
      <c r="C70" t="inlineStr">
        <is>
          <t>Secondary</t>
        </is>
      </c>
      <c r="D70" t="inlineStr">
        <is>
          <t>Pistol</t>
        </is>
      </c>
      <c r="E70" t="inlineStr">
        <is>
          <t>Technocyte Coda variant</t>
        </is>
      </c>
      <c r="F70" t="inlineStr">
        <is>
          <t>NO</t>
        </is>
      </c>
      <c r="G70" t="inlineStr">
        <is>
          <t>-</t>
        </is>
      </c>
      <c r="H70" t="inlineStr">
        <is>
          <t>NO</t>
        </is>
      </c>
      <c r="I70" t="inlineStr">
        <is>
          <t>None - doctrine: no automatic Coda substitution (base Catabolyst allocated to Citrine Prime Secondary)</t>
        </is>
      </c>
    </row>
    <row r="71">
      <c r="A71" t="inlineStr">
        <is>
          <t>Coda Caustacyst</t>
        </is>
      </c>
      <c r="B71" t="inlineStr">
        <is>
          <t>U38.5 (Temple)</t>
        </is>
      </c>
      <c r="C71" t="inlineStr">
        <is>
          <t>Melee</t>
        </is>
      </c>
      <c r="D71" t="inlineStr">
        <is>
          <t>Scythe</t>
        </is>
      </c>
      <c r="E71" t="inlineStr">
        <is>
          <t>Technocyte Coda variant</t>
        </is>
      </c>
      <c r="F71" t="inlineStr">
        <is>
          <t>NO</t>
        </is>
      </c>
      <c r="G71" t="inlineStr">
        <is>
          <t>-</t>
        </is>
      </c>
      <c r="H71" t="inlineStr">
        <is>
          <t>NO</t>
        </is>
      </c>
      <c r="I71" t="inlineStr">
        <is>
          <t>None - doctrine: no automatic Coda substitution (base Caustacyst not allocated)</t>
        </is>
      </c>
    </row>
    <row r="72">
      <c r="A72" t="inlineStr">
        <is>
          <t>Coda Hema</t>
        </is>
      </c>
      <c r="B72" t="inlineStr">
        <is>
          <t>U38.5 (Temple)</t>
        </is>
      </c>
      <c r="C72" t="inlineStr">
        <is>
          <t>Primary</t>
        </is>
      </c>
      <c r="D72" t="inlineStr">
        <is>
          <t>Rifle</t>
        </is>
      </c>
      <c r="E72" t="inlineStr">
        <is>
          <t>Technocyte Coda variant</t>
        </is>
      </c>
      <c r="F72" t="inlineStr">
        <is>
          <t>NO</t>
        </is>
      </c>
      <c r="G72" t="inlineStr">
        <is>
          <t>-</t>
        </is>
      </c>
      <c r="H72" t="inlineStr">
        <is>
          <t>NO</t>
        </is>
      </c>
      <c r="I72" t="inlineStr">
        <is>
          <t>None - doctrine: no automatic Coda substitution (base Hema not allocated)</t>
        </is>
      </c>
    </row>
    <row r="73">
      <c r="A73" t="inlineStr">
        <is>
          <t>Coda Hirudo</t>
        </is>
      </c>
      <c r="B73" t="inlineStr">
        <is>
          <t>U38.5 (Temple)</t>
        </is>
      </c>
      <c r="C73" t="inlineStr">
        <is>
          <t>Melee</t>
        </is>
      </c>
      <c r="D73" t="inlineStr">
        <is>
          <t>Sparring</t>
        </is>
      </c>
      <c r="E73" t="inlineStr">
        <is>
          <t>Technocyte Coda variant</t>
        </is>
      </c>
      <c r="F73" t="inlineStr">
        <is>
          <t>NO</t>
        </is>
      </c>
      <c r="G73" t="inlineStr">
        <is>
          <t>-</t>
        </is>
      </c>
      <c r="H73" t="inlineStr">
        <is>
          <t>NO</t>
        </is>
      </c>
      <c r="I73" t="inlineStr">
        <is>
          <t>None - doctrine: no automatic Coda substitution (base Hirudo allocated to Hildryn Prime Melee)</t>
        </is>
      </c>
    </row>
    <row r="74">
      <c r="A74" t="inlineStr">
        <is>
          <t>Coda Mire</t>
        </is>
      </c>
      <c r="B74" t="inlineStr">
        <is>
          <t>U38.5 (Temple)</t>
        </is>
      </c>
      <c r="C74" t="inlineStr">
        <is>
          <t>Melee</t>
        </is>
      </c>
      <c r="D74" t="inlineStr">
        <is>
          <t>Sword</t>
        </is>
      </c>
      <c r="E74" t="inlineStr">
        <is>
          <t>Technocyte Coda variant</t>
        </is>
      </c>
      <c r="F74" t="inlineStr">
        <is>
          <t>NO</t>
        </is>
      </c>
      <c r="G74" t="inlineStr">
        <is>
          <t>-</t>
        </is>
      </c>
      <c r="H74" t="inlineStr">
        <is>
          <t>NO</t>
        </is>
      </c>
      <c r="I74" t="inlineStr">
        <is>
          <t>None - doctrine: no automatic Coda substitution (base Mire not allocated)</t>
        </is>
      </c>
    </row>
    <row r="75">
      <c r="A75" t="inlineStr">
        <is>
          <t>Coda Motovore</t>
        </is>
      </c>
      <c r="B75" t="inlineStr">
        <is>
          <t>U38.5 (Temple)</t>
        </is>
      </c>
      <c r="C75" t="inlineStr">
        <is>
          <t>Melee</t>
        </is>
      </c>
      <c r="D75" t="inlineStr">
        <is>
          <t>Hammer</t>
        </is>
      </c>
      <c r="E75" t="inlineStr">
        <is>
          <t>Technocyte Coda variant</t>
        </is>
      </c>
      <c r="F75" t="inlineStr">
        <is>
          <t>NO</t>
        </is>
      </c>
      <c r="G75" t="inlineStr">
        <is>
          <t>-</t>
        </is>
      </c>
      <c r="H75" t="inlineStr">
        <is>
          <t>NO</t>
        </is>
      </c>
      <c r="I75" t="inlineStr">
        <is>
          <t>None - doctrine: no automatic Coda substitution (base Motovore not allocated)</t>
        </is>
      </c>
    </row>
    <row r="76">
      <c r="A76" t="inlineStr">
        <is>
          <t>Coda Pathocyst</t>
        </is>
      </c>
      <c r="B76" t="inlineStr">
        <is>
          <t>U38.5 (Temple)</t>
        </is>
      </c>
      <c r="C76" t="inlineStr">
        <is>
          <t>Melee</t>
        </is>
      </c>
      <c r="D76" t="inlineStr">
        <is>
          <t>Glaive</t>
        </is>
      </c>
      <c r="E76" t="inlineStr">
        <is>
          <t>Technocyte Coda variant</t>
        </is>
      </c>
      <c r="F76" t="inlineStr">
        <is>
          <t>NO</t>
        </is>
      </c>
      <c r="G76" t="inlineStr">
        <is>
          <t>-</t>
        </is>
      </c>
      <c r="H76" t="inlineStr">
        <is>
          <t>NO</t>
        </is>
      </c>
      <c r="I76" t="inlineStr">
        <is>
          <t>None - doctrine: no automatic Coda substitution (base Pathocyst allocated to Nidus Prime Melee)</t>
        </is>
      </c>
    </row>
    <row r="77">
      <c r="A77" t="inlineStr">
        <is>
          <t>Coda Pox</t>
        </is>
      </c>
      <c r="B77" t="inlineStr">
        <is>
          <t>U38.5 (Temple)</t>
        </is>
      </c>
      <c r="C77" t="inlineStr">
        <is>
          <t>Secondary</t>
        </is>
      </c>
      <c r="D77" t="inlineStr">
        <is>
          <t>Thrown</t>
        </is>
      </c>
      <c r="E77" t="inlineStr">
        <is>
          <t>Technocyte Coda variant</t>
        </is>
      </c>
      <c r="F77" t="inlineStr">
        <is>
          <t>NO</t>
        </is>
      </c>
      <c r="G77" t="inlineStr">
        <is>
          <t>-</t>
        </is>
      </c>
      <c r="H77" t="inlineStr">
        <is>
          <t>NO</t>
        </is>
      </c>
      <c r="I77" t="inlineStr">
        <is>
          <t>None - doctrine: no automatic Coda substitution (base Pox allocated to Hydroid Prime Secondary)</t>
        </is>
      </c>
    </row>
    <row r="78">
      <c r="A78" t="inlineStr">
        <is>
          <t>Coda Sporothrix</t>
        </is>
      </c>
      <c r="B78" t="inlineStr">
        <is>
          <t>U38.5 (Temple)</t>
        </is>
      </c>
      <c r="C78" t="inlineStr">
        <is>
          <t>Primary</t>
        </is>
      </c>
      <c r="D78" t="inlineStr">
        <is>
          <t>Sniper Rifle</t>
        </is>
      </c>
      <c r="E78" t="inlineStr">
        <is>
          <t>Technocyte Coda variant</t>
        </is>
      </c>
      <c r="F78" t="inlineStr">
        <is>
          <t>NO</t>
        </is>
      </c>
      <c r="G78" t="inlineStr">
        <is>
          <t>-</t>
        </is>
      </c>
      <c r="H78" t="inlineStr">
        <is>
          <t>NO</t>
        </is>
      </c>
      <c r="I78" t="inlineStr">
        <is>
          <t>None - doctrine: no automatic Coda substitution (base Sporothrix allocated to Nokko Primary)</t>
        </is>
      </c>
    </row>
    <row r="79">
      <c r="A79" t="inlineStr">
        <is>
          <t>Coda Synapse</t>
        </is>
      </c>
      <c r="B79" t="inlineStr">
        <is>
          <t>U38.5 (Temple)</t>
        </is>
      </c>
      <c r="C79" t="inlineStr">
        <is>
          <t>Primary</t>
        </is>
      </c>
      <c r="D79" t="inlineStr">
        <is>
          <t>Rifle</t>
        </is>
      </c>
      <c r="E79" t="inlineStr">
        <is>
          <t>Technocyte Coda variant</t>
        </is>
      </c>
      <c r="F79" t="inlineStr">
        <is>
          <t>NO</t>
        </is>
      </c>
      <c r="G79" t="inlineStr">
        <is>
          <t>-</t>
        </is>
      </c>
      <c r="H79" t="inlineStr">
        <is>
          <t>NO</t>
        </is>
      </c>
      <c r="I79" t="inlineStr">
        <is>
          <t>None - doctrine: no automatic Coda substitution (base Synapse allocated to Nyx Prime Primary)</t>
        </is>
      </c>
    </row>
    <row r="80">
      <c r="A80" t="inlineStr">
        <is>
          <t>Coda Tysis</t>
        </is>
      </c>
      <c r="B80" t="inlineStr">
        <is>
          <t>U38.5 (Temple)</t>
        </is>
      </c>
      <c r="C80" t="inlineStr">
        <is>
          <t>Secondary</t>
        </is>
      </c>
      <c r="D80" t="inlineStr">
        <is>
          <t>Pistol</t>
        </is>
      </c>
      <c r="E80" t="inlineStr">
        <is>
          <t>Technocyte Coda variant</t>
        </is>
      </c>
      <c r="F80" t="inlineStr">
        <is>
          <t>NO</t>
        </is>
      </c>
      <c r="G80" t="inlineStr">
        <is>
          <t>-</t>
        </is>
      </c>
      <c r="H80" t="inlineStr">
        <is>
          <t>NO</t>
        </is>
      </c>
      <c r="I80" t="inlineStr">
        <is>
          <t>None - doctrine: no automatic Coda substitution (base Tysis not allocated)</t>
        </is>
      </c>
    </row>
    <row r="81">
      <c r="A81" t="inlineStr">
        <is>
          <t>Dual Coda Torxica</t>
        </is>
      </c>
      <c r="B81" t="inlineStr">
        <is>
          <t>U38.5 (Temple)</t>
        </is>
      </c>
      <c r="C81" t="inlineStr">
        <is>
          <t>Secondary</t>
        </is>
      </c>
      <c r="D81" t="inlineStr">
        <is>
          <t>Dual Pistols</t>
        </is>
      </c>
      <c r="E81" t="inlineStr">
        <is>
          <t>Technocyte Coda variant</t>
        </is>
      </c>
      <c r="F81" t="inlineStr">
        <is>
          <t>NO</t>
        </is>
      </c>
      <c r="G81" t="inlineStr">
        <is>
          <t>-</t>
        </is>
      </c>
      <c r="H81" t="inlineStr">
        <is>
          <t>NO</t>
        </is>
      </c>
      <c r="I81" t="inlineStr">
        <is>
          <t>None - doctrine: no automatic Coda substitution (base Torxica not allocated)</t>
        </is>
      </c>
    </row>
    <row r="82">
      <c r="A82" t="inlineStr">
        <is>
          <t>Dual Viciss</t>
        </is>
      </c>
      <c r="B82" t="inlineStr">
        <is>
          <t>U38.5 (Temple)</t>
        </is>
      </c>
      <c r="C82" t="inlineStr">
        <is>
          <t>Melee</t>
        </is>
      </c>
      <c r="D82" t="inlineStr">
        <is>
          <t>Dual Swords</t>
        </is>
      </c>
      <c r="E82" t="inlineStr">
        <is>
          <t>Scaldra (1999) weapon</t>
        </is>
      </c>
      <c r="F82" t="inlineStr">
        <is>
          <t>NO</t>
        </is>
      </c>
      <c r="G82" t="inlineStr">
        <is>
          <t>-</t>
        </is>
      </c>
      <c r="H82" t="inlineStr">
        <is>
          <t>NO</t>
        </is>
      </c>
      <c r="I82" t="inlineStr">
        <is>
          <t>Not required (no frame association; MR/collection only)</t>
        </is>
      </c>
    </row>
    <row r="83">
      <c r="A83" t="inlineStr">
        <is>
          <t>EFV-5 Jupiter</t>
        </is>
      </c>
      <c r="B83" t="inlineStr">
        <is>
          <t>U38.5 (Temple)</t>
        </is>
      </c>
      <c r="C83" t="inlineStr">
        <is>
          <t>Primary</t>
        </is>
      </c>
      <c r="D83" t="inlineStr">
        <is>
          <t>Rifle</t>
        </is>
      </c>
      <c r="E83" t="inlineStr">
        <is>
          <t>Scaldra (1999) weapon</t>
        </is>
      </c>
      <c r="F83" t="inlineStr">
        <is>
          <t>NO</t>
        </is>
      </c>
      <c r="G83" t="inlineStr">
        <is>
          <t>-</t>
        </is>
      </c>
      <c r="H83" t="inlineStr">
        <is>
          <t>NO</t>
        </is>
      </c>
      <c r="I83" t="inlineStr">
        <is>
          <t>Not required (no frame association; MR/collection only)</t>
        </is>
      </c>
    </row>
    <row r="84">
      <c r="A84" t="inlineStr">
        <is>
          <t>EFV-8 Mars</t>
        </is>
      </c>
      <c r="B84" t="inlineStr">
        <is>
          <t>U38.5 (Temple)</t>
        </is>
      </c>
      <c r="C84" t="inlineStr">
        <is>
          <t>Secondary</t>
        </is>
      </c>
      <c r="D84" t="inlineStr">
        <is>
          <t>Pistol</t>
        </is>
      </c>
      <c r="E84" t="inlineStr">
        <is>
          <t>Scaldra (1999) weapon</t>
        </is>
      </c>
      <c r="F84" t="inlineStr">
        <is>
          <t>NO</t>
        </is>
      </c>
      <c r="G84" t="inlineStr">
        <is>
          <t>-</t>
        </is>
      </c>
      <c r="H84" t="inlineStr">
        <is>
          <t>NO</t>
        </is>
      </c>
      <c r="I84" t="inlineStr">
        <is>
          <t>Not required (no frame association; MR/collection only)</t>
        </is>
      </c>
    </row>
    <row r="85">
      <c r="A85" t="inlineStr">
        <is>
          <t>Landslide Fists</t>
        </is>
      </c>
      <c r="B85" t="inlineStr">
        <is>
          <t>U38.5 (Temple)</t>
        </is>
      </c>
      <c r="C85" t="inlineStr">
        <is>
          <t>Melee</t>
        </is>
      </c>
      <c r="D85" t="inlineStr">
        <is>
          <t>Exalted Weapon</t>
        </is>
      </c>
      <c r="E85" t="inlineStr">
        <is>
          <t>Exalted - Atlas</t>
        </is>
      </c>
      <c r="F85" t="inlineStr">
        <is>
          <t>NO</t>
        </is>
      </c>
      <c r="G85" t="inlineStr">
        <is>
          <t>-</t>
        </is>
      </c>
      <c r="H85" t="inlineStr">
        <is>
          <t>NO</t>
        </is>
      </c>
      <c r="I85" t="inlineStr">
        <is>
          <t>None - roster uses the Prime frame; Prime version represented</t>
        </is>
      </c>
    </row>
    <row r="86">
      <c r="A86" t="inlineStr">
        <is>
          <t>Landslide Fists Prime</t>
        </is>
      </c>
      <c r="B86" t="inlineStr">
        <is>
          <t>U38.5 (Temple)</t>
        </is>
      </c>
      <c r="C86" t="inlineStr">
        <is>
          <t>Melee</t>
        </is>
      </c>
      <c r="D86" t="inlineStr">
        <is>
          <t>Exalted Weapon</t>
        </is>
      </c>
      <c r="E86" t="inlineStr">
        <is>
          <t>Exalted - Atlas Prime</t>
        </is>
      </c>
      <c r="F86" t="inlineStr">
        <is>
          <t>YES</t>
        </is>
      </c>
      <c r="G86" t="inlineStr">
        <is>
          <t>Atlas Prime (Additional (no slot replacement))</t>
        </is>
      </c>
      <c r="H86" t="inlineStr">
        <is>
          <t>Exalted / Intrinsic: INCLUDED WITH FRAME</t>
        </is>
      </c>
      <c r="I86" t="inlineStr">
        <is>
          <t>None</t>
        </is>
      </c>
    </row>
    <row r="87">
      <c r="A87" t="inlineStr">
        <is>
          <t>Lizzie</t>
        </is>
      </c>
      <c r="B87" t="inlineStr">
        <is>
          <t>U38.5 (Temple)</t>
        </is>
      </c>
      <c r="C87" t="inlineStr">
        <is>
          <t>Primary</t>
        </is>
      </c>
      <c r="D87" t="inlineStr">
        <is>
          <t>Exalted Weapon</t>
        </is>
      </c>
      <c r="E87" t="inlineStr">
        <is>
          <t>Exalted - Temple</t>
        </is>
      </c>
      <c r="F87" t="inlineStr">
        <is>
          <t>YES</t>
        </is>
      </c>
      <c r="G87" t="inlineStr">
        <is>
          <t>Temple Primary</t>
        </is>
      </c>
      <c r="H87" t="inlineStr">
        <is>
          <t>Exalted / Intrinsic: INCLUDED WITH FRAME</t>
        </is>
      </c>
      <c r="I87" t="inlineStr">
        <is>
          <t>None</t>
        </is>
      </c>
    </row>
    <row r="88">
      <c r="A88" t="inlineStr">
        <is>
          <t>Purgator 1</t>
        </is>
      </c>
      <c r="B88" t="inlineStr">
        <is>
          <t>U38.5 (Temple)</t>
        </is>
      </c>
      <c r="C88" t="inlineStr">
        <is>
          <t>Primary</t>
        </is>
      </c>
      <c r="D88" t="inlineStr">
        <is>
          <t>Launcher</t>
        </is>
      </c>
      <c r="E88" t="inlineStr">
        <is>
          <t>Scaldra (1999) weapon</t>
        </is>
      </c>
      <c r="F88" t="inlineStr">
        <is>
          <t>NO</t>
        </is>
      </c>
      <c r="G88" t="inlineStr">
        <is>
          <t>-</t>
        </is>
      </c>
      <c r="H88" t="inlineStr">
        <is>
          <t>NO</t>
        </is>
      </c>
      <c r="I88" t="inlineStr">
        <is>
          <t>Not required (no frame association; MR/collection only)</t>
        </is>
      </c>
    </row>
    <row r="89">
      <c r="A89" t="inlineStr">
        <is>
          <t>Riot-848</t>
        </is>
      </c>
      <c r="B89" t="inlineStr">
        <is>
          <t>U38.5 (Temple)</t>
        </is>
      </c>
      <c r="C89" t="inlineStr">
        <is>
          <t>Secondary</t>
        </is>
      </c>
      <c r="D89" t="inlineStr">
        <is>
          <t>Pistol</t>
        </is>
      </c>
      <c r="E89" t="inlineStr">
        <is>
          <t>Signature - Temple</t>
        </is>
      </c>
      <c r="F89" t="inlineStr">
        <is>
          <t>YES</t>
        </is>
      </c>
      <c r="G89" t="inlineStr">
        <is>
          <t>Temple Secondary</t>
        </is>
      </c>
      <c r="H89" t="inlineStr">
        <is>
          <t>Weapon: OK R=35p</t>
        </is>
      </c>
      <c r="I89" t="inlineStr">
        <is>
          <t>None</t>
        </is>
      </c>
    </row>
    <row r="90">
      <c r="A90" t="inlineStr">
        <is>
          <t>Shadow Clones</t>
        </is>
      </c>
      <c r="B90" t="inlineStr">
        <is>
          <t>U38.5 (Temple)</t>
        </is>
      </c>
      <c r="C90" t="inlineStr">
        <is>
          <t>Melee</t>
        </is>
      </c>
      <c r="D90" t="inlineStr">
        <is>
          <t>Exalted Weapon</t>
        </is>
      </c>
      <c r="E90" t="inlineStr">
        <is>
          <t>Exalted - Ash</t>
        </is>
      </c>
      <c r="F90" t="inlineStr">
        <is>
          <t>NO</t>
        </is>
      </c>
      <c r="G90" t="inlineStr">
        <is>
          <t>-</t>
        </is>
      </c>
      <c r="H90" t="inlineStr">
        <is>
          <t>NO</t>
        </is>
      </c>
      <c r="I90" t="inlineStr">
        <is>
          <t>None - roster uses the Prime frame; Prime version represented</t>
        </is>
      </c>
    </row>
    <row r="91">
      <c r="A91" t="inlineStr">
        <is>
          <t>Shadow Clones Prime</t>
        </is>
      </c>
      <c r="B91" t="inlineStr">
        <is>
          <t>U38.5 (Temple)</t>
        </is>
      </c>
      <c r="C91" t="inlineStr">
        <is>
          <t>Melee</t>
        </is>
      </c>
      <c r="D91" t="inlineStr">
        <is>
          <t>Exalted Weapon</t>
        </is>
      </c>
      <c r="E91" t="inlineStr">
        <is>
          <t>Exalted - Ash Prime</t>
        </is>
      </c>
      <c r="F91" t="inlineStr">
        <is>
          <t>YES</t>
        </is>
      </c>
      <c r="G91" t="inlineStr">
        <is>
          <t>Ash Prime (Additional (no slot replacement))</t>
        </is>
      </c>
      <c r="H91" t="inlineStr">
        <is>
          <t>Exalted / Intrinsic: INCLUDED WITH FRAME</t>
        </is>
      </c>
      <c r="I91" t="inlineStr">
        <is>
          <t>None</t>
        </is>
      </c>
    </row>
    <row r="92">
      <c r="A92" t="inlineStr">
        <is>
          <t>Shattered Lash</t>
        </is>
      </c>
      <c r="B92" t="inlineStr">
        <is>
          <t>U38.5 (Temple)</t>
        </is>
      </c>
      <c r="C92" t="inlineStr">
        <is>
          <t>Melee</t>
        </is>
      </c>
      <c r="D92" t="inlineStr">
        <is>
          <t>Exalted Weapon</t>
        </is>
      </c>
      <c r="E92" t="inlineStr">
        <is>
          <t>Exalted - Gara</t>
        </is>
      </c>
      <c r="F92" t="inlineStr">
        <is>
          <t>NO</t>
        </is>
      </c>
      <c r="G92" t="inlineStr">
        <is>
          <t>-</t>
        </is>
      </c>
      <c r="H92" t="inlineStr">
        <is>
          <t>NO</t>
        </is>
      </c>
      <c r="I92" t="inlineStr">
        <is>
          <t>None - roster uses the Prime frame; Prime version represented</t>
        </is>
      </c>
    </row>
    <row r="93">
      <c r="A93" t="inlineStr">
        <is>
          <t>Shattered Lash Prime</t>
        </is>
      </c>
      <c r="B93" t="inlineStr">
        <is>
          <t>U38.5 (Temple)</t>
        </is>
      </c>
      <c r="C93" t="inlineStr">
        <is>
          <t>Melee</t>
        </is>
      </c>
      <c r="D93" t="inlineStr">
        <is>
          <t>Exalted Weapon</t>
        </is>
      </c>
      <c r="E93" t="inlineStr">
        <is>
          <t>Exalted - Gara Prime</t>
        </is>
      </c>
      <c r="F93" t="inlineStr">
        <is>
          <t>YES</t>
        </is>
      </c>
      <c r="G93" t="inlineStr">
        <is>
          <t>Gara Prime (Additional (no slot replacement))</t>
        </is>
      </c>
      <c r="H93" t="inlineStr">
        <is>
          <t>Exalted / Intrinsic: INCLUDED WITH FRAME</t>
        </is>
      </c>
      <c r="I93" t="inlineStr">
        <is>
          <t>None</t>
        </is>
      </c>
    </row>
    <row r="94">
      <c r="A94" t="inlineStr">
        <is>
          <t>Thermian RPG</t>
        </is>
      </c>
      <c r="B94" t="inlineStr">
        <is>
          <t>U38.5 (Temple)</t>
        </is>
      </c>
      <c r="C94" t="inlineStr">
        <is>
          <t>Primary</t>
        </is>
      </c>
      <c r="D94" t="inlineStr">
        <is>
          <t>Unique</t>
        </is>
      </c>
      <c r="E94" t="inlineStr">
        <is>
          <t>Scaldra (1999) weapon</t>
        </is>
      </c>
      <c r="F94" t="inlineStr">
        <is>
          <t>NO</t>
        </is>
      </c>
      <c r="G94" t="inlineStr">
        <is>
          <t>-</t>
        </is>
      </c>
      <c r="H94" t="inlineStr">
        <is>
          <t>NO</t>
        </is>
      </c>
      <c r="I94" t="inlineStr">
        <is>
          <t>Not required (no frame association; MR/collection only)</t>
        </is>
      </c>
    </row>
    <row r="95">
      <c r="A95" t="inlineStr">
        <is>
          <t>Whipclaw</t>
        </is>
      </c>
      <c r="B95" t="inlineStr">
        <is>
          <t>U38.5 (Temple)</t>
        </is>
      </c>
      <c r="C95" t="inlineStr">
        <is>
          <t>Melee</t>
        </is>
      </c>
      <c r="D95" t="inlineStr">
        <is>
          <t>Exalted Weapon</t>
        </is>
      </c>
      <c r="E95" t="inlineStr">
        <is>
          <t>Exalted - Khora</t>
        </is>
      </c>
      <c r="F95" t="inlineStr">
        <is>
          <t>NO</t>
        </is>
      </c>
      <c r="G95" t="inlineStr">
        <is>
          <t>-</t>
        </is>
      </c>
      <c r="H95" t="inlineStr">
        <is>
          <t>NO</t>
        </is>
      </c>
      <c r="I95" t="inlineStr">
        <is>
          <t>None - roster uses the Prime frame; Prime version represented</t>
        </is>
      </c>
    </row>
    <row r="96">
      <c r="A96" t="inlineStr">
        <is>
          <t>Whipclaw Prime</t>
        </is>
      </c>
      <c r="B96" t="inlineStr">
        <is>
          <t>U38.5 (Temple)</t>
        </is>
      </c>
      <c r="C96" t="inlineStr">
        <is>
          <t>Melee</t>
        </is>
      </c>
      <c r="D96" t="inlineStr">
        <is>
          <t>Exalted Weapon</t>
        </is>
      </c>
      <c r="E96" t="inlineStr">
        <is>
          <t>Exalted - Khora Prime</t>
        </is>
      </c>
      <c r="F96" t="inlineStr">
        <is>
          <t>YES</t>
        </is>
      </c>
      <c r="G96" t="inlineStr">
        <is>
          <t>Khora Prime (Additional (no slot replacement))</t>
        </is>
      </c>
      <c r="H96" t="inlineStr">
        <is>
          <t>Exalted / Intrinsic: INCLUDED WITH FRAME</t>
        </is>
      </c>
      <c r="I96" t="inlineStr">
        <is>
          <t>None</t>
        </is>
      </c>
    </row>
    <row r="97">
      <c r="A97" t="inlineStr">
        <is>
          <t>Tak &amp; Lug</t>
        </is>
      </c>
      <c r="B97" t="inlineStr">
        <is>
          <t>U38.5.11</t>
        </is>
      </c>
      <c r="C97" t="inlineStr">
        <is>
          <t>Melee</t>
        </is>
      </c>
      <c r="D97" t="inlineStr">
        <is>
          <t>Sword and Shield</t>
        </is>
      </c>
      <c r="E97" t="inlineStr">
        <is>
          <t>No frame association</t>
        </is>
      </c>
      <c r="F97" t="inlineStr">
        <is>
          <t>NO</t>
        </is>
      </c>
      <c r="G97" t="inlineStr">
        <is>
          <t>-</t>
        </is>
      </c>
      <c r="H97" t="inlineStr">
        <is>
          <t>NO</t>
        </is>
      </c>
      <c r="I97" t="inlineStr">
        <is>
          <t>Not required (no frame association; MR/collection only)</t>
        </is>
      </c>
    </row>
    <row r="98">
      <c r="A98" t="inlineStr">
        <is>
          <t>Tonkkatt</t>
        </is>
      </c>
      <c r="B98" t="inlineStr">
        <is>
          <t>U38.5.11</t>
        </is>
      </c>
      <c r="C98" t="inlineStr">
        <is>
          <t>Melee</t>
        </is>
      </c>
      <c r="D98" t="inlineStr">
        <is>
          <t>Tonfa</t>
        </is>
      </c>
      <c r="E98" t="inlineStr">
        <is>
          <t>No frame association</t>
        </is>
      </c>
      <c r="F98" t="inlineStr">
        <is>
          <t>NO</t>
        </is>
      </c>
      <c r="G98" t="inlineStr">
        <is>
          <t>-</t>
        </is>
      </c>
      <c r="H98" t="inlineStr">
        <is>
          <t>NO</t>
        </is>
      </c>
      <c r="I98" t="inlineStr">
        <is>
          <t>Not required (no frame association; MR/collection only)</t>
        </is>
      </c>
    </row>
    <row r="99">
      <c r="A99" t="inlineStr">
        <is>
          <t>Daikyu Prime</t>
        </is>
      </c>
      <c r="B99" t="inlineStr">
        <is>
          <t>U38.6 (Yareli Prime)</t>
        </is>
      </c>
      <c r="C99" t="inlineStr">
        <is>
          <t>Primary</t>
        </is>
      </c>
      <c r="D99" t="inlineStr">
        <is>
          <t>Bow</t>
        </is>
      </c>
      <c r="E99" t="inlineStr">
        <is>
          <t>Prime Access co-release: Yareli Prime</t>
        </is>
      </c>
      <c r="F99" t="inlineStr">
        <is>
          <t>NO</t>
        </is>
      </c>
      <c r="G99" t="inlineStr">
        <is>
          <t>-</t>
        </is>
      </c>
      <c r="H99" t="inlineStr">
        <is>
          <t>NO</t>
        </is>
      </c>
      <c r="I99" t="inlineStr">
        <is>
          <t>None - no signature claim; base Daikyu not allocated</t>
        </is>
      </c>
    </row>
    <row r="100">
      <c r="A100" t="inlineStr">
        <is>
          <t>Kompressa Prime</t>
        </is>
      </c>
      <c r="B100" t="inlineStr">
        <is>
          <t>U38.6 (Yareli Prime)</t>
        </is>
      </c>
      <c r="C100" t="inlineStr">
        <is>
          <t>Secondary</t>
        </is>
      </c>
      <c r="D100" t="inlineStr">
        <is>
          <t>Pistol</t>
        </is>
      </c>
      <c r="E100" t="inlineStr">
        <is>
          <t>Signature - Yareli Prime</t>
        </is>
      </c>
      <c r="F100" t="inlineStr">
        <is>
          <t>YES</t>
        </is>
      </c>
      <c r="G100" t="inlineStr">
        <is>
          <t>Yareli Prime Secondary</t>
        </is>
      </c>
      <c r="H100" t="inlineStr">
        <is>
          <t>Weapon: OK R=14p</t>
        </is>
      </c>
      <c r="I100" t="inlineStr">
        <is>
          <t>None</t>
        </is>
      </c>
    </row>
    <row r="101">
      <c r="A101" t="inlineStr">
        <is>
          <t>Scyotid</t>
        </is>
      </c>
      <c r="B101" t="inlineStr">
        <is>
          <t>U39 (Oraxia)</t>
        </is>
      </c>
      <c r="C101" t="inlineStr">
        <is>
          <t>Secondary</t>
        </is>
      </c>
      <c r="D101" t="inlineStr">
        <is>
          <t>Thrown</t>
        </is>
      </c>
      <c r="E101" t="inlineStr">
        <is>
          <t>Signature - Oraxia</t>
        </is>
      </c>
      <c r="F101" t="inlineStr">
        <is>
          <t>YES</t>
        </is>
      </c>
      <c r="G101" t="inlineStr">
        <is>
          <t>Oraxia Secondary</t>
        </is>
      </c>
      <c r="H101" t="inlineStr">
        <is>
          <t>Weapon: FARMABLE / ACCOUNT-BOUND</t>
        </is>
      </c>
      <c r="I101" t="inlineStr">
        <is>
          <t>None</t>
        </is>
      </c>
    </row>
    <row r="102">
      <c r="A102" t="inlineStr">
        <is>
          <t>Spinnerex</t>
        </is>
      </c>
      <c r="B102" t="inlineStr">
        <is>
          <t>U39 (Oraxia)</t>
        </is>
      </c>
      <c r="C102" t="inlineStr">
        <is>
          <t>Melee</t>
        </is>
      </c>
      <c r="D102" t="inlineStr">
        <is>
          <t>Whip</t>
        </is>
      </c>
      <c r="E102" t="inlineStr">
        <is>
          <t>Signature - Oraxia</t>
        </is>
      </c>
      <c r="F102" t="inlineStr">
        <is>
          <t>YES</t>
        </is>
      </c>
      <c r="G102" t="inlineStr">
        <is>
          <t>Oraxia Melee</t>
        </is>
      </c>
      <c r="H102" t="inlineStr">
        <is>
          <t>Weapon: FARMABLE / ACCOUNT-BOUND</t>
        </is>
      </c>
      <c r="I102" t="inlineStr">
        <is>
          <t>None</t>
        </is>
      </c>
    </row>
    <row r="103">
      <c r="A103" t="inlineStr">
        <is>
          <t>Thalys</t>
        </is>
      </c>
      <c r="B103" t="inlineStr">
        <is>
          <t>U39 (Oraxia)</t>
        </is>
      </c>
      <c r="C103" t="inlineStr">
        <is>
          <t>Melee</t>
        </is>
      </c>
      <c r="D103" t="inlineStr">
        <is>
          <t>Heavy Scythe</t>
        </is>
      </c>
      <c r="E103" t="inlineStr">
        <is>
          <t>Incarnon weapon</t>
        </is>
      </c>
      <c r="F103" t="inlineStr">
        <is>
          <t>NO</t>
        </is>
      </c>
      <c r="G103" t="inlineStr">
        <is>
          <t>-</t>
        </is>
      </c>
      <c r="H103" t="inlineStr">
        <is>
          <t>NO</t>
        </is>
      </c>
      <c r="I103" t="inlineStr">
        <is>
          <t>Unallocated Incarnon option (not required)</t>
        </is>
      </c>
    </row>
    <row r="104">
      <c r="A104" t="inlineStr">
        <is>
          <t>Noodletron</t>
        </is>
      </c>
      <c r="B104" t="inlineStr">
        <is>
          <t>U39.0.7</t>
        </is>
      </c>
      <c r="C104" t="inlineStr">
        <is>
          <t>Unique</t>
        </is>
      </c>
      <c r="D104" t="inlineStr">
        <is>
          <t>Unique</t>
        </is>
      </c>
      <c r="E104" t="inlineStr">
        <is>
          <t>No frame association</t>
        </is>
      </c>
      <c r="F104" t="inlineStr">
        <is>
          <t>NO</t>
        </is>
      </c>
      <c r="G104" t="inlineStr">
        <is>
          <t>-</t>
        </is>
      </c>
      <c r="H104" t="inlineStr">
        <is>
          <t>NO</t>
        </is>
      </c>
      <c r="I104" t="inlineStr">
        <is>
          <t>Not required (no frame association; MR/collection only)</t>
        </is>
      </c>
    </row>
    <row r="105">
      <c r="A105" t="inlineStr">
        <is>
          <t>Vadarya Prime</t>
        </is>
      </c>
      <c r="B105" t="inlineStr">
        <is>
          <t>U39.1 (Caliban Prime)</t>
        </is>
      </c>
      <c r="C105" t="inlineStr">
        <is>
          <t>Primary</t>
        </is>
      </c>
      <c r="D105" t="inlineStr">
        <is>
          <t>Sniper Rifle</t>
        </is>
      </c>
      <c r="E105" t="inlineStr">
        <is>
          <t>Signature - Caliban Prime</t>
        </is>
      </c>
      <c r="F105" t="inlineStr">
        <is>
          <t>YES</t>
        </is>
      </c>
      <c r="G105" t="inlineStr">
        <is>
          <t>Caliban Prime Primary</t>
        </is>
      </c>
      <c r="H105" t="inlineStr">
        <is>
          <t>Weapon: OK R=15p</t>
        </is>
      </c>
      <c r="I105" t="inlineStr">
        <is>
          <t>None</t>
        </is>
      </c>
    </row>
    <row r="106">
      <c r="A106" t="inlineStr">
        <is>
          <t>Venato Prime</t>
        </is>
      </c>
      <c r="B106" t="inlineStr">
        <is>
          <t>U39.1 (Caliban Prime)</t>
        </is>
      </c>
      <c r="C106" t="inlineStr">
        <is>
          <t>Melee</t>
        </is>
      </c>
      <c r="D106" t="inlineStr">
        <is>
          <t>Scythe</t>
        </is>
      </c>
      <c r="E106" t="inlineStr">
        <is>
          <t>Signature - Caliban Prime</t>
        </is>
      </c>
      <c r="F106" t="inlineStr">
        <is>
          <t>YES</t>
        </is>
      </c>
      <c r="G106" t="inlineStr">
        <is>
          <t>Caliban Prime Melee</t>
        </is>
      </c>
      <c r="H106" t="inlineStr">
        <is>
          <t>Weapon: OK R=11p</t>
        </is>
      </c>
      <c r="I106" t="inlineStr">
        <is>
          <t>None</t>
        </is>
      </c>
    </row>
    <row r="107">
      <c r="A107" t="inlineStr">
        <is>
          <t>Arbucep</t>
        </is>
      </c>
      <c r="B107" t="inlineStr">
        <is>
          <t>U40 (Nokko)</t>
        </is>
      </c>
      <c r="C107" t="inlineStr">
        <is>
          <t>Archgun</t>
        </is>
      </c>
      <c r="D107" t="inlineStr">
        <is>
          <t>Archgun</t>
        </is>
      </c>
      <c r="E107" t="inlineStr">
        <is>
          <t>Signature - Nokko</t>
        </is>
      </c>
      <c r="F107" t="inlineStr">
        <is>
          <t>YES</t>
        </is>
      </c>
      <c r="G107" t="inlineStr">
        <is>
          <t>Nokko (Archgun)</t>
        </is>
      </c>
      <c r="H107" t="inlineStr">
        <is>
          <t>Archgun: FARMABLE / ACCOUNT-BOUND</t>
        </is>
      </c>
      <c r="I107" t="inlineStr">
        <is>
          <t>None</t>
        </is>
      </c>
    </row>
    <row r="108">
      <c r="A108" t="inlineStr">
        <is>
          <t>Arbucep (Atmosphere)</t>
        </is>
      </c>
      <c r="B108" t="inlineStr">
        <is>
          <t>U40 (Nokko)</t>
        </is>
      </c>
      <c r="C108" t="inlineStr">
        <is>
          <t>Archgun (Atmosphere)</t>
        </is>
      </c>
      <c r="D108" t="inlineStr">
        <is>
          <t>Launcher</t>
        </is>
      </c>
      <c r="E108" t="inlineStr">
        <is>
          <t>No frame association</t>
        </is>
      </c>
      <c r="F108" t="inlineStr">
        <is>
          <t>YES (mode)</t>
        </is>
      </c>
      <c r="G108" t="inlineStr">
        <is>
          <t>-</t>
        </is>
      </c>
      <c r="H108" t="inlineStr">
        <is>
          <t>NO</t>
        </is>
      </c>
      <c r="I108" t="inlineStr">
        <is>
          <t>None - atmospheric mode of Arbucep (same item)</t>
        </is>
      </c>
    </row>
    <row r="109">
      <c r="A109" t="inlineStr">
        <is>
          <t>Thornbak</t>
        </is>
      </c>
      <c r="B109" t="inlineStr">
        <is>
          <t>U40 (Nokko)</t>
        </is>
      </c>
      <c r="C109" t="inlineStr">
        <is>
          <t>Primary</t>
        </is>
      </c>
      <c r="D109" t="inlineStr">
        <is>
          <t>Rifle</t>
        </is>
      </c>
      <c r="E109" t="inlineStr">
        <is>
          <t>No frame association</t>
        </is>
      </c>
      <c r="F109" t="inlineStr">
        <is>
          <t>NO</t>
        </is>
      </c>
      <c r="G109" t="inlineStr">
        <is>
          <t>-</t>
        </is>
      </c>
      <c r="H109" t="inlineStr">
        <is>
          <t>NO</t>
        </is>
      </c>
      <c r="I109" t="inlineStr">
        <is>
          <t>None for allocation. NOTE: The Teacher quest reward with its own free slot + Catalyst; that free slot (counted in the 23) stays occupied unless Thornbak is sold</t>
        </is>
      </c>
    </row>
    <row r="110">
      <c r="A110" t="inlineStr">
        <is>
          <t>Alternox Prime</t>
        </is>
      </c>
      <c r="B110" t="inlineStr">
        <is>
          <t>U41 (Uriel, Gyre Prime)</t>
        </is>
      </c>
      <c r="C110" t="inlineStr">
        <is>
          <t>Primary</t>
        </is>
      </c>
      <c r="D110" t="inlineStr">
        <is>
          <t>Rifle</t>
        </is>
      </c>
      <c r="E110" t="inlineStr">
        <is>
          <t>Signature - Gyre Prime</t>
        </is>
      </c>
      <c r="F110" t="inlineStr">
        <is>
          <t>YES</t>
        </is>
      </c>
      <c r="G110" t="inlineStr">
        <is>
          <t>Gyre Prime Primary</t>
        </is>
      </c>
      <c r="H110" t="inlineStr">
        <is>
          <t>Weapon: OK R=20p</t>
        </is>
      </c>
      <c r="I110" t="inlineStr">
        <is>
          <t>None</t>
        </is>
      </c>
    </row>
    <row r="111">
      <c r="A111" t="inlineStr">
        <is>
          <t>Kestrel Prime</t>
        </is>
      </c>
      <c r="B111" t="inlineStr">
        <is>
          <t>U41 (Uriel, Gyre Prime)</t>
        </is>
      </c>
      <c r="C111" t="inlineStr">
        <is>
          <t>Melee</t>
        </is>
      </c>
      <c r="D111" t="inlineStr">
        <is>
          <t>Glaive</t>
        </is>
      </c>
      <c r="E111" t="inlineStr">
        <is>
          <t>Prime Access co-release: Gyre Prime</t>
        </is>
      </c>
      <c r="F111" t="inlineStr">
        <is>
          <t>YES</t>
        </is>
      </c>
      <c r="G111" t="inlineStr">
        <is>
          <t>Gyre Prime Melee</t>
        </is>
      </c>
      <c r="H111" t="inlineStr">
        <is>
          <t>Weapon: OK R=24p</t>
        </is>
      </c>
      <c r="I111" t="inlineStr">
        <is>
          <t>None</t>
        </is>
      </c>
    </row>
    <row r="112">
      <c r="A112" t="inlineStr">
        <is>
          <t>Vinquibus (Melee)</t>
        </is>
      </c>
      <c r="B112" t="inlineStr">
        <is>
          <t>U41 (Uriel, Gyre Prime)</t>
        </is>
      </c>
      <c r="C112" t="inlineStr">
        <is>
          <t>Melee</t>
        </is>
      </c>
      <c r="D112" t="inlineStr">
        <is>
          <t>Bayonet</t>
        </is>
      </c>
      <c r="E112" t="inlineStr">
        <is>
          <t>Signature - Uriel</t>
        </is>
      </c>
      <c r="F112" t="inlineStr">
        <is>
          <t>YES</t>
        </is>
      </c>
      <c r="G112" t="inlineStr">
        <is>
          <t>Uriel Primary; Uriel Melee</t>
        </is>
      </c>
      <c r="H112" t="inlineStr">
        <is>
          <t>Weapon: FARMABLE / ACCOUNT-BOUND</t>
        </is>
      </c>
      <c r="I112" t="inlineStr">
        <is>
          <t>None (shared item with Vinquibus Primary)</t>
        </is>
      </c>
    </row>
    <row r="113">
      <c r="A113" t="inlineStr">
        <is>
          <t>Vinquibus (Primary)</t>
        </is>
      </c>
      <c r="B113" t="inlineStr">
        <is>
          <t>U41 (Uriel, Gyre Prime)</t>
        </is>
      </c>
      <c r="C113" t="inlineStr">
        <is>
          <t>Primary</t>
        </is>
      </c>
      <c r="D113" t="inlineStr">
        <is>
          <t>Rifle</t>
        </is>
      </c>
      <c r="E113" t="inlineStr">
        <is>
          <t>Signature - Uriel</t>
        </is>
      </c>
      <c r="F113" t="inlineStr">
        <is>
          <t>YES</t>
        </is>
      </c>
      <c r="G113" t="inlineStr">
        <is>
          <t>Uriel Primary; Uriel Melee</t>
        </is>
      </c>
      <c r="H113" t="inlineStr">
        <is>
          <t>Weapon: FARMABLE / ACCOUNT-BOUND</t>
        </is>
      </c>
      <c r="I113" t="inlineStr">
        <is>
          <t>None</t>
        </is>
      </c>
    </row>
    <row r="114">
      <c r="A114" t="inlineStr">
        <is>
          <t>Galariak Prime</t>
        </is>
      </c>
      <c r="B114" t="inlineStr">
        <is>
          <t>U41.0</t>
        </is>
      </c>
      <c r="C114" t="inlineStr">
        <is>
          <t>Melee</t>
        </is>
      </c>
      <c r="D114" t="inlineStr">
        <is>
          <t>Scythe</t>
        </is>
      </c>
      <c r="E114" t="inlineStr">
        <is>
          <t>No frame association</t>
        </is>
      </c>
      <c r="F114" t="inlineStr">
        <is>
          <t>NO</t>
        </is>
      </c>
      <c r="G114" t="inlineStr">
        <is>
          <t>-</t>
        </is>
      </c>
      <c r="H114" t="inlineStr">
        <is>
          <t>NO</t>
        </is>
      </c>
      <c r="I114" t="inlineStr">
        <is>
          <t>Not required (no frame association; MR/collection only)</t>
        </is>
      </c>
    </row>
    <row r="115">
      <c r="A115" t="inlineStr">
        <is>
          <t>Sagek Prime</t>
        </is>
      </c>
      <c r="B115" t="inlineStr">
        <is>
          <t>U41.0</t>
        </is>
      </c>
      <c r="C115" t="inlineStr">
        <is>
          <t>Secondary</t>
        </is>
      </c>
      <c r="D115" t="inlineStr">
        <is>
          <t>Pistol</t>
        </is>
      </c>
      <c r="E115" t="inlineStr">
        <is>
          <t>No frame association</t>
        </is>
      </c>
      <c r="F115" t="inlineStr">
        <is>
          <t>NO</t>
        </is>
      </c>
      <c r="G115" t="inlineStr">
        <is>
          <t>-</t>
        </is>
      </c>
      <c r="H115" t="inlineStr">
        <is>
          <t>NO</t>
        </is>
      </c>
      <c r="I115" t="inlineStr">
        <is>
          <t>Not required (no frame association; MR/collection only)</t>
        </is>
      </c>
    </row>
    <row r="116">
      <c r="A116" t="inlineStr">
        <is>
          <t>Coda Bubonico</t>
        </is>
      </c>
      <c r="B116" t="inlineStr">
        <is>
          <t>U42 (Follie)</t>
        </is>
      </c>
      <c r="C116" t="inlineStr">
        <is>
          <t>Primary</t>
        </is>
      </c>
      <c r="D116" t="inlineStr">
        <is>
          <t>Shotgun</t>
        </is>
      </c>
      <c r="E116" t="inlineStr">
        <is>
          <t>Technocyte Coda variant</t>
        </is>
      </c>
      <c r="F116" t="inlineStr">
        <is>
          <t>NO</t>
        </is>
      </c>
      <c r="G116" t="inlineStr">
        <is>
          <t>-</t>
        </is>
      </c>
      <c r="H116" t="inlineStr">
        <is>
          <t>NO</t>
        </is>
      </c>
      <c r="I116" t="inlineStr">
        <is>
          <t>None - doctrine: no automatic Coda substitution (base Bubonico allocated to Sevagoth Prime Primary)</t>
        </is>
      </c>
    </row>
    <row r="117">
      <c r="A117" t="inlineStr">
        <is>
          <t>Enkaus</t>
        </is>
      </c>
      <c r="B117" t="inlineStr">
        <is>
          <t>U42 (Follie)</t>
        </is>
      </c>
      <c r="C117" t="inlineStr">
        <is>
          <t>Primary</t>
        </is>
      </c>
      <c r="D117" t="inlineStr">
        <is>
          <t>Rifle</t>
        </is>
      </c>
      <c r="E117" t="inlineStr">
        <is>
          <t>Signature - Follie</t>
        </is>
      </c>
      <c r="F117" t="inlineStr">
        <is>
          <t>YES</t>
        </is>
      </c>
      <c r="G117" t="inlineStr">
        <is>
          <t>Follie Primary</t>
        </is>
      </c>
      <c r="H117" t="inlineStr">
        <is>
          <t>Weapon: FARMABLE / ACCOUNT-BOUND</t>
        </is>
      </c>
      <c r="I117" t="inlineStr">
        <is>
          <t>None</t>
        </is>
      </c>
    </row>
    <row r="118">
      <c r="A118" t="inlineStr">
        <is>
          <t>Kuva Ghoulsaw</t>
        </is>
      </c>
      <c r="B118" t="inlineStr">
        <is>
          <t>U42 (Follie)</t>
        </is>
      </c>
      <c r="C118" t="inlineStr">
        <is>
          <t>Melee</t>
        </is>
      </c>
      <c r="D118" t="inlineStr">
        <is>
          <t>Assault Saw</t>
        </is>
      </c>
      <c r="E118" t="inlineStr">
        <is>
          <t>Adversary variant</t>
        </is>
      </c>
      <c r="F118" t="inlineStr">
        <is>
          <t>NO</t>
        </is>
      </c>
      <c r="G118" t="inlineStr">
        <is>
          <t>-</t>
        </is>
      </c>
      <c r="H118" t="inlineStr">
        <is>
          <t>NO</t>
        </is>
      </c>
      <c r="I118" t="inlineStr">
        <is>
          <t>Optional upgrade only (Ghoulsaw family: Yareli Prime Melee)</t>
        </is>
      </c>
    </row>
    <row r="119">
      <c r="A119" t="inlineStr">
        <is>
          <t>Tenet Quanta</t>
        </is>
      </c>
      <c r="B119" t="inlineStr">
        <is>
          <t>U42 (Follie)</t>
        </is>
      </c>
      <c r="C119" t="inlineStr">
        <is>
          <t>Primary</t>
        </is>
      </c>
      <c r="D119" t="inlineStr">
        <is>
          <t>Rifle</t>
        </is>
      </c>
      <c r="E119" t="inlineStr">
        <is>
          <t>Adversary variant</t>
        </is>
      </c>
      <c r="F119" t="inlineStr">
        <is>
          <t>NO</t>
        </is>
      </c>
      <c r="G119" t="inlineStr">
        <is>
          <t>-</t>
        </is>
      </c>
      <c r="H119" t="inlineStr">
        <is>
          <t>NO</t>
        </is>
      </c>
      <c r="I119" t="inlineStr">
        <is>
          <t>Optional upgrade only (Quanta family: not allocated)</t>
        </is>
      </c>
    </row>
    <row r="120">
      <c r="A120" t="inlineStr">
        <is>
          <t>Perigale Prime</t>
        </is>
      </c>
      <c r="B120" t="inlineStr">
        <is>
          <t>U42.0.6 (Voruna Prime)</t>
        </is>
      </c>
      <c r="C120" t="inlineStr">
        <is>
          <t>Primary</t>
        </is>
      </c>
      <c r="D120" t="inlineStr">
        <is>
          <t>Sniper Rifle</t>
        </is>
      </c>
      <c r="E120" t="inlineStr">
        <is>
          <t>Signature - Voruna Prime</t>
        </is>
      </c>
      <c r="F120" t="inlineStr">
        <is>
          <t>YES</t>
        </is>
      </c>
      <c r="G120" t="inlineStr">
        <is>
          <t>Voruna Prime Primary</t>
        </is>
      </c>
      <c r="H120" t="inlineStr">
        <is>
          <t>Weapon: OK R=30p</t>
        </is>
      </c>
      <c r="I120" t="inlineStr">
        <is>
          <t>None</t>
        </is>
      </c>
    </row>
    <row r="121">
      <c r="A121" t="inlineStr">
        <is>
          <t>Sarofang Prime</t>
        </is>
      </c>
      <c r="B121" t="inlineStr">
        <is>
          <t>U42.0.6 (Voruna Prime)</t>
        </is>
      </c>
      <c r="C121" t="inlineStr">
        <is>
          <t>Melee</t>
        </is>
      </c>
      <c r="D121" t="inlineStr">
        <is>
          <t>Heavy Blade</t>
        </is>
      </c>
      <c r="E121" t="inlineStr">
        <is>
          <t>Signature - Voruna Prime</t>
        </is>
      </c>
      <c r="F121" t="inlineStr">
        <is>
          <t>YES</t>
        </is>
      </c>
      <c r="G121" t="inlineStr">
        <is>
          <t>Voruna Prime Melee</t>
        </is>
      </c>
      <c r="H121" t="inlineStr">
        <is>
          <t>Weapon: OK R=15p</t>
        </is>
      </c>
      <c r="I121" t="inlineStr">
        <is>
          <t>None</t>
        </is>
      </c>
    </row>
    <row r="122">
      <c r="A122" t="inlineStr">
        <is>
          <t>Afentis Prime</t>
        </is>
      </c>
      <c r="B122" t="inlineStr">
        <is>
          <t>U43 (Styanax Prime, Sirius &amp; Orion)</t>
        </is>
      </c>
      <c r="C122" t="inlineStr">
        <is>
          <t>Primary</t>
        </is>
      </c>
      <c r="D122" t="inlineStr">
        <is>
          <t>Speargun</t>
        </is>
      </c>
      <c r="E122" t="inlineStr">
        <is>
          <t>Signature - Styanax Prime</t>
        </is>
      </c>
      <c r="F122" t="inlineStr">
        <is>
          <t>YES</t>
        </is>
      </c>
      <c r="G122" t="inlineStr">
        <is>
          <t>Styanax Prime Primary</t>
        </is>
      </c>
      <c r="H122" t="inlineStr">
        <is>
          <t>Weapon: OK R=40p</t>
        </is>
      </c>
      <c r="I122" t="inlineStr">
        <is>
          <t>None</t>
        </is>
      </c>
    </row>
    <row r="123">
      <c r="A123" t="inlineStr">
        <is>
          <t>Athodai Prime</t>
        </is>
      </c>
      <c r="B123" t="inlineStr">
        <is>
          <t>U43 (Styanax Prime, Sirius &amp; Orion)</t>
        </is>
      </c>
      <c r="C123" t="inlineStr">
        <is>
          <t>Secondary</t>
        </is>
      </c>
      <c r="D123" t="inlineStr">
        <is>
          <t>Pistol</t>
        </is>
      </c>
      <c r="E123" t="inlineStr">
        <is>
          <t>Prime Access co-release: Styanax Prime</t>
        </is>
      </c>
      <c r="F123" t="inlineStr">
        <is>
          <t>NO</t>
        </is>
      </c>
      <c r="G123" t="inlineStr">
        <is>
          <t>-</t>
        </is>
      </c>
      <c r="H123" t="inlineStr">
        <is>
          <t>NO</t>
        </is>
      </c>
      <c r="I123" t="inlineStr">
        <is>
          <t>None - no signature claim; base Athodai not allocated</t>
        </is>
      </c>
    </row>
    <row r="124">
      <c r="A124" t="inlineStr">
        <is>
          <t>Pride</t>
        </is>
      </c>
      <c r="B124" t="inlineStr">
        <is>
          <t>U43 (Styanax Prime, Sirius &amp; Orion)</t>
        </is>
      </c>
      <c r="C124" t="inlineStr">
        <is>
          <t>Melee</t>
        </is>
      </c>
      <c r="D124" t="inlineStr">
        <is>
          <t>Heavy Scythe</t>
        </is>
      </c>
      <c r="E124" t="inlineStr">
        <is>
          <t>Signature - Sirius &amp; Orion</t>
        </is>
      </c>
      <c r="F124" t="inlineStr">
        <is>
          <t>YES</t>
        </is>
      </c>
      <c r="G124" t="inlineStr">
        <is>
          <t>Sirius &amp; Orion Melee</t>
        </is>
      </c>
      <c r="H124" t="inlineStr">
        <is>
          <t>Weapon: FARMABLE / ACCOUNT-BOUND</t>
        </is>
      </c>
      <c r="I124" t="inlineStr">
        <is>
          <t>None</t>
        </is>
      </c>
    </row>
    <row r="125">
      <c r="A125" t="inlineStr">
        <is>
          <t>Wrath</t>
        </is>
      </c>
      <c r="B125" t="inlineStr">
        <is>
          <t>U43 (Styanax Prime, Sirius &amp; Orion)</t>
        </is>
      </c>
      <c r="C125" t="inlineStr">
        <is>
          <t>Melee</t>
        </is>
      </c>
      <c r="D125" t="inlineStr">
        <is>
          <t>Heavy Scythe</t>
        </is>
      </c>
      <c r="E125" t="inlineStr">
        <is>
          <t>Signature - Sirius &amp; Orion</t>
        </is>
      </c>
      <c r="F125" t="inlineStr">
        <is>
          <t>YES</t>
        </is>
      </c>
      <c r="G125" t="inlineStr">
        <is>
          <t>Sirius &amp; Orion (Signature extra)</t>
        </is>
      </c>
      <c r="H125" t="inlineStr">
        <is>
          <t>Signature Extra: FARMABLE / ACCOUNT-BOUND</t>
        </is>
      </c>
      <c r="I125" t="inlineStr">
        <is>
          <t>None</t>
        </is>
      </c>
    </row>
    <row r="126">
      <c r="A126" t="inlineStr">
        <is>
          <t>War Prime</t>
        </is>
      </c>
      <c r="B126" t="inlineStr">
        <is>
          <t>U43.0</t>
        </is>
      </c>
      <c r="C126" t="inlineStr">
        <is>
          <t>Melee</t>
        </is>
      </c>
      <c r="D126" t="inlineStr">
        <is>
          <t>Heavy Blade</t>
        </is>
      </c>
      <c r="E126" t="inlineStr">
        <is>
          <t>No frame association</t>
        </is>
      </c>
      <c r="F126" t="inlineStr">
        <is>
          <t>NO</t>
        </is>
      </c>
      <c r="G126" t="inlineStr">
        <is>
          <t>-</t>
        </is>
      </c>
      <c r="H126" t="inlineStr">
        <is>
          <t>NO</t>
        </is>
      </c>
      <c r="I126" t="inlineStr">
        <is>
          <t>Not required (no frame association; MR/collection only)</t>
        </is>
      </c>
    </row>
    <row r="127">
      <c r="A127" t="inlineStr">
        <is>
          <t>Haalvu</t>
        </is>
      </c>
      <c r="B127" t="inlineStr">
        <is>
          <t>U43.0.7</t>
        </is>
      </c>
      <c r="C127" t="inlineStr">
        <is>
          <t>Primary</t>
        </is>
      </c>
      <c r="D127" t="inlineStr">
        <is>
          <t>Rifle</t>
        </is>
      </c>
      <c r="E127" t="inlineStr">
        <is>
          <t>No frame association</t>
        </is>
      </c>
      <c r="F127" t="inlineStr">
        <is>
          <t>NO</t>
        </is>
      </c>
      <c r="G127" t="inlineStr">
        <is>
          <t>-</t>
        </is>
      </c>
      <c r="H127" t="inlineStr">
        <is>
          <t>NO</t>
        </is>
      </c>
      <c r="I127" t="inlineStr">
        <is>
          <t>Not required (no frame association; MR/collection only)</t>
        </is>
      </c>
    </row>
    <row r="128">
      <c r="A128" t="inlineStr">
        <is>
          <t>Aksondol</t>
        </is>
      </c>
      <c r="B128" t="inlineStr">
        <is>
          <t>U44.0 (Citrine Prime, Narin)</t>
        </is>
      </c>
      <c r="C128" t="inlineStr">
        <is>
          <t>Secondary</t>
        </is>
      </c>
      <c r="D128" t="inlineStr">
        <is>
          <t>Dual Pistols</t>
        </is>
      </c>
      <c r="E128" t="inlineStr">
        <is>
          <t>Signature - Narin</t>
        </is>
      </c>
      <c r="F128" t="inlineStr">
        <is>
          <t>YES</t>
        </is>
      </c>
      <c r="G128" t="inlineStr">
        <is>
          <t>Narin Secondary</t>
        </is>
      </c>
      <c r="H128" t="inlineStr">
        <is>
          <t>Weapon: FARMABLE / ACCOUNT-BOUND</t>
        </is>
      </c>
      <c r="I128" t="inlineStr">
        <is>
          <t>None</t>
        </is>
      </c>
    </row>
    <row r="129">
      <c r="A129" t="inlineStr">
        <is>
          <t>Corufell Prime</t>
        </is>
      </c>
      <c r="B129" t="inlineStr">
        <is>
          <t>U44.0 (Citrine Prime, Narin)</t>
        </is>
      </c>
      <c r="C129" t="inlineStr">
        <is>
          <t>Melee</t>
        </is>
      </c>
      <c r="D129" t="inlineStr">
        <is>
          <t>Heavy Scythe</t>
        </is>
      </c>
      <c r="E129" t="inlineStr">
        <is>
          <t>Signature - Citrine Prime</t>
        </is>
      </c>
      <c r="F129" t="inlineStr">
        <is>
          <t>YES</t>
        </is>
      </c>
      <c r="G129" t="inlineStr">
        <is>
          <t>Citrine Prime Melee</t>
        </is>
      </c>
      <c r="H129" t="inlineStr">
        <is>
          <t>Weapon: OK R=60p</t>
        </is>
      </c>
      <c r="I129" t="inlineStr">
        <is>
          <t>None</t>
        </is>
      </c>
    </row>
    <row r="130">
      <c r="A130" t="inlineStr">
        <is>
          <t>Nunchasa</t>
        </is>
      </c>
      <c r="B130" t="inlineStr">
        <is>
          <t>U44.0 (Citrine Prime, Narin)</t>
        </is>
      </c>
      <c r="C130" t="inlineStr">
        <is>
          <t>Primary</t>
        </is>
      </c>
      <c r="D130" t="inlineStr">
        <is>
          <t>Bow</t>
        </is>
      </c>
      <c r="E130" t="inlineStr">
        <is>
          <t>Signature - Narin</t>
        </is>
      </c>
      <c r="F130" t="inlineStr">
        <is>
          <t>YES</t>
        </is>
      </c>
      <c r="G130" t="inlineStr">
        <is>
          <t>Narin Primary</t>
        </is>
      </c>
      <c r="H130" t="inlineStr">
        <is>
          <t>Weapon: FARMABLE / ACCOUNT-BOUND</t>
        </is>
      </c>
      <c r="I130" t="inlineStr">
        <is>
          <t>None</t>
        </is>
      </c>
    </row>
    <row r="131">
      <c r="A131" t="inlineStr">
        <is>
          <t>Steflos Prime</t>
        </is>
      </c>
      <c r="B131" t="inlineStr">
        <is>
          <t>U44.0 (Citrine Prime, Narin)</t>
        </is>
      </c>
      <c r="C131" t="inlineStr">
        <is>
          <t>Primary</t>
        </is>
      </c>
      <c r="D131" t="inlineStr">
        <is>
          <t>Shotgun</t>
        </is>
      </c>
      <c r="E131" t="inlineStr">
        <is>
          <t>Signature - Citrine Prime</t>
        </is>
      </c>
      <c r="F131" t="inlineStr">
        <is>
          <t>YES</t>
        </is>
      </c>
      <c r="G131" t="inlineStr">
        <is>
          <t>Citrine Prime Primary</t>
        </is>
      </c>
      <c r="H131" t="inlineStr">
        <is>
          <t>Weapon: OK R=74p</t>
        </is>
      </c>
      <c r="I131" t="inlineStr">
        <is>
          <t>None</t>
        </is>
      </c>
    </row>
    <row r="132">
      <c r="A132" t="inlineStr">
        <is>
          <t>Grasp of Lohk</t>
        </is>
      </c>
      <c r="B132" t="inlineStr">
        <is>
          <t>-</t>
        </is>
      </c>
      <c r="C132" t="inlineStr">
        <is>
          <t>Ability weapon</t>
        </is>
      </c>
      <c r="D132" t="inlineStr">
        <is>
          <t>Ability weapon</t>
        </is>
      </c>
      <c r="E132" t="inlineStr">
        <is>
          <t>Intrinsic - Xaku Prime</t>
        </is>
      </c>
      <c r="F132" t="inlineStr">
        <is>
          <t>YES</t>
        </is>
      </c>
      <c r="G132" t="inlineStr">
        <is>
          <t>Xaku Prime (Additional (no slot replacement))</t>
        </is>
      </c>
      <c r="H132" t="inlineStr">
        <is>
          <t>Exalted / Intrinsic: INCLUDED WITH FRAME</t>
        </is>
      </c>
      <c r="I132" t="inlineStr">
        <is>
          <t>None</t>
        </is>
      </c>
    </row>
    <row r="133">
      <c r="A133" t="inlineStr">
        <is>
          <t>Ulfrun's Descent</t>
        </is>
      </c>
      <c r="B133" t="inlineStr">
        <is>
          <t>-</t>
        </is>
      </c>
      <c r="C133" t="inlineStr">
        <is>
          <t>Ability form</t>
        </is>
      </c>
      <c r="D133" t="inlineStr">
        <is>
          <t>Ability form</t>
        </is>
      </c>
      <c r="E133" t="inlineStr">
        <is>
          <t>Intrinsic - Voruna Prime</t>
        </is>
      </c>
      <c r="F133" t="inlineStr">
        <is>
          <t>YES</t>
        </is>
      </c>
      <c r="G133" t="inlineStr">
        <is>
          <t>Voruna Prime (Additional (no slot replacement))</t>
        </is>
      </c>
      <c r="H133" t="inlineStr">
        <is>
          <t>Exalted / Intrinsic: INCLUDED WITH FRAME</t>
        </is>
      </c>
      <c r="I133" t="inlineStr">
        <is>
          <t>None</t>
        </is>
      </c>
    </row>
    <row r="134">
      <c r="A134" t="inlineStr">
        <is>
          <t>Nurinarim</t>
        </is>
      </c>
      <c r="B134" t="inlineStr">
        <is>
          <t>-</t>
        </is>
      </c>
      <c r="C134" t="inlineStr">
        <is>
          <t>Ability (Update 44)</t>
        </is>
      </c>
      <c r="D134" t="inlineStr">
        <is>
          <t>Ability (Update 44)</t>
        </is>
      </c>
      <c r="E134" t="inlineStr">
        <is>
          <t>Intrinsic - Narin</t>
        </is>
      </c>
      <c r="F134" t="inlineStr">
        <is>
          <t>YES</t>
        </is>
      </c>
      <c r="G134" t="inlineStr">
        <is>
          <t>Narin (Additional (no slot replacement))</t>
        </is>
      </c>
      <c r="H134" t="inlineStr">
        <is>
          <t>Exalted / Intrinsic: INCLUDED WITH FRAME</t>
        </is>
      </c>
      <c r="I134" t="inlineStr">
        <is>
          <t>None</t>
        </is>
      </c>
    </row>
    <row r="135">
      <c r="A135" t="inlineStr">
        <is>
          <t>Nautilus Prime</t>
        </is>
      </c>
      <c r="B135" t="inlineStr">
        <is>
          <t>-</t>
        </is>
      </c>
      <c r="C135" t="inlineStr">
        <is>
          <t>Companion (U36.1, Sevagoth Prime Access)</t>
        </is>
      </c>
      <c r="D135" t="inlineStr">
        <is>
          <t>Companion (U36.1, Sevagoth Prime Access)</t>
        </is>
      </c>
      <c r="E135" t="inlineStr">
        <is>
          <t>Companion</t>
        </is>
      </c>
      <c r="F135" t="inlineStr">
        <is>
          <t>YES</t>
        </is>
      </c>
      <c r="G135" t="inlineStr">
        <is>
          <t xml:space="preserve"> (Companion)</t>
        </is>
      </c>
      <c r="H135" t="inlineStr">
        <is>
          <t>Companion: OK</t>
        </is>
      </c>
      <c r="I135" t="inlineStr">
        <is>
          <t>None</t>
        </is>
      </c>
    </row>
  </sheetData>
  <autoFilter ref="A1:I13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style="26" min="1" max="1"/>
    <col width="34" customWidth="1" style="26" min="2" max="2"/>
    <col width="10" customWidth="1" style="26" min="3" max="3"/>
    <col width="70" customWidth="1" style="26" min="4" max="4"/>
    <col width="36" customWidth="1" style="26" min="5" max="5"/>
  </cols>
  <sheetData>
    <row r="1">
      <c r="A1" s="51" t="inlineStr">
        <is>
          <t>Item</t>
        </is>
      </c>
      <c r="B1" s="51" t="inlineStr">
        <is>
          <t>Type</t>
        </is>
      </c>
      <c r="C1" s="51" t="inlineStr">
        <is>
          <t>Frame</t>
        </is>
      </c>
      <c r="D1" s="51" t="inlineStr">
        <is>
          <t>Notes</t>
        </is>
      </c>
      <c r="E1" s="51" t="inlineStr">
        <is>
          <t>Status</t>
        </is>
      </c>
    </row>
    <row r="2">
      <c r="A2" t="inlineStr">
        <is>
          <t>Brysko</t>
        </is>
      </c>
      <c r="B2" t="inlineStr">
        <is>
          <t>Warframe</t>
        </is>
      </c>
      <c r="C2" t="inlineStr">
        <is>
          <t>Brysko</t>
        </is>
      </c>
      <c r="D2" t="inlineStr">
        <is>
          <t>Tau update (Winter 2026). Comes with his own Hound companion</t>
        </is>
      </c>
      <c r="E2" t="inlineStr">
        <is>
          <t>UPCOMING - EXCLUDED FROM LIVE COST</t>
        </is>
      </c>
    </row>
    <row r="3">
      <c r="A3" t="inlineStr">
        <is>
          <t>Corecracker</t>
        </is>
      </c>
      <c r="B3" t="inlineStr">
        <is>
          <t>Exalted Secondary (Sentient revolver)</t>
        </is>
      </c>
      <c r="C3" t="inlineStr">
        <is>
          <t>Brysko</t>
        </is>
      </c>
      <c r="D3" t="inlineStr">
        <is>
          <t>Brysko Exalted; expected Secondary-replacement candidate - rule on release</t>
        </is>
      </c>
      <c r="E3" t="inlineStr">
        <is>
          <t>UPCOMING - EXCLUDED FROM LIVE COST</t>
        </is>
      </c>
    </row>
    <row r="4">
      <c r="A4" t="inlineStr">
        <is>
          <t>Rain &amp; Shine</t>
        </is>
      </c>
      <c r="B4" t="inlineStr">
        <is>
          <t>Melee (Sentient Fist)</t>
        </is>
      </c>
      <c r="C4" t="inlineStr">
        <is>
          <t>Brysko</t>
        </is>
      </c>
      <c r="D4" t="inlineStr">
        <is>
          <t>Announced with Tau; Brysko melee candidate</t>
        </is>
      </c>
      <c r="E4" t="inlineStr">
        <is>
          <t>UPCOMING - EXCLUDED FROM LIVE COST</t>
        </is>
      </c>
    </row>
    <row r="5">
      <c r="A5" t="inlineStr">
        <is>
          <t>Brysko Hound</t>
        </is>
      </c>
      <c r="B5" t="inlineStr">
        <is>
          <t>Companion (Hound)</t>
        </is>
      </c>
      <c r="C5" t="inlineStr">
        <is>
          <t>Brysko</t>
        </is>
      </c>
      <c r="D5" t="inlineStr">
        <is>
          <t>Bundled companion; adds a companion slot when live</t>
        </is>
      </c>
      <c r="E5" t="inlineStr">
        <is>
          <t>UPCOMING - EXCLUDED FROM LIVE COST</t>
        </is>
      </c>
    </row>
    <row r="6">
      <c r="A6" t="inlineStr">
        <is>
          <t>Unnamed Sentient Shotgun</t>
        </is>
      </c>
      <c r="B6" t="inlineStr">
        <is>
          <t>Primary (Shotgun)</t>
        </is>
      </c>
      <c r="C6" t="inlineStr">
        <is>
          <t>Brysko</t>
        </is>
      </c>
      <c r="D6" t="inlineStr">
        <is>
          <t>Shown in Tau concept art</t>
        </is>
      </c>
      <c r="E6" t="inlineStr">
        <is>
          <t>UPCOMING - EXCLUDED FROM LIVE COST</t>
        </is>
      </c>
    </row>
    <row r="7">
      <c r="A7" t="inlineStr">
        <is>
          <t>Tigris Incarnon Adapter</t>
        </is>
      </c>
      <c r="B7" t="inlineStr">
        <is>
          <t>Incarnon</t>
        </is>
      </c>
      <c r="C7" t="inlineStr">
        <is>
          <t>Nekros Prime</t>
        </is>
      </c>
      <c r="D7" t="inlineStr">
        <is>
          <t>Announced 2026-04-24; not live in weapon data. Affects Nekros (Tigris Prime) when released</t>
        </is>
      </c>
      <c r="E7" t="inlineStr">
        <is>
          <t>UPCOMING - EXCLUDED FROM LIVE COST</t>
        </is>
      </c>
    </row>
  </sheetData>
  <autoFilter ref="A1:E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style="26" min="1" max="1"/>
    <col width="24" customWidth="1" style="26" min="2" max="2"/>
    <col width="24" customWidth="1" style="26" min="3" max="3"/>
    <col width="24" customWidth="1" style="26" min="4" max="4"/>
    <col width="20" customWidth="1" style="26" min="5" max="5"/>
    <col width="20" customWidth="1" style="26" min="6" max="6"/>
    <col width="20" customWidth="1" style="26" min="7" max="7"/>
    <col width="24" customWidth="1" style="26" min="8" max="8"/>
  </cols>
  <sheetData>
    <row r="1">
      <c r="A1" s="51" t="inlineStr">
        <is>
          <t>Frame</t>
        </is>
      </c>
      <c r="B1" s="51" t="inlineStr">
        <is>
          <t>Primary</t>
        </is>
      </c>
      <c r="C1" s="51" t="inlineStr">
        <is>
          <t>Secondary</t>
        </is>
      </c>
      <c r="D1" s="51" t="inlineStr">
        <is>
          <t>Melee</t>
        </is>
      </c>
      <c r="E1" s="51" t="inlineStr">
        <is>
          <t>v3 Primary</t>
        </is>
      </c>
      <c r="F1" s="51" t="inlineStr">
        <is>
          <t>v3 Secondary</t>
        </is>
      </c>
      <c r="G1" s="51" t="inlineStr">
        <is>
          <t>v3 Melee</t>
        </is>
      </c>
      <c r="H1" s="51" t="inlineStr">
        <is>
          <t>Changed slots</t>
        </is>
      </c>
    </row>
    <row r="2">
      <c r="A2" t="inlineStr">
        <is>
          <t>Ash Prime</t>
        </is>
      </c>
      <c r="B2" t="inlineStr">
        <is>
          <t>Vectis Prime</t>
        </is>
      </c>
      <c r="C2" t="inlineStr">
        <is>
          <t>Tenet Plinx</t>
        </is>
      </c>
      <c r="D2" t="inlineStr">
        <is>
          <t>Innodem</t>
        </is>
      </c>
      <c r="E2" t="inlineStr">
        <is>
          <t>Vectis Prime</t>
        </is>
      </c>
      <c r="F2" t="inlineStr">
        <is>
          <t>Tenet Plinx</t>
        </is>
      </c>
      <c r="G2" t="inlineStr">
        <is>
          <t>Innodem</t>
        </is>
      </c>
      <c r="H2" t="inlineStr">
        <is>
          <t>-</t>
        </is>
      </c>
    </row>
    <row r="3">
      <c r="A3" t="inlineStr">
        <is>
          <t>Atlas Prime</t>
        </is>
      </c>
      <c r="B3" t="inlineStr">
        <is>
          <t>Kuva Hek</t>
        </is>
      </c>
      <c r="C3" t="inlineStr">
        <is>
          <t>Atomos</t>
        </is>
      </c>
      <c r="D3" t="inlineStr">
        <is>
          <t>Tekko Prime</t>
        </is>
      </c>
      <c r="E3" t="inlineStr">
        <is>
          <t>Kuva Hek</t>
        </is>
      </c>
      <c r="F3" t="inlineStr">
        <is>
          <t>Atomos</t>
        </is>
      </c>
      <c r="G3" t="inlineStr">
        <is>
          <t>Tekko Prime</t>
        </is>
      </c>
      <c r="H3" t="inlineStr">
        <is>
          <t>-</t>
        </is>
      </c>
    </row>
    <row r="4">
      <c r="A4" t="inlineStr">
        <is>
          <t>Banshee Prime</t>
        </is>
      </c>
      <c r="B4" t="inlineStr">
        <is>
          <t>Latron Prime</t>
        </is>
      </c>
      <c r="C4" t="inlineStr">
        <is>
          <t>Euphona Prime</t>
        </is>
      </c>
      <c r="D4" t="inlineStr">
        <is>
          <t>Kogake Prime</t>
        </is>
      </c>
      <c r="E4" t="inlineStr">
        <is>
          <t>Latron Prime</t>
        </is>
      </c>
      <c r="F4" t="inlineStr">
        <is>
          <t>Euphona Prime</t>
        </is>
      </c>
      <c r="G4" t="inlineStr">
        <is>
          <t>Kogake Prime</t>
        </is>
      </c>
      <c r="H4" t="inlineStr">
        <is>
          <t>-</t>
        </is>
      </c>
    </row>
    <row r="5">
      <c r="A5" t="inlineStr">
        <is>
          <t>Baruuk Prime</t>
        </is>
      </c>
      <c r="B5" s="52" t="inlineStr">
        <is>
          <t>Paris Prime</t>
        </is>
      </c>
      <c r="C5" t="inlineStr">
        <is>
          <t>Tenet Diplos</t>
        </is>
      </c>
      <c r="D5" t="inlineStr">
        <is>
          <t>Desert Wind Prime</t>
        </is>
      </c>
      <c r="E5" t="inlineStr">
        <is>
          <t>OPEN</t>
        </is>
      </c>
      <c r="F5" t="inlineStr">
        <is>
          <t>Tenet Diplos</t>
        </is>
      </c>
      <c r="G5" t="inlineStr">
        <is>
          <t>Desert Wind Prime</t>
        </is>
      </c>
      <c r="H5" t="inlineStr">
        <is>
          <t>Primary</t>
        </is>
      </c>
    </row>
    <row r="6">
      <c r="A6" t="inlineStr">
        <is>
          <t>Caliban Prime</t>
        </is>
      </c>
      <c r="B6" t="inlineStr">
        <is>
          <t>Vadarya Prime</t>
        </is>
      </c>
      <c r="C6" t="inlineStr">
        <is>
          <t>Tenet Detron</t>
        </is>
      </c>
      <c r="D6" t="inlineStr">
        <is>
          <t>Venato Prime</t>
        </is>
      </c>
      <c r="E6" t="inlineStr">
        <is>
          <t>Vadarya Prime</t>
        </is>
      </c>
      <c r="F6" t="inlineStr">
        <is>
          <t>Tenet Detron</t>
        </is>
      </c>
      <c r="G6" t="inlineStr">
        <is>
          <t>Venato Prime</t>
        </is>
      </c>
      <c r="H6" t="inlineStr">
        <is>
          <t>-</t>
        </is>
      </c>
    </row>
    <row r="7">
      <c r="A7" t="inlineStr">
        <is>
          <t>Chroma Prime</t>
        </is>
      </c>
      <c r="B7" t="inlineStr">
        <is>
          <t>Opticor Vandal</t>
        </is>
      </c>
      <c r="C7" t="inlineStr">
        <is>
          <t>Lato Vandal</t>
        </is>
      </c>
      <c r="D7" t="inlineStr">
        <is>
          <t>Gram Prime</t>
        </is>
      </c>
      <c r="E7" t="inlineStr">
        <is>
          <t>Opticor Vandal</t>
        </is>
      </c>
      <c r="F7" t="inlineStr">
        <is>
          <t>Lato Vandal</t>
        </is>
      </c>
      <c r="G7" t="inlineStr">
        <is>
          <t>Gram Prime</t>
        </is>
      </c>
      <c r="H7" t="inlineStr">
        <is>
          <t>-</t>
        </is>
      </c>
    </row>
    <row r="8">
      <c r="A8" t="inlineStr">
        <is>
          <t>Citrine Prime</t>
        </is>
      </c>
      <c r="B8" t="inlineStr">
        <is>
          <t>Steflos Prime</t>
        </is>
      </c>
      <c r="C8" t="inlineStr">
        <is>
          <t>Catabolyst</t>
        </is>
      </c>
      <c r="D8" t="inlineStr">
        <is>
          <t>Corufell Prime</t>
        </is>
      </c>
      <c r="E8" t="inlineStr">
        <is>
          <t>Steflos Prime</t>
        </is>
      </c>
      <c r="F8" t="inlineStr">
        <is>
          <t>Catabolyst</t>
        </is>
      </c>
      <c r="G8" t="inlineStr">
        <is>
          <t>Corufell Prime</t>
        </is>
      </c>
      <c r="H8" t="inlineStr">
        <is>
          <t>-</t>
        </is>
      </c>
    </row>
    <row r="9">
      <c r="A9" t="inlineStr">
        <is>
          <t>Cyte-09</t>
        </is>
      </c>
      <c r="B9" t="inlineStr">
        <is>
          <t>Neutralizer</t>
        </is>
      </c>
      <c r="C9" t="inlineStr">
        <is>
          <t>Lex Prime</t>
        </is>
      </c>
      <c r="D9" t="inlineStr">
        <is>
          <t>Rakta Dark Dagger</t>
        </is>
      </c>
      <c r="E9" t="inlineStr">
        <is>
          <t>Neutralizer</t>
        </is>
      </c>
      <c r="F9" t="inlineStr">
        <is>
          <t>Lex Prime</t>
        </is>
      </c>
      <c r="G9" t="inlineStr">
        <is>
          <t>Rakta Dark Dagger</t>
        </is>
      </c>
      <c r="H9" t="inlineStr">
        <is>
          <t>-</t>
        </is>
      </c>
    </row>
    <row r="10">
      <c r="A10" t="inlineStr">
        <is>
          <t>Dagath</t>
        </is>
      </c>
      <c r="B10" t="inlineStr">
        <is>
          <t>Cinta</t>
        </is>
      </c>
      <c r="C10" t="inlineStr">
        <is>
          <t>Zylok Prime</t>
        </is>
      </c>
      <c r="D10" t="inlineStr">
        <is>
          <t>Dorrclave</t>
        </is>
      </c>
      <c r="E10" t="inlineStr">
        <is>
          <t>Cinta</t>
        </is>
      </c>
      <c r="F10" t="inlineStr">
        <is>
          <t>Zylok Prime</t>
        </is>
      </c>
      <c r="G10" t="inlineStr">
        <is>
          <t>Dorrclave</t>
        </is>
      </c>
      <c r="H10" t="inlineStr">
        <is>
          <t>-</t>
        </is>
      </c>
    </row>
    <row r="11">
      <c r="A11" t="inlineStr">
        <is>
          <t>Dante</t>
        </is>
      </c>
      <c r="B11" s="52" t="inlineStr">
        <is>
          <t>Phenmor</t>
        </is>
      </c>
      <c r="C11" t="inlineStr">
        <is>
          <t>Onos</t>
        </is>
      </c>
      <c r="D11" s="52" t="inlineStr">
        <is>
          <t>Ruvox</t>
        </is>
      </c>
      <c r="E11" t="inlineStr">
        <is>
          <t>Ruvox</t>
        </is>
      </c>
      <c r="F11" t="inlineStr">
        <is>
          <t>Onos</t>
        </is>
      </c>
      <c r="G11" t="inlineStr">
        <is>
          <t>Ekhein</t>
        </is>
      </c>
      <c r="H11" t="inlineStr">
        <is>
          <t>Primary; Melee</t>
        </is>
      </c>
    </row>
    <row r="12">
      <c r="A12" t="inlineStr">
        <is>
          <t>Ember Prime</t>
        </is>
      </c>
      <c r="B12" t="inlineStr">
        <is>
          <t>Ignis Wraith</t>
        </is>
      </c>
      <c r="C12" t="inlineStr">
        <is>
          <t>Kuva Nukor</t>
        </is>
      </c>
      <c r="D12" t="inlineStr">
        <is>
          <t>Jat Kittag</t>
        </is>
      </c>
      <c r="E12" t="inlineStr">
        <is>
          <t>Ignis Wraith</t>
        </is>
      </c>
      <c r="F12" t="inlineStr">
        <is>
          <t>Kuva Nukor</t>
        </is>
      </c>
      <c r="G12" t="inlineStr">
        <is>
          <t>Jat Kittag</t>
        </is>
      </c>
      <c r="H12" t="inlineStr">
        <is>
          <t>-</t>
        </is>
      </c>
    </row>
    <row r="13">
      <c r="A13" t="inlineStr">
        <is>
          <t>Equinox Prime</t>
        </is>
      </c>
      <c r="B13" t="inlineStr">
        <is>
          <t>Burston Prime</t>
        </is>
      </c>
      <c r="C13" t="inlineStr">
        <is>
          <t>Dual Toxocyst</t>
        </is>
      </c>
      <c r="D13" t="inlineStr">
        <is>
          <t>Lesion</t>
        </is>
      </c>
      <c r="E13" t="inlineStr">
        <is>
          <t>Burston Prime</t>
        </is>
      </c>
      <c r="F13" t="inlineStr">
        <is>
          <t>Dual Toxocyst</t>
        </is>
      </c>
      <c r="G13" t="inlineStr">
        <is>
          <t>Lesion</t>
        </is>
      </c>
      <c r="H13" t="inlineStr">
        <is>
          <t>-</t>
        </is>
      </c>
    </row>
    <row r="14">
      <c r="A14" t="inlineStr">
        <is>
          <t>Excalibur Umbra</t>
        </is>
      </c>
      <c r="B14" t="inlineStr">
        <is>
          <t>Braton Prime</t>
        </is>
      </c>
      <c r="C14" t="inlineStr">
        <is>
          <t>Vasto Prime</t>
        </is>
      </c>
      <c r="D14" t="inlineStr">
        <is>
          <t>Exalted Umbra Blade</t>
        </is>
      </c>
      <c r="E14" t="inlineStr">
        <is>
          <t>Braton Prime</t>
        </is>
      </c>
      <c r="F14" t="inlineStr">
        <is>
          <t>Vasto Prime</t>
        </is>
      </c>
      <c r="G14" t="inlineStr">
        <is>
          <t>Exalted Umbra Blade</t>
        </is>
      </c>
      <c r="H14" t="inlineStr">
        <is>
          <t>-</t>
        </is>
      </c>
    </row>
    <row r="15">
      <c r="A15" t="inlineStr">
        <is>
          <t>Follie</t>
        </is>
      </c>
      <c r="B15" t="inlineStr">
        <is>
          <t>Enkaus</t>
        </is>
      </c>
      <c r="C15" t="inlineStr">
        <is>
          <t>Staticor</t>
        </is>
      </c>
      <c r="D15" t="inlineStr">
        <is>
          <t>Keratinos</t>
        </is>
      </c>
      <c r="E15" t="inlineStr">
        <is>
          <t>Enkaus</t>
        </is>
      </c>
      <c r="F15" t="inlineStr">
        <is>
          <t>Staticor</t>
        </is>
      </c>
      <c r="G15" t="inlineStr">
        <is>
          <t>Keratinos</t>
        </is>
      </c>
      <c r="H15" t="inlineStr">
        <is>
          <t>-</t>
        </is>
      </c>
    </row>
    <row r="16">
      <c r="A16" t="inlineStr">
        <is>
          <t>Frost Prime</t>
        </is>
      </c>
      <c r="B16" t="inlineStr">
        <is>
          <t>Glaxion Vandal</t>
        </is>
      </c>
      <c r="C16" t="inlineStr">
        <is>
          <t>Twin Kohmak</t>
        </is>
      </c>
      <c r="D16" t="inlineStr">
        <is>
          <t>Sibear</t>
        </is>
      </c>
      <c r="E16" t="inlineStr">
        <is>
          <t>Glaxion Vandal</t>
        </is>
      </c>
      <c r="F16" t="inlineStr">
        <is>
          <t>Twin Kohmak</t>
        </is>
      </c>
      <c r="G16" t="inlineStr">
        <is>
          <t>Sibear</t>
        </is>
      </c>
      <c r="H16" t="inlineStr">
        <is>
          <t>-</t>
        </is>
      </c>
    </row>
    <row r="17">
      <c r="A17" t="inlineStr">
        <is>
          <t>Gara Prime</t>
        </is>
      </c>
      <c r="B17" t="inlineStr">
        <is>
          <t>Astilla Prime</t>
        </is>
      </c>
      <c r="C17" t="inlineStr">
        <is>
          <t>Fusilai</t>
        </is>
      </c>
      <c r="D17" t="inlineStr">
        <is>
          <t>Volnus Prime</t>
        </is>
      </c>
      <c r="E17" t="inlineStr">
        <is>
          <t>Astilla Prime</t>
        </is>
      </c>
      <c r="F17" t="inlineStr">
        <is>
          <t>Fusilai</t>
        </is>
      </c>
      <c r="G17" t="inlineStr">
        <is>
          <t>Volnus Prime</t>
        </is>
      </c>
      <c r="H17" t="inlineStr">
        <is>
          <t>-</t>
        </is>
      </c>
    </row>
    <row r="18">
      <c r="A18" t="inlineStr">
        <is>
          <t>Garuda Prime</t>
        </is>
      </c>
      <c r="B18" t="inlineStr">
        <is>
          <t>Nagantaka Prime</t>
        </is>
      </c>
      <c r="C18" s="52" t="inlineStr">
        <is>
          <t>Despair</t>
        </is>
      </c>
      <c r="D18" t="inlineStr">
        <is>
          <t>Garuda Prime Talons</t>
        </is>
      </c>
      <c r="E18" t="inlineStr">
        <is>
          <t>Nagantaka Prime</t>
        </is>
      </c>
      <c r="F18" t="inlineStr">
        <is>
          <t>Zakti Prime</t>
        </is>
      </c>
      <c r="G18" t="inlineStr">
        <is>
          <t>Garuda Prime Talons</t>
        </is>
      </c>
      <c r="H18" t="inlineStr">
        <is>
          <t>Secondary</t>
        </is>
      </c>
    </row>
    <row r="19">
      <c r="A19" t="inlineStr">
        <is>
          <t>Gauss Prime</t>
        </is>
      </c>
      <c r="B19" t="inlineStr">
        <is>
          <t>Acceltra Prime</t>
        </is>
      </c>
      <c r="C19" t="inlineStr">
        <is>
          <t>Akarius Prime</t>
        </is>
      </c>
      <c r="D19" t="inlineStr">
        <is>
          <t>Praedos</t>
        </is>
      </c>
      <c r="E19" t="inlineStr">
        <is>
          <t>Acceltra Prime</t>
        </is>
      </c>
      <c r="F19" t="inlineStr">
        <is>
          <t>Akarius Prime</t>
        </is>
      </c>
      <c r="G19" t="inlineStr">
        <is>
          <t>Praedos</t>
        </is>
      </c>
      <c r="H19" t="inlineStr">
        <is>
          <t>-</t>
        </is>
      </c>
    </row>
    <row r="20">
      <c r="A20" t="inlineStr">
        <is>
          <t>Grendel Prime</t>
        </is>
      </c>
      <c r="B20" t="inlineStr">
        <is>
          <t>Trumna</t>
        </is>
      </c>
      <c r="C20" t="inlineStr">
        <is>
          <t>Sepulcrum</t>
        </is>
      </c>
      <c r="D20" t="inlineStr">
        <is>
          <t>Masseter Prime</t>
        </is>
      </c>
      <c r="E20" t="inlineStr">
        <is>
          <t>Trumna</t>
        </is>
      </c>
      <c r="F20" t="inlineStr">
        <is>
          <t>Sepulcrum</t>
        </is>
      </c>
      <c r="G20" t="inlineStr">
        <is>
          <t>Masseter Prime</t>
        </is>
      </c>
      <c r="H20" t="inlineStr">
        <is>
          <t>-</t>
        </is>
      </c>
    </row>
    <row r="21">
      <c r="A21" t="inlineStr">
        <is>
          <t>Gyre Prime</t>
        </is>
      </c>
      <c r="B21" t="inlineStr">
        <is>
          <t>Alternox Prime</t>
        </is>
      </c>
      <c r="C21" t="inlineStr">
        <is>
          <t>Prisma Angstrum</t>
        </is>
      </c>
      <c r="D21" t="inlineStr">
        <is>
          <t>Kestrel Prime</t>
        </is>
      </c>
      <c r="E21" t="inlineStr">
        <is>
          <t>Alternox Prime</t>
        </is>
      </c>
      <c r="F21" t="inlineStr">
        <is>
          <t>Prisma Angstrum</t>
        </is>
      </c>
      <c r="G21" t="inlineStr">
        <is>
          <t>Kestrel Prime</t>
        </is>
      </c>
      <c r="H21" t="inlineStr">
        <is>
          <t>-</t>
        </is>
      </c>
    </row>
    <row r="22">
      <c r="A22" t="inlineStr">
        <is>
          <t>Harrow Prime</t>
        </is>
      </c>
      <c r="B22" t="inlineStr">
        <is>
          <t>Scourge Prime</t>
        </is>
      </c>
      <c r="C22" t="inlineStr">
        <is>
          <t>Knell Prime</t>
        </is>
      </c>
      <c r="D22" t="inlineStr">
        <is>
          <t>Dual Keres</t>
        </is>
      </c>
      <c r="E22" t="inlineStr">
        <is>
          <t>Scourge Prime</t>
        </is>
      </c>
      <c r="F22" t="inlineStr">
        <is>
          <t>Knell Prime</t>
        </is>
      </c>
      <c r="G22" t="inlineStr">
        <is>
          <t>Dual Keres</t>
        </is>
      </c>
      <c r="H22" t="inlineStr">
        <is>
          <t>-</t>
        </is>
      </c>
    </row>
    <row r="23">
      <c r="A23" t="inlineStr">
        <is>
          <t>Hildryn Prime</t>
        </is>
      </c>
      <c r="B23" s="52" t="inlineStr">
        <is>
          <t>Gorgon Wraith</t>
        </is>
      </c>
      <c r="C23" t="inlineStr">
        <is>
          <t>Balefire Charger Prime</t>
        </is>
      </c>
      <c r="D23" t="inlineStr">
        <is>
          <t>Hirudo</t>
        </is>
      </c>
      <c r="E23" t="inlineStr">
        <is>
          <t>Larkspur Prime</t>
        </is>
      </c>
      <c r="F23" t="inlineStr">
        <is>
          <t>Balefire Charger Prime</t>
        </is>
      </c>
      <c r="G23" t="inlineStr">
        <is>
          <t>Hirudo</t>
        </is>
      </c>
      <c r="H23" t="inlineStr">
        <is>
          <t>Primary</t>
        </is>
      </c>
    </row>
    <row r="24">
      <c r="A24" t="inlineStr">
        <is>
          <t>Hydroid Prime</t>
        </is>
      </c>
      <c r="B24" t="inlineStr">
        <is>
          <t>Kuva Sobek</t>
        </is>
      </c>
      <c r="C24" t="inlineStr">
        <is>
          <t>Pox</t>
        </is>
      </c>
      <c r="D24" t="inlineStr">
        <is>
          <t>Nami Skyla Prime</t>
        </is>
      </c>
      <c r="E24" t="inlineStr">
        <is>
          <t>Kuva Sobek</t>
        </is>
      </c>
      <c r="F24" t="inlineStr">
        <is>
          <t>Pox</t>
        </is>
      </c>
      <c r="G24" t="inlineStr">
        <is>
          <t>Nami Skyla Prime</t>
        </is>
      </c>
      <c r="H24" t="inlineStr">
        <is>
          <t>-</t>
        </is>
      </c>
    </row>
    <row r="25">
      <c r="A25" t="inlineStr">
        <is>
          <t>Inaros Prime</t>
        </is>
      </c>
      <c r="B25" t="inlineStr">
        <is>
          <t>Panthera Prime</t>
        </is>
      </c>
      <c r="C25" t="inlineStr">
        <is>
          <t>Zymos</t>
        </is>
      </c>
      <c r="D25" t="inlineStr">
        <is>
          <t>Karyst Prime</t>
        </is>
      </c>
      <c r="E25" t="inlineStr">
        <is>
          <t>Panthera Prime</t>
        </is>
      </c>
      <c r="F25" t="inlineStr">
        <is>
          <t>Zymos</t>
        </is>
      </c>
      <c r="G25" t="inlineStr">
        <is>
          <t>Karyst Prime</t>
        </is>
      </c>
      <c r="H25" t="inlineStr">
        <is>
          <t>-</t>
        </is>
      </c>
    </row>
    <row r="26">
      <c r="A26" t="inlineStr">
        <is>
          <t>Ivara Prime</t>
        </is>
      </c>
      <c r="B26" t="inlineStr">
        <is>
          <t>Artemis Bow Prime</t>
        </is>
      </c>
      <c r="C26" t="inlineStr">
        <is>
          <t>Akstiletto Prime</t>
        </is>
      </c>
      <c r="D26" t="inlineStr">
        <is>
          <t>Cerata</t>
        </is>
      </c>
      <c r="E26" t="inlineStr">
        <is>
          <t>Artemis Bow Prime</t>
        </is>
      </c>
      <c r="F26" t="inlineStr">
        <is>
          <t>Akstiletto Prime</t>
        </is>
      </c>
      <c r="G26" t="inlineStr">
        <is>
          <t>Cerata</t>
        </is>
      </c>
      <c r="H26" t="inlineStr">
        <is>
          <t>-</t>
        </is>
      </c>
    </row>
    <row r="27">
      <c r="A27" t="inlineStr">
        <is>
          <t>Jade</t>
        </is>
      </c>
      <c r="B27" t="inlineStr">
        <is>
          <t>Evensong</t>
        </is>
      </c>
      <c r="C27" t="inlineStr">
        <is>
          <t>Cantare</t>
        </is>
      </c>
      <c r="D27" t="inlineStr">
        <is>
          <t>Harmony</t>
        </is>
      </c>
      <c r="E27" t="inlineStr">
        <is>
          <t>Evensong</t>
        </is>
      </c>
      <c r="F27" t="inlineStr">
        <is>
          <t>Cantare</t>
        </is>
      </c>
      <c r="G27" t="inlineStr">
        <is>
          <t>Harmony</t>
        </is>
      </c>
      <c r="H27" t="inlineStr">
        <is>
          <t>-</t>
        </is>
      </c>
    </row>
    <row r="28">
      <c r="A28" t="inlineStr">
        <is>
          <t>Khora Prime</t>
        </is>
      </c>
      <c r="B28" t="inlineStr">
        <is>
          <t>Corinth Prime</t>
        </is>
      </c>
      <c r="C28" t="inlineStr">
        <is>
          <t>Hystrix Prime</t>
        </is>
      </c>
      <c r="D28" t="inlineStr">
        <is>
          <t>Dual Keres Prime</t>
        </is>
      </c>
      <c r="E28" t="inlineStr">
        <is>
          <t>Corinth Prime</t>
        </is>
      </c>
      <c r="F28" t="inlineStr">
        <is>
          <t>Hystrix Prime</t>
        </is>
      </c>
      <c r="G28" t="inlineStr">
        <is>
          <t>Dual Keres Prime</t>
        </is>
      </c>
      <c r="H28" t="inlineStr">
        <is>
          <t>-</t>
        </is>
      </c>
    </row>
    <row r="29">
      <c r="A29" t="inlineStr">
        <is>
          <t>Koumei</t>
        </is>
      </c>
      <c r="B29" t="inlineStr">
        <is>
          <t>Higasa</t>
        </is>
      </c>
      <c r="C29" s="52" t="inlineStr">
        <is>
          <t>Kunai</t>
        </is>
      </c>
      <c r="D29" t="inlineStr">
        <is>
          <t>Amanata</t>
        </is>
      </c>
      <c r="E29" t="inlineStr">
        <is>
          <t>Higasa</t>
        </is>
      </c>
      <c r="F29" t="inlineStr">
        <is>
          <t>Kompressa</t>
        </is>
      </c>
      <c r="G29" t="inlineStr">
        <is>
          <t>Amanata</t>
        </is>
      </c>
      <c r="H29" t="inlineStr">
        <is>
          <t>Secondary</t>
        </is>
      </c>
    </row>
    <row r="30">
      <c r="A30" t="inlineStr">
        <is>
          <t>Kullervo</t>
        </is>
      </c>
      <c r="B30" t="inlineStr">
        <is>
          <t>Rauta</t>
        </is>
      </c>
      <c r="C30" t="inlineStr">
        <is>
          <t>Epitaph</t>
        </is>
      </c>
      <c r="D30" t="inlineStr">
        <is>
          <t>Azothane</t>
        </is>
      </c>
      <c r="E30" t="inlineStr">
        <is>
          <t>Rauta</t>
        </is>
      </c>
      <c r="F30" t="inlineStr">
        <is>
          <t>Epitaph</t>
        </is>
      </c>
      <c r="G30" t="inlineStr">
        <is>
          <t>Azothane</t>
        </is>
      </c>
      <c r="H30" t="inlineStr">
        <is>
          <t>-</t>
        </is>
      </c>
    </row>
    <row r="31">
      <c r="A31" t="inlineStr">
        <is>
          <t>Lavos Prime</t>
        </is>
      </c>
      <c r="B31" t="inlineStr">
        <is>
          <t>Cedo Prime</t>
        </is>
      </c>
      <c r="C31" t="inlineStr">
        <is>
          <t>Cyanex</t>
        </is>
      </c>
      <c r="D31" t="inlineStr">
        <is>
          <t>Dual Zoren Prime</t>
        </is>
      </c>
      <c r="E31" t="inlineStr">
        <is>
          <t>Cedo Prime</t>
        </is>
      </c>
      <c r="F31" t="inlineStr">
        <is>
          <t>Cyanex</t>
        </is>
      </c>
      <c r="G31" t="inlineStr">
        <is>
          <t>Dual Zoren Prime</t>
        </is>
      </c>
      <c r="H31" t="inlineStr">
        <is>
          <t>-</t>
        </is>
      </c>
    </row>
    <row r="32">
      <c r="A32" t="inlineStr">
        <is>
          <t>Limbo Prime</t>
        </is>
      </c>
      <c r="B32" t="inlineStr">
        <is>
          <t>Vectis</t>
        </is>
      </c>
      <c r="C32" t="inlineStr">
        <is>
          <t>Pyrana Prime</t>
        </is>
      </c>
      <c r="D32" t="inlineStr">
        <is>
          <t>Destreza Prime</t>
        </is>
      </c>
      <c r="E32" t="inlineStr">
        <is>
          <t>Vectis</t>
        </is>
      </c>
      <c r="F32" t="inlineStr">
        <is>
          <t>Pyrana Prime</t>
        </is>
      </c>
      <c r="G32" t="inlineStr">
        <is>
          <t>Destreza Prime</t>
        </is>
      </c>
      <c r="H32" t="inlineStr">
        <is>
          <t>-</t>
        </is>
      </c>
    </row>
    <row r="33">
      <c r="A33" t="inlineStr">
        <is>
          <t>Loki Prime</t>
        </is>
      </c>
      <c r="B33" t="inlineStr">
        <is>
          <t>Baza Prime</t>
        </is>
      </c>
      <c r="C33" t="inlineStr">
        <is>
          <t>Spira Prime</t>
        </is>
      </c>
      <c r="D33" t="inlineStr">
        <is>
          <t>Nikana Prime</t>
        </is>
      </c>
      <c r="E33" t="inlineStr">
        <is>
          <t>Baza Prime</t>
        </is>
      </c>
      <c r="F33" t="inlineStr">
        <is>
          <t>Spira Prime</t>
        </is>
      </c>
      <c r="G33" t="inlineStr">
        <is>
          <t>Nikana Prime</t>
        </is>
      </c>
      <c r="H33" t="inlineStr">
        <is>
          <t>-</t>
        </is>
      </c>
    </row>
    <row r="34">
      <c r="A34" t="inlineStr">
        <is>
          <t>Mag Prime</t>
        </is>
      </c>
      <c r="B34" t="inlineStr">
        <is>
          <t>Tenet Arca Plasmor</t>
        </is>
      </c>
      <c r="C34" t="inlineStr">
        <is>
          <t>Mara Detron</t>
        </is>
      </c>
      <c r="D34" t="inlineStr">
        <is>
          <t>Dakra Prime</t>
        </is>
      </c>
      <c r="E34" t="inlineStr">
        <is>
          <t>Tenet Arca Plasmor</t>
        </is>
      </c>
      <c r="F34" t="inlineStr">
        <is>
          <t>Mara Detron</t>
        </is>
      </c>
      <c r="G34" t="inlineStr">
        <is>
          <t>Dakra Prime</t>
        </is>
      </c>
      <c r="H34" t="inlineStr">
        <is>
          <t>-</t>
        </is>
      </c>
    </row>
    <row r="35">
      <c r="A35" t="inlineStr">
        <is>
          <t>Mesa Prime</t>
        </is>
      </c>
      <c r="B35" t="inlineStr">
        <is>
          <t>Cedo</t>
        </is>
      </c>
      <c r="C35" t="inlineStr">
        <is>
          <t>Akjagara Prime</t>
        </is>
      </c>
      <c r="D35" t="inlineStr">
        <is>
          <t>Regulators Prime</t>
        </is>
      </c>
      <c r="E35" t="inlineStr">
        <is>
          <t>Cedo</t>
        </is>
      </c>
      <c r="F35" t="inlineStr">
        <is>
          <t>Akjagara Prime</t>
        </is>
      </c>
      <c r="G35" t="inlineStr">
        <is>
          <t>Regulators Prime</t>
        </is>
      </c>
      <c r="H35" t="inlineStr">
        <is>
          <t>-</t>
        </is>
      </c>
    </row>
    <row r="36">
      <c r="A36" t="inlineStr">
        <is>
          <t>Mirage Prime</t>
        </is>
      </c>
      <c r="B36" t="inlineStr">
        <is>
          <t>Kuva Bramma</t>
        </is>
      </c>
      <c r="C36" s="52" t="inlineStr">
        <is>
          <t>Akzani</t>
        </is>
      </c>
      <c r="D36" t="inlineStr">
        <is>
          <t>Glaive Prime</t>
        </is>
      </c>
      <c r="E36" t="inlineStr">
        <is>
          <t>Kuva Bramma</t>
        </is>
      </c>
      <c r="F36" t="inlineStr">
        <is>
          <t>Prisma Twin Gremlins</t>
        </is>
      </c>
      <c r="G36" t="inlineStr">
        <is>
          <t>Glaive Prime</t>
        </is>
      </c>
      <c r="H36" t="inlineStr">
        <is>
          <t>Secondary</t>
        </is>
      </c>
    </row>
    <row r="37">
      <c r="A37" t="inlineStr">
        <is>
          <t>Narin</t>
        </is>
      </c>
      <c r="B37" t="inlineStr">
        <is>
          <t>Nunchasa</t>
        </is>
      </c>
      <c r="C37" t="inlineStr">
        <is>
          <t>Aksondol</t>
        </is>
      </c>
      <c r="D37" s="52" t="inlineStr">
        <is>
          <t>Prisma Skana</t>
        </is>
      </c>
      <c r="E37" t="inlineStr">
        <is>
          <t>Nunchasa</t>
        </is>
      </c>
      <c r="F37" t="inlineStr">
        <is>
          <t>Aksondol</t>
        </is>
      </c>
      <c r="G37" t="inlineStr">
        <is>
          <t>OPEN</t>
        </is>
      </c>
      <c r="H37" t="inlineStr">
        <is>
          <t>Melee</t>
        </is>
      </c>
    </row>
    <row r="38">
      <c r="A38" t="inlineStr">
        <is>
          <t>Nekros Prime</t>
        </is>
      </c>
      <c r="B38" t="inlineStr">
        <is>
          <t>Tigris Prime</t>
        </is>
      </c>
      <c r="C38" t="inlineStr">
        <is>
          <t>Twin Grakatas</t>
        </is>
      </c>
      <c r="D38" t="inlineStr">
        <is>
          <t>Galatine Prime</t>
        </is>
      </c>
      <c r="E38" t="inlineStr">
        <is>
          <t>Tigris Prime</t>
        </is>
      </c>
      <c r="F38" t="inlineStr">
        <is>
          <t>Twin Grakatas</t>
        </is>
      </c>
      <c r="G38" t="inlineStr">
        <is>
          <t>Galatine Prime</t>
        </is>
      </c>
      <c r="H38" t="inlineStr">
        <is>
          <t>-</t>
        </is>
      </c>
    </row>
    <row r="39">
      <c r="A39" t="inlineStr">
        <is>
          <t>Nezha Prime</t>
        </is>
      </c>
      <c r="B39" t="inlineStr">
        <is>
          <t>Proboscis Cernos</t>
        </is>
      </c>
      <c r="C39" t="inlineStr">
        <is>
          <t>Zakti Prime</t>
        </is>
      </c>
      <c r="D39" t="inlineStr">
        <is>
          <t>Guandao Prime</t>
        </is>
      </c>
      <c r="E39" t="inlineStr">
        <is>
          <t>Proboscis Cernos</t>
        </is>
      </c>
      <c r="F39" t="inlineStr">
        <is>
          <t>Zakti Prime</t>
        </is>
      </c>
      <c r="G39" t="inlineStr">
        <is>
          <t>Guandao Prime</t>
        </is>
      </c>
      <c r="H39" t="inlineStr">
        <is>
          <t>-</t>
        </is>
      </c>
    </row>
    <row r="40">
      <c r="A40" t="inlineStr">
        <is>
          <t>Nidus Prime</t>
        </is>
      </c>
      <c r="B40" t="inlineStr">
        <is>
          <t>Strun Prime</t>
        </is>
      </c>
      <c r="C40" t="inlineStr">
        <is>
          <t>Magnus Prime</t>
        </is>
      </c>
      <c r="D40" t="inlineStr">
        <is>
          <t>Pathocyst</t>
        </is>
      </c>
      <c r="E40" t="inlineStr">
        <is>
          <t>Strun Prime</t>
        </is>
      </c>
      <c r="F40" t="inlineStr">
        <is>
          <t>Magnus Prime</t>
        </is>
      </c>
      <c r="G40" t="inlineStr">
        <is>
          <t>Pathocyst</t>
        </is>
      </c>
      <c r="H40" t="inlineStr">
        <is>
          <t>-</t>
        </is>
      </c>
    </row>
    <row r="41">
      <c r="A41" t="inlineStr">
        <is>
          <t>Nokko</t>
        </is>
      </c>
      <c r="B41" s="52" t="inlineStr">
        <is>
          <t>Sporothrix</t>
        </is>
      </c>
      <c r="C41" s="52" t="inlineStr">
        <is>
          <t>Ocucor</t>
        </is>
      </c>
      <c r="D41" s="52" t="inlineStr">
        <is>
          <t>Mios</t>
        </is>
      </c>
      <c r="E41" t="inlineStr">
        <is>
          <t>OPEN</t>
        </is>
      </c>
      <c r="F41" t="inlineStr">
        <is>
          <t>OPEN</t>
        </is>
      </c>
      <c r="G41" t="inlineStr">
        <is>
          <t>OPEN</t>
        </is>
      </c>
      <c r="H41" t="inlineStr">
        <is>
          <t>Primary; Secondary; Melee</t>
        </is>
      </c>
    </row>
    <row r="42">
      <c r="A42" t="inlineStr">
        <is>
          <t>Nova Prime</t>
        </is>
      </c>
      <c r="B42" t="inlineStr">
        <is>
          <t>Soma Prime</t>
        </is>
      </c>
      <c r="C42" t="inlineStr">
        <is>
          <t>Aksomati Prime</t>
        </is>
      </c>
      <c r="D42" t="inlineStr">
        <is>
          <t>Gunsen Prime</t>
        </is>
      </c>
      <c r="E42" t="inlineStr">
        <is>
          <t>Soma Prime</t>
        </is>
      </c>
      <c r="F42" t="inlineStr">
        <is>
          <t>Aksomati Prime</t>
        </is>
      </c>
      <c r="G42" t="inlineStr">
        <is>
          <t>Gunsen Prime</t>
        </is>
      </c>
      <c r="H42" t="inlineStr">
        <is>
          <t>-</t>
        </is>
      </c>
    </row>
    <row r="43">
      <c r="A43" t="inlineStr">
        <is>
          <t>Nyx Prime</t>
        </is>
      </c>
      <c r="B43" t="inlineStr">
        <is>
          <t>Synapse</t>
        </is>
      </c>
      <c r="C43" t="inlineStr">
        <is>
          <t>Hikou Prime</t>
        </is>
      </c>
      <c r="D43" t="inlineStr">
        <is>
          <t>Scindo Prime</t>
        </is>
      </c>
      <c r="E43" t="inlineStr">
        <is>
          <t>Synapse</t>
        </is>
      </c>
      <c r="F43" t="inlineStr">
        <is>
          <t>Hikou Prime</t>
        </is>
      </c>
      <c r="G43" t="inlineStr">
        <is>
          <t>Scindo Prime</t>
        </is>
      </c>
      <c r="H43" t="inlineStr">
        <is>
          <t>-</t>
        </is>
      </c>
    </row>
    <row r="44">
      <c r="A44" t="inlineStr">
        <is>
          <t>Oberon Prime</t>
        </is>
      </c>
      <c r="B44" t="inlineStr">
        <is>
          <t>Sybaris Prime</t>
        </is>
      </c>
      <c r="C44" t="inlineStr">
        <is>
          <t>Sicarus Prime</t>
        </is>
      </c>
      <c r="D44" t="inlineStr">
        <is>
          <t>Silva &amp; Aegis Prime</t>
        </is>
      </c>
      <c r="E44" t="inlineStr">
        <is>
          <t>Sybaris Prime</t>
        </is>
      </c>
      <c r="F44" t="inlineStr">
        <is>
          <t>Sicarus Prime</t>
        </is>
      </c>
      <c r="G44" t="inlineStr">
        <is>
          <t>Silva &amp; Aegis Prime</t>
        </is>
      </c>
      <c r="H44" t="inlineStr">
        <is>
          <t>-</t>
        </is>
      </c>
    </row>
    <row r="45">
      <c r="A45" t="inlineStr">
        <is>
          <t>Octavia Prime</t>
        </is>
      </c>
      <c r="B45" t="inlineStr">
        <is>
          <t>Tenora Prime</t>
        </is>
      </c>
      <c r="C45" t="inlineStr">
        <is>
          <t>Pandero Prime</t>
        </is>
      </c>
      <c r="D45" t="inlineStr">
        <is>
          <t>Stropha</t>
        </is>
      </c>
      <c r="E45" t="inlineStr">
        <is>
          <t>Tenora Prime</t>
        </is>
      </c>
      <c r="F45" t="inlineStr">
        <is>
          <t>Pandero Prime</t>
        </is>
      </c>
      <c r="G45" t="inlineStr">
        <is>
          <t>Stropha</t>
        </is>
      </c>
      <c r="H45" t="inlineStr">
        <is>
          <t>-</t>
        </is>
      </c>
    </row>
    <row r="46">
      <c r="A46" t="inlineStr">
        <is>
          <t>Oraxia</t>
        </is>
      </c>
      <c r="B46" s="52" t="inlineStr">
        <is>
          <t>Torid</t>
        </is>
      </c>
      <c r="C46" t="inlineStr">
        <is>
          <t>Scyotid</t>
        </is>
      </c>
      <c r="D46" t="inlineStr">
        <is>
          <t>Spinnerex</t>
        </is>
      </c>
      <c r="E46" t="inlineStr">
        <is>
          <t>OPEN</t>
        </is>
      </c>
      <c r="F46" t="inlineStr">
        <is>
          <t>Scyotid</t>
        </is>
      </c>
      <c r="G46" t="inlineStr">
        <is>
          <t>Spinnerex</t>
        </is>
      </c>
      <c r="H46" t="inlineStr">
        <is>
          <t>Primary</t>
        </is>
      </c>
    </row>
    <row r="47">
      <c r="A47" t="inlineStr">
        <is>
          <t>Protea Prime</t>
        </is>
      </c>
      <c r="B47" t="inlineStr">
        <is>
          <t>Stahlta</t>
        </is>
      </c>
      <c r="C47" t="inlineStr">
        <is>
          <t>Velox Prime</t>
        </is>
      </c>
      <c r="D47" t="inlineStr">
        <is>
          <t>Okina Prime</t>
        </is>
      </c>
      <c r="E47" t="inlineStr">
        <is>
          <t>Stahlta</t>
        </is>
      </c>
      <c r="F47" t="inlineStr">
        <is>
          <t>Velox Prime</t>
        </is>
      </c>
      <c r="G47" t="inlineStr">
        <is>
          <t>Okina Prime</t>
        </is>
      </c>
      <c r="H47" t="inlineStr">
        <is>
          <t>-</t>
        </is>
      </c>
    </row>
    <row r="48">
      <c r="A48" t="inlineStr">
        <is>
          <t>Qorvex</t>
        </is>
      </c>
      <c r="B48" t="inlineStr">
        <is>
          <t>Felarx</t>
        </is>
      </c>
      <c r="C48" s="52" t="inlineStr">
        <is>
          <t>Bronco Prime</t>
        </is>
      </c>
      <c r="D48" s="52" t="inlineStr">
        <is>
          <t>Hate</t>
        </is>
      </c>
      <c r="E48" t="inlineStr">
        <is>
          <t>Felarx</t>
        </is>
      </c>
      <c r="F48" t="inlineStr">
        <is>
          <t>Laetum</t>
        </is>
      </c>
      <c r="G48" t="inlineStr">
        <is>
          <t>Quassus</t>
        </is>
      </c>
      <c r="H48" t="inlineStr">
        <is>
          <t>Secondary; Melee</t>
        </is>
      </c>
    </row>
    <row r="49">
      <c r="A49" t="inlineStr">
        <is>
          <t>Revenant Prime</t>
        </is>
      </c>
      <c r="B49" t="inlineStr">
        <is>
          <t>Phantasma Prime</t>
        </is>
      </c>
      <c r="C49" t="inlineStr">
        <is>
          <t>Tenet Cycron</t>
        </is>
      </c>
      <c r="D49" t="inlineStr">
        <is>
          <t>Tatsu Prime</t>
        </is>
      </c>
      <c r="E49" t="inlineStr">
        <is>
          <t>Phantasma Prime</t>
        </is>
      </c>
      <c r="F49" t="inlineStr">
        <is>
          <t>Tenet Cycron</t>
        </is>
      </c>
      <c r="G49" t="inlineStr">
        <is>
          <t>Tatsu Prime</t>
        </is>
      </c>
      <c r="H49" t="inlineStr">
        <is>
          <t>-</t>
        </is>
      </c>
    </row>
    <row r="50">
      <c r="A50" t="inlineStr">
        <is>
          <t>Rhino Prime</t>
        </is>
      </c>
      <c r="B50" t="inlineStr">
        <is>
          <t>Boltor Prime</t>
        </is>
      </c>
      <c r="C50" t="inlineStr">
        <is>
          <t>Viper Wraith</t>
        </is>
      </c>
      <c r="D50" t="inlineStr">
        <is>
          <t>Ankyros Prime</t>
        </is>
      </c>
      <c r="E50" t="inlineStr">
        <is>
          <t>Boltor Prime</t>
        </is>
      </c>
      <c r="F50" t="inlineStr">
        <is>
          <t>Viper Wraith</t>
        </is>
      </c>
      <c r="G50" t="inlineStr">
        <is>
          <t>Ankyros Prime</t>
        </is>
      </c>
      <c r="H50" t="inlineStr">
        <is>
          <t>-</t>
        </is>
      </c>
    </row>
    <row r="51">
      <c r="A51" t="inlineStr">
        <is>
          <t>Saryn Prime</t>
        </is>
      </c>
      <c r="B51" t="inlineStr">
        <is>
          <t>Kuva Ogris</t>
        </is>
      </c>
      <c r="C51" t="inlineStr">
        <is>
          <t>Pyrana</t>
        </is>
      </c>
      <c r="D51" t="inlineStr">
        <is>
          <t>Dual Ichor</t>
        </is>
      </c>
      <c r="E51" t="inlineStr">
        <is>
          <t>Kuva Ogris</t>
        </is>
      </c>
      <c r="F51" t="inlineStr">
        <is>
          <t>Pyrana</t>
        </is>
      </c>
      <c r="G51" t="inlineStr">
        <is>
          <t>Dual Ichor</t>
        </is>
      </c>
      <c r="H51" t="inlineStr">
        <is>
          <t>-</t>
        </is>
      </c>
    </row>
    <row r="52">
      <c r="A52" t="inlineStr">
        <is>
          <t>Sevagoth Prime</t>
        </is>
      </c>
      <c r="B52" t="inlineStr">
        <is>
          <t>Bubonico</t>
        </is>
      </c>
      <c r="C52" t="inlineStr">
        <is>
          <t>Epitaph Prime</t>
        </is>
      </c>
      <c r="D52" t="inlineStr">
        <is>
          <t>Shadow Claws Prime</t>
        </is>
      </c>
      <c r="E52" t="inlineStr">
        <is>
          <t>Bubonico</t>
        </is>
      </c>
      <c r="F52" t="inlineStr">
        <is>
          <t>Epitaph Prime</t>
        </is>
      </c>
      <c r="G52" t="inlineStr">
        <is>
          <t>Shadow Claws Prime</t>
        </is>
      </c>
      <c r="H52" t="inlineStr">
        <is>
          <t>-</t>
        </is>
      </c>
    </row>
    <row r="53">
      <c r="A53" t="inlineStr">
        <is>
          <t>Sirius &amp; Orion</t>
        </is>
      </c>
      <c r="B53" t="inlineStr">
        <is>
          <t>Battacor</t>
        </is>
      </c>
      <c r="C53" t="inlineStr">
        <is>
          <t>Spectra Vandal</t>
        </is>
      </c>
      <c r="D53" s="52" t="inlineStr">
        <is>
          <t>Pride</t>
        </is>
      </c>
      <c r="E53" t="inlineStr">
        <is>
          <t>Battacor</t>
        </is>
      </c>
      <c r="F53" t="inlineStr">
        <is>
          <t>Spectra Vandal</t>
        </is>
      </c>
      <c r="G53" t="inlineStr">
        <is>
          <t>Caustacyst</t>
        </is>
      </c>
      <c r="H53" t="inlineStr">
        <is>
          <t>Melee</t>
        </is>
      </c>
    </row>
    <row r="54">
      <c r="A54" t="inlineStr">
        <is>
          <t>Styanax Prime</t>
        </is>
      </c>
      <c r="B54" s="52" t="inlineStr">
        <is>
          <t>Afentis Prime</t>
        </is>
      </c>
      <c r="C54" t="inlineStr">
        <is>
          <t>Aegrit</t>
        </is>
      </c>
      <c r="D54" t="inlineStr">
        <is>
          <t>Slaytra</t>
        </is>
      </c>
      <c r="E54" t="inlineStr">
        <is>
          <t>Afentis</t>
        </is>
      </c>
      <c r="F54" t="inlineStr">
        <is>
          <t>Aegrit</t>
        </is>
      </c>
      <c r="G54" t="inlineStr">
        <is>
          <t>Slaytra</t>
        </is>
      </c>
      <c r="H54" t="inlineStr">
        <is>
          <t>Primary</t>
        </is>
      </c>
    </row>
    <row r="55">
      <c r="A55" t="inlineStr">
        <is>
          <t>Temple</t>
        </is>
      </c>
      <c r="B55" t="inlineStr">
        <is>
          <t>Lizzie</t>
        </is>
      </c>
      <c r="C55" s="52" t="inlineStr">
        <is>
          <t>Riot-848</t>
        </is>
      </c>
      <c r="D55" t="inlineStr">
        <is>
          <t>Prisma Ohma</t>
        </is>
      </c>
      <c r="E55" t="inlineStr">
        <is>
          <t>Lizzie</t>
        </is>
      </c>
      <c r="F55" t="inlineStr">
        <is>
          <t>Athodai</t>
        </is>
      </c>
      <c r="G55" t="inlineStr">
        <is>
          <t>Prisma Ohma</t>
        </is>
      </c>
      <c r="H55" t="inlineStr">
        <is>
          <t>Secondary</t>
        </is>
      </c>
    </row>
    <row r="56">
      <c r="A56" t="inlineStr">
        <is>
          <t>Titania Prime</t>
        </is>
      </c>
      <c r="B56" t="inlineStr">
        <is>
          <t>Razorflies</t>
        </is>
      </c>
      <c r="C56" t="inlineStr">
        <is>
          <t>Dex Pixia Prime</t>
        </is>
      </c>
      <c r="D56" t="inlineStr">
        <is>
          <t>Diwata Prime</t>
        </is>
      </c>
      <c r="E56" t="inlineStr">
        <is>
          <t>Razorflies</t>
        </is>
      </c>
      <c r="F56" t="inlineStr">
        <is>
          <t>Dex Pixia Prime</t>
        </is>
      </c>
      <c r="G56" t="inlineStr">
        <is>
          <t>Diwata Prime</t>
        </is>
      </c>
      <c r="H56" t="inlineStr">
        <is>
          <t>-</t>
        </is>
      </c>
    </row>
    <row r="57">
      <c r="A57" t="inlineStr">
        <is>
          <t>Trinity Prime</t>
        </is>
      </c>
      <c r="B57" t="inlineStr">
        <is>
          <t>Boar Prime</t>
        </is>
      </c>
      <c r="C57" t="inlineStr">
        <is>
          <t>Akbronco Prime</t>
        </is>
      </c>
      <c r="D57" t="inlineStr">
        <is>
          <t>Dual Kamas Prime</t>
        </is>
      </c>
      <c r="E57" t="inlineStr">
        <is>
          <t>Boar Prime</t>
        </is>
      </c>
      <c r="F57" t="inlineStr">
        <is>
          <t>Akbronco Prime</t>
        </is>
      </c>
      <c r="G57" t="inlineStr">
        <is>
          <t>Dual Kamas Prime</t>
        </is>
      </c>
      <c r="H57" t="inlineStr">
        <is>
          <t>-</t>
        </is>
      </c>
    </row>
    <row r="58">
      <c r="A58" t="inlineStr">
        <is>
          <t>Uriel</t>
        </is>
      </c>
      <c r="B58" t="inlineStr">
        <is>
          <t>Vinquibus (Primary)</t>
        </is>
      </c>
      <c r="C58" t="inlineStr">
        <is>
          <t>Kuva Twin Stubbas</t>
        </is>
      </c>
      <c r="D58" s="52" t="inlineStr">
        <is>
          <t>Vinquibus (Melee)</t>
        </is>
      </c>
      <c r="E58" t="inlineStr">
        <is>
          <t>Vinquibus (Primary)</t>
        </is>
      </c>
      <c r="F58" t="inlineStr">
        <is>
          <t>Kuva Twin Stubbas</t>
        </is>
      </c>
      <c r="G58" t="inlineStr">
        <is>
          <t>Mios</t>
        </is>
      </c>
      <c r="H58" t="inlineStr">
        <is>
          <t>Melee</t>
        </is>
      </c>
    </row>
    <row r="59">
      <c r="A59" t="inlineStr">
        <is>
          <t>Valkyr Prime</t>
        </is>
      </c>
      <c r="B59" t="inlineStr">
        <is>
          <t>Cernos Prime</t>
        </is>
      </c>
      <c r="C59" t="inlineStr">
        <is>
          <t>Twin Vipers Wraith</t>
        </is>
      </c>
      <c r="D59" t="inlineStr">
        <is>
          <t>Valkyr Prime Talons</t>
        </is>
      </c>
      <c r="E59" t="inlineStr">
        <is>
          <t>Cernos Prime</t>
        </is>
      </c>
      <c r="F59" t="inlineStr">
        <is>
          <t>Twin Vipers Wraith</t>
        </is>
      </c>
      <c r="G59" t="inlineStr">
        <is>
          <t>Valkyr Prime Talons</t>
        </is>
      </c>
      <c r="H59" t="inlineStr">
        <is>
          <t>-</t>
        </is>
      </c>
    </row>
    <row r="60">
      <c r="A60" t="inlineStr">
        <is>
          <t>Vauban Prime</t>
        </is>
      </c>
      <c r="B60" t="inlineStr">
        <is>
          <t>Ferrox</t>
        </is>
      </c>
      <c r="C60" t="inlineStr">
        <is>
          <t>Kulstar</t>
        </is>
      </c>
      <c r="D60" t="inlineStr">
        <is>
          <t>Fragor Prime</t>
        </is>
      </c>
      <c r="E60" t="inlineStr">
        <is>
          <t>Ferrox</t>
        </is>
      </c>
      <c r="F60" t="inlineStr">
        <is>
          <t>Kulstar</t>
        </is>
      </c>
      <c r="G60" t="inlineStr">
        <is>
          <t>Fragor Prime</t>
        </is>
      </c>
      <c r="H60" t="inlineStr">
        <is>
          <t>-</t>
        </is>
      </c>
    </row>
    <row r="61">
      <c r="A61" t="inlineStr">
        <is>
          <t>Volt Prime</t>
        </is>
      </c>
      <c r="B61" t="inlineStr">
        <is>
          <t>Rubico Prime</t>
        </is>
      </c>
      <c r="C61" t="inlineStr">
        <is>
          <t>Tenet Spirex</t>
        </is>
      </c>
      <c r="D61" t="inlineStr">
        <is>
          <t>Ohma</t>
        </is>
      </c>
      <c r="E61" t="inlineStr">
        <is>
          <t>Rubico Prime</t>
        </is>
      </c>
      <c r="F61" t="inlineStr">
        <is>
          <t>Tenet Spirex</t>
        </is>
      </c>
      <c r="G61" t="inlineStr">
        <is>
          <t>Ohma</t>
        </is>
      </c>
      <c r="H61" t="inlineStr">
        <is>
          <t>-</t>
        </is>
      </c>
    </row>
    <row r="62">
      <c r="A62" t="inlineStr">
        <is>
          <t>Voruna Prime</t>
        </is>
      </c>
      <c r="B62" t="inlineStr">
        <is>
          <t>Perigale Prime</t>
        </is>
      </c>
      <c r="C62" t="inlineStr">
        <is>
          <t>Grimoire</t>
        </is>
      </c>
      <c r="D62" t="inlineStr">
        <is>
          <t>Sarofang Prime</t>
        </is>
      </c>
      <c r="E62" t="inlineStr">
        <is>
          <t>Perigale Prime</t>
        </is>
      </c>
      <c r="F62" t="inlineStr">
        <is>
          <t>Grimoire</t>
        </is>
      </c>
      <c r="G62" t="inlineStr">
        <is>
          <t>Sarofang Prime</t>
        </is>
      </c>
      <c r="H62" t="inlineStr">
        <is>
          <t>-</t>
        </is>
      </c>
    </row>
    <row r="63">
      <c r="A63" t="inlineStr">
        <is>
          <t>Wisp Prime</t>
        </is>
      </c>
      <c r="B63" t="inlineStr">
        <is>
          <t>Fulmin Prime</t>
        </is>
      </c>
      <c r="C63" t="inlineStr">
        <is>
          <t>Furis</t>
        </is>
      </c>
      <c r="D63" t="inlineStr">
        <is>
          <t>Tipedo Prime</t>
        </is>
      </c>
      <c r="E63" t="inlineStr">
        <is>
          <t>Fulmin Prime</t>
        </is>
      </c>
      <c r="F63" t="inlineStr">
        <is>
          <t>Furis</t>
        </is>
      </c>
      <c r="G63" t="inlineStr">
        <is>
          <t>Tipedo Prime</t>
        </is>
      </c>
      <c r="H63" t="inlineStr">
        <is>
          <t>-</t>
        </is>
      </c>
    </row>
    <row r="64">
      <c r="A64" t="inlineStr">
        <is>
          <t>Wukong Prime</t>
        </is>
      </c>
      <c r="B64" t="inlineStr">
        <is>
          <t>Zhuge Prime</t>
        </is>
      </c>
      <c r="C64" s="52" t="inlineStr">
        <is>
          <t>Ballistica Prime</t>
        </is>
      </c>
      <c r="D64" t="inlineStr">
        <is>
          <t>Iron Staff Prime</t>
        </is>
      </c>
      <c r="E64" t="inlineStr">
        <is>
          <t>Zhuge Prime</t>
        </is>
      </c>
      <c r="F64" t="inlineStr">
        <is>
          <t>Pyrana Prime</t>
        </is>
      </c>
      <c r="G64" t="inlineStr">
        <is>
          <t>Iron Staff Prime</t>
        </is>
      </c>
      <c r="H64" t="inlineStr">
        <is>
          <t>Secondary</t>
        </is>
      </c>
    </row>
    <row r="65">
      <c r="A65" t="inlineStr">
        <is>
          <t>Xaku Prime</t>
        </is>
      </c>
      <c r="B65" t="inlineStr">
        <is>
          <t>Trumna Prime</t>
        </is>
      </c>
      <c r="C65" t="inlineStr">
        <is>
          <t>Laetum</t>
        </is>
      </c>
      <c r="D65" t="inlineStr">
        <is>
          <t>Quassus Prime</t>
        </is>
      </c>
      <c r="E65" t="inlineStr">
        <is>
          <t>Trumna Prime</t>
        </is>
      </c>
      <c r="F65" t="inlineStr">
        <is>
          <t>Laetum</t>
        </is>
      </c>
      <c r="G65" t="inlineStr">
        <is>
          <t>Quassus Prime</t>
        </is>
      </c>
      <c r="H65" t="inlineStr">
        <is>
          <t>-</t>
        </is>
      </c>
    </row>
    <row r="66">
      <c r="A66" t="inlineStr">
        <is>
          <t>Yareli Prime</t>
        </is>
      </c>
      <c r="B66" t="inlineStr">
        <is>
          <t>Komorex</t>
        </is>
      </c>
      <c r="C66" s="52" t="inlineStr">
        <is>
          <t>Kompressa Prime</t>
        </is>
      </c>
      <c r="D66" t="inlineStr">
        <is>
          <t>Ghoulsaw</t>
        </is>
      </c>
      <c r="E66" t="inlineStr">
        <is>
          <t>Komorex</t>
        </is>
      </c>
      <c r="F66" t="inlineStr">
        <is>
          <t>Ocucor</t>
        </is>
      </c>
      <c r="G66" t="inlineStr">
        <is>
          <t>Ghoulsaw</t>
        </is>
      </c>
      <c r="H66" t="inlineStr">
        <is>
          <t>Secondary</t>
        </is>
      </c>
    </row>
    <row r="67">
      <c r="A67" t="inlineStr">
        <is>
          <t>Zephyr Prime</t>
        </is>
      </c>
      <c r="B67" t="inlineStr">
        <is>
          <t>Nataruk</t>
        </is>
      </c>
      <c r="C67" t="inlineStr">
        <is>
          <t>Catchmoon</t>
        </is>
      </c>
      <c r="D67" t="inlineStr">
        <is>
          <t>Kronen Prime</t>
        </is>
      </c>
      <c r="E67" t="inlineStr">
        <is>
          <t>Nataruk</t>
        </is>
      </c>
      <c r="F67" t="inlineStr">
        <is>
          <t>Catchmoon</t>
        </is>
      </c>
      <c r="G67" t="inlineStr">
        <is>
          <t>Kronen Prime</t>
        </is>
      </c>
      <c r="H67" t="inlineStr">
        <is>
          <t>-</t>
        </is>
      </c>
    </row>
  </sheetData>
  <autoFilter ref="A1:H6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style="26" min="1" max="1"/>
    <col width="10" customWidth="1" style="26" min="2" max="2"/>
    <col width="12" customWidth="1" style="26" min="3" max="3"/>
    <col width="55" customWidth="1" style="26" min="4" max="4"/>
    <col width="70" customWidth="1" style="26" min="5" max="5"/>
    <col width="25" customWidth="1" style="26" min="6" max="6"/>
    <col width="40" customWidth="1" style="26" min="7" max="7"/>
  </cols>
  <sheetData>
    <row r="1">
      <c r="A1" s="51" t="inlineStr">
        <is>
          <t>Frame</t>
        </is>
      </c>
      <c r="B1" s="51" t="inlineStr">
        <is>
          <t>Version</t>
        </is>
      </c>
      <c r="C1" s="51" t="inlineStr">
        <is>
          <t>Introduced</t>
        </is>
      </c>
      <c r="D1" s="51" t="inlineStr">
        <is>
          <t>Abilities (live)</t>
        </is>
      </c>
      <c r="E1" s="51" t="inlineStr">
        <is>
          <t>Passive (live)</t>
        </is>
      </c>
      <c r="F1" s="51" t="inlineStr">
        <is>
          <t>Helminth ability (live)</t>
        </is>
      </c>
      <c r="G1" s="51" t="inlineStr">
        <is>
          <t>Signature weapons (live)</t>
        </is>
      </c>
    </row>
    <row r="2">
      <c r="A2" t="inlineStr">
        <is>
          <t>Ash Prime</t>
        </is>
      </c>
      <c r="B2" t="inlineStr">
        <is>
          <t>Prime</t>
        </is>
      </c>
      <c r="C2" t="inlineStr">
        <is>
          <t>16.11</t>
        </is>
      </c>
      <c r="D2" t="inlineStr">
        <is>
          <t>Shuriken, Smoke Screen, Teleport, Blade Storm</t>
        </is>
      </c>
      <c r="E2" t="inlineStr">
        <is>
          <t>Bleed effects inflicted on enemies do 25% increased damage and last 50% longer.</t>
        </is>
      </c>
      <c r="F2" t="inlineStr">
        <is>
          <t>Shuriken</t>
        </is>
      </c>
    </row>
    <row r="3">
      <c r="A3" t="inlineStr">
        <is>
          <t>Atlas Prime</t>
        </is>
      </c>
      <c r="B3" t="inlineStr">
        <is>
          <t>Prime</t>
        </is>
      </c>
      <c r="C3" t="inlineStr">
        <is>
          <t>25.8</t>
        </is>
      </c>
      <c r="D3" t="inlineStr">
        <is>
          <t>Landslide, Tectonics, Petrify, Rumblers</t>
        </is>
      </c>
      <c r="E3" t="inlineStr">
        <is>
          <t>Becomes immune to Knockdown effects while on the ground.</t>
        </is>
      </c>
      <c r="F3" t="inlineStr">
        <is>
          <t>Petrify</t>
        </is>
      </c>
      <c r="G3" t="inlineStr">
        <is>
          <t>Tekko Prime</t>
        </is>
      </c>
    </row>
    <row r="4">
      <c r="A4" t="inlineStr">
        <is>
          <t>Banshee Prime</t>
        </is>
      </c>
      <c r="B4" t="inlineStr">
        <is>
          <t>Prime</t>
        </is>
      </c>
      <c r="C4" t="inlineStr">
        <is>
          <t>19.11.5</t>
        </is>
      </c>
      <c r="D4" t="inlineStr">
        <is>
          <t>Sonic Boom, Sonar, Silence, Sound Quake</t>
        </is>
      </c>
      <c r="E4" t="inlineStr">
        <is>
          <t>Weapon noises are hushed so that enemies cannot hear them.</t>
        </is>
      </c>
      <c r="F4" t="inlineStr">
        <is>
          <t>Silence</t>
        </is>
      </c>
      <c r="G4" t="inlineStr">
        <is>
          <t>Euphona Prime</t>
        </is>
      </c>
    </row>
    <row r="5">
      <c r="A5" t="inlineStr">
        <is>
          <t>Baruuk Prime</t>
        </is>
      </c>
      <c r="B5" t="inlineStr">
        <is>
          <t>Prime</t>
        </is>
      </c>
      <c r="C5" t="inlineStr">
        <is>
          <t>32.2.5</t>
        </is>
      </c>
      <c r="D5" t="inlineStr">
        <is>
          <t>Elude, Lull, Desolate Hands, Serene Storm</t>
        </is>
      </c>
      <c r="E5" t="inlineStr">
        <is>
          <t>Each projectile dodged, each enemy lulled or disarmed, erodes Baruuk's restraint and fuels the storm within. As Baruuk's restraint is diminished he becomes up to 50% more resistant to damage.</t>
        </is>
      </c>
      <c r="F5" t="inlineStr">
        <is>
          <t>Lull</t>
        </is>
      </c>
      <c r="G5" t="inlineStr">
        <is>
          <t>Cobra &amp; Crane Prime</t>
        </is>
      </c>
    </row>
    <row r="6">
      <c r="A6" t="inlineStr">
        <is>
          <t>Caliban Prime</t>
        </is>
      </c>
      <c r="B6" t="inlineStr">
        <is>
          <t>Prime</t>
        </is>
      </c>
      <c r="C6" t="inlineStr">
        <is>
          <t>39.1</t>
        </is>
      </c>
      <c r="D6" t="inlineStr">
        <is>
          <t>Razor Gyre, Sentient Wrath, Lethal Progeny, Fusion Strike</t>
        </is>
      </c>
      <c r="E6" t="inlineStr">
        <is>
          <t>Allies within Affinity range gain increased resistance to the types of damage they are currently taking.</t>
        </is>
      </c>
      <c r="F6" t="inlineStr">
        <is>
          <t>Sentient Wrath</t>
        </is>
      </c>
      <c r="G6" t="inlineStr">
        <is>
          <t>Venato Prime, Vadarya Prime</t>
        </is>
      </c>
    </row>
    <row r="7">
      <c r="A7" t="inlineStr">
        <is>
          <t>Chroma Prime</t>
        </is>
      </c>
      <c r="B7" t="inlineStr">
        <is>
          <t>Prime</t>
        </is>
      </c>
      <c r="C7" t="inlineStr">
        <is>
          <t>23.9</t>
        </is>
      </c>
      <c r="D7" t="inlineStr">
        <is>
          <t>Spectral Scream, Elemental Ward, Vex Armor, Effigy</t>
        </is>
      </c>
      <c r="E7" t="inlineStr">
        <is>
          <t>Wings sprout for an additional jump and bullet jump.</t>
        </is>
      </c>
      <c r="F7" t="inlineStr">
        <is>
          <t>Elemental Ward</t>
        </is>
      </c>
    </row>
    <row r="8">
      <c r="A8" t="inlineStr">
        <is>
          <t>Citrine Prime</t>
        </is>
      </c>
      <c r="B8" t="inlineStr">
        <is>
          <t>Prime</t>
        </is>
      </c>
      <c r="C8" t="inlineStr">
        <is>
          <t>44.0</t>
        </is>
      </c>
      <c r="D8" t="inlineStr">
        <is>
          <t>Fractured Blast, Preserving Shell, Prismatic Gem, Crystallize</t>
        </is>
      </c>
      <c r="E8" t="inlineStr">
        <is>
          <t>Citrine grants nearby allies 5 health regeneration per second. Pick up a Health Orb to increase regeneration by 0.1, up to a maximum of 25.</t>
        </is>
      </c>
      <c r="F8" t="inlineStr">
        <is>
          <t>Fractured Blast</t>
        </is>
      </c>
      <c r="G8" t="inlineStr">
        <is>
          <t>Steflos Prime, Corufell Prime</t>
        </is>
      </c>
    </row>
    <row r="9">
      <c r="A9" t="inlineStr">
        <is>
          <t>Cyte-09</t>
        </is>
      </c>
      <c r="B9" t="inlineStr">
        <is>
          <t>Base (no Prime)</t>
        </is>
      </c>
      <c r="C9" t="inlineStr">
        <is>
          <t>38</t>
        </is>
      </c>
      <c r="D9" t="inlineStr">
        <is>
          <t>Seek, Resupply, Evade, Neutralize</t>
        </is>
      </c>
      <c r="E9" t="inlineStr">
        <is>
          <t>Weak Point Kills increase Cyte-09's Weak Point Critical Chance by 1% up to 300% for the duration of the current mission.</t>
        </is>
      </c>
      <c r="F9" t="inlineStr">
        <is>
          <t>Evade</t>
        </is>
      </c>
      <c r="G9" t="inlineStr">
        <is>
          <t>Reconifex</t>
        </is>
      </c>
    </row>
    <row r="10">
      <c r="A10" t="inlineStr">
        <is>
          <t>Dagath</t>
        </is>
      </c>
      <c r="B10" t="inlineStr">
        <is>
          <t>Base (no Prime)</t>
        </is>
      </c>
      <c r="C10" t="inlineStr">
        <is>
          <t>34</t>
        </is>
      </c>
      <c r="D10" t="inlineStr">
        <is>
          <t>Wyrd Scythes, Doom, Grave Spirit, Rakhali's Cavalry</t>
        </is>
      </c>
      <c r="E10" t="inlineStr">
        <is>
          <t>There is a 35% chance that Energy and Health Orbs will be 300% more effective on Dagath.</t>
        </is>
      </c>
      <c r="F10" t="inlineStr">
        <is>
          <t>Wyrd Scythes</t>
        </is>
      </c>
      <c r="G10" t="inlineStr">
        <is>
          <t>Dorrclave</t>
        </is>
      </c>
    </row>
    <row r="11">
      <c r="A11" t="inlineStr">
        <is>
          <t>Dante</t>
        </is>
      </c>
      <c r="B11" t="inlineStr">
        <is>
          <t>Base (no Prime)</t>
        </is>
      </c>
      <c r="C11" t="inlineStr">
        <is>
          <t>35.5</t>
        </is>
      </c>
      <c r="D11" t="inlineStr">
        <is>
          <t>Noctua, Light Verse, Dark Verse, Final Verse</t>
        </is>
      </c>
      <c r="E11" t="inlineStr">
        <is>
          <t>Noctua scans targets, recording information for your Codex. Status Chance increases by 50% on fully scanned targets.</t>
        </is>
      </c>
      <c r="F11" t="inlineStr">
        <is>
          <t>Dark Verse</t>
        </is>
      </c>
      <c r="G11" t="inlineStr">
        <is>
          <t>Ruvox</t>
        </is>
      </c>
    </row>
    <row r="12">
      <c r="A12" t="inlineStr">
        <is>
          <t>Ember Prime</t>
        </is>
      </c>
      <c r="B12" t="inlineStr">
        <is>
          <t>Prime</t>
        </is>
      </c>
      <c r="C12" t="inlineStr">
        <is>
          <t>11</t>
        </is>
      </c>
      <c r="D12" t="inlineStr">
        <is>
          <t>Fireball, Immolation, Fire Blast, Inferno</t>
        </is>
      </c>
      <c r="E12" t="inlineStr">
        <is>
          <t>Receive 5% Ability Strength for every enemy within Affinity Range affected by Heat.</t>
        </is>
      </c>
      <c r="F12" t="inlineStr">
        <is>
          <t>Fire Blast</t>
        </is>
      </c>
    </row>
    <row r="13">
      <c r="A13" t="inlineStr">
        <is>
          <t>Equinox Prime</t>
        </is>
      </c>
      <c r="B13" t="inlineStr">
        <is>
          <t>Prime</t>
        </is>
      </c>
      <c r="C13" t="inlineStr">
        <is>
          <t>24.5.8</t>
        </is>
      </c>
      <c r="D13" t="inlineStr">
        <is>
          <t>Metamorphosis, Rest &amp; Rage, Pacify &amp; Provoke, Mend &amp; Maim</t>
        </is>
      </c>
      <c r="E13" t="inlineStr">
        <is>
          <t>10% of Health Orbs are converted into Energy, and 10% of Energy Orbs are converted into Health.</t>
        </is>
      </c>
      <c r="F13" t="inlineStr">
        <is>
          <t>Rest &amp; Rage</t>
        </is>
      </c>
    </row>
    <row r="14">
      <c r="A14" t="inlineStr">
        <is>
          <t>Excalibur Umbra</t>
        </is>
      </c>
      <c r="B14" t="inlineStr">
        <is>
          <t>Umbra</t>
        </is>
      </c>
      <c r="C14" t="inlineStr">
        <is>
          <t>23</t>
        </is>
      </c>
      <c r="D14" t="inlineStr">
        <is>
          <t>Slash Dash, Radial Howl, Radial Javelin, Exalted Blade</t>
        </is>
      </c>
      <c r="E14" t="inlineStr">
        <is>
          <t>Umbra exhibits sentience in combat without Transference control. Attacks 10% faster and deals 10% more damage while wielding swords.</t>
        </is>
      </c>
      <c r="G14" t="inlineStr">
        <is>
          <t>Skiajati</t>
        </is>
      </c>
    </row>
    <row r="15">
      <c r="A15" t="inlineStr">
        <is>
          <t>Follie</t>
        </is>
      </c>
      <c r="B15" t="inlineStr">
        <is>
          <t>Base (no Prime)</t>
        </is>
      </c>
      <c r="C15" t="inlineStr">
        <is>
          <t>42</t>
        </is>
      </c>
      <c r="D15" t="inlineStr">
        <is>
          <t>Forced Perspective, Shadowgraph, Self Portrait, Plein Air</t>
        </is>
      </c>
      <c r="E15" t="inlineStr">
        <is>
          <t>INKBLOT: Follie's abilities coat enemies in ink that slows their movement by 50% for 10s. Afflicted enemies have a 20% chance to drop Health and Energy Orbs.</t>
        </is>
      </c>
      <c r="F15" t="inlineStr">
        <is>
          <t>Self Portrait</t>
        </is>
      </c>
      <c r="G15" t="inlineStr">
        <is>
          <t>Enkaus</t>
        </is>
      </c>
    </row>
    <row r="16">
      <c r="A16" t="inlineStr">
        <is>
          <t>Frost Prime</t>
        </is>
      </c>
      <c r="B16" t="inlineStr">
        <is>
          <t>Prime</t>
        </is>
      </c>
      <c r="C16" t="inlineStr">
        <is>
          <t>7.10</t>
        </is>
      </c>
      <c r="D16" t="inlineStr">
        <is>
          <t>Freeze, Ice Wave, Snow Globe, Avalanche</t>
        </is>
      </c>
      <c r="E16" t="inlineStr">
        <is>
          <t>Cold Status Effects from Frost's Abilities last 100% longer. Frost gains 50 Armor per enemy afflicted with Cold Status within Affinity Range.</t>
        </is>
      </c>
      <c r="F16" t="inlineStr">
        <is>
          <t>Ice Wave</t>
        </is>
      </c>
    </row>
    <row r="17">
      <c r="A17" t="inlineStr">
        <is>
          <t>Gara Prime</t>
        </is>
      </c>
      <c r="B17" t="inlineStr">
        <is>
          <t>Prime</t>
        </is>
      </c>
      <c r="C17" t="inlineStr">
        <is>
          <t>30.3</t>
        </is>
      </c>
      <c r="D17" t="inlineStr">
        <is>
          <t>Shattered Lash, Splinter Storm, Spectrorage, Mass Vitrify</t>
        </is>
      </c>
      <c r="E17" t="inlineStr">
        <is>
          <t>A chance to create a radial blind lasting 10s when exposed to bright light.</t>
        </is>
      </c>
      <c r="F17" t="inlineStr">
        <is>
          <t>Spectrorage</t>
        </is>
      </c>
      <c r="G17" t="inlineStr">
        <is>
          <t>Astilla Prime, Fusilai, Volnus Prime</t>
        </is>
      </c>
    </row>
    <row r="18">
      <c r="A18" t="inlineStr">
        <is>
          <t>Garuda Prime</t>
        </is>
      </c>
      <c r="B18" t="inlineStr">
        <is>
          <t>Prime</t>
        </is>
      </c>
      <c r="C18" t="inlineStr">
        <is>
          <t>31.3</t>
        </is>
      </c>
      <c r="D18" t="inlineStr">
        <is>
          <t>Dread Mirror, Blood Altar, Bloodletting, Seeking Talons</t>
        </is>
      </c>
      <c r="E18" t="inlineStr">
        <is>
          <t>Garuda's damage temporarily increases with each enemy she kills, to a maximum of 100%.
 Slashes with her talons if no melee weapon is equipped.</t>
        </is>
      </c>
      <c r="F18" t="inlineStr">
        <is>
          <t>Blood Altar</t>
        </is>
      </c>
      <c r="G18" t="inlineStr">
        <is>
          <t>Nagantaka Prime</t>
        </is>
      </c>
    </row>
    <row r="19">
      <c r="A19" t="inlineStr">
        <is>
          <t>Gauss Prime</t>
        </is>
      </c>
      <c r="B19" t="inlineStr">
        <is>
          <t>Prime</t>
        </is>
      </c>
      <c r="C19" t="inlineStr">
        <is>
          <t>35.0.9</t>
        </is>
      </c>
      <c r="D19" t="inlineStr">
        <is>
          <t>Mach Rush, Kinetic Plating, Thermal Sunder, Redline</t>
        </is>
      </c>
      <c r="E19" t="inlineStr">
        <is>
          <t>Moving generates an electrical current that fills Gauss' battery. Shields recharge up to 120% faster while the Recharge Delay is up to 80% shorter, based on the battery level.</t>
        </is>
      </c>
      <c r="F19" t="inlineStr">
        <is>
          <t>Thermal Sunder</t>
        </is>
      </c>
      <c r="G19" t="inlineStr">
        <is>
          <t>Acceltra Prime, Akarius Prime</t>
        </is>
      </c>
    </row>
    <row r="20">
      <c r="A20" t="inlineStr">
        <is>
          <t>Grendel Prime</t>
        </is>
      </c>
      <c r="B20" t="inlineStr">
        <is>
          <t>Prime</t>
        </is>
      </c>
      <c r="C20" t="inlineStr">
        <is>
          <t>34</t>
        </is>
      </c>
      <c r="D20" t="inlineStr">
        <is>
          <t>Feast, Nourish, Pulverize, Regurgitate</t>
        </is>
      </c>
      <c r="E20" t="inlineStr">
        <is>
          <t>Each enemy consumed grants 250 bonus armor.</t>
        </is>
      </c>
      <c r="F20" t="inlineStr">
        <is>
          <t>Nourish</t>
        </is>
      </c>
      <c r="G20" t="inlineStr">
        <is>
          <t>Masseter Prime</t>
        </is>
      </c>
    </row>
    <row r="21">
      <c r="A21" t="inlineStr">
        <is>
          <t>Gyre Prime</t>
        </is>
      </c>
      <c r="B21" t="inlineStr">
        <is>
          <t>Prime</t>
        </is>
      </c>
      <c r="C21" t="inlineStr">
        <is>
          <t>41</t>
        </is>
      </c>
      <c r="D21" t="inlineStr">
        <is>
          <t>Arcsphere, Coil Horizon, Cathode Grace, Rotorswell</t>
        </is>
      </c>
      <c r="E21" t="inlineStr">
        <is>
          <t>Gyre's abilities have a 10% chance to deal critical damage for each Electrical status that affects the enemy.</t>
        </is>
      </c>
      <c r="F21" t="inlineStr">
        <is>
          <t>Coil Horizon</t>
        </is>
      </c>
      <c r="G21" t="inlineStr">
        <is>
          <t>Alternox Prime</t>
        </is>
      </c>
    </row>
    <row r="22">
      <c r="A22" t="inlineStr">
        <is>
          <t>Harrow Prime</t>
        </is>
      </c>
      <c r="B22" t="inlineStr">
        <is>
          <t>Prime</t>
        </is>
      </c>
      <c r="C22" t="inlineStr">
        <is>
          <t>31</t>
        </is>
      </c>
      <c r="D22" t="inlineStr">
        <is>
          <t>Condemn, Penance, Thurible, Covenant</t>
        </is>
      </c>
      <c r="E22" t="inlineStr">
        <is>
          <t>Overshield capacity doubled.
 Start missions at maximum energy.</t>
        </is>
      </c>
      <c r="F22" t="inlineStr">
        <is>
          <t>Condemn</t>
        </is>
      </c>
      <c r="G22" t="inlineStr">
        <is>
          <t>Knell Prime, Scourge Prime</t>
        </is>
      </c>
    </row>
    <row r="23">
      <c r="A23" t="inlineStr">
        <is>
          <t>Hildryn Prime</t>
        </is>
      </c>
      <c r="B23" t="inlineStr">
        <is>
          <t>Prime</t>
        </is>
      </c>
      <c r="C23" t="inlineStr">
        <is>
          <t>32.3.6</t>
        </is>
      </c>
      <c r="D23" t="inlineStr">
        <is>
          <t>Balefire, Pillage, Haven, Aegis Storm</t>
        </is>
      </c>
      <c r="E23" t="inlineStr">
        <is>
          <t>Hildryn's full Shield Gate is high. After her Shields are depleted, she is invulnerable to damage up to 3.5s.</t>
        </is>
      </c>
      <c r="F23" t="inlineStr">
        <is>
          <t>Pillage</t>
        </is>
      </c>
      <c r="G23" t="inlineStr">
        <is>
          <t>Larkspur Prime</t>
        </is>
      </c>
    </row>
    <row r="24">
      <c r="A24" t="inlineStr">
        <is>
          <t>Hydroid Prime</t>
        </is>
      </c>
      <c r="B24" t="inlineStr">
        <is>
          <t>Prime</t>
        </is>
      </c>
      <c r="C24" t="inlineStr">
        <is>
          <t>21.6</t>
        </is>
      </c>
      <c r="D24" t="inlineStr">
        <is>
          <t>Tempest Barrage, Tidal Surge, Plunder, Tentacle Swarm</t>
        </is>
      </c>
      <c r="E24" t="inlineStr">
        <is>
          <t>Enemies damaged by Hydroid are more vulnerable to Corrosion Status, with initial status reducing armor by 50%.</t>
        </is>
      </c>
      <c r="F24" t="inlineStr">
        <is>
          <t>Tempest Barrage</t>
        </is>
      </c>
    </row>
    <row r="25">
      <c r="A25" t="inlineStr">
        <is>
          <t>Inaros Prime</t>
        </is>
      </c>
      <c r="B25" t="inlineStr">
        <is>
          <t>Prime</t>
        </is>
      </c>
      <c r="C25" t="inlineStr">
        <is>
          <t>28.2</t>
        </is>
      </c>
      <c r="D25" t="inlineStr">
        <is>
          <t>Desiccation, Sandstorm, Scarab Shell, Scarab Swarm</t>
        </is>
      </c>
      <c r="E25" t="inlineStr">
        <is>
          <t>When Inaros takes lethal damage, he entombs himself in a sarcophagus and incarnates as sand to attack enemies, draining their lifeforce to revive himself.</t>
        </is>
      </c>
      <c r="F25" t="inlineStr">
        <is>
          <t>Desiccation</t>
        </is>
      </c>
    </row>
    <row r="26">
      <c r="A26" t="inlineStr">
        <is>
          <t>Ivara Prime</t>
        </is>
      </c>
      <c r="B26" t="inlineStr">
        <is>
          <t>Prime</t>
        </is>
      </c>
      <c r="C26" t="inlineStr">
        <is>
          <t>27.0.4</t>
        </is>
      </c>
      <c r="D26" t="inlineStr">
        <is>
          <t>Quiver, Navigator, Prowl, Artemis Bow</t>
        </is>
      </c>
      <c r="E26" t="inlineStr">
        <is>
          <t>Senses nearby enemies within 50m.</t>
        </is>
      </c>
      <c r="F26" t="inlineStr">
        <is>
          <t>Quiver</t>
        </is>
      </c>
    </row>
    <row r="27">
      <c r="A27" t="inlineStr">
        <is>
          <t>Jade</t>
        </is>
      </c>
      <c r="B27" t="inlineStr">
        <is>
          <t>Base (no Prime)</t>
        </is>
      </c>
      <c r="C27" t="inlineStr">
        <is>
          <t>36</t>
        </is>
      </c>
      <c r="D27" t="inlineStr">
        <is>
          <t>Light's Judgment, Symphony of Mercy, Ophanim Eyes, Glory on High</t>
        </is>
      </c>
      <c r="E27" t="inlineStr">
        <is>
          <t>Jade's profound understanding of the relationship between life and death grants her two Aura Mod Slots. Some of her Abilities apply Judgments, increasing enemy damage vulnerability by 50% for 10s.</t>
        </is>
      </c>
      <c r="F27" t="inlineStr">
        <is>
          <t>Ophanim Eyes</t>
        </is>
      </c>
      <c r="G27" t="inlineStr">
        <is>
          <t>Evensong, Cantare, Harmony</t>
        </is>
      </c>
    </row>
    <row r="28">
      <c r="A28" t="inlineStr">
        <is>
          <t>Khora Prime</t>
        </is>
      </c>
      <c r="B28" t="inlineStr">
        <is>
          <t>Prime</t>
        </is>
      </c>
      <c r="C28" t="inlineStr">
        <is>
          <t>31.7</t>
        </is>
      </c>
      <c r="D28" t="inlineStr">
        <is>
          <t>Whipclaw, Ensnare, Venari, Strangledome</t>
        </is>
      </c>
      <c r="E28" t="inlineStr">
        <is>
          <t>The ferocious kavat, Venari, fights by Khora Prime's side and provides her with a 15% speed boost while active. If killed, Venari will reappear after 45s.</t>
        </is>
      </c>
      <c r="F28" t="inlineStr">
        <is>
          <t>Ensnare</t>
        </is>
      </c>
      <c r="G28" t="inlineStr">
        <is>
          <t>Hystrix Prime, Dual Keres Prime</t>
        </is>
      </c>
    </row>
    <row r="29">
      <c r="A29" t="inlineStr">
        <is>
          <t>Koumei</t>
        </is>
      </c>
      <c r="B29" t="inlineStr">
        <is>
          <t>Base (no Prime)</t>
        </is>
      </c>
      <c r="C29" t="inlineStr">
        <is>
          <t>37</t>
        </is>
      </c>
      <c r="D29" t="inlineStr">
        <is>
          <t>Kumihimo, Omikuji, Omamori, Bunraku</t>
        </is>
      </c>
      <c r="E29" t="inlineStr">
        <is>
          <t>Every 60 seconds, one of Koumei's weapons will inflict random Status Effects for 60 seconds</t>
        </is>
      </c>
      <c r="F29" t="inlineStr">
        <is>
          <t>Omamori</t>
        </is>
      </c>
      <c r="G29" t="inlineStr">
        <is>
          <t>Higasa, Amanata</t>
        </is>
      </c>
    </row>
    <row r="30">
      <c r="A30" t="inlineStr">
        <is>
          <t>Kullervo</t>
        </is>
      </c>
      <c r="B30" t="inlineStr">
        <is>
          <t>Base (no Prime)</t>
        </is>
      </c>
      <c r="C30" t="inlineStr">
        <is>
          <t>33.5</t>
        </is>
      </c>
      <c r="D30" t="inlineStr">
        <is>
          <t>Wrathful Advance, Recompense, Collective Curse, Storm of Ukko</t>
        </is>
      </c>
      <c r="E30" t="inlineStr">
        <is>
          <t>Kullervo boasts +75% Heavy Attack Efficiency and +100% Heavy Attack Wind Up Speed on all melee weapons.</t>
        </is>
      </c>
      <c r="F30" t="inlineStr">
        <is>
          <t>Wrathful Advance</t>
        </is>
      </c>
      <c r="G30" t="inlineStr">
        <is>
          <t>Rauta</t>
        </is>
      </c>
    </row>
    <row r="31">
      <c r="A31" t="inlineStr">
        <is>
          <t>Lavos Prime</t>
        </is>
      </c>
      <c r="B31" t="inlineStr">
        <is>
          <t>Prime</t>
        </is>
      </c>
      <c r="C31" t="inlineStr">
        <is>
          <t>38.0.10</t>
        </is>
      </c>
      <c r="D31" t="inlineStr">
        <is>
          <t>Ophidian Bite, Vial Rush, Transmutation Probe, Catalyze</t>
        </is>
      </c>
      <c r="E31" t="inlineStr">
        <is>
          <t>Energy and Universal Orbs give Lavos status immunity for 10s.
 Hold any ability to imbue the next cast with additional Elemental Damage and Status.</t>
        </is>
      </c>
      <c r="F31" t="inlineStr">
        <is>
          <t>Vial Rush</t>
        </is>
      </c>
      <c r="G31" t="inlineStr">
        <is>
          <t>Cedo Prime</t>
        </is>
      </c>
    </row>
    <row r="32">
      <c r="A32" t="inlineStr">
        <is>
          <t>Limbo Prime</t>
        </is>
      </c>
      <c r="B32" t="inlineStr">
        <is>
          <t>Prime</t>
        </is>
      </c>
      <c r="C32" t="inlineStr">
        <is>
          <t>23.0.3</t>
        </is>
      </c>
      <c r="D32" t="inlineStr">
        <is>
          <t>Banish, Stasis, Rift Surge, Cataclysm</t>
        </is>
      </c>
      <c r="E32" t="inlineStr">
        <is>
          <t>Dodge to enter and exit the Rift. Entering leaves behind a small Rift portal lasting 5s. Energy slowly recharges in the Rift, and each enemy killed in there also gives 10 Energy.</t>
        </is>
      </c>
      <c r="F32" t="inlineStr">
        <is>
          <t>Banish</t>
        </is>
      </c>
    </row>
    <row r="33">
      <c r="A33" t="inlineStr">
        <is>
          <t>Loki Prime</t>
        </is>
      </c>
      <c r="B33" t="inlineStr">
        <is>
          <t>Prime</t>
        </is>
      </c>
      <c r="C33" t="inlineStr">
        <is>
          <t>13.7</t>
        </is>
      </c>
      <c r="D33" t="inlineStr">
        <is>
          <t>Decoy, Invisibility, Switch Teleport, Radial Disarm</t>
        </is>
      </c>
      <c r="E33" t="inlineStr">
        <is>
          <t>Able to hang from walls 10x longer than normal.</t>
        </is>
      </c>
      <c r="F33" t="inlineStr">
        <is>
          <t>Decoy</t>
        </is>
      </c>
    </row>
    <row r="34">
      <c r="A34" t="inlineStr">
        <is>
          <t>Mag Prime</t>
        </is>
      </c>
      <c r="B34" t="inlineStr">
        <is>
          <t>Prime</t>
        </is>
      </c>
      <c r="C34" t="inlineStr">
        <is>
          <t>10</t>
        </is>
      </c>
      <c r="D34" t="inlineStr">
        <is>
          <t>Pull, Magnetize, Polarize, Crush</t>
        </is>
      </c>
      <c r="E34" t="inlineStr">
        <is>
          <t>Nearby items gravitate towards Mag for easy collection.</t>
        </is>
      </c>
      <c r="F34" t="inlineStr">
        <is>
          <t>Pull</t>
        </is>
      </c>
    </row>
    <row r="35">
      <c r="A35" t="inlineStr">
        <is>
          <t>Mesa Prime</t>
        </is>
      </c>
      <c r="B35" t="inlineStr">
        <is>
          <t>Prime</t>
        </is>
      </c>
      <c r="C35" t="inlineStr">
        <is>
          <t>24.2.2</t>
        </is>
      </c>
      <c r="D35" t="inlineStr">
        <is>
          <t>Ballistic Battery, Shooting Gallery, Shatter Shield, Peacemaker</t>
        </is>
      </c>
      <c r="E35" t="inlineStr">
        <is>
          <t>Shoot dual-wielded sidearms 15% faster and reload single-handed sidearms 25% more rapidly. Gain 50 Bonus Health when not using Melee Weapons.</t>
        </is>
      </c>
      <c r="F35" t="inlineStr">
        <is>
          <t>Shooting Gallery</t>
        </is>
      </c>
    </row>
    <row r="36">
      <c r="A36" t="inlineStr">
        <is>
          <t>Mirage Prime</t>
        </is>
      </c>
      <c r="B36" t="inlineStr">
        <is>
          <t>Prime</t>
        </is>
      </c>
      <c r="C36" t="inlineStr">
        <is>
          <t>22.7</t>
        </is>
      </c>
      <c r="D36" t="inlineStr">
        <is>
          <t>Hall of Mirrors, Sleight of Hand, Eclipse, Prism</t>
        </is>
      </c>
      <c r="E36" t="inlineStr">
        <is>
          <t>Sliding lasts 85% longer and acrobatic maneuvers are 50% faster.</t>
        </is>
      </c>
      <c r="F36" t="inlineStr">
        <is>
          <t>Eclipse</t>
        </is>
      </c>
      <c r="G36" t="inlineStr">
        <is>
          <t>Akzani</t>
        </is>
      </c>
    </row>
    <row r="37">
      <c r="A37" t="inlineStr">
        <is>
          <t>Narin</t>
        </is>
      </c>
      <c r="B37" t="inlineStr">
        <is>
          <t>Base (no Prime)</t>
        </is>
      </c>
      <c r="C37" t="inlineStr">
        <is>
          <t>44.0</t>
        </is>
      </c>
      <c r="D37" t="inlineStr">
        <is>
          <t>Neote, Naraemagi, Hakchum, Nurinarim</t>
        </is>
      </c>
      <c r="E37" t="inlineStr">
        <is>
          <t>Each stack of &lt;DT_FREEZE_COLOR&gt;Cold Status Effect on enemies increase chance to spawn Sangodae pickup by 1%, granting &lt;DT_FREEZE_COLOR&gt;Extra Cold Damage on Primary and Secondary weapons for 10s. Narin also gains Cold Damage for her abilities.</t>
        </is>
      </c>
      <c r="F37" t="inlineStr">
        <is>
          <t>Neote</t>
        </is>
      </c>
      <c r="G37" t="inlineStr">
        <is>
          <t>Nunchasa, Aksondol</t>
        </is>
      </c>
    </row>
    <row r="38">
      <c r="A38" t="inlineStr">
        <is>
          <t>Nekros Prime</t>
        </is>
      </c>
      <c r="B38" t="inlineStr">
        <is>
          <t>Prime</t>
        </is>
      </c>
      <c r="C38" t="inlineStr">
        <is>
          <t>The Silver Grove 3</t>
        </is>
      </c>
      <c r="D38" t="inlineStr">
        <is>
          <t>Soul Punch, Terrify, Desecrate, Shadows of the Dead</t>
        </is>
      </c>
      <c r="E38" t="inlineStr">
        <is>
          <t>Restore 5 Health with every enemy death within 10m.</t>
        </is>
      </c>
      <c r="F38" t="inlineStr">
        <is>
          <t>Terrify</t>
        </is>
      </c>
    </row>
    <row r="39">
      <c r="A39" t="inlineStr">
        <is>
          <t>Nezha Prime</t>
        </is>
      </c>
      <c r="B39" t="inlineStr">
        <is>
          <t>Prime</t>
        </is>
      </c>
      <c r="C39" t="inlineStr">
        <is>
          <t>29.3</t>
        </is>
      </c>
      <c r="D39" t="inlineStr">
        <is>
          <t>Fire Walker, Blazing Chakram, Warding Halo, Divine Spears</t>
        </is>
      </c>
      <c r="E39" t="inlineStr">
        <is>
          <t>Slide 60% faster and go 35% farther.</t>
        </is>
      </c>
      <c r="F39" t="inlineStr">
        <is>
          <t>Fire Walker</t>
        </is>
      </c>
    </row>
    <row r="40">
      <c r="A40" t="inlineStr">
        <is>
          <t>Nidus Prime</t>
        </is>
      </c>
      <c r="B40" t="inlineStr">
        <is>
          <t>Prime</t>
        </is>
      </c>
      <c r="C40" t="inlineStr">
        <is>
          <t>30.7</t>
        </is>
      </c>
      <c r="D40" t="inlineStr">
        <is>
          <t>Virulence, Larva, Parasitic Link, Ravenous</t>
        </is>
      </c>
      <c r="E40" t="inlineStr">
        <is>
          <t>If Nidus is killed with at least 15 stacks of Mutation, those 15 stacks are consumed; this grants 5s of invulnerability and restores Health to 50%.</t>
        </is>
      </c>
      <c r="F40" t="inlineStr">
        <is>
          <t>Larva</t>
        </is>
      </c>
    </row>
    <row r="41">
      <c r="A41" t="inlineStr">
        <is>
          <t>Nokko</t>
        </is>
      </c>
      <c r="B41" t="inlineStr">
        <is>
          <t>Base (no Prime)</t>
        </is>
      </c>
      <c r="C41" t="inlineStr">
        <is>
          <t>40</t>
        </is>
      </c>
      <c r="D41" t="inlineStr">
        <is>
          <t>Stinkbrain, Brightbonnet, Reroot, Sporespring</t>
        </is>
      </c>
      <c r="E41" t="inlineStr">
        <is>
          <t>Upon receiving fatal damage, Nokko reverts to his Sprodling form and his active mushrooms will glow, reviving Nokko when touched. Orbs spawned will grant a speed boost but not healing. If a glowing mushroom is not reached in time, Nokko will automatically use a self-revive.</t>
        </is>
      </c>
      <c r="F41" t="inlineStr">
        <is>
          <t>Brightbonnet</t>
        </is>
      </c>
      <c r="G41" t="inlineStr">
        <is>
          <t>Arbucep</t>
        </is>
      </c>
    </row>
    <row r="42">
      <c r="A42" t="inlineStr">
        <is>
          <t>Nova Prime</t>
        </is>
      </c>
      <c r="B42" t="inlineStr">
        <is>
          <t>Prime</t>
        </is>
      </c>
      <c r="C42" t="inlineStr">
        <is>
          <t>15.7</t>
        </is>
      </c>
      <c r="D42" t="inlineStr">
        <is>
          <t>Null Star, Antimatter Drop, Wormhole, Molecular Prime</t>
        </is>
      </c>
      <c r="E42" t="inlineStr">
        <is>
          <t>Enemies killed while slowed down have 15% to drop health orbs. Enemies killed while sped up have 15% to drop energy orbs.</t>
        </is>
      </c>
      <c r="F42" t="inlineStr">
        <is>
          <t>Null Star</t>
        </is>
      </c>
    </row>
    <row r="43">
      <c r="A43" t="inlineStr">
        <is>
          <t>Nyx Prime</t>
        </is>
      </c>
      <c r="B43" t="inlineStr">
        <is>
          <t>Prime</t>
        </is>
      </c>
      <c r="C43" t="inlineStr">
        <is>
          <t>14.8</t>
        </is>
      </c>
      <c r="D43" t="inlineStr">
        <is>
          <t>Mind Control, Psychic Bolts, Chaos, Absorb</t>
        </is>
      </c>
      <c r="E43" t="inlineStr">
        <is>
          <t>Nyx gains +40% Critical Chance on Primary and Secondary weapons per confused enemy within Affinity Range, up to +200%.</t>
        </is>
      </c>
      <c r="F43" t="inlineStr">
        <is>
          <t>Mind Control</t>
        </is>
      </c>
    </row>
    <row r="44">
      <c r="A44" t="inlineStr">
        <is>
          <t>Oberon Prime</t>
        </is>
      </c>
      <c r="B44" t="inlineStr">
        <is>
          <t>Prime</t>
        </is>
      </c>
      <c r="C44" t="inlineStr">
        <is>
          <t>20.6.2</t>
        </is>
      </c>
      <c r="D44" t="inlineStr">
        <is>
          <t>Smite, Hallowed Ground, Renewal, Reckoning</t>
        </is>
      </c>
      <c r="E44" t="inlineStr">
        <is>
          <t>Oberon grants Righteous Negation to himself and his allies in &lt;AFFINITY_SHARE&gt;Affinity Range when he collects &lt;HEALTH&gt;Health Orbs, protecting players against the next instance of damage. Stacks up to 3 times.</t>
        </is>
      </c>
      <c r="F44" t="inlineStr">
        <is>
          <t>Smite</t>
        </is>
      </c>
    </row>
    <row r="45">
      <c r="A45" t="inlineStr">
        <is>
          <t>Octavia Prime</t>
        </is>
      </c>
      <c r="B45" t="inlineStr">
        <is>
          <t>Prime</t>
        </is>
      </c>
      <c r="C45" t="inlineStr">
        <is>
          <t>29.9</t>
        </is>
      </c>
      <c r="D45" t="inlineStr">
        <is>
          <t>Mallet, Resonator, Metronome, Amp</t>
        </is>
      </c>
      <c r="E45" t="inlineStr">
        <is>
          <t>Replenish 30 energy over 30s for Octavia and allies within 15m when abilities are activated.</t>
        </is>
      </c>
      <c r="F45" t="inlineStr">
        <is>
          <t>Resonator</t>
        </is>
      </c>
      <c r="G45" t="inlineStr">
        <is>
          <t>Pandero Prime, Tenora Prime</t>
        </is>
      </c>
    </row>
    <row r="46">
      <c r="A46" t="inlineStr">
        <is>
          <t>Oraxia</t>
        </is>
      </c>
      <c r="B46" t="inlineStr">
        <is>
          <t>Base (no Prime)</t>
        </is>
      </c>
      <c r="C46" t="inlineStr">
        <is>
          <t>39</t>
        </is>
      </c>
      <c r="D46" t="inlineStr">
        <is>
          <t>Mercy's Kiss, Webbed Embrace, Widow's Brood, Silken Stride</t>
        </is>
      </c>
      <c r="E46" t="inlineStr">
        <is>
          <t>Wall Latching grants Predator's Lurk, rendering Oraxia invisible for 8s.</t>
        </is>
      </c>
      <c r="F46" t="inlineStr">
        <is>
          <t>Webbed Embrace</t>
        </is>
      </c>
      <c r="G46" t="inlineStr">
        <is>
          <t>Scyotid, Spinnerex</t>
        </is>
      </c>
    </row>
    <row r="47">
      <c r="A47" t="inlineStr">
        <is>
          <t>Protea Prime</t>
        </is>
      </c>
      <c r="B47" t="inlineStr">
        <is>
          <t>Prime</t>
        </is>
      </c>
      <c r="C47" t="inlineStr">
        <is>
          <t>35.5.9</t>
        </is>
      </c>
      <c r="D47" t="inlineStr">
        <is>
          <t>Grenade Fan, Blaze Artillery, Dispensary, Temporal Anchor</t>
        </is>
      </c>
      <c r="E47" t="inlineStr">
        <is>
          <t>Every 4th Power Cast is granted +100% Ability Strength.</t>
        </is>
      </c>
      <c r="F47" t="inlineStr">
        <is>
          <t>Dispensary</t>
        </is>
      </c>
      <c r="G47" t="inlineStr">
        <is>
          <t>Velox Prime</t>
        </is>
      </c>
    </row>
    <row r="48">
      <c r="A48" t="inlineStr">
        <is>
          <t>Qorvex</t>
        </is>
      </c>
      <c r="B48" t="inlineStr">
        <is>
          <t>Base (no Prime)</t>
        </is>
      </c>
      <c r="C48" t="inlineStr">
        <is>
          <t>35</t>
        </is>
      </c>
      <c r="D48" t="inlineStr">
        <is>
          <t>Chyrinka Pillar, Containment Wall, Disometric Guard, Crucible Blast</t>
        </is>
      </c>
      <c r="E48" t="inlineStr">
        <is>
          <t>Weapons wield by Qorvex have an additional +3 Punch Through.</t>
        </is>
      </c>
      <c r="F48" t="inlineStr">
        <is>
          <t>Chyrinka Pillar</t>
        </is>
      </c>
      <c r="G48" t="inlineStr">
        <is>
          <t>Mandonel</t>
        </is>
      </c>
    </row>
    <row r="49">
      <c r="A49" t="inlineStr">
        <is>
          <t>Revenant Prime</t>
        </is>
      </c>
      <c r="B49" t="inlineStr">
        <is>
          <t>Prime</t>
        </is>
      </c>
      <c r="C49" t="inlineStr">
        <is>
          <t>32.0.9</t>
        </is>
      </c>
      <c r="D49" t="inlineStr">
        <is>
          <t>Enthrall, Mesmer Skin, Reave, Danse Macabre</t>
        </is>
      </c>
      <c r="E49" t="inlineStr">
        <is>
          <t>Shield depletion smashes enemies within 7.5m with a 100 Damage knockdown shockwave.</t>
        </is>
      </c>
      <c r="F49" t="inlineStr">
        <is>
          <t>Reave</t>
        </is>
      </c>
      <c r="G49" t="inlineStr">
        <is>
          <t>Phantasma Prime, Tatsu Prime</t>
        </is>
      </c>
    </row>
    <row r="50">
      <c r="A50" t="inlineStr">
        <is>
          <t>Rhino Prime</t>
        </is>
      </c>
      <c r="B50" t="inlineStr">
        <is>
          <t>Prime</t>
        </is>
      </c>
      <c r="C50" t="inlineStr">
        <is>
          <t>12.4</t>
        </is>
      </c>
      <c r="D50" t="inlineStr">
        <is>
          <t>Rhino Charge, Iron Skin, Roar, Rhino Stomp</t>
        </is>
      </c>
      <c r="E50" t="inlineStr">
        <is>
          <t>Emit a shockwave dealing 100 damage after landing from a great height.</t>
        </is>
      </c>
      <c r="F50" t="inlineStr">
        <is>
          <t>Roar</t>
        </is>
      </c>
    </row>
    <row r="51">
      <c r="A51" t="inlineStr">
        <is>
          <t>Saryn Prime</t>
        </is>
      </c>
      <c r="B51" t="inlineStr">
        <is>
          <t>Prime</t>
        </is>
      </c>
      <c r="C51" t="inlineStr">
        <is>
          <t>18.4.12</t>
        </is>
      </c>
      <c r="D51" t="inlineStr">
        <is>
          <t>Spores, Molt, Toxic Lash, Miasma</t>
        </is>
      </c>
      <c r="E51" t="inlineStr">
        <is>
          <t>Status Effects inflicted upon enemies last 25% longer.</t>
        </is>
      </c>
      <c r="F51" t="inlineStr">
        <is>
          <t>Molt</t>
        </is>
      </c>
    </row>
    <row r="52">
      <c r="A52" t="inlineStr">
        <is>
          <t>Sevagoth Prime</t>
        </is>
      </c>
      <c r="B52" t="inlineStr">
        <is>
          <t>Prime</t>
        </is>
      </c>
      <c r="C52" t="inlineStr">
        <is>
          <t>36.1</t>
        </is>
      </c>
      <c r="D52" t="inlineStr">
        <is>
          <t>Reap, Sow, Gloom, Exalted Shadow</t>
        </is>
      </c>
      <c r="E52" t="inlineStr">
        <is>
          <t>On death, become Sevagoth's Shadow and fight to resurrect him by collecting the souls needed to rebuild his tombstone.</t>
        </is>
      </c>
      <c r="F52" t="inlineStr">
        <is>
          <t>Gloom</t>
        </is>
      </c>
      <c r="G52" t="inlineStr">
        <is>
          <t>Epitaph Prime</t>
        </is>
      </c>
    </row>
    <row r="53">
      <c r="A53" t="inlineStr">
        <is>
          <t>Sirius &amp; Orion</t>
        </is>
      </c>
      <c r="B53" t="inlineStr">
        <is>
          <t>Base (no Prime)</t>
        </is>
      </c>
      <c r="C53" t="inlineStr">
        <is>
          <t>43</t>
        </is>
      </c>
      <c r="D53" t="inlineStr">
        <is>
          <t>Coronal Ejection, Gravitic Slash, Jade Stars, Astral Shell, Light's Sanctuary, Event Horizon, Celestial Clash</t>
        </is>
      </c>
      <c r="E53" t="inlineStr">
        <is>
          <t>Swapping between them grants 45% Ability Efficiency for the next 2 casts.
 When below 50 energy, Sirius &amp; Orion will steal energy from each other.</t>
        </is>
      </c>
      <c r="G53" t="inlineStr">
        <is>
          <t>Wrath, Pride</t>
        </is>
      </c>
    </row>
    <row r="54">
      <c r="A54" t="inlineStr">
        <is>
          <t>Styanax Prime</t>
        </is>
      </c>
      <c r="B54" t="inlineStr">
        <is>
          <t>Prime</t>
        </is>
      </c>
      <c r="C54" t="inlineStr">
        <is>
          <t>43</t>
        </is>
      </c>
      <c r="D54" t="inlineStr">
        <is>
          <t>Axios Javelin, Tharros Strike, Rally Point, Final Stand</t>
        </is>
      </c>
      <c r="E54" t="inlineStr">
        <is>
          <t>Styanax's critical chance increases with his shields and doubles for spearguns.</t>
        </is>
      </c>
      <c r="F54" t="inlineStr">
        <is>
          <t>Tharros Strike</t>
        </is>
      </c>
      <c r="G54" t="inlineStr">
        <is>
          <t>Afentis Prime</t>
        </is>
      </c>
    </row>
    <row r="55">
      <c r="A55" t="inlineStr">
        <is>
          <t>Temple</t>
        </is>
      </c>
      <c r="B55" t="inlineStr">
        <is>
          <t>Base (no Prime)</t>
        </is>
      </c>
      <c r="C55" t="inlineStr">
        <is>
          <t>38.5</t>
        </is>
      </c>
      <c r="D55" t="inlineStr">
        <is>
          <t>Pyrotechnics, Overdrive, Ripper's Wail, Exalted Solo</t>
        </is>
      </c>
      <c r="E55" t="inlineStr">
        <is>
          <t>Play abilities in sync with the Backbeat metronome to invigorate ability effects while increasing Ability Efficiency by 50%.</t>
        </is>
      </c>
      <c r="F55" t="inlineStr">
        <is>
          <t>Pyrotechnics</t>
        </is>
      </c>
      <c r="G55" t="inlineStr">
        <is>
          <t>Riot-848</t>
        </is>
      </c>
    </row>
    <row r="56">
      <c r="A56" t="inlineStr">
        <is>
          <t>Titania Prime</t>
        </is>
      </c>
      <c r="B56" t="inlineStr">
        <is>
          <t>Prime</t>
        </is>
      </c>
      <c r="C56" t="inlineStr">
        <is>
          <t>27.3.6</t>
        </is>
      </c>
      <c r="D56" t="inlineStr">
        <is>
          <t>Spellbind, Tribute, Lantern, Razorwing</t>
        </is>
      </c>
      <c r="E56" t="inlineStr">
        <is>
          <t>Titania generates Health for herself and nearby allies every time she casts an Ability.</t>
        </is>
      </c>
      <c r="F56" t="inlineStr">
        <is>
          <t>Spellbind</t>
        </is>
      </c>
    </row>
    <row r="57">
      <c r="A57" t="inlineStr">
        <is>
          <t>Trinity Prime</t>
        </is>
      </c>
      <c r="B57" t="inlineStr">
        <is>
          <t>Prime</t>
        </is>
      </c>
      <c r="C57" t="inlineStr">
        <is>
          <t>17.6</t>
        </is>
      </c>
      <c r="D57" t="inlineStr">
        <is>
          <t>Well of Life, Energy Vampire, Link, Blessing</t>
        </is>
      </c>
      <c r="E57" t="inlineStr">
        <is>
          <t>Allies in Affinity Range gain 50% of Trinity's Max Energy as Health.</t>
        </is>
      </c>
      <c r="F57" t="inlineStr">
        <is>
          <t>Well of Life</t>
        </is>
      </c>
    </row>
    <row r="58">
      <c r="A58" t="inlineStr">
        <is>
          <t>Uriel</t>
        </is>
      </c>
      <c r="B58" t="inlineStr">
        <is>
          <t>Base (no Prime)</t>
        </is>
      </c>
      <c r="C58" t="inlineStr">
        <is>
          <t>41</t>
        </is>
      </c>
      <c r="D58" t="inlineStr">
        <is>
          <t>Infernalis, Remedium, Demonium, Brimstone</t>
        </is>
      </c>
      <c r="E58" t="inlineStr">
        <is>
          <t>Uriel commands, empowers, and protects three unique demons.
 CATENACH: Snares and slows enemies chaining them together. Damage dealt to any target in the chain is inflicted on all snared enemies. (Unlocks with Infernalis)
 GULPHAGOR : Latches onto foes dealing damage over time. If killed, a circ</t>
        </is>
      </c>
      <c r="F58" t="inlineStr">
        <is>
          <t>Remedium</t>
        </is>
      </c>
      <c r="G58" t="inlineStr">
        <is>
          <t>Vinquibus</t>
        </is>
      </c>
    </row>
    <row r="59">
      <c r="A59" t="inlineStr">
        <is>
          <t>Valkyr Prime</t>
        </is>
      </c>
      <c r="B59" t="inlineStr">
        <is>
          <t>Prime</t>
        </is>
      </c>
      <c r="C59" t="inlineStr">
        <is>
          <t>19.0.7</t>
        </is>
      </c>
      <c r="D59" t="inlineStr">
        <is>
          <t>Rip Line, Warcry, Paralysis, Hysteria</t>
        </is>
      </c>
      <c r="E59" t="inlineStr">
        <is>
          <t>Valkyr accumulates Rage when hitting or killing enemies with melee weapons, increasing her Melee Damage up to 300%. Taking fatal damage when the Rage meter is above 150% consumes the meter, preventing death and granting 5s of invulnerability.</t>
        </is>
      </c>
      <c r="F59" t="inlineStr">
        <is>
          <t>Warcry</t>
        </is>
      </c>
    </row>
    <row r="60">
      <c r="A60" t="inlineStr">
        <is>
          <t>Vauban Prime</t>
        </is>
      </c>
      <c r="B60" t="inlineStr">
        <is>
          <t>Prime</t>
        </is>
      </c>
      <c r="C60" t="inlineStr">
        <is>
          <t>18.12</t>
        </is>
      </c>
      <c r="D60" t="inlineStr">
        <is>
          <t>Tesla Nervos, Minelayer, Photon Strike, Bastille</t>
        </is>
      </c>
      <c r="E60" t="inlineStr">
        <is>
          <t>Deal 25% Extra Damage to incapacitated enemies.</t>
        </is>
      </c>
      <c r="F60" t="inlineStr">
        <is>
          <t>Tesla Nervos</t>
        </is>
      </c>
    </row>
    <row r="61">
      <c r="A61" t="inlineStr">
        <is>
          <t>Volt Prime</t>
        </is>
      </c>
      <c r="B61" t="inlineStr">
        <is>
          <t>Prime</t>
        </is>
      </c>
      <c r="C61" t="inlineStr">
        <is>
          <t>16.1</t>
        </is>
      </c>
      <c r="D61" t="inlineStr">
        <is>
          <t>Shock, Speed, Electric Shield, Discharge</t>
        </is>
      </c>
      <c r="E61" t="inlineStr">
        <is>
          <t>Grounded movement generates an electrical charge building up 1000 Damage per meter that is unleashed with the next attack.</t>
        </is>
      </c>
      <c r="F61" t="inlineStr">
        <is>
          <t>Shock</t>
        </is>
      </c>
    </row>
    <row r="62">
      <c r="A62" t="inlineStr">
        <is>
          <t>Voruna Prime</t>
        </is>
      </c>
      <c r="B62" t="inlineStr">
        <is>
          <t>Prime</t>
        </is>
      </c>
      <c r="C62" t="inlineStr">
        <is>
          <t>42.0.6</t>
        </is>
      </c>
      <c r="D62" t="inlineStr">
        <is>
          <t>Shroud of Dynar, Fangs of Raksh, Lycath's Hunt, Ulfrun's Descent</t>
        </is>
      </c>
      <c r="E62" t="inlineStr">
        <is>
          <t>Voruna never fights alone. In mission, hold Abilities to call upon each wolf's unique Passive power.</t>
        </is>
      </c>
      <c r="F62" t="inlineStr">
        <is>
          <t>Lycath's Hunt</t>
        </is>
      </c>
      <c r="G62" t="inlineStr">
        <is>
          <t>Perigale Prime, Sarofang Prime</t>
        </is>
      </c>
    </row>
    <row r="63">
      <c r="A63" t="inlineStr">
        <is>
          <t>Wisp Prime</t>
        </is>
      </c>
      <c r="B63" t="inlineStr">
        <is>
          <t>Prime</t>
        </is>
      </c>
      <c r="C63" t="inlineStr">
        <is>
          <t>33.6</t>
        </is>
      </c>
      <c r="D63" t="inlineStr">
        <is>
          <t>Reservoirs, Wil-O-Wisp, Breach Surge, Sol Gate</t>
        </is>
      </c>
      <c r="E63" t="inlineStr">
        <is>
          <t>Flowing between dimensions Wisp becomes invisible to enemies while in the air.</t>
        </is>
      </c>
      <c r="F63" t="inlineStr">
        <is>
          <t>Breach Surge</t>
        </is>
      </c>
      <c r="G63" t="inlineStr">
        <is>
          <t>Fulmin Prime</t>
        </is>
      </c>
    </row>
    <row r="64">
      <c r="A64" t="inlineStr">
        <is>
          <t>Wukong Prime</t>
        </is>
      </c>
      <c r="B64" t="inlineStr">
        <is>
          <t>Prime</t>
        </is>
      </c>
      <c r="C64" t="inlineStr">
        <is>
          <t>25.3.0</t>
        </is>
      </c>
      <c r="D64" t="inlineStr">
        <is>
          <t>Celestial Twin, Cloud Walker, Defy, Primal Fury</t>
        </is>
      </c>
      <c r="E64" t="inlineStr">
        <is>
          <t>After taking fatal damage Wukong automatically uses one of his mastered survival techniques. These techniques can only be invoked three times per mission.</t>
        </is>
      </c>
      <c r="F64" t="inlineStr">
        <is>
          <t>Defy</t>
        </is>
      </c>
    </row>
    <row r="65">
      <c r="A65" t="inlineStr">
        <is>
          <t>Xaku Prime</t>
        </is>
      </c>
      <c r="B65" t="inlineStr">
        <is>
          <t>Prime</t>
        </is>
      </c>
      <c r="C65" t="inlineStr">
        <is>
          <t>37.0.9</t>
        </is>
      </c>
      <c r="D65" t="inlineStr">
        <is>
          <t>Xata's Whisper, Grasp of Lohk, The Lost, The Vast Untime</t>
        </is>
      </c>
      <c r="E65" t="inlineStr">
        <is>
          <t>25% Damage Reduction on AOE attacks and chance to avoid incoming weapon damage.</t>
        </is>
      </c>
      <c r="F65" t="inlineStr">
        <is>
          <t>Xata's Whisper</t>
        </is>
      </c>
      <c r="G65" t="inlineStr">
        <is>
          <t>Quassus Prime</t>
        </is>
      </c>
    </row>
    <row r="66">
      <c r="A66" t="inlineStr">
        <is>
          <t>Yareli Prime</t>
        </is>
      </c>
      <c r="B66" t="inlineStr">
        <is>
          <t>Prime</t>
        </is>
      </c>
      <c r="C66" t="inlineStr">
        <is>
          <t>38.6</t>
        </is>
      </c>
      <c r="D66" t="inlineStr">
        <is>
          <t>Sea Snares, Merulina, Aquablades, Riptide</t>
        </is>
      </c>
      <c r="E66" t="inlineStr">
        <is>
          <t>Yareli gains +200% Critical Chance for Secondary weapons when she has been moving for at least 1.5s.</t>
        </is>
      </c>
      <c r="F66" t="inlineStr">
        <is>
          <t>Aquablades</t>
        </is>
      </c>
      <c r="G66" t="inlineStr">
        <is>
          <t>Kompressa Prime</t>
        </is>
      </c>
    </row>
    <row r="67">
      <c r="A67" t="inlineStr">
        <is>
          <t>Zephyr Prime</t>
        </is>
      </c>
      <c r="B67" t="inlineStr">
        <is>
          <t>Prime</t>
        </is>
      </c>
      <c r="C67" t="inlineStr">
        <is>
          <t>22.16.4</t>
        </is>
      </c>
      <c r="D67" t="inlineStr">
        <is>
          <t>Tail Wind, Airburst, Turbulence, Tornado</t>
        </is>
      </c>
      <c r="E67" t="inlineStr">
        <is>
          <t>Zephyr moves faster and falls slower while airborne. Also gain 150% Critical Hit chance with weapons while airborne.</t>
        </is>
      </c>
      <c r="F67" t="inlineStr">
        <is>
          <t>Airburst</t>
        </is>
      </c>
    </row>
  </sheetData>
  <autoFilter ref="A1:G6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style="26" min="1" max="1"/>
    <col width="80" customWidth="1" style="26" min="2" max="2"/>
    <col width="70" customWidth="1" style="26" min="3" max="3"/>
  </cols>
  <sheetData>
    <row r="1">
      <c r="A1" s="51" t="inlineStr">
        <is>
          <t>Area</t>
        </is>
      </c>
      <c r="B1" s="51" t="inlineStr">
        <is>
          <t>Issue</t>
        </is>
      </c>
      <c r="C1" s="51" t="inlineStr">
        <is>
          <t>Action</t>
        </is>
      </c>
    </row>
    <row r="2">
      <c r="A2" t="inlineStr">
        <is>
          <t>Protea</t>
        </is>
      </c>
      <c r="B2" t="inlineStr">
        <is>
          <t>Helminth Roar on Temporal Anchor conflicts with Temporal Artillery</t>
        </is>
      </c>
      <c r="C2" t="inlineStr">
        <is>
          <t>Pick: Roar over Grenade Fan (recommended) or drop Temporal Artillery</t>
        </is>
      </c>
    </row>
    <row r="3">
      <c r="A3" t="inlineStr">
        <is>
          <t>Dante</t>
        </is>
      </c>
      <c r="B3" t="inlineStr">
        <is>
          <t>Noctua ruled additional Exalted (no Secondary replacement)</t>
        </is>
      </c>
      <c r="C3" t="inlineStr">
        <is>
          <t>LIVE TEST REQUIRED if replacement is wanted</t>
        </is>
      </c>
    </row>
    <row r="4">
      <c r="A4" t="inlineStr">
        <is>
          <t>Sirius &amp; Orion</t>
        </is>
      </c>
      <c r="B4" t="inlineStr">
        <is>
          <t>Orion is an Exalted Warframe sharing rank/upgrades; Reactor count assumes one per S&amp;O</t>
        </is>
      </c>
      <c r="C4" t="inlineStr">
        <is>
          <t>LIVE CHECK: confirm Orion shares the Reactor</t>
        </is>
      </c>
    </row>
    <row r="5">
      <c r="A5" t="inlineStr">
        <is>
          <t>Signature preference</t>
        </is>
      </c>
      <c r="B5" t="inlineStr">
        <is>
          <t>v4.1 allocated uncontested no-bonus signatures (Temple Riot-848, Mirage Akzani, S&amp;O Pride)</t>
        </is>
      </c>
      <c r="C5" t="inlineStr">
        <is>
          <t>Revert to Athodai / Prisma Twin Gremlins / Caustacyst if preferred; counts unchanged</t>
        </is>
      </c>
    </row>
    <row r="6">
      <c r="A6" t="inlineStr">
        <is>
          <t>Builds</t>
        </is>
      </c>
      <c r="B6" t="inlineStr">
        <is>
          <t>v3 holds no per-frame aura/exilus/mod/arcane/shard/focus sheets</t>
        </is>
      </c>
      <c r="C6" t="inlineStr">
        <is>
          <t>Mods are covered by the all-mods mandate and Arcanes by the required + collection lines; per-frame build sheets still need authoring</t>
        </is>
      </c>
    </row>
    <row r="7">
      <c r="A7" t="inlineStr">
        <is>
          <t>Archon Shards</t>
        </is>
      </c>
      <c r="B7" t="inlineStr">
        <is>
          <t>Plan covers 230 of 330 shard slots</t>
        </is>
      </c>
      <c r="C7" t="inlineStr">
        <is>
          <t>Extend shard plan to all 66 frames</t>
        </is>
      </c>
    </row>
    <row r="8">
      <c r="A8" t="inlineStr">
        <is>
          <t>Sentinel weapons</t>
        </is>
      </c>
      <c r="B8" t="inlineStr">
        <is>
          <t>Resolved v4.1: default weapons bundled (Verglas Prime, Prime Laser Rifle, Deth Machine Rifle Prime, Burst Laser Prime, Deconstructor Prime, Vulklok, Artax)</t>
        </is>
      </c>
      <c r="C8" t="inlineStr">
        <is>
          <t>Change only if non-default sentinel weapons are wanted</t>
        </is>
      </c>
    </row>
    <row r="9">
      <c r="A9" t="inlineStr">
        <is>
          <t>Brysko</t>
        </is>
      </c>
      <c r="B9" t="inlineStr">
        <is>
          <t>Tracked in Upcoming (Not Live); excluded from live cost</t>
        </is>
      </c>
      <c r="C9" t="inlineStr">
        <is>
          <t>Integrate on release: frame, Corecracker ruling, Rain &amp; Shine, Hound, Sentient shotgun</t>
        </is>
      </c>
    </row>
    <row r="10">
      <c r="A10" t="inlineStr">
        <is>
          <t>Tigris Incarnon</t>
        </is>
      </c>
      <c r="B10" t="inlineStr">
        <is>
          <t>Announced Incarnon adapter (Nekros Tigris Prime) not live</t>
        </is>
      </c>
      <c r="C10" t="inlineStr">
        <is>
          <t>Add Genesis row on release</t>
        </is>
      </c>
    </row>
    <row r="11">
      <c r="A11" t="inlineStr">
        <is>
          <t>Adversary elements</t>
        </is>
      </c>
      <c r="B11" t="inlineStr">
        <is>
          <t>v3 had no element targets; v4 set them</t>
        </is>
      </c>
      <c r="C11" t="inlineStr">
        <is>
          <t>Confirm per-frame elements</t>
        </is>
      </c>
    </row>
    <row r="12">
      <c r="A12" t="inlineStr">
        <is>
          <t>Variant families</t>
        </is>
      </c>
      <c r="B12" t="inlineStr">
        <is>
          <t>Vectis/Prime, Trumna/Prime, Dual Keres/Prime, Epitaph/Prime, Cedo/Prime, Pyrana/Prime, Ohma/Prisma Ohma</t>
        </is>
      </c>
      <c r="C12" t="inlineStr">
        <is>
          <t>Distinct items; optional further uniqueness pass</t>
        </is>
      </c>
    </row>
    <row r="13">
      <c r="A13" t="inlineStr">
        <is>
          <t>Account purchase</t>
        </is>
      </c>
      <c r="B13" t="inlineStr">
        <is>
          <t>No candidate account inventory supplied</t>
        </is>
      </c>
      <c r="C13" t="inlineStr">
        <is>
          <t>Provide export for the equivalency audit</t>
        </is>
      </c>
    </row>
  </sheetData>
  <autoFilter ref="A1:C1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22" customWidth="1" style="26" min="1" max="1"/>
    <col width="12" customWidth="1" style="26" min="2" max="2"/>
    <col width="28" customWidth="1" style="26" min="3" max="3"/>
    <col width="20" customWidth="1" style="26" min="4" max="4"/>
    <col width="38" customWidth="1" style="26" min="5" max="5"/>
    <col width="16" customWidth="1" style="26" min="6" max="6"/>
  </cols>
  <sheetData>
    <row r="1">
      <c r="A1" s="36" t="inlineStr">
        <is>
          <t>Frame</t>
        </is>
      </c>
      <c r="B1" s="36" t="inlineStr">
        <is>
          <t>Variant</t>
        </is>
      </c>
      <c r="C1" s="36" t="inlineStr">
        <is>
          <t>Acquisition</t>
        </is>
      </c>
      <c r="D1" s="36" t="inlineStr">
        <is>
          <t>Investment</t>
        </is>
      </c>
      <c r="E1" s="36" t="inlineStr">
        <is>
          <t>Notes</t>
        </is>
      </c>
      <c r="F1" s="33" t="inlineStr">
        <is>
          <t>Status</t>
        </is>
      </c>
    </row>
    <row r="2">
      <c r="A2" s="37" t="inlineStr">
        <is>
          <t>Ash Prime</t>
        </is>
      </c>
      <c r="B2" s="37" t="inlineStr">
        <is>
          <t>Prime</t>
        </is>
      </c>
      <c r="C2" s="37" t="inlineStr">
        <is>
          <t>Trade Prime set / Relics</t>
        </is>
      </c>
      <c r="D2" s="37" t="inlineStr">
        <is>
          <t>Reactor + Forma</t>
        </is>
      </c>
      <c r="E2" s="37" t="inlineStr">
        <is>
          <t>Shadow Clones investment</t>
        </is>
      </c>
      <c r="F2" t="inlineStr">
        <is>
          <t>v4: OK; R=65p</t>
        </is>
      </c>
    </row>
    <row r="3">
      <c r="A3" s="37" t="inlineStr">
        <is>
          <t>Atlas Prime</t>
        </is>
      </c>
      <c r="B3" s="37" t="inlineStr">
        <is>
          <t>Prime</t>
        </is>
      </c>
      <c r="C3" s="37" t="inlineStr">
        <is>
          <t>Trade Prime set / Relics</t>
        </is>
      </c>
      <c r="D3" s="37" t="inlineStr">
        <is>
          <t>Reactor + Forma</t>
        </is>
      </c>
      <c r="E3" s="37" t="inlineStr">
        <is>
          <t>Landslide Fists investment</t>
        </is>
      </c>
      <c r="F3" t="inlineStr">
        <is>
          <t>v4: OK; R=69p</t>
        </is>
      </c>
    </row>
    <row r="4">
      <c r="A4" s="37" t="inlineStr">
        <is>
          <t>Banshee Prime</t>
        </is>
      </c>
      <c r="B4" s="37" t="inlineStr">
        <is>
          <t>Prime</t>
        </is>
      </c>
      <c r="C4" s="37" t="inlineStr">
        <is>
          <t>Trade Prime set / Relics</t>
        </is>
      </c>
      <c r="D4" s="37" t="inlineStr">
        <is>
          <t>Reactor + Forma</t>
        </is>
      </c>
      <c r="E4" s="37" t="inlineStr">
        <is>
          <t>Update 44 build</t>
        </is>
      </c>
      <c r="F4" t="inlineStr">
        <is>
          <t>v4: OK; R=64p</t>
        </is>
      </c>
    </row>
    <row r="5">
      <c r="A5" s="37" t="inlineStr">
        <is>
          <t>Baruuk Prime</t>
        </is>
      </c>
      <c r="B5" s="37" t="inlineStr">
        <is>
          <t>Prime</t>
        </is>
      </c>
      <c r="C5" s="37" t="inlineStr">
        <is>
          <t>Trade Prime set / Relics</t>
        </is>
      </c>
      <c r="D5" s="37" t="inlineStr">
        <is>
          <t>Reactor + Forma</t>
        </is>
      </c>
      <c r="E5" s="37" t="inlineStr">
        <is>
          <t>Desert Wind Prime investment</t>
        </is>
      </c>
      <c r="F5" t="inlineStr">
        <is>
          <t>v4: OK; R=50p</t>
        </is>
      </c>
    </row>
    <row r="6">
      <c r="A6" s="37" t="inlineStr">
        <is>
          <t>Caliban Prime</t>
        </is>
      </c>
      <c r="B6" s="37" t="inlineStr">
        <is>
          <t>Prime</t>
        </is>
      </c>
      <c r="C6" s="37" t="inlineStr">
        <is>
          <t>Trade Prime set / Relics</t>
        </is>
      </c>
      <c r="D6" s="37" t="inlineStr">
        <is>
          <t>Reactor + Forma</t>
        </is>
      </c>
      <c r="E6" s="37" t="inlineStr">
        <is>
          <t>Venato Prime priority</t>
        </is>
      </c>
      <c r="F6" t="inlineStr">
        <is>
          <t>v4: OK; R=30p</t>
        </is>
      </c>
    </row>
    <row r="7">
      <c r="A7" s="37" t="inlineStr">
        <is>
          <t>Chroma Prime</t>
        </is>
      </c>
      <c r="B7" s="37" t="inlineStr">
        <is>
          <t>Prime</t>
        </is>
      </c>
      <c r="C7" s="37" t="inlineStr">
        <is>
          <t>Trade Prime set / Relics</t>
        </is>
      </c>
      <c r="D7" s="37" t="inlineStr">
        <is>
          <t>Reactor + Forma</t>
        </is>
      </c>
      <c r="E7" s="37" t="str"/>
      <c r="F7" t="inlineStr">
        <is>
          <t>v4: OK; R=89p</t>
        </is>
      </c>
    </row>
    <row r="8">
      <c r="A8" s="37" t="inlineStr">
        <is>
          <t>Citrine Prime</t>
        </is>
      </c>
      <c r="B8" s="37" t="inlineStr">
        <is>
          <t>Prime</t>
        </is>
      </c>
      <c r="C8" s="37" t="inlineStr">
        <is>
          <t>Trade Prime set / Relics</t>
        </is>
      </c>
      <c r="D8" s="37" t="inlineStr">
        <is>
          <t>Reactor + Forma</t>
        </is>
      </c>
      <c r="E8" s="37" t="inlineStr">
        <is>
          <t>Steflos Prime + Corufell Prime</t>
        </is>
      </c>
      <c r="F8" t="inlineStr">
        <is>
          <t>v4: OK; R=99p</t>
        </is>
      </c>
    </row>
    <row r="9">
      <c r="A9" s="37" t="inlineStr">
        <is>
          <t>Cyte-09</t>
        </is>
      </c>
      <c r="B9" s="37" t="inlineStr">
        <is>
          <t>Base</t>
        </is>
      </c>
      <c r="C9" s="37" t="inlineStr">
        <is>
          <t>Already owned</t>
        </is>
      </c>
      <c r="D9" s="37" t="inlineStr">
        <is>
          <t>Reactor + Forma</t>
        </is>
      </c>
      <c r="E9" s="37" t="inlineStr">
        <is>
          <t>Neutralizer investment</t>
        </is>
      </c>
      <c r="F9" t="inlineStr">
        <is>
          <t>v4: FARMABLE / ACCOUNT-BOUND; R=Nonep</t>
        </is>
      </c>
    </row>
    <row r="10">
      <c r="A10" s="37" t="inlineStr">
        <is>
          <t>Dagath</t>
        </is>
      </c>
      <c r="B10" s="37" t="inlineStr">
        <is>
          <t>Base</t>
        </is>
      </c>
      <c r="C10" s="37" t="inlineStr">
        <is>
          <t>Account progression</t>
        </is>
      </c>
      <c r="D10" s="37" t="inlineStr">
        <is>
          <t>Reactor + Forma</t>
        </is>
      </c>
      <c r="E10" s="37" t="str"/>
      <c r="F10" t="inlineStr">
        <is>
          <t>v4: FARMABLE / ACCOUNT-BOUND; R=Nonep</t>
        </is>
      </c>
    </row>
    <row r="11">
      <c r="A11" s="37" t="inlineStr">
        <is>
          <t>Dante</t>
        </is>
      </c>
      <c r="B11" s="37" t="inlineStr">
        <is>
          <t>Base</t>
        </is>
      </c>
      <c r="C11" s="37" t="inlineStr">
        <is>
          <t>Account progression</t>
        </is>
      </c>
      <c r="D11" s="37" t="inlineStr">
        <is>
          <t>Reactor + Forma</t>
        </is>
      </c>
      <c r="E11" s="37" t="inlineStr">
        <is>
          <t>v4: Phenmor / Onos / Ruvox; Noctua additional Exalted</t>
        </is>
      </c>
      <c r="F11" t="inlineStr">
        <is>
          <t>v4: FARMABLE / ACCOUNT-BOUND; R=Nonep</t>
        </is>
      </c>
    </row>
    <row r="12">
      <c r="A12" s="37" t="inlineStr">
        <is>
          <t>Ember Prime</t>
        </is>
      </c>
      <c r="B12" s="37" t="inlineStr">
        <is>
          <t>Prime</t>
        </is>
      </c>
      <c r="C12" s="37" t="inlineStr">
        <is>
          <t>Trade Prime set / Relics</t>
        </is>
      </c>
      <c r="D12" s="37" t="inlineStr">
        <is>
          <t>Reactor + Forma</t>
        </is>
      </c>
      <c r="E12" s="37" t="str"/>
      <c r="F12" t="inlineStr">
        <is>
          <t>v4: OK; R=65p</t>
        </is>
      </c>
    </row>
    <row r="13">
      <c r="A13" s="37" t="inlineStr">
        <is>
          <t>Equinox Prime</t>
        </is>
      </c>
      <c r="B13" s="37" t="inlineStr">
        <is>
          <t>Prime</t>
        </is>
      </c>
      <c r="C13" s="37" t="inlineStr">
        <is>
          <t>Trade Prime set / Relics</t>
        </is>
      </c>
      <c r="D13" s="37" t="inlineStr">
        <is>
          <t>Reactor + Forma</t>
        </is>
      </c>
      <c r="E13" s="37" t="str"/>
      <c r="F13" t="inlineStr">
        <is>
          <t>v4: OK; R=64p</t>
        </is>
      </c>
    </row>
    <row r="14">
      <c r="A14" s="37" t="inlineStr">
        <is>
          <t>Excalibur Umbra</t>
        </is>
      </c>
      <c r="B14" s="37" t="inlineStr">
        <is>
          <t>Quest</t>
        </is>
      </c>
      <c r="C14" s="37" t="inlineStr">
        <is>
          <t>The Sacrifice / account-bound</t>
        </is>
      </c>
      <c r="D14" s="37" t="inlineStr">
        <is>
          <t>Forma</t>
        </is>
      </c>
      <c r="E14" s="37" t="inlineStr">
        <is>
          <t>Exalted Umbra Blade</t>
        </is>
      </c>
      <c r="F14" t="inlineStr">
        <is>
          <t>v4: FARMABLE / ACCOUNT-BOUND; R=Nonep</t>
        </is>
      </c>
    </row>
    <row r="15">
      <c r="A15" s="37" t="inlineStr">
        <is>
          <t>Follie</t>
        </is>
      </c>
      <c r="B15" s="37" t="inlineStr">
        <is>
          <t>Base</t>
        </is>
      </c>
      <c r="C15" s="37" t="inlineStr">
        <is>
          <t>Account progression</t>
        </is>
      </c>
      <c r="D15" s="37" t="inlineStr">
        <is>
          <t>Reactor + Forma</t>
        </is>
      </c>
      <c r="E15" s="37" t="inlineStr">
        <is>
          <t>Enkaus signature</t>
        </is>
      </c>
      <c r="F15" t="inlineStr">
        <is>
          <t>v4: FARMABLE / ACCOUNT-BOUND; R=Nonep</t>
        </is>
      </c>
    </row>
    <row r="16">
      <c r="A16" s="37" t="inlineStr">
        <is>
          <t>Frost Prime</t>
        </is>
      </c>
      <c r="B16" s="37" t="inlineStr">
        <is>
          <t>Prime</t>
        </is>
      </c>
      <c r="C16" s="37" t="inlineStr">
        <is>
          <t>Trade Prime set / Relics</t>
        </is>
      </c>
      <c r="D16" s="37" t="inlineStr">
        <is>
          <t>Reactor + Forma</t>
        </is>
      </c>
      <c r="E16" s="37" t="str"/>
      <c r="F16" t="inlineStr">
        <is>
          <t>v4: OK; R=77p</t>
        </is>
      </c>
    </row>
    <row r="17">
      <c r="A17" s="37" t="inlineStr">
        <is>
          <t>Gara Prime</t>
        </is>
      </c>
      <c r="B17" s="37" t="inlineStr">
        <is>
          <t>Prime</t>
        </is>
      </c>
      <c r="C17" s="37" t="inlineStr">
        <is>
          <t>Trade Prime set / Relics</t>
        </is>
      </c>
      <c r="D17" s="37" t="inlineStr">
        <is>
          <t>Reactor + Forma</t>
        </is>
      </c>
      <c r="E17" s="37" t="inlineStr">
        <is>
          <t>Shattered Lash investment</t>
        </is>
      </c>
      <c r="F17" t="inlineStr">
        <is>
          <t>v4: OK; R=69p</t>
        </is>
      </c>
    </row>
    <row r="18">
      <c r="A18" s="37" t="inlineStr">
        <is>
          <t>Garuda Prime</t>
        </is>
      </c>
      <c r="B18" s="37" t="inlineStr">
        <is>
          <t>Prime</t>
        </is>
      </c>
      <c r="C18" s="37" t="inlineStr">
        <is>
          <t>Trade Prime set / Relics</t>
        </is>
      </c>
      <c r="D18" s="37" t="inlineStr">
        <is>
          <t>Reactor + Forma</t>
        </is>
      </c>
      <c r="E18" s="37" t="inlineStr">
        <is>
          <t>Garuda Prime Talons</t>
        </is>
      </c>
      <c r="F18" t="inlineStr">
        <is>
          <t>v4: OK; R=80p</t>
        </is>
      </c>
    </row>
    <row r="19">
      <c r="A19" s="37" t="inlineStr">
        <is>
          <t>Gauss Prime</t>
        </is>
      </c>
      <c r="B19" s="37" t="inlineStr">
        <is>
          <t>Prime</t>
        </is>
      </c>
      <c r="C19" s="37" t="inlineStr">
        <is>
          <t>Trade Prime set / Relics</t>
        </is>
      </c>
      <c r="D19" s="37" t="inlineStr">
        <is>
          <t>Reactor + Forma</t>
        </is>
      </c>
      <c r="E19" s="37" t="str"/>
      <c r="F19" t="inlineStr">
        <is>
          <t>v4: OK; R=50p</t>
        </is>
      </c>
    </row>
    <row r="20">
      <c r="A20" s="37" t="inlineStr">
        <is>
          <t>Grendel Prime</t>
        </is>
      </c>
      <c r="B20" s="37" t="inlineStr">
        <is>
          <t>Prime</t>
        </is>
      </c>
      <c r="C20" s="37" t="inlineStr">
        <is>
          <t>Trade Prime set / Relics</t>
        </is>
      </c>
      <c r="D20" s="37" t="inlineStr">
        <is>
          <t>Reactor + Forma</t>
        </is>
      </c>
      <c r="E20" s="37" t="str"/>
      <c r="F20" t="inlineStr">
        <is>
          <t>v4: OK; R=64p</t>
        </is>
      </c>
    </row>
    <row r="21">
      <c r="A21" s="37" t="inlineStr">
        <is>
          <t>Gyre Prime</t>
        </is>
      </c>
      <c r="B21" s="37" t="inlineStr">
        <is>
          <t>Prime</t>
        </is>
      </c>
      <c r="C21" s="37" t="inlineStr">
        <is>
          <t>Trade Prime set / Relics</t>
        </is>
      </c>
      <c r="D21" s="37" t="inlineStr">
        <is>
          <t>Reactor + Forma</t>
        </is>
      </c>
      <c r="E21" s="37" t="str"/>
      <c r="F21" t="inlineStr">
        <is>
          <t>v4: OK; R=25p</t>
        </is>
      </c>
    </row>
    <row r="22">
      <c r="A22" s="37" t="inlineStr">
        <is>
          <t>Harrow Prime</t>
        </is>
      </c>
      <c r="B22" s="37" t="inlineStr">
        <is>
          <t>Prime</t>
        </is>
      </c>
      <c r="C22" s="37" t="inlineStr">
        <is>
          <t>Trade Prime set / Relics</t>
        </is>
      </c>
      <c r="D22" s="37" t="inlineStr">
        <is>
          <t>Reactor + Forma</t>
        </is>
      </c>
      <c r="E22" s="37" t="str"/>
      <c r="F22" t="inlineStr">
        <is>
          <t>v4: OK; R=70p</t>
        </is>
      </c>
    </row>
    <row r="23">
      <c r="A23" s="37" t="inlineStr">
        <is>
          <t>Hildryn Prime</t>
        </is>
      </c>
      <c r="B23" s="37" t="inlineStr">
        <is>
          <t>Prime</t>
        </is>
      </c>
      <c r="C23" s="37" t="inlineStr">
        <is>
          <t>Trade Prime set / Relics</t>
        </is>
      </c>
      <c r="D23" s="37" t="inlineStr">
        <is>
          <t>Reactor + Forma</t>
        </is>
      </c>
      <c r="E23" s="37" t="inlineStr">
        <is>
          <t>Balefire Charger Prime</t>
        </is>
      </c>
      <c r="F23" t="inlineStr">
        <is>
          <t>v4: OK; R=68p</t>
        </is>
      </c>
    </row>
    <row r="24">
      <c r="A24" s="37" t="inlineStr">
        <is>
          <t>Hydroid Prime</t>
        </is>
      </c>
      <c r="B24" s="37" t="inlineStr">
        <is>
          <t>Prime</t>
        </is>
      </c>
      <c r="C24" s="37" t="inlineStr">
        <is>
          <t>Trade Prime set / Relics</t>
        </is>
      </c>
      <c r="D24" s="37" t="inlineStr">
        <is>
          <t>Reactor + Forma</t>
        </is>
      </c>
      <c r="E24" s="37" t="str"/>
      <c r="F24" t="inlineStr">
        <is>
          <t>v4: OK; R=85p</t>
        </is>
      </c>
    </row>
    <row r="25">
      <c r="A25" s="37" t="inlineStr">
        <is>
          <t>Inaros Prime</t>
        </is>
      </c>
      <c r="B25" s="37" t="inlineStr">
        <is>
          <t>Prime</t>
        </is>
      </c>
      <c r="C25" s="37" t="inlineStr">
        <is>
          <t>Trade Prime set / Relics</t>
        </is>
      </c>
      <c r="D25" s="37" t="inlineStr">
        <is>
          <t>Reactor + Forma</t>
        </is>
      </c>
      <c r="E25" s="37" t="str"/>
      <c r="F25" t="inlineStr">
        <is>
          <t>v4: OK; R=70p</t>
        </is>
      </c>
    </row>
    <row r="26">
      <c r="A26" s="37" t="inlineStr">
        <is>
          <t>Ivara Prime</t>
        </is>
      </c>
      <c r="B26" s="37" t="inlineStr">
        <is>
          <t>Prime</t>
        </is>
      </c>
      <c r="C26" s="37" t="inlineStr">
        <is>
          <t>Trade Prime set / Relics</t>
        </is>
      </c>
      <c r="D26" s="37" t="inlineStr">
        <is>
          <t>Reactor + Forma</t>
        </is>
      </c>
      <c r="E26" s="37" t="inlineStr">
        <is>
          <t>Artemis Bow Prime</t>
        </is>
      </c>
      <c r="F26" t="inlineStr">
        <is>
          <t>v4: OK; R=60p</t>
        </is>
      </c>
    </row>
    <row r="27">
      <c r="A27" s="37" t="inlineStr">
        <is>
          <t>Jade</t>
        </is>
      </c>
      <c r="B27" s="37" t="inlineStr">
        <is>
          <t>Base</t>
        </is>
      </c>
      <c r="C27" s="37" t="inlineStr">
        <is>
          <t>Account progression</t>
        </is>
      </c>
      <c r="D27" s="37" t="inlineStr">
        <is>
          <t>Reactor + Forma</t>
        </is>
      </c>
      <c r="E27" s="37" t="inlineStr">
        <is>
          <t>Glory + 3 signature weapons</t>
        </is>
      </c>
      <c r="F27" t="inlineStr">
        <is>
          <t>v4: FARMABLE / ACCOUNT-BOUND; R=Nonep</t>
        </is>
      </c>
    </row>
    <row r="28">
      <c r="A28" s="37" t="inlineStr">
        <is>
          <t>Khora Prime</t>
        </is>
      </c>
      <c r="B28" s="37" t="inlineStr">
        <is>
          <t>Prime</t>
        </is>
      </c>
      <c r="C28" s="37" t="inlineStr">
        <is>
          <t>Trade Prime set / Relics</t>
        </is>
      </c>
      <c r="D28" s="37" t="inlineStr">
        <is>
          <t>Reactor + Forma</t>
        </is>
      </c>
      <c r="E28" s="37" t="inlineStr">
        <is>
          <t>Whipclaw Prime + Venari</t>
        </is>
      </c>
      <c r="F28" t="inlineStr">
        <is>
          <t>v4: OK; R=79p</t>
        </is>
      </c>
    </row>
    <row r="29">
      <c r="A29" s="37" t="inlineStr">
        <is>
          <t>Koumei</t>
        </is>
      </c>
      <c r="B29" s="37" t="inlineStr">
        <is>
          <t>Base</t>
        </is>
      </c>
      <c r="C29" s="37" t="inlineStr">
        <is>
          <t>Account progression</t>
        </is>
      </c>
      <c r="D29" s="37" t="inlineStr">
        <is>
          <t>Reactor + Forma</t>
        </is>
      </c>
      <c r="E29" s="37" t="str"/>
      <c r="F29" t="inlineStr">
        <is>
          <t>v4: FARMABLE / ACCOUNT-BOUND; R=Nonep</t>
        </is>
      </c>
    </row>
    <row r="30">
      <c r="A30" s="37" t="inlineStr">
        <is>
          <t>Kullervo</t>
        </is>
      </c>
      <c r="B30" s="37" t="inlineStr">
        <is>
          <t>Base</t>
        </is>
      </c>
      <c r="C30" s="37" t="inlineStr">
        <is>
          <t>Account progression</t>
        </is>
      </c>
      <c r="D30" s="37" t="inlineStr">
        <is>
          <t>Reactor + Forma</t>
        </is>
      </c>
      <c r="E30" s="37" t="str"/>
      <c r="F30" t="inlineStr">
        <is>
          <t>v4: FARMABLE / ACCOUNT-BOUND; R=Nonep</t>
        </is>
      </c>
    </row>
    <row r="31">
      <c r="A31" s="37" t="inlineStr">
        <is>
          <t>Lavos Prime</t>
        </is>
      </c>
      <c r="B31" s="37" t="inlineStr">
        <is>
          <t>Prime</t>
        </is>
      </c>
      <c r="C31" s="37" t="inlineStr">
        <is>
          <t>Trade Prime set / Relics</t>
        </is>
      </c>
      <c r="D31" s="37" t="inlineStr">
        <is>
          <t>Reactor + Forma</t>
        </is>
      </c>
      <c r="E31" s="37" t="str"/>
      <c r="F31" t="inlineStr">
        <is>
          <t>v4: OK; R=20p</t>
        </is>
      </c>
    </row>
    <row r="32">
      <c r="A32" s="37" t="inlineStr">
        <is>
          <t>Limbo Prime</t>
        </is>
      </c>
      <c r="B32" s="37" t="inlineStr">
        <is>
          <t>Prime</t>
        </is>
      </c>
      <c r="C32" s="37" t="inlineStr">
        <is>
          <t>Trade Prime set / Relics</t>
        </is>
      </c>
      <c r="D32" s="37" t="inlineStr">
        <is>
          <t>Reactor + Forma</t>
        </is>
      </c>
      <c r="E32" s="37" t="str"/>
      <c r="F32" t="inlineStr">
        <is>
          <t>v4: OK; R=98p</t>
        </is>
      </c>
    </row>
    <row r="33">
      <c r="A33" s="37" t="inlineStr">
        <is>
          <t>Loki Prime</t>
        </is>
      </c>
      <c r="B33" s="37" t="inlineStr">
        <is>
          <t>Prime</t>
        </is>
      </c>
      <c r="C33" s="37" t="inlineStr">
        <is>
          <t>Trade Prime set / Relics</t>
        </is>
      </c>
      <c r="D33" s="37" t="inlineStr">
        <is>
          <t>Reactor + Forma</t>
        </is>
      </c>
      <c r="E33" s="37" t="str"/>
      <c r="F33" t="inlineStr">
        <is>
          <t>v4: OK; R=76p</t>
        </is>
      </c>
    </row>
    <row r="34">
      <c r="A34" s="37" t="inlineStr">
        <is>
          <t>Mag Prime</t>
        </is>
      </c>
      <c r="B34" s="37" t="inlineStr">
        <is>
          <t>Prime</t>
        </is>
      </c>
      <c r="C34" s="37" t="inlineStr">
        <is>
          <t>Trade Prime set / Relics</t>
        </is>
      </c>
      <c r="D34" s="37" t="inlineStr">
        <is>
          <t>Reactor + Forma</t>
        </is>
      </c>
      <c r="E34" s="37" t="str"/>
      <c r="F34" t="inlineStr">
        <is>
          <t>v4: OK; R=73p</t>
        </is>
      </c>
    </row>
    <row r="35">
      <c r="A35" s="37" t="inlineStr">
        <is>
          <t>Mesa Prime</t>
        </is>
      </c>
      <c r="B35" s="37" t="inlineStr">
        <is>
          <t>Prime</t>
        </is>
      </c>
      <c r="C35" s="37" t="inlineStr">
        <is>
          <t>Trade Prime set / Relics</t>
        </is>
      </c>
      <c r="D35" s="37" t="inlineStr">
        <is>
          <t>Reactor + Forma</t>
        </is>
      </c>
      <c r="E35" s="37" t="inlineStr">
        <is>
          <t>Regulators Prime</t>
        </is>
      </c>
      <c r="F35" t="inlineStr">
        <is>
          <t>v4: OK; R=65p</t>
        </is>
      </c>
    </row>
    <row r="36">
      <c r="A36" s="37" t="inlineStr">
        <is>
          <t>Mirage Prime</t>
        </is>
      </c>
      <c r="B36" s="37" t="inlineStr">
        <is>
          <t>Prime</t>
        </is>
      </c>
      <c r="C36" s="37" t="inlineStr">
        <is>
          <t>Trade Prime set / Relics</t>
        </is>
      </c>
      <c r="D36" s="37" t="inlineStr">
        <is>
          <t>Reactor + Forma</t>
        </is>
      </c>
      <c r="E36" s="37" t="str"/>
      <c r="F36" t="inlineStr">
        <is>
          <t>v4: OK; R=58p</t>
        </is>
      </c>
    </row>
    <row r="37">
      <c r="A37" s="37" t="inlineStr">
        <is>
          <t>Narin</t>
        </is>
      </c>
      <c r="B37" s="37" t="inlineStr">
        <is>
          <t>Base</t>
        </is>
      </c>
      <c r="C37" s="37" t="inlineStr">
        <is>
          <t>Account progression</t>
        </is>
      </c>
      <c r="D37" s="37" t="inlineStr">
        <is>
          <t>Reactor + Forma</t>
        </is>
      </c>
      <c r="E37" s="37" t="inlineStr">
        <is>
          <t>v4: Nurinarim = cast ability, no Melee replacement; Prisma Skana</t>
        </is>
      </c>
      <c r="F37" t="inlineStr">
        <is>
          <t>v4: FARMABLE / ACCOUNT-BOUND; R=Nonep</t>
        </is>
      </c>
    </row>
    <row r="38">
      <c r="A38" s="37" t="inlineStr">
        <is>
          <t>Nekros Prime</t>
        </is>
      </c>
      <c r="B38" s="37" t="inlineStr">
        <is>
          <t>Prime</t>
        </is>
      </c>
      <c r="C38" s="37" t="inlineStr">
        <is>
          <t>Trade Prime set / Relics</t>
        </is>
      </c>
      <c r="D38" s="37" t="inlineStr">
        <is>
          <t>Reactor + Forma</t>
        </is>
      </c>
      <c r="E38" s="37" t="str"/>
      <c r="F38" t="inlineStr">
        <is>
          <t>v4: OK; R=95p</t>
        </is>
      </c>
    </row>
    <row r="39">
      <c r="A39" s="37" t="inlineStr">
        <is>
          <t>Nezha Prime</t>
        </is>
      </c>
      <c r="B39" s="37" t="inlineStr">
        <is>
          <t>Prime</t>
        </is>
      </c>
      <c r="C39" s="37" t="inlineStr">
        <is>
          <t>Trade Prime set / Relics</t>
        </is>
      </c>
      <c r="D39" s="37" t="inlineStr">
        <is>
          <t>Reactor + Forma</t>
        </is>
      </c>
      <c r="E39" s="37" t="str"/>
      <c r="F39" t="inlineStr">
        <is>
          <t>v4: OK; R=70p</t>
        </is>
      </c>
    </row>
    <row r="40">
      <c r="A40" s="37" t="inlineStr">
        <is>
          <t>Nidus Prime</t>
        </is>
      </c>
      <c r="B40" s="37" t="inlineStr">
        <is>
          <t>Prime</t>
        </is>
      </c>
      <c r="C40" s="37" t="inlineStr">
        <is>
          <t>Trade Prime set / Relics</t>
        </is>
      </c>
      <c r="D40" s="37" t="inlineStr">
        <is>
          <t>Reactor + Forma</t>
        </is>
      </c>
      <c r="E40" s="37" t="str"/>
      <c r="F40" t="inlineStr">
        <is>
          <t>v4: OK; R=89p</t>
        </is>
      </c>
    </row>
    <row r="41">
      <c r="A41" s="37" t="inlineStr">
        <is>
          <t>Nokko</t>
        </is>
      </c>
      <c r="B41" s="37" t="inlineStr">
        <is>
          <t>Base</t>
        </is>
      </c>
      <c r="C41" s="37" t="inlineStr">
        <is>
          <t>Account progression</t>
        </is>
      </c>
      <c r="D41" s="37" t="inlineStr">
        <is>
          <t>Reactor + Forma</t>
        </is>
      </c>
      <c r="E41" s="37" t="inlineStr">
        <is>
          <t>v4: Sporothrix / Ocucor / Mios; Arbucep signature archgun</t>
        </is>
      </c>
      <c r="F41" t="inlineStr">
        <is>
          <t>v4: FARMABLE / ACCOUNT-BOUND; R=Nonep</t>
        </is>
      </c>
    </row>
    <row r="42">
      <c r="A42" s="37" t="inlineStr">
        <is>
          <t>Nova Prime</t>
        </is>
      </c>
      <c r="B42" s="37" t="inlineStr">
        <is>
          <t>Prime</t>
        </is>
      </c>
      <c r="C42" s="37" t="inlineStr">
        <is>
          <t>Trade Prime set / Relics</t>
        </is>
      </c>
      <c r="D42" s="37" t="inlineStr">
        <is>
          <t>Reactor + Forma</t>
        </is>
      </c>
      <c r="E42" s="37" t="str"/>
      <c r="F42" t="inlineStr">
        <is>
          <t>v4: OK; R=72p</t>
        </is>
      </c>
    </row>
    <row r="43">
      <c r="A43" s="37" t="inlineStr">
        <is>
          <t>Nyx Prime</t>
        </is>
      </c>
      <c r="B43" s="37" t="inlineStr">
        <is>
          <t>Prime</t>
        </is>
      </c>
      <c r="C43" s="37" t="inlineStr">
        <is>
          <t>Trade Prime set / Relics</t>
        </is>
      </c>
      <c r="D43" s="37" t="inlineStr">
        <is>
          <t>Reactor + Forma</t>
        </is>
      </c>
      <c r="E43" s="37" t="str"/>
      <c r="F43" t="inlineStr">
        <is>
          <t>v4: OK; R=59p</t>
        </is>
      </c>
    </row>
    <row r="44">
      <c r="A44" s="37" t="inlineStr">
        <is>
          <t>Oberon Prime</t>
        </is>
      </c>
      <c r="B44" s="37" t="inlineStr">
        <is>
          <t>Prime</t>
        </is>
      </c>
      <c r="C44" s="37" t="inlineStr">
        <is>
          <t>Trade Prime set / Relics</t>
        </is>
      </c>
      <c r="D44" s="37" t="inlineStr">
        <is>
          <t>Reactor + Forma</t>
        </is>
      </c>
      <c r="E44" s="37" t="str"/>
      <c r="F44" t="inlineStr">
        <is>
          <t>v4: OK; R=84p</t>
        </is>
      </c>
    </row>
    <row r="45">
      <c r="A45" s="37" t="inlineStr">
        <is>
          <t>Octavia Prime</t>
        </is>
      </c>
      <c r="B45" s="37" t="inlineStr">
        <is>
          <t>Prime</t>
        </is>
      </c>
      <c r="C45" s="37" t="inlineStr">
        <is>
          <t>Trade Prime set / Relics</t>
        </is>
      </c>
      <c r="D45" s="37" t="inlineStr">
        <is>
          <t>Reactor + Forma</t>
        </is>
      </c>
      <c r="E45" s="37" t="str"/>
      <c r="F45" t="inlineStr">
        <is>
          <t>v4: OK; R=80p</t>
        </is>
      </c>
    </row>
    <row r="46">
      <c r="A46" s="37" t="inlineStr">
        <is>
          <t>Oraxia</t>
        </is>
      </c>
      <c r="B46" s="37" t="inlineStr">
        <is>
          <t>Base</t>
        </is>
      </c>
      <c r="C46" s="37" t="inlineStr">
        <is>
          <t>Account progression</t>
        </is>
      </c>
      <c r="D46" s="37" t="inlineStr">
        <is>
          <t>Reactor + Forma</t>
        </is>
      </c>
      <c r="E46" s="37" t="str"/>
      <c r="F46" t="inlineStr">
        <is>
          <t>v4: FARMABLE / ACCOUNT-BOUND; R=Nonep</t>
        </is>
      </c>
    </row>
    <row r="47">
      <c r="A47" s="37" t="inlineStr">
        <is>
          <t>Protea Prime</t>
        </is>
      </c>
      <c r="B47" s="37" t="inlineStr">
        <is>
          <t>Prime</t>
        </is>
      </c>
      <c r="C47" s="37" t="inlineStr">
        <is>
          <t>Trade Prime set / Relics</t>
        </is>
      </c>
      <c r="D47" s="37" t="inlineStr">
        <is>
          <t>Reactor + Forma</t>
        </is>
      </c>
      <c r="E47" s="37" t="inlineStr">
        <is>
          <t>v4: Roar/Temporal Artillery conflict - see Open Items</t>
        </is>
      </c>
      <c r="F47" t="inlineStr">
        <is>
          <t>v4: OK; R=36p</t>
        </is>
      </c>
    </row>
    <row r="48">
      <c r="A48" s="37" t="inlineStr">
        <is>
          <t>Qorvex</t>
        </is>
      </c>
      <c r="B48" s="37" t="inlineStr">
        <is>
          <t>Base</t>
        </is>
      </c>
      <c r="C48" s="37" t="inlineStr">
        <is>
          <t>Account progression</t>
        </is>
      </c>
      <c r="D48" s="37" t="inlineStr">
        <is>
          <t>Reactor + Forma</t>
        </is>
      </c>
      <c r="E48" s="37" t="inlineStr">
        <is>
          <t>Mandonel heavy weapon</t>
        </is>
      </c>
      <c r="F48" t="inlineStr">
        <is>
          <t>v4: FARMABLE / ACCOUNT-BOUND; R=Nonep</t>
        </is>
      </c>
    </row>
    <row r="49">
      <c r="A49" s="37" t="inlineStr">
        <is>
          <t>Revenant Prime</t>
        </is>
      </c>
      <c r="B49" s="37" t="inlineStr">
        <is>
          <t>Prime</t>
        </is>
      </c>
      <c r="C49" s="37" t="inlineStr">
        <is>
          <t>Trade Prime set / Relics</t>
        </is>
      </c>
      <c r="D49" s="37" t="inlineStr">
        <is>
          <t>Reactor + Forma</t>
        </is>
      </c>
      <c r="E49" s="37" t="str"/>
      <c r="F49" t="inlineStr">
        <is>
          <t>v4: OK; R=54p</t>
        </is>
      </c>
    </row>
    <row r="50">
      <c r="A50" s="37" t="inlineStr">
        <is>
          <t>Rhino Prime</t>
        </is>
      </c>
      <c r="B50" s="37" t="inlineStr">
        <is>
          <t>Prime</t>
        </is>
      </c>
      <c r="C50" s="37" t="inlineStr">
        <is>
          <t>Trade Prime set / Relics</t>
        </is>
      </c>
      <c r="D50" s="37" t="inlineStr">
        <is>
          <t>Reactor + Forma</t>
        </is>
      </c>
      <c r="E50" s="37" t="str"/>
      <c r="F50" t="inlineStr">
        <is>
          <t>v4: OK; R=58p</t>
        </is>
      </c>
    </row>
    <row r="51">
      <c r="A51" s="37" t="inlineStr">
        <is>
          <t>Saryn Prime</t>
        </is>
      </c>
      <c r="B51" s="37" t="inlineStr">
        <is>
          <t>Prime</t>
        </is>
      </c>
      <c r="C51" s="37" t="inlineStr">
        <is>
          <t>Trade Prime set / Relics</t>
        </is>
      </c>
      <c r="D51" s="37" t="inlineStr">
        <is>
          <t>Reactor + Forma</t>
        </is>
      </c>
      <c r="E51" s="37" t="str"/>
      <c r="F51" t="inlineStr">
        <is>
          <t>v4: OK; R=77p</t>
        </is>
      </c>
    </row>
    <row r="52">
      <c r="A52" s="37" t="inlineStr">
        <is>
          <t>Sevagoth Prime</t>
        </is>
      </c>
      <c r="B52" s="37" t="inlineStr">
        <is>
          <t>Prime</t>
        </is>
      </c>
      <c r="C52" s="37" t="inlineStr">
        <is>
          <t>Trade Prime set / Relics</t>
        </is>
      </c>
      <c r="D52" s="37" t="inlineStr">
        <is>
          <t>Reactor + Forma</t>
        </is>
      </c>
      <c r="E52" s="37" t="inlineStr">
        <is>
          <t>Shadow + Claws Prime</t>
        </is>
      </c>
      <c r="F52" t="inlineStr">
        <is>
          <t>v4: OK; R=38p</t>
        </is>
      </c>
    </row>
    <row r="53">
      <c r="A53" s="37" t="inlineStr">
        <is>
          <t>Sirius &amp; Orion</t>
        </is>
      </c>
      <c r="B53" s="37" t="inlineStr">
        <is>
          <t>Base</t>
        </is>
      </c>
      <c r="C53" s="37" t="inlineStr">
        <is>
          <t>Account progression</t>
        </is>
      </c>
      <c r="D53" s="37" t="inlineStr">
        <is>
          <t>Reactor + Forma</t>
        </is>
      </c>
      <c r="E53" s="37" t="inlineStr">
        <is>
          <t>LIVE TEST intrinsic weapons</t>
        </is>
      </c>
      <c r="F53" t="inlineStr">
        <is>
          <t>v4: FARMABLE / ACCOUNT-BOUND; R=Nonep</t>
        </is>
      </c>
    </row>
    <row r="54">
      <c r="A54" s="37" t="inlineStr">
        <is>
          <t>Styanax Prime</t>
        </is>
      </c>
      <c r="B54" s="37" t="inlineStr">
        <is>
          <t>Prime</t>
        </is>
      </c>
      <c r="C54" s="37" t="inlineStr">
        <is>
          <t>Trade Prime set / Relics</t>
        </is>
      </c>
      <c r="D54" s="37" t="inlineStr">
        <is>
          <t>Reactor + Forma</t>
        </is>
      </c>
      <c r="E54" s="37" t="str"/>
      <c r="F54" t="inlineStr">
        <is>
          <t>v4: OK; R=37p</t>
        </is>
      </c>
    </row>
    <row r="55">
      <c r="A55" s="37" t="inlineStr">
        <is>
          <t>Temple</t>
        </is>
      </c>
      <c r="B55" s="37" t="inlineStr">
        <is>
          <t>Base</t>
        </is>
      </c>
      <c r="C55" s="37" t="inlineStr">
        <is>
          <t>Account progression</t>
        </is>
      </c>
      <c r="D55" s="37" t="inlineStr">
        <is>
          <t>Reactor + Forma</t>
        </is>
      </c>
      <c r="E55" s="37" t="inlineStr">
        <is>
          <t>Lizzie Exalted</t>
        </is>
      </c>
      <c r="F55" t="inlineStr">
        <is>
          <t>v4: FARMABLE / ACCOUNT-BOUND; R=Nonep</t>
        </is>
      </c>
    </row>
    <row r="56">
      <c r="A56" s="37" t="inlineStr">
        <is>
          <t>Titania Prime</t>
        </is>
      </c>
      <c r="B56" s="37" t="inlineStr">
        <is>
          <t>Prime</t>
        </is>
      </c>
      <c r="C56" s="37" t="inlineStr">
        <is>
          <t>Trade Prime set / Relics</t>
        </is>
      </c>
      <c r="D56" s="37" t="inlineStr">
        <is>
          <t>Reactor + Forma</t>
        </is>
      </c>
      <c r="E56" s="37" t="inlineStr">
        <is>
          <t>Dex Pixia Prime + Diwata Prime</t>
        </is>
      </c>
      <c r="F56" t="inlineStr">
        <is>
          <t>v4: OK; R=70p</t>
        </is>
      </c>
    </row>
    <row r="57">
      <c r="A57" s="37" t="inlineStr">
        <is>
          <t>Trinity Prime</t>
        </is>
      </c>
      <c r="B57" s="37" t="inlineStr">
        <is>
          <t>Prime</t>
        </is>
      </c>
      <c r="C57" s="37" t="inlineStr">
        <is>
          <t>Trade Prime set / Relics</t>
        </is>
      </c>
      <c r="D57" s="37" t="inlineStr">
        <is>
          <t>Reactor + Forma</t>
        </is>
      </c>
      <c r="E57" s="37" t="str"/>
      <c r="F57" t="inlineStr">
        <is>
          <t>v4: OK; R=55p</t>
        </is>
      </c>
    </row>
    <row r="58">
      <c r="A58" s="37" t="inlineStr">
        <is>
          <t>Uriel</t>
        </is>
      </c>
      <c r="B58" s="37" t="inlineStr">
        <is>
          <t>Base</t>
        </is>
      </c>
      <c r="C58" s="37" t="inlineStr">
        <is>
          <t>Account progression</t>
        </is>
      </c>
      <c r="D58" s="37" t="inlineStr">
        <is>
          <t>Reactor + Forma</t>
        </is>
      </c>
      <c r="E58" s="37" t="str"/>
      <c r="F58" t="inlineStr">
        <is>
          <t>v4: FARMABLE / ACCOUNT-BOUND; R=Nonep</t>
        </is>
      </c>
    </row>
    <row r="59">
      <c r="A59" s="37" t="inlineStr">
        <is>
          <t>Valkyr Prime</t>
        </is>
      </c>
      <c r="B59" s="37" t="inlineStr">
        <is>
          <t>Prime</t>
        </is>
      </c>
      <c r="C59" s="37" t="inlineStr">
        <is>
          <t>Trade Prime set / Relics</t>
        </is>
      </c>
      <c r="D59" s="37" t="inlineStr">
        <is>
          <t>Reactor + Forma</t>
        </is>
      </c>
      <c r="E59" s="37" t="inlineStr">
        <is>
          <t>Valkyr Prime Talons</t>
        </is>
      </c>
      <c r="F59" t="inlineStr">
        <is>
          <t>v4: OK; R=70p</t>
        </is>
      </c>
    </row>
    <row r="60">
      <c r="A60" s="37" t="inlineStr">
        <is>
          <t>Vauban Prime</t>
        </is>
      </c>
      <c r="B60" s="37" t="inlineStr">
        <is>
          <t>Prime</t>
        </is>
      </c>
      <c r="C60" s="37" t="inlineStr">
        <is>
          <t>Trade Prime set / Relics</t>
        </is>
      </c>
      <c r="D60" s="37" t="inlineStr">
        <is>
          <t>Reactor + Forma</t>
        </is>
      </c>
      <c r="E60" s="37" t="str"/>
      <c r="F60" t="inlineStr">
        <is>
          <t>v4: OK; R=115p</t>
        </is>
      </c>
    </row>
    <row r="61">
      <c r="A61" s="37" t="inlineStr">
        <is>
          <t>Volt Prime</t>
        </is>
      </c>
      <c r="B61" s="37" t="inlineStr">
        <is>
          <t>Prime</t>
        </is>
      </c>
      <c r="C61" s="37" t="inlineStr">
        <is>
          <t>Trade Prime set / Relics</t>
        </is>
      </c>
      <c r="D61" s="37" t="inlineStr">
        <is>
          <t>Reactor + Forma</t>
        </is>
      </c>
      <c r="E61" s="37" t="str"/>
      <c r="F61" t="inlineStr">
        <is>
          <t>v4: OK; R=65p</t>
        </is>
      </c>
    </row>
    <row r="62">
      <c r="A62" s="37" t="inlineStr">
        <is>
          <t>Voruna Prime</t>
        </is>
      </c>
      <c r="B62" s="37" t="inlineStr">
        <is>
          <t>Prime</t>
        </is>
      </c>
      <c r="C62" s="37" t="inlineStr">
        <is>
          <t>Trade Prime set / Relics</t>
        </is>
      </c>
      <c r="D62" s="37" t="inlineStr">
        <is>
          <t>Reactor + Forma</t>
        </is>
      </c>
      <c r="E62" s="37" t="str"/>
      <c r="F62" t="inlineStr">
        <is>
          <t>v4: OK; R=39p</t>
        </is>
      </c>
    </row>
    <row r="63">
      <c r="A63" s="37" t="inlineStr">
        <is>
          <t>Wisp Prime</t>
        </is>
      </c>
      <c r="B63" s="37" t="inlineStr">
        <is>
          <t>Prime</t>
        </is>
      </c>
      <c r="C63" s="37" t="inlineStr">
        <is>
          <t>Trade Prime set / Relics</t>
        </is>
      </c>
      <c r="D63" s="37" t="inlineStr">
        <is>
          <t>Reactor + Forma</t>
        </is>
      </c>
      <c r="E63" s="37" t="str"/>
      <c r="F63" t="inlineStr">
        <is>
          <t>v4: OK; R=69p</t>
        </is>
      </c>
    </row>
    <row r="64">
      <c r="A64" s="37" t="inlineStr">
        <is>
          <t>Wukong Prime</t>
        </is>
      </c>
      <c r="B64" s="37" t="inlineStr">
        <is>
          <t>Prime</t>
        </is>
      </c>
      <c r="C64" s="37" t="inlineStr">
        <is>
          <t>Trade Prime set / Relics</t>
        </is>
      </c>
      <c r="D64" s="37" t="inlineStr">
        <is>
          <t>Reactor + Forma</t>
        </is>
      </c>
      <c r="E64" s="37" t="inlineStr">
        <is>
          <t>Iron Staff Prime</t>
        </is>
      </c>
      <c r="F64" t="inlineStr">
        <is>
          <t>v4: OK; R=78p</t>
        </is>
      </c>
    </row>
    <row r="65">
      <c r="A65" s="37" t="inlineStr">
        <is>
          <t>Xaku Prime</t>
        </is>
      </c>
      <c r="B65" s="37" t="inlineStr">
        <is>
          <t>Prime</t>
        </is>
      </c>
      <c r="C65" s="37" t="inlineStr">
        <is>
          <t>Trade Prime set / Relics</t>
        </is>
      </c>
      <c r="D65" s="37" t="inlineStr">
        <is>
          <t>Reactor + Forma</t>
        </is>
      </c>
      <c r="E65" s="37" t="str"/>
      <c r="F65" t="inlineStr">
        <is>
          <t>v4: OK; R=24p</t>
        </is>
      </c>
    </row>
    <row r="66">
      <c r="A66" s="37" t="inlineStr">
        <is>
          <t>Yareli Prime</t>
        </is>
      </c>
      <c r="B66" s="37" t="inlineStr">
        <is>
          <t>Prime</t>
        </is>
      </c>
      <c r="C66" s="37" t="inlineStr">
        <is>
          <t>Trade Prime set / Relics</t>
        </is>
      </c>
      <c r="D66" s="37" t="inlineStr">
        <is>
          <t>Reactor + Forma</t>
        </is>
      </c>
      <c r="E66" s="37" t="str"/>
      <c r="F66" t="inlineStr">
        <is>
          <t>v4: OK; R=25p</t>
        </is>
      </c>
    </row>
    <row r="67">
      <c r="A67" s="37" t="inlineStr">
        <is>
          <t>Zephyr Prime</t>
        </is>
      </c>
      <c r="B67" s="37" t="inlineStr">
        <is>
          <t>Prime</t>
        </is>
      </c>
      <c r="C67" s="37" t="inlineStr">
        <is>
          <t>Trade Prime set / Relics</t>
        </is>
      </c>
      <c r="D67" s="37" t="inlineStr">
        <is>
          <t>Reactor + Forma</t>
        </is>
      </c>
      <c r="E67" s="37" t="str"/>
      <c r="F67" t="inlineStr">
        <is>
          <t>v4: OK; R=75p</t>
        </is>
      </c>
    </row>
  </sheetData>
  <conditionalFormatting sqref="F2:F300">
    <cfRule type="expression" priority="1" dxfId="0">
      <formula>F2="LIVE TEST"</formula>
    </cfRule>
    <cfRule type="expression" priority="2" dxfId="1">
      <formula>F2="Complete"</formula>
    </cfRule>
  </conditionalFormatting>
  <dataValidations count="1">
    <dataValidation sqref="F2:F300" showDropDown="0" showInputMessage="0" showErrorMessage="0" allowBlank="0" type="list">
      <formula1>"Need,Owned,Farm,Trade,LIVE TEST,Complete"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211"/>
  <sheetViews>
    <sheetView workbookViewId="0">
      <selection activeCell="A1" sqref="A1"/>
    </sheetView>
  </sheetViews>
  <sheetFormatPr baseColWidth="8" defaultRowHeight="15"/>
  <cols>
    <col width="24" customWidth="1" style="26" min="1" max="1"/>
    <col width="16" customWidth="1" style="26" min="2" max="2"/>
    <col width="20" customWidth="1" style="26" min="3" max="3"/>
    <col width="32" customWidth="1" style="26" min="4" max="4"/>
    <col width="24" customWidth="1" style="26" min="5" max="5"/>
    <col width="40" customWidth="1" style="26" min="6" max="6"/>
    <col width="16" customWidth="1" style="26" min="7" max="7"/>
  </cols>
  <sheetData>
    <row r="1">
      <c r="A1" s="51" t="inlineStr">
        <is>
          <t>Weapon</t>
        </is>
      </c>
      <c r="B1" s="51" t="inlineStr">
        <is>
          <t>Slot</t>
        </is>
      </c>
      <c r="C1" s="51" t="inlineStr">
        <is>
          <t>Class</t>
        </is>
      </c>
      <c r="D1" s="51" t="inlineStr">
        <is>
          <t>Acquisition</t>
        </is>
      </c>
      <c r="E1" s="51" t="inlineStr">
        <is>
          <t>Assigned Frame</t>
        </is>
      </c>
      <c r="F1" s="51" t="inlineStr">
        <is>
          <t>Procurement Note</t>
        </is>
      </c>
      <c r="G1" s="51" t="inlineStr">
        <is>
          <t>Status</t>
        </is>
      </c>
      <c r="H1" s="51" t="inlineStr">
        <is>
          <t>v4 Signature status</t>
        </is>
      </c>
      <c r="I1" s="51" t="inlineStr">
        <is>
          <t>Mechanical frame bonus</t>
        </is>
      </c>
      <c r="J1" s="51" t="inlineStr">
        <is>
          <t>Incarnon?</t>
        </is>
      </c>
      <c r="K1" s="51" t="inlineStr">
        <is>
          <t>v3 value</t>
        </is>
      </c>
    </row>
    <row r="2">
      <c r="A2" t="inlineStr">
        <is>
          <t>Vectis Prime</t>
        </is>
      </c>
      <c r="B2" t="inlineStr">
        <is>
          <t>Primary</t>
        </is>
      </c>
      <c r="C2" t="inlineStr">
        <is>
          <t>Weapon</t>
        </is>
      </c>
      <c r="D2" t="inlineStr">
        <is>
          <t>Player trade</t>
        </is>
      </c>
      <c r="E2" t="inlineStr">
        <is>
          <t>Ash Prime</t>
        </is>
      </c>
      <c r="F2" t="inlineStr">
        <is>
          <t>Unchanged from v3 allocation</t>
        </is>
      </c>
      <c r="G2" t="inlineStr">
        <is>
          <t>OK</t>
        </is>
      </c>
      <c r="H2" t="inlineStr">
        <is>
          <t>Non-signature</t>
        </is>
      </c>
      <c r="J2" t="inlineStr">
        <is>
          <t>Yes (Genesis)</t>
        </is>
      </c>
    </row>
    <row r="3">
      <c r="A3" t="inlineStr">
        <is>
          <t>Innodem</t>
        </is>
      </c>
      <c r="B3" t="inlineStr">
        <is>
          <t>Melee</t>
        </is>
      </c>
      <c r="C3" t="inlineStr">
        <is>
          <t>Weapon</t>
        </is>
      </c>
      <c r="D3" t="inlineStr">
        <is>
          <t>Player trade (blueprint; craft resources farmable)</t>
        </is>
      </c>
      <c r="E3" t="inlineStr">
        <is>
          <t>Ash Prime</t>
        </is>
      </c>
      <c r="F3" t="inlineStr">
        <is>
          <t>Unchanged from v3 allocation</t>
        </is>
      </c>
      <c r="G3" t="inlineStr">
        <is>
          <t>OK</t>
        </is>
      </c>
      <c r="H3" t="inlineStr">
        <is>
          <t>Non-signature</t>
        </is>
      </c>
      <c r="J3" t="inlineStr">
        <is>
          <t>Yes (innate)</t>
        </is>
      </c>
    </row>
    <row r="4">
      <c r="A4" t="inlineStr">
        <is>
          <t>Atomos</t>
        </is>
      </c>
      <c r="B4" t="inlineStr">
        <is>
          <t>Secondary</t>
        </is>
      </c>
      <c r="C4" t="inlineStr">
        <is>
          <t>Weapon</t>
        </is>
      </c>
      <c r="D4" t="inlineStr">
        <is>
          <t>Farm / vendor / Dojo / quest</t>
        </is>
      </c>
      <c r="E4" t="inlineStr">
        <is>
          <t>Atlas Prime</t>
        </is>
      </c>
      <c r="F4" t="inlineStr">
        <is>
          <t>Unchanged from v3 allocation</t>
        </is>
      </c>
      <c r="G4" t="inlineStr">
        <is>
          <t>FARMABLE / ACCOUNT-BOUND</t>
        </is>
      </c>
      <c r="H4" t="inlineStr">
        <is>
          <t>Non-signature</t>
        </is>
      </c>
      <c r="J4" t="inlineStr">
        <is>
          <t>Yes (Genesis)</t>
        </is>
      </c>
    </row>
    <row r="5">
      <c r="A5" t="inlineStr">
        <is>
          <t>Tekko Prime</t>
        </is>
      </c>
      <c r="B5" t="inlineStr">
        <is>
          <t>Melee</t>
        </is>
      </c>
      <c r="C5" t="inlineStr">
        <is>
          <t>Weapon</t>
        </is>
      </c>
      <c r="D5" t="inlineStr">
        <is>
          <t>Player trade</t>
        </is>
      </c>
      <c r="E5" t="inlineStr">
        <is>
          <t>Atlas Prime</t>
        </is>
      </c>
      <c r="F5" t="inlineStr">
        <is>
          <t>Unchanged from v3 allocation</t>
        </is>
      </c>
      <c r="G5" t="inlineStr">
        <is>
          <t>OK</t>
        </is>
      </c>
      <c r="H5" t="inlineStr">
        <is>
          <t>Signature - Atlas Prime</t>
        </is>
      </c>
      <c r="I5" t="inlineStr">
        <is>
          <t>+6% Status Chance</t>
        </is>
      </c>
      <c r="J5" t="inlineStr">
        <is>
          <t>No</t>
        </is>
      </c>
    </row>
    <row r="6">
      <c r="A6" t="inlineStr">
        <is>
          <t>Latron Prime</t>
        </is>
      </c>
      <c r="B6" t="inlineStr">
        <is>
          <t>Primary</t>
        </is>
      </c>
      <c r="C6" t="inlineStr">
        <is>
          <t>Weapon</t>
        </is>
      </c>
      <c r="D6" t="inlineStr">
        <is>
          <t>Player trade</t>
        </is>
      </c>
      <c r="E6" t="inlineStr">
        <is>
          <t>Banshee Prime</t>
        </is>
      </c>
      <c r="F6" t="inlineStr">
        <is>
          <t>Unchanged from v3 allocation</t>
        </is>
      </c>
      <c r="G6" t="inlineStr">
        <is>
          <t>OK</t>
        </is>
      </c>
      <c r="H6" t="inlineStr">
        <is>
          <t>Non-signature</t>
        </is>
      </c>
      <c r="J6" t="inlineStr">
        <is>
          <t>Yes (Genesis)</t>
        </is>
      </c>
    </row>
    <row r="7">
      <c r="A7" t="inlineStr">
        <is>
          <t>Euphona Prime</t>
        </is>
      </c>
      <c r="B7" t="inlineStr">
        <is>
          <t>Secondary</t>
        </is>
      </c>
      <c r="C7" t="inlineStr">
        <is>
          <t>Weapon</t>
        </is>
      </c>
      <c r="D7" t="inlineStr">
        <is>
          <t>Player trade</t>
        </is>
      </c>
      <c r="E7" t="inlineStr">
        <is>
          <t>Banshee Prime</t>
        </is>
      </c>
      <c r="F7" t="inlineStr">
        <is>
          <t>Unchanged from v3 allocation</t>
        </is>
      </c>
      <c r="G7" t="inlineStr">
        <is>
          <t>OK</t>
        </is>
      </c>
      <c r="H7" t="inlineStr">
        <is>
          <t>Signature - Banshee Prime</t>
        </is>
      </c>
      <c r="I7" t="inlineStr">
        <is>
          <t>Signature, bonus not implemented</t>
        </is>
      </c>
      <c r="J7" t="inlineStr">
        <is>
          <t>No</t>
        </is>
      </c>
    </row>
    <row r="8">
      <c r="A8" t="inlineStr">
        <is>
          <t>Kogake Prime</t>
        </is>
      </c>
      <c r="B8" t="inlineStr">
        <is>
          <t>Melee</t>
        </is>
      </c>
      <c r="C8" t="inlineStr">
        <is>
          <t>Weapon</t>
        </is>
      </c>
      <c r="D8" t="inlineStr">
        <is>
          <t>Player trade</t>
        </is>
      </c>
      <c r="E8" t="inlineStr">
        <is>
          <t>Banshee Prime</t>
        </is>
      </c>
      <c r="F8" t="inlineStr">
        <is>
          <t>Unchanged from v3 allocation</t>
        </is>
      </c>
      <c r="G8" t="inlineStr">
        <is>
          <t>OK</t>
        </is>
      </c>
      <c r="H8" t="inlineStr">
        <is>
          <t>Non-signature</t>
        </is>
      </c>
      <c r="J8" t="inlineStr">
        <is>
          <t>No</t>
        </is>
      </c>
    </row>
    <row r="9">
      <c r="A9" t="inlineStr">
        <is>
          <t>Paris Prime</t>
        </is>
      </c>
      <c r="B9" t="inlineStr">
        <is>
          <t>Primary</t>
        </is>
      </c>
      <c r="C9" t="inlineStr">
        <is>
          <t>Weapon</t>
        </is>
      </c>
      <c r="D9" t="inlineStr">
        <is>
          <t>Player trade</t>
        </is>
      </c>
      <c r="E9" t="inlineStr">
        <is>
          <t>Baruuk Prime</t>
        </is>
      </c>
      <c r="F9" t="inlineStr">
        <is>
          <t>Afentis is Styanax signature. Paris Prime Incarnon: high-end bow, unallocated, Genesis farmable. Tier D/E.</t>
        </is>
      </c>
      <c r="G9" t="inlineStr">
        <is>
          <t>OK</t>
        </is>
      </c>
      <c r="H9" t="inlineStr">
        <is>
          <t>Non-signature</t>
        </is>
      </c>
      <c r="J9" t="inlineStr">
        <is>
          <t>Yes (Genesis)</t>
        </is>
      </c>
      <c r="K9" t="inlineStr">
        <is>
          <t>v3: OPEN</t>
        </is>
      </c>
    </row>
    <row r="10">
      <c r="A10" t="inlineStr">
        <is>
          <t>Desert Wind Prime</t>
        </is>
      </c>
      <c r="B10" t="inlineStr">
        <is>
          <t>Melee</t>
        </is>
      </c>
      <c r="C10" t="inlineStr">
        <is>
          <t>Exalted / Intrinsic</t>
        </is>
      </c>
      <c r="D10" t="inlineStr">
        <is>
          <t>Comes with frame</t>
        </is>
      </c>
      <c r="E10" t="inlineStr">
        <is>
          <t>Baruuk Prime</t>
        </is>
      </c>
      <c r="F10" t="inlineStr">
        <is>
          <t>Unchanged from v3 allocation</t>
        </is>
      </c>
      <c r="G10" t="inlineStr">
        <is>
          <t>INCLUDED WITH FRAME</t>
        </is>
      </c>
      <c r="H10" t="inlineStr">
        <is>
          <t>Exalted/Intrinsic</t>
        </is>
      </c>
    </row>
    <row r="11">
      <c r="A11" t="inlineStr">
        <is>
          <t>Vadarya Prime</t>
        </is>
      </c>
      <c r="B11" t="inlineStr">
        <is>
          <t>Primary</t>
        </is>
      </c>
      <c r="C11" t="inlineStr">
        <is>
          <t>Weapon</t>
        </is>
      </c>
      <c r="D11" t="inlineStr">
        <is>
          <t>Player trade</t>
        </is>
      </c>
      <c r="E11" t="inlineStr">
        <is>
          <t>Caliban Prime</t>
        </is>
      </c>
      <c r="F11" t="inlineStr">
        <is>
          <t>Unchanged from v3 allocation</t>
        </is>
      </c>
      <c r="G11" t="inlineStr">
        <is>
          <t>OK</t>
        </is>
      </c>
      <c r="H11" t="inlineStr">
        <is>
          <t>Signature - Caliban Prime</t>
        </is>
      </c>
      <c r="I11" t="inlineStr">
        <is>
          <t>Signature, bonus not implemented</t>
        </is>
      </c>
      <c r="J11" t="inlineStr">
        <is>
          <t>No</t>
        </is>
      </c>
    </row>
    <row r="12">
      <c r="A12" t="inlineStr">
        <is>
          <t>Venato Prime</t>
        </is>
      </c>
      <c r="B12" t="inlineStr">
        <is>
          <t>Melee</t>
        </is>
      </c>
      <c r="C12" t="inlineStr">
        <is>
          <t>Weapon</t>
        </is>
      </c>
      <c r="D12" t="inlineStr">
        <is>
          <t>Player trade</t>
        </is>
      </c>
      <c r="E12" t="inlineStr">
        <is>
          <t>Caliban Prime</t>
        </is>
      </c>
      <c r="F12" t="inlineStr">
        <is>
          <t>Unchanged from v3 allocation</t>
        </is>
      </c>
      <c r="G12" t="inlineStr">
        <is>
          <t>OK</t>
        </is>
      </c>
      <c r="H12" t="inlineStr">
        <is>
          <t>Signature - Caliban Prime</t>
        </is>
      </c>
      <c r="I12" t="inlineStr">
        <is>
          <t>+50% Melee Combo Counter Chance</t>
        </is>
      </c>
      <c r="J12" t="inlineStr">
        <is>
          <t>No</t>
        </is>
      </c>
    </row>
    <row r="13">
      <c r="A13" t="inlineStr">
        <is>
          <t>Opticor Vandal</t>
        </is>
      </c>
      <c r="B13" t="inlineStr">
        <is>
          <t>Primary</t>
        </is>
      </c>
      <c r="C13" t="inlineStr">
        <is>
          <t>Weapon</t>
        </is>
      </c>
      <c r="D13" t="inlineStr">
        <is>
          <t>Player trade</t>
        </is>
      </c>
      <c r="E13" t="inlineStr">
        <is>
          <t>Chroma Prime</t>
        </is>
      </c>
      <c r="F13" t="inlineStr">
        <is>
          <t>Unchanged from v3 allocation</t>
        </is>
      </c>
      <c r="G13" t="inlineStr">
        <is>
          <t>OK</t>
        </is>
      </c>
      <c r="H13" t="inlineStr">
        <is>
          <t>Non-signature</t>
        </is>
      </c>
      <c r="J13" t="inlineStr">
        <is>
          <t>No</t>
        </is>
      </c>
    </row>
    <row r="14">
      <c r="A14" t="inlineStr">
        <is>
          <t>Lato Vandal</t>
        </is>
      </c>
      <c r="B14" t="inlineStr">
        <is>
          <t>Secondary</t>
        </is>
      </c>
      <c r="C14" t="inlineStr">
        <is>
          <t>Weapon</t>
        </is>
      </c>
      <c r="D14" t="inlineStr">
        <is>
          <t>Player trade</t>
        </is>
      </c>
      <c r="E14" t="inlineStr">
        <is>
          <t>Chroma Prime</t>
        </is>
      </c>
      <c r="F14" t="inlineStr">
        <is>
          <t>Unchanged from v3 allocation</t>
        </is>
      </c>
      <c r="G14" t="inlineStr">
        <is>
          <t>OK</t>
        </is>
      </c>
      <c r="H14" t="inlineStr">
        <is>
          <t>Non-signature</t>
        </is>
      </c>
      <c r="J14" t="inlineStr">
        <is>
          <t>Yes (Genesis)</t>
        </is>
      </c>
    </row>
    <row r="15">
      <c r="A15" t="inlineStr">
        <is>
          <t>Gram Prime</t>
        </is>
      </c>
      <c r="B15" t="inlineStr">
        <is>
          <t>Melee</t>
        </is>
      </c>
      <c r="C15" t="inlineStr">
        <is>
          <t>Weapon</t>
        </is>
      </c>
      <c r="D15" t="inlineStr">
        <is>
          <t>Player trade</t>
        </is>
      </c>
      <c r="E15" t="inlineStr">
        <is>
          <t>Chroma Prime</t>
        </is>
      </c>
      <c r="F15" t="inlineStr">
        <is>
          <t>Unchanged from v3 allocation</t>
        </is>
      </c>
      <c r="G15" t="inlineStr">
        <is>
          <t>OK</t>
        </is>
      </c>
      <c r="H15" t="inlineStr">
        <is>
          <t>Non-signature</t>
        </is>
      </c>
      <c r="J15" t="inlineStr">
        <is>
          <t>No</t>
        </is>
      </c>
    </row>
    <row r="16">
      <c r="A16" t="inlineStr">
        <is>
          <t>Steflos Prime</t>
        </is>
      </c>
      <c r="B16" t="inlineStr">
        <is>
          <t>Primary</t>
        </is>
      </c>
      <c r="C16" t="inlineStr">
        <is>
          <t>Weapon</t>
        </is>
      </c>
      <c r="D16" t="inlineStr">
        <is>
          <t>Player trade</t>
        </is>
      </c>
      <c r="E16" t="inlineStr">
        <is>
          <t>Citrine Prime</t>
        </is>
      </c>
      <c r="F16" t="inlineStr">
        <is>
          <t>Unchanged from v3 allocation</t>
        </is>
      </c>
      <c r="G16" t="inlineStr">
        <is>
          <t>OK</t>
        </is>
      </c>
      <c r="H16" t="inlineStr">
        <is>
          <t>Signature - Citrine Prime</t>
        </is>
      </c>
      <c r="I16" t="inlineStr">
        <is>
          <t>+40% Projectile Speed</t>
        </is>
      </c>
      <c r="J16" t="inlineStr">
        <is>
          <t>No</t>
        </is>
      </c>
    </row>
    <row r="17">
      <c r="A17" t="inlineStr">
        <is>
          <t>Catabolyst</t>
        </is>
      </c>
      <c r="B17" t="inlineStr">
        <is>
          <t>Secondary</t>
        </is>
      </c>
      <c r="C17" t="inlineStr">
        <is>
          <t>Weapon</t>
        </is>
      </c>
      <c r="D17" t="inlineStr">
        <is>
          <t>Farm / vendor / Dojo / quest</t>
        </is>
      </c>
      <c r="E17" t="inlineStr">
        <is>
          <t>Citrine Prime</t>
        </is>
      </c>
      <c r="F17" t="inlineStr">
        <is>
          <t>Unchanged from v3 allocation</t>
        </is>
      </c>
      <c r="G17" t="inlineStr">
        <is>
          <t>FARMABLE / ACCOUNT-BOUND</t>
        </is>
      </c>
      <c r="H17" t="inlineStr">
        <is>
          <t>Non-signature</t>
        </is>
      </c>
      <c r="J17" t="inlineStr">
        <is>
          <t>No</t>
        </is>
      </c>
      <c r="K17" t="inlineStr">
        <is>
          <t>Coda Catabolyst live (U38.5) - doctrine: no automatic Coda/adversary substitution; optional upgrade</t>
        </is>
      </c>
    </row>
    <row r="18">
      <c r="A18" t="inlineStr">
        <is>
          <t>Corufell Prime</t>
        </is>
      </c>
      <c r="B18" t="inlineStr">
        <is>
          <t>Melee</t>
        </is>
      </c>
      <c r="C18" t="inlineStr">
        <is>
          <t>Weapon</t>
        </is>
      </c>
      <c r="D18" t="inlineStr">
        <is>
          <t>Player trade</t>
        </is>
      </c>
      <c r="E18" t="inlineStr">
        <is>
          <t>Citrine Prime</t>
        </is>
      </c>
      <c r="F18" t="inlineStr">
        <is>
          <t>Unchanged from v3 allocation</t>
        </is>
      </c>
      <c r="G18" t="inlineStr">
        <is>
          <t>OK</t>
        </is>
      </c>
      <c r="H18" t="inlineStr">
        <is>
          <t>Signature - Citrine Prime</t>
        </is>
      </c>
      <c r="I18" t="inlineStr">
        <is>
          <t>+20% Heavy Attack Wind Up Speed</t>
        </is>
      </c>
      <c r="J18" t="inlineStr">
        <is>
          <t>No</t>
        </is>
      </c>
    </row>
    <row r="19">
      <c r="A19" t="inlineStr">
        <is>
          <t>Neutralizer</t>
        </is>
      </c>
      <c r="B19" t="inlineStr">
        <is>
          <t>Primary</t>
        </is>
      </c>
      <c r="C19" t="inlineStr">
        <is>
          <t>Exalted / Intrinsic</t>
        </is>
      </c>
      <c r="D19" t="inlineStr">
        <is>
          <t>Comes with frame</t>
        </is>
      </c>
      <c r="E19" t="inlineStr">
        <is>
          <t>Cyte-09</t>
        </is>
      </c>
      <c r="F19" t="inlineStr">
        <is>
          <t>Unchanged from v3 allocation</t>
        </is>
      </c>
      <c r="G19" t="inlineStr">
        <is>
          <t>INCLUDED WITH FRAME</t>
        </is>
      </c>
      <c r="H19" t="inlineStr">
        <is>
          <t>Exalted/Intrinsic</t>
        </is>
      </c>
    </row>
    <row r="20">
      <c r="A20" t="inlineStr">
        <is>
          <t>Lex Prime</t>
        </is>
      </c>
      <c r="B20" t="inlineStr">
        <is>
          <t>Secondary</t>
        </is>
      </c>
      <c r="C20" t="inlineStr">
        <is>
          <t>Weapon</t>
        </is>
      </c>
      <c r="D20" t="inlineStr">
        <is>
          <t>Player trade</t>
        </is>
      </c>
      <c r="E20" t="inlineStr">
        <is>
          <t>Cyte-09</t>
        </is>
      </c>
      <c r="F20" t="inlineStr">
        <is>
          <t>Unchanged from v3 allocation</t>
        </is>
      </c>
      <c r="G20" t="inlineStr">
        <is>
          <t>OK</t>
        </is>
      </c>
      <c r="H20" t="inlineStr">
        <is>
          <t>Non-signature</t>
        </is>
      </c>
      <c r="J20" t="inlineStr">
        <is>
          <t>Yes (Genesis)</t>
        </is>
      </c>
    </row>
    <row r="21">
      <c r="A21" t="inlineStr">
        <is>
          <t>Rakta Dark Dagger</t>
        </is>
      </c>
      <c r="B21" t="inlineStr">
        <is>
          <t>Melee</t>
        </is>
      </c>
      <c r="C21" t="inlineStr">
        <is>
          <t>Weapon</t>
        </is>
      </c>
      <c r="D21" t="inlineStr">
        <is>
          <t>Player trade</t>
        </is>
      </c>
      <c r="E21" t="inlineStr">
        <is>
          <t>Cyte-09</t>
        </is>
      </c>
      <c r="F21" t="inlineStr">
        <is>
          <t>Unchanged from v3 allocation</t>
        </is>
      </c>
      <c r="G21" t="inlineStr">
        <is>
          <t>OK</t>
        </is>
      </c>
      <c r="H21" t="inlineStr">
        <is>
          <t>Non-signature</t>
        </is>
      </c>
      <c r="J21" t="inlineStr">
        <is>
          <t>No</t>
        </is>
      </c>
    </row>
    <row r="22">
      <c r="A22" t="inlineStr">
        <is>
          <t>Cinta</t>
        </is>
      </c>
      <c r="B22" t="inlineStr">
        <is>
          <t>Primary</t>
        </is>
      </c>
      <c r="C22" t="inlineStr">
        <is>
          <t>Weapon</t>
        </is>
      </c>
      <c r="D22" t="inlineStr">
        <is>
          <t>Player trade</t>
        </is>
      </c>
      <c r="E22" t="inlineStr">
        <is>
          <t>Dagath</t>
        </is>
      </c>
      <c r="F22" t="inlineStr">
        <is>
          <t>Unchanged from v3 allocation</t>
        </is>
      </c>
      <c r="G22" t="inlineStr">
        <is>
          <t>OK</t>
        </is>
      </c>
      <c r="H22" t="inlineStr">
        <is>
          <t>Non-signature</t>
        </is>
      </c>
      <c r="J22" t="inlineStr">
        <is>
          <t>No</t>
        </is>
      </c>
    </row>
    <row r="23">
      <c r="A23" t="inlineStr">
        <is>
          <t>Zylok Prime</t>
        </is>
      </c>
      <c r="B23" t="inlineStr">
        <is>
          <t>Secondary</t>
        </is>
      </c>
      <c r="C23" t="inlineStr">
        <is>
          <t>Weapon</t>
        </is>
      </c>
      <c r="D23" t="inlineStr">
        <is>
          <t>Player trade</t>
        </is>
      </c>
      <c r="E23" t="inlineStr">
        <is>
          <t>Dagath</t>
        </is>
      </c>
      <c r="F23" t="inlineStr">
        <is>
          <t>Unchanged from v3 allocation</t>
        </is>
      </c>
      <c r="G23" t="inlineStr">
        <is>
          <t>OK</t>
        </is>
      </c>
      <c r="H23" t="inlineStr">
        <is>
          <t>Non-signature</t>
        </is>
      </c>
      <c r="J23" t="inlineStr">
        <is>
          <t>Yes (Genesis)</t>
        </is>
      </c>
    </row>
    <row r="24">
      <c r="A24" t="inlineStr">
        <is>
          <t>Dorrclave</t>
        </is>
      </c>
      <c r="B24" t="inlineStr">
        <is>
          <t>Melee</t>
        </is>
      </c>
      <c r="C24" t="inlineStr">
        <is>
          <t>Weapon</t>
        </is>
      </c>
      <c r="D24" t="inlineStr">
        <is>
          <t>Farm / vendor / Dojo / quest</t>
        </is>
      </c>
      <c r="E24" t="inlineStr">
        <is>
          <t>Dagath</t>
        </is>
      </c>
      <c r="F24" t="inlineStr">
        <is>
          <t>Unchanged from v3 allocation</t>
        </is>
      </c>
      <c r="G24" t="inlineStr">
        <is>
          <t>FARMABLE / ACCOUNT-BOUND</t>
        </is>
      </c>
      <c r="H24" t="inlineStr">
        <is>
          <t>Signature - Dagath</t>
        </is>
      </c>
      <c r="I24" t="inlineStr">
        <is>
          <t>Heals 6 HP per active status on strike</t>
        </is>
      </c>
      <c r="J24" t="inlineStr">
        <is>
          <t>No</t>
        </is>
      </c>
    </row>
    <row r="25">
      <c r="A25" t="inlineStr">
        <is>
          <t>Phenmor</t>
        </is>
      </c>
      <c r="B25" t="inlineStr">
        <is>
          <t>Primary</t>
        </is>
      </c>
      <c r="C25" t="inlineStr">
        <is>
          <t>Weapon</t>
        </is>
      </c>
      <c r="D25" t="inlineStr">
        <is>
          <t>Player trade (blueprint; craft resources farmable)</t>
        </is>
      </c>
      <c r="E25" t="inlineStr">
        <is>
          <t>Dante</t>
        </is>
      </c>
      <c r="F25" t="inlineStr">
        <is>
          <t>Ruvox is a MELEE (Fist), not a Primary. Phenmor: Entrati/Albrecht innate Incarnon rifle, Whispers-era fit (D).</t>
        </is>
      </c>
      <c r="G25" t="inlineStr">
        <is>
          <t>OK</t>
        </is>
      </c>
      <c r="H25" t="inlineStr">
        <is>
          <t>Non-signature</t>
        </is>
      </c>
      <c r="J25" t="inlineStr">
        <is>
          <t>Yes (innate)</t>
        </is>
      </c>
      <c r="K25" t="inlineStr">
        <is>
          <t>v3: Ruvox</t>
        </is>
      </c>
    </row>
    <row r="26">
      <c r="A26" t="inlineStr">
        <is>
          <t>Onos</t>
        </is>
      </c>
      <c r="B26" t="inlineStr">
        <is>
          <t>Secondary</t>
        </is>
      </c>
      <c r="C26" t="inlineStr">
        <is>
          <t>Weapon</t>
        </is>
      </c>
      <c r="D26" t="inlineStr">
        <is>
          <t>Farm / vendor / Dojo / quest</t>
        </is>
      </c>
      <c r="E26" t="inlineStr">
        <is>
          <t>Dante</t>
        </is>
      </c>
      <c r="F26" t="inlineStr">
        <is>
          <t>Unchanged from v3 allocation</t>
        </is>
      </c>
      <c r="G26" t="inlineStr">
        <is>
          <t>FARMABLE / ACCOUNT-BOUND</t>
        </is>
      </c>
      <c r="H26" t="inlineStr">
        <is>
          <t>Non-signature</t>
        </is>
      </c>
      <c r="J26" t="inlineStr">
        <is>
          <t>Yes (innate)</t>
        </is>
      </c>
    </row>
    <row r="27">
      <c r="A27" t="inlineStr">
        <is>
          <t>Ruvox</t>
        </is>
      </c>
      <c r="B27" t="inlineStr">
        <is>
          <t>Melee</t>
        </is>
      </c>
      <c r="C27" t="inlineStr">
        <is>
          <t>Weapon</t>
        </is>
      </c>
      <c r="D27" t="inlineStr">
        <is>
          <t>Farm / vendor / Dojo / quest</t>
        </is>
      </c>
      <c r="E27" t="inlineStr">
        <is>
          <t>Dante</t>
        </is>
      </c>
      <c r="F27" t="inlineStr">
        <is>
          <t>Ruvox is Dante signature melee (A/B claim, innate Incarnon). Ekhein released to pool.</t>
        </is>
      </c>
      <c r="G27" t="inlineStr">
        <is>
          <t>FARMABLE / ACCOUNT-BOUND</t>
        </is>
      </c>
      <c r="H27" t="inlineStr">
        <is>
          <t>Signature - Dante</t>
        </is>
      </c>
      <c r="I27" t="inlineStr">
        <is>
          <t>Signature, bonus not implemented</t>
        </is>
      </c>
      <c r="J27" t="inlineStr">
        <is>
          <t>Yes (innate)</t>
        </is>
      </c>
      <c r="K27" t="inlineStr">
        <is>
          <t>v3: Ekhein</t>
        </is>
      </c>
    </row>
    <row r="28">
      <c r="A28" t="inlineStr">
        <is>
          <t>Ignis Wraith</t>
        </is>
      </c>
      <c r="B28" t="inlineStr">
        <is>
          <t>Primary</t>
        </is>
      </c>
      <c r="C28" t="inlineStr">
        <is>
          <t>Weapon</t>
        </is>
      </c>
      <c r="D28" t="inlineStr">
        <is>
          <t>Farm / vendor / Dojo / quest</t>
        </is>
      </c>
      <c r="E28" t="inlineStr">
        <is>
          <t>Ember Prime</t>
        </is>
      </c>
      <c r="F28" t="inlineStr">
        <is>
          <t>Unchanged from v3 allocation</t>
        </is>
      </c>
      <c r="G28" t="inlineStr">
        <is>
          <t>FARMABLE / ACCOUNT-BOUND</t>
        </is>
      </c>
      <c r="H28" t="inlineStr">
        <is>
          <t>Non-signature</t>
        </is>
      </c>
      <c r="J28" t="inlineStr">
        <is>
          <t>No</t>
        </is>
      </c>
    </row>
    <row r="29">
      <c r="A29" t="inlineStr">
        <is>
          <t>Jat Kittag</t>
        </is>
      </c>
      <c r="B29" t="inlineStr">
        <is>
          <t>Melee</t>
        </is>
      </c>
      <c r="C29" t="inlineStr">
        <is>
          <t>Weapon</t>
        </is>
      </c>
      <c r="D29" t="inlineStr">
        <is>
          <t>Farm / vendor / Dojo / quest</t>
        </is>
      </c>
      <c r="E29" t="inlineStr">
        <is>
          <t>Ember Prime</t>
        </is>
      </c>
      <c r="F29" t="inlineStr">
        <is>
          <t>Unchanged from v3 allocation</t>
        </is>
      </c>
      <c r="G29" t="inlineStr">
        <is>
          <t>FARMABLE / ACCOUNT-BOUND</t>
        </is>
      </c>
      <c r="H29" t="inlineStr">
        <is>
          <t>Non-signature</t>
        </is>
      </c>
      <c r="J29" t="inlineStr">
        <is>
          <t>No</t>
        </is>
      </c>
    </row>
    <row r="30">
      <c r="A30" t="inlineStr">
        <is>
          <t>Burston Prime</t>
        </is>
      </c>
      <c r="B30" t="inlineStr">
        <is>
          <t>Primary</t>
        </is>
      </c>
      <c r="C30" t="inlineStr">
        <is>
          <t>Weapon</t>
        </is>
      </c>
      <c r="D30" t="inlineStr">
        <is>
          <t>Player trade</t>
        </is>
      </c>
      <c r="E30" t="inlineStr">
        <is>
          <t>Equinox Prime</t>
        </is>
      </c>
      <c r="F30" t="inlineStr">
        <is>
          <t>Unchanged from v3 allocation</t>
        </is>
      </c>
      <c r="G30" t="inlineStr">
        <is>
          <t>OK</t>
        </is>
      </c>
      <c r="H30" t="inlineStr">
        <is>
          <t>Non-signature</t>
        </is>
      </c>
      <c r="J30" t="inlineStr">
        <is>
          <t>Yes (Genesis)</t>
        </is>
      </c>
    </row>
    <row r="31">
      <c r="A31" t="inlineStr">
        <is>
          <t>Dual Toxocyst</t>
        </is>
      </c>
      <c r="B31" t="inlineStr">
        <is>
          <t>Secondary</t>
        </is>
      </c>
      <c r="C31" t="inlineStr">
        <is>
          <t>Weapon</t>
        </is>
      </c>
      <c r="D31" t="inlineStr">
        <is>
          <t>Farm / vendor / Dojo / quest</t>
        </is>
      </c>
      <c r="E31" t="inlineStr">
        <is>
          <t>Equinox Prime</t>
        </is>
      </c>
      <c r="F31" t="inlineStr">
        <is>
          <t>Unchanged from v3 allocation</t>
        </is>
      </c>
      <c r="G31" t="inlineStr">
        <is>
          <t>FARMABLE / ACCOUNT-BOUND</t>
        </is>
      </c>
      <c r="H31" t="inlineStr">
        <is>
          <t>Non-signature</t>
        </is>
      </c>
      <c r="J31" t="inlineStr">
        <is>
          <t>Yes (Genesis)</t>
        </is>
      </c>
    </row>
    <row r="32">
      <c r="A32" t="inlineStr">
        <is>
          <t>Lesion</t>
        </is>
      </c>
      <c r="B32" t="inlineStr">
        <is>
          <t>Melee</t>
        </is>
      </c>
      <c r="C32" t="inlineStr">
        <is>
          <t>Weapon</t>
        </is>
      </c>
      <c r="D32" t="inlineStr">
        <is>
          <t>Farm / vendor / Dojo / quest</t>
        </is>
      </c>
      <c r="E32" t="inlineStr">
        <is>
          <t>Equinox Prime</t>
        </is>
      </c>
      <c r="F32" t="inlineStr">
        <is>
          <t>Unchanged from v3 allocation</t>
        </is>
      </c>
      <c r="G32" t="inlineStr">
        <is>
          <t>FARMABLE / ACCOUNT-BOUND</t>
        </is>
      </c>
      <c r="H32" t="inlineStr">
        <is>
          <t>Non-signature</t>
        </is>
      </c>
      <c r="J32" t="inlineStr">
        <is>
          <t>No</t>
        </is>
      </c>
    </row>
    <row r="33">
      <c r="A33" t="inlineStr">
        <is>
          <t>Braton Prime</t>
        </is>
      </c>
      <c r="B33" t="inlineStr">
        <is>
          <t>Primary</t>
        </is>
      </c>
      <c r="C33" t="inlineStr">
        <is>
          <t>Weapon</t>
        </is>
      </c>
      <c r="D33" t="inlineStr">
        <is>
          <t>Player trade</t>
        </is>
      </c>
      <c r="E33" t="inlineStr">
        <is>
          <t>Excalibur Umbra</t>
        </is>
      </c>
      <c r="F33" t="inlineStr">
        <is>
          <t>Unchanged from v3 allocation</t>
        </is>
      </c>
      <c r="G33" t="inlineStr">
        <is>
          <t>OK</t>
        </is>
      </c>
      <c r="H33" t="inlineStr">
        <is>
          <t>Non-signature</t>
        </is>
      </c>
      <c r="J33" t="inlineStr">
        <is>
          <t>Yes (Genesis)</t>
        </is>
      </c>
    </row>
    <row r="34">
      <c r="A34" t="inlineStr">
        <is>
          <t>Vasto Prime</t>
        </is>
      </c>
      <c r="B34" t="inlineStr">
        <is>
          <t>Secondary</t>
        </is>
      </c>
      <c r="C34" t="inlineStr">
        <is>
          <t>Weapon</t>
        </is>
      </c>
      <c r="D34" t="inlineStr">
        <is>
          <t>Player trade</t>
        </is>
      </c>
      <c r="E34" t="inlineStr">
        <is>
          <t>Excalibur Umbra</t>
        </is>
      </c>
      <c r="F34" t="inlineStr">
        <is>
          <t>Unchanged from v3 allocation</t>
        </is>
      </c>
      <c r="G34" t="inlineStr">
        <is>
          <t>OK</t>
        </is>
      </c>
      <c r="H34" t="inlineStr">
        <is>
          <t>Non-signature</t>
        </is>
      </c>
      <c r="J34" t="inlineStr">
        <is>
          <t>Yes (Genesis)</t>
        </is>
      </c>
    </row>
    <row r="35">
      <c r="A35" t="inlineStr">
        <is>
          <t>Exalted Umbra Blade</t>
        </is>
      </c>
      <c r="B35" t="inlineStr">
        <is>
          <t>Melee</t>
        </is>
      </c>
      <c r="C35" t="inlineStr">
        <is>
          <t>Exalted / Intrinsic</t>
        </is>
      </c>
      <c r="D35" t="inlineStr">
        <is>
          <t>Comes with frame</t>
        </is>
      </c>
      <c r="E35" t="inlineStr">
        <is>
          <t>Excalibur Umbra</t>
        </is>
      </c>
      <c r="F35" t="inlineStr">
        <is>
          <t>Unchanged from v3 allocation</t>
        </is>
      </c>
      <c r="G35" t="inlineStr">
        <is>
          <t>INCLUDED WITH FRAME</t>
        </is>
      </c>
      <c r="H35" t="inlineStr">
        <is>
          <t>Exalted/Intrinsic</t>
        </is>
      </c>
    </row>
    <row r="36">
      <c r="A36" t="inlineStr">
        <is>
          <t>Enkaus</t>
        </is>
      </c>
      <c r="B36" t="inlineStr">
        <is>
          <t>Primary</t>
        </is>
      </c>
      <c r="C36" t="inlineStr">
        <is>
          <t>Weapon</t>
        </is>
      </c>
      <c r="D36" t="inlineStr">
        <is>
          <t>Farm / vendor / Dojo / quest</t>
        </is>
      </c>
      <c r="E36" t="inlineStr">
        <is>
          <t>Follie</t>
        </is>
      </c>
      <c r="F36" t="inlineStr">
        <is>
          <t>Unchanged from v3 allocation</t>
        </is>
      </c>
      <c r="G36" t="inlineStr">
        <is>
          <t>FARMABLE / ACCOUNT-BOUND</t>
        </is>
      </c>
      <c r="H36" t="inlineStr">
        <is>
          <t>Signature - Follie</t>
        </is>
      </c>
      <c r="I36" t="inlineStr">
        <is>
          <t>Alt-fire applies Inkblot passive</t>
        </is>
      </c>
      <c r="J36" t="inlineStr">
        <is>
          <t>No</t>
        </is>
      </c>
    </row>
    <row r="37">
      <c r="A37" t="inlineStr">
        <is>
          <t>Staticor</t>
        </is>
      </c>
      <c r="B37" t="inlineStr">
        <is>
          <t>Secondary</t>
        </is>
      </c>
      <c r="C37" t="inlineStr">
        <is>
          <t>Weapon</t>
        </is>
      </c>
      <c r="D37" t="inlineStr">
        <is>
          <t>Farm / vendor / Dojo / quest</t>
        </is>
      </c>
      <c r="E37" t="inlineStr">
        <is>
          <t>Follie</t>
        </is>
      </c>
      <c r="F37" t="inlineStr">
        <is>
          <t>Unchanged from v3 allocation</t>
        </is>
      </c>
      <c r="G37" t="inlineStr">
        <is>
          <t>FARMABLE / ACCOUNT-BOUND</t>
        </is>
      </c>
      <c r="H37" t="inlineStr">
        <is>
          <t>Non-signature</t>
        </is>
      </c>
      <c r="J37" t="inlineStr">
        <is>
          <t>No</t>
        </is>
      </c>
    </row>
    <row r="38">
      <c r="A38" t="inlineStr">
        <is>
          <t>Keratinos</t>
        </is>
      </c>
      <c r="B38" t="inlineStr">
        <is>
          <t>Melee</t>
        </is>
      </c>
      <c r="C38" t="inlineStr">
        <is>
          <t>Weapon</t>
        </is>
      </c>
      <c r="D38" t="inlineStr">
        <is>
          <t>Farm / vendor / Dojo / quest</t>
        </is>
      </c>
      <c r="E38" t="inlineStr">
        <is>
          <t>Follie</t>
        </is>
      </c>
      <c r="F38" t="inlineStr">
        <is>
          <t>Unchanged from v3 allocation</t>
        </is>
      </c>
      <c r="G38" t="inlineStr">
        <is>
          <t>FARMABLE / ACCOUNT-BOUND</t>
        </is>
      </c>
      <c r="H38" t="inlineStr">
        <is>
          <t>Non-signature</t>
        </is>
      </c>
      <c r="J38" t="inlineStr">
        <is>
          <t>No</t>
        </is>
      </c>
    </row>
    <row r="39">
      <c r="A39" t="inlineStr">
        <is>
          <t>Glaxion Vandal</t>
        </is>
      </c>
      <c r="B39" t="inlineStr">
        <is>
          <t>Primary</t>
        </is>
      </c>
      <c r="C39" t="inlineStr">
        <is>
          <t>Weapon</t>
        </is>
      </c>
      <c r="D39" t="inlineStr">
        <is>
          <t>Player trade</t>
        </is>
      </c>
      <c r="E39" t="inlineStr">
        <is>
          <t>Frost Prime</t>
        </is>
      </c>
      <c r="F39" t="inlineStr">
        <is>
          <t>Unchanged from v3 allocation</t>
        </is>
      </c>
      <c r="G39" t="inlineStr">
        <is>
          <t>OK</t>
        </is>
      </c>
      <c r="H39" t="inlineStr">
        <is>
          <t>Non-signature</t>
        </is>
      </c>
      <c r="J39" t="inlineStr">
        <is>
          <t>No</t>
        </is>
      </c>
      <c r="K39" t="inlineStr">
        <is>
          <t>Tenet Glaxion live (U35.6) - doctrine: no automatic Coda/adversary substitution; optional upgrade</t>
        </is>
      </c>
    </row>
    <row r="40">
      <c r="A40" t="inlineStr">
        <is>
          <t>Twin Kohmak</t>
        </is>
      </c>
      <c r="B40" t="inlineStr">
        <is>
          <t>Secondary</t>
        </is>
      </c>
      <c r="C40" t="inlineStr">
        <is>
          <t>Weapon</t>
        </is>
      </c>
      <c r="D40" t="inlineStr">
        <is>
          <t>Farm / vendor / Dojo / quest</t>
        </is>
      </c>
      <c r="E40" t="inlineStr">
        <is>
          <t>Frost Prime</t>
        </is>
      </c>
      <c r="F40" t="inlineStr">
        <is>
          <t>Unchanged from v3 allocation</t>
        </is>
      </c>
      <c r="G40" t="inlineStr">
        <is>
          <t>FARMABLE / ACCOUNT-BOUND</t>
        </is>
      </c>
      <c r="H40" t="inlineStr">
        <is>
          <t>Non-signature</t>
        </is>
      </c>
      <c r="J40" t="inlineStr">
        <is>
          <t>No</t>
        </is>
      </c>
    </row>
    <row r="41">
      <c r="A41" t="inlineStr">
        <is>
          <t>Sibear</t>
        </is>
      </c>
      <c r="B41" t="inlineStr">
        <is>
          <t>Melee</t>
        </is>
      </c>
      <c r="C41" t="inlineStr">
        <is>
          <t>Weapon</t>
        </is>
      </c>
      <c r="D41" t="inlineStr">
        <is>
          <t>Farm / vendor / Dojo / quest</t>
        </is>
      </c>
      <c r="E41" t="inlineStr">
        <is>
          <t>Frost Prime</t>
        </is>
      </c>
      <c r="F41" t="inlineStr">
        <is>
          <t>Unchanged from v3 allocation</t>
        </is>
      </c>
      <c r="G41" t="inlineStr">
        <is>
          <t>FARMABLE / ACCOUNT-BOUND</t>
        </is>
      </c>
      <c r="H41" t="inlineStr">
        <is>
          <t>Non-signature</t>
        </is>
      </c>
      <c r="J41" t="inlineStr">
        <is>
          <t>Yes (Genesis)</t>
        </is>
      </c>
    </row>
    <row r="42">
      <c r="A42" t="inlineStr">
        <is>
          <t>Astilla Prime</t>
        </is>
      </c>
      <c r="B42" t="inlineStr">
        <is>
          <t>Primary</t>
        </is>
      </c>
      <c r="C42" t="inlineStr">
        <is>
          <t>Weapon</t>
        </is>
      </c>
      <c r="D42" t="inlineStr">
        <is>
          <t>Player trade</t>
        </is>
      </c>
      <c r="E42" t="inlineStr">
        <is>
          <t>Gara Prime</t>
        </is>
      </c>
      <c r="F42" t="inlineStr">
        <is>
          <t>Unchanged from v3 allocation</t>
        </is>
      </c>
      <c r="G42" t="inlineStr">
        <is>
          <t>OK</t>
        </is>
      </c>
      <c r="H42" t="inlineStr">
        <is>
          <t>Signature - Gara Prime</t>
        </is>
      </c>
      <c r="I42" t="inlineStr">
        <is>
          <t>+80 Ammo Max</t>
        </is>
      </c>
      <c r="J42" t="inlineStr">
        <is>
          <t>No</t>
        </is>
      </c>
    </row>
    <row r="43">
      <c r="A43" t="inlineStr">
        <is>
          <t>Fusilai</t>
        </is>
      </c>
      <c r="B43" t="inlineStr">
        <is>
          <t>Secondary</t>
        </is>
      </c>
      <c r="C43" t="inlineStr">
        <is>
          <t>Weapon</t>
        </is>
      </c>
      <c r="D43" t="inlineStr">
        <is>
          <t>Farm / vendor / Dojo / quest</t>
        </is>
      </c>
      <c r="E43" t="inlineStr">
        <is>
          <t>Gara Prime</t>
        </is>
      </c>
      <c r="F43" t="inlineStr">
        <is>
          <t>Unchanged from v3 allocation</t>
        </is>
      </c>
      <c r="G43" t="inlineStr">
        <is>
          <t>FARMABLE / ACCOUNT-BOUND</t>
        </is>
      </c>
      <c r="H43" t="inlineStr">
        <is>
          <t>Signature - Gara Prime</t>
        </is>
      </c>
      <c r="I43" t="inlineStr">
        <is>
          <t>+50% Projectile Speed</t>
        </is>
      </c>
      <c r="J43" t="inlineStr">
        <is>
          <t>No</t>
        </is>
      </c>
    </row>
    <row r="44">
      <c r="A44" t="inlineStr">
        <is>
          <t>Volnus Prime</t>
        </is>
      </c>
      <c r="B44" t="inlineStr">
        <is>
          <t>Melee</t>
        </is>
      </c>
      <c r="C44" t="inlineStr">
        <is>
          <t>Weapon</t>
        </is>
      </c>
      <c r="D44" t="inlineStr">
        <is>
          <t>Player trade</t>
        </is>
      </c>
      <c r="E44" t="inlineStr">
        <is>
          <t>Gara Prime</t>
        </is>
      </c>
      <c r="F44" t="inlineStr">
        <is>
          <t>Unchanged from v3 allocation</t>
        </is>
      </c>
      <c r="G44" t="inlineStr">
        <is>
          <t>OK</t>
        </is>
      </c>
      <c r="H44" t="inlineStr">
        <is>
          <t>Signature - Gara Prime</t>
        </is>
      </c>
      <c r="I44" t="inlineStr">
        <is>
          <t>+100% radial Slam damage</t>
        </is>
      </c>
      <c r="J44" t="inlineStr">
        <is>
          <t>No</t>
        </is>
      </c>
    </row>
    <row r="45">
      <c r="A45" t="inlineStr">
        <is>
          <t>Nagantaka Prime</t>
        </is>
      </c>
      <c r="B45" t="inlineStr">
        <is>
          <t>Primary</t>
        </is>
      </c>
      <c r="C45" t="inlineStr">
        <is>
          <t>Weapon</t>
        </is>
      </c>
      <c r="D45" t="inlineStr">
        <is>
          <t>Player trade</t>
        </is>
      </c>
      <c r="E45" t="inlineStr">
        <is>
          <t>Garuda Prime</t>
        </is>
      </c>
      <c r="F45" t="inlineStr">
        <is>
          <t>Unchanged from v3 allocation</t>
        </is>
      </c>
      <c r="G45" t="inlineStr">
        <is>
          <t>OK</t>
        </is>
      </c>
      <c r="H45" t="inlineStr">
        <is>
          <t>Signature - Garuda Prime</t>
        </is>
      </c>
      <c r="I45" t="inlineStr">
        <is>
          <t>+1m Punch Through</t>
        </is>
      </c>
      <c r="J45" t="inlineStr">
        <is>
          <t>No</t>
        </is>
      </c>
    </row>
    <row r="46">
      <c r="A46" t="inlineStr">
        <is>
          <t>Despair</t>
        </is>
      </c>
      <c r="B46" t="inlineStr">
        <is>
          <t>Secondary</t>
        </is>
      </c>
      <c r="C46" t="inlineStr">
        <is>
          <t>Weapon</t>
        </is>
      </c>
      <c r="D46" t="inlineStr">
        <is>
          <t>Farm / vendor / Dojo / quest</t>
        </is>
      </c>
      <c r="E46" t="inlineStr">
        <is>
          <t>Garuda Prime</t>
        </is>
      </c>
      <c r="F46" t="inlineStr">
        <is>
          <t>Zakti Prime duplicate (Garuda vs Nezha); neither has a signature claim. Nezha keeps it (Prime Access tie-break only). Despair Incarnon: thrown blades suit talon kit (D).</t>
        </is>
      </c>
      <c r="G46" t="inlineStr">
        <is>
          <t>FARMABLE / ACCOUNT-BOUND</t>
        </is>
      </c>
      <c r="H46" t="inlineStr">
        <is>
          <t>Non-signature</t>
        </is>
      </c>
      <c r="J46" t="inlineStr">
        <is>
          <t>Yes (Genesis)</t>
        </is>
      </c>
      <c r="K46" t="inlineStr">
        <is>
          <t>v3: Zakti Prime</t>
        </is>
      </c>
    </row>
    <row r="47">
      <c r="A47" t="inlineStr">
        <is>
          <t>Garuda Prime Talons</t>
        </is>
      </c>
      <c r="B47" t="inlineStr">
        <is>
          <t>Melee</t>
        </is>
      </c>
      <c r="C47" t="inlineStr">
        <is>
          <t>Exalted / Intrinsic</t>
        </is>
      </c>
      <c r="D47" t="inlineStr">
        <is>
          <t>Comes with frame</t>
        </is>
      </c>
      <c r="E47" t="inlineStr">
        <is>
          <t>Garuda Prime</t>
        </is>
      </c>
      <c r="F47" t="inlineStr">
        <is>
          <t>Unchanged from v3 allocation</t>
        </is>
      </c>
      <c r="G47" t="inlineStr">
        <is>
          <t>INCLUDED WITH FRAME</t>
        </is>
      </c>
      <c r="H47" t="inlineStr">
        <is>
          <t>Exalted/Intrinsic</t>
        </is>
      </c>
    </row>
    <row r="48">
      <c r="A48" t="inlineStr">
        <is>
          <t>Acceltra Prime</t>
        </is>
      </c>
      <c r="B48" t="inlineStr">
        <is>
          <t>Primary</t>
        </is>
      </c>
      <c r="C48" t="inlineStr">
        <is>
          <t>Weapon</t>
        </is>
      </c>
      <c r="D48" t="inlineStr">
        <is>
          <t>Player trade</t>
        </is>
      </c>
      <c r="E48" t="inlineStr">
        <is>
          <t>Gauss Prime</t>
        </is>
      </c>
      <c r="F48" t="inlineStr">
        <is>
          <t>Unchanged from v3 allocation</t>
        </is>
      </c>
      <c r="G48" t="inlineStr">
        <is>
          <t>OK</t>
        </is>
      </c>
      <c r="H48" t="inlineStr">
        <is>
          <t>Signature - Gauss Prime</t>
        </is>
      </c>
      <c r="I48" t="inlineStr">
        <is>
          <t>Sprint reload buff +50%</t>
        </is>
      </c>
      <c r="J48" t="inlineStr">
        <is>
          <t>No</t>
        </is>
      </c>
    </row>
    <row r="49">
      <c r="A49" t="inlineStr">
        <is>
          <t>Akarius Prime</t>
        </is>
      </c>
      <c r="B49" t="inlineStr">
        <is>
          <t>Secondary</t>
        </is>
      </c>
      <c r="C49" t="inlineStr">
        <is>
          <t>Weapon</t>
        </is>
      </c>
      <c r="D49" t="inlineStr">
        <is>
          <t>Player trade</t>
        </is>
      </c>
      <c r="E49" t="inlineStr">
        <is>
          <t>Gauss Prime</t>
        </is>
      </c>
      <c r="F49" t="inlineStr">
        <is>
          <t>Unchanged from v3 allocation</t>
        </is>
      </c>
      <c r="G49" t="inlineStr">
        <is>
          <t>OK</t>
        </is>
      </c>
      <c r="H49" t="inlineStr">
        <is>
          <t>Signature - Gauss Prime</t>
        </is>
      </c>
      <c r="I49" t="inlineStr">
        <is>
          <t>Sprint reload buff +100%</t>
        </is>
      </c>
      <c r="J49" t="inlineStr">
        <is>
          <t>No</t>
        </is>
      </c>
    </row>
    <row r="50">
      <c r="A50" t="inlineStr">
        <is>
          <t>Praedos</t>
        </is>
      </c>
      <c r="B50" t="inlineStr">
        <is>
          <t>Melee</t>
        </is>
      </c>
      <c r="C50" t="inlineStr">
        <is>
          <t>Weapon</t>
        </is>
      </c>
      <c r="D50" t="inlineStr">
        <is>
          <t>Player trade (blueprint; craft resources farmable)</t>
        </is>
      </c>
      <c r="E50" t="inlineStr">
        <is>
          <t>Gauss Prime</t>
        </is>
      </c>
      <c r="F50" t="inlineStr">
        <is>
          <t>Unchanged from v3 allocation</t>
        </is>
      </c>
      <c r="G50" t="inlineStr">
        <is>
          <t>OK</t>
        </is>
      </c>
      <c r="H50" t="inlineStr">
        <is>
          <t>Non-signature</t>
        </is>
      </c>
      <c r="J50" t="inlineStr">
        <is>
          <t>Yes (innate)</t>
        </is>
      </c>
    </row>
    <row r="51">
      <c r="A51" t="inlineStr">
        <is>
          <t>Trumna</t>
        </is>
      </c>
      <c r="B51" t="inlineStr">
        <is>
          <t>Primary</t>
        </is>
      </c>
      <c r="C51" t="inlineStr">
        <is>
          <t>Weapon</t>
        </is>
      </c>
      <c r="D51" t="inlineStr">
        <is>
          <t>Farm / vendor / Dojo / quest</t>
        </is>
      </c>
      <c r="E51" t="inlineStr">
        <is>
          <t>Grendel Prime</t>
        </is>
      </c>
      <c r="F51" t="inlineStr">
        <is>
          <t>Unchanged from v3 allocation</t>
        </is>
      </c>
      <c r="G51" t="inlineStr">
        <is>
          <t>FARMABLE / ACCOUNT-BOUND</t>
        </is>
      </c>
      <c r="H51" t="inlineStr">
        <is>
          <t>Non-signature</t>
        </is>
      </c>
      <c r="J51" t="inlineStr">
        <is>
          <t>No</t>
        </is>
      </c>
    </row>
    <row r="52">
      <c r="A52" t="inlineStr">
        <is>
          <t>Sepulcrum</t>
        </is>
      </c>
      <c r="B52" t="inlineStr">
        <is>
          <t>Secondary</t>
        </is>
      </c>
      <c r="C52" t="inlineStr">
        <is>
          <t>Weapon</t>
        </is>
      </c>
      <c r="D52" t="inlineStr">
        <is>
          <t>Farm / vendor / Dojo / quest</t>
        </is>
      </c>
      <c r="E52" t="inlineStr">
        <is>
          <t>Grendel Prime</t>
        </is>
      </c>
      <c r="F52" t="inlineStr">
        <is>
          <t>Unchanged from v3 allocation</t>
        </is>
      </c>
      <c r="G52" t="inlineStr">
        <is>
          <t>FARMABLE / ACCOUNT-BOUND</t>
        </is>
      </c>
      <c r="H52" t="inlineStr">
        <is>
          <t>Non-signature</t>
        </is>
      </c>
      <c r="J52" t="inlineStr">
        <is>
          <t>No</t>
        </is>
      </c>
    </row>
    <row r="53">
      <c r="A53" t="inlineStr">
        <is>
          <t>Masseter Prime</t>
        </is>
      </c>
      <c r="B53" t="inlineStr">
        <is>
          <t>Melee</t>
        </is>
      </c>
      <c r="C53" t="inlineStr">
        <is>
          <t>Weapon</t>
        </is>
      </c>
      <c r="D53" t="inlineStr">
        <is>
          <t>Player trade</t>
        </is>
      </c>
      <c r="E53" t="inlineStr">
        <is>
          <t>Grendel Prime</t>
        </is>
      </c>
      <c r="F53" t="inlineStr">
        <is>
          <t>Unchanged from v3 allocation</t>
        </is>
      </c>
      <c r="G53" t="inlineStr">
        <is>
          <t>OK</t>
        </is>
      </c>
      <c r="H53" t="inlineStr">
        <is>
          <t>Signature - Grendel Prime</t>
        </is>
      </c>
      <c r="I53" t="inlineStr">
        <is>
          <t>CC immunity during Heavy Attacks</t>
        </is>
      </c>
      <c r="J53" t="inlineStr">
        <is>
          <t>No</t>
        </is>
      </c>
    </row>
    <row r="54">
      <c r="A54" t="inlineStr">
        <is>
          <t>Alternox Prime</t>
        </is>
      </c>
      <c r="B54" t="inlineStr">
        <is>
          <t>Primary</t>
        </is>
      </c>
      <c r="C54" t="inlineStr">
        <is>
          <t>Weapon</t>
        </is>
      </c>
      <c r="D54" t="inlineStr">
        <is>
          <t>Player trade</t>
        </is>
      </c>
      <c r="E54" t="inlineStr">
        <is>
          <t>Gyre Prime</t>
        </is>
      </c>
      <c r="F54" t="inlineStr">
        <is>
          <t>Unchanged from v3 allocation</t>
        </is>
      </c>
      <c r="G54" t="inlineStr">
        <is>
          <t>OK</t>
        </is>
      </c>
      <c r="H54" t="inlineStr">
        <is>
          <t>Signature - Gyre Prime</t>
        </is>
      </c>
      <c r="I54" t="inlineStr">
        <is>
          <t>+20% Multishot</t>
        </is>
      </c>
      <c r="J54" t="inlineStr">
        <is>
          <t>No</t>
        </is>
      </c>
    </row>
    <row r="55">
      <c r="A55" t="inlineStr">
        <is>
          <t>Prisma Angstrum</t>
        </is>
      </c>
      <c r="B55" t="inlineStr">
        <is>
          <t>Secondary</t>
        </is>
      </c>
      <c r="C55" t="inlineStr">
        <is>
          <t>Weapon</t>
        </is>
      </c>
      <c r="D55" t="inlineStr">
        <is>
          <t>Player trade</t>
        </is>
      </c>
      <c r="E55" t="inlineStr">
        <is>
          <t>Gyre Prime</t>
        </is>
      </c>
      <c r="F55" t="inlineStr">
        <is>
          <t>Unchanged from v3 allocation</t>
        </is>
      </c>
      <c r="G55" t="inlineStr">
        <is>
          <t>OK</t>
        </is>
      </c>
      <c r="H55" t="inlineStr">
        <is>
          <t>Non-signature</t>
        </is>
      </c>
      <c r="J55" t="inlineStr">
        <is>
          <t>Yes (Genesis)</t>
        </is>
      </c>
    </row>
    <row r="56">
      <c r="A56" t="inlineStr">
        <is>
          <t>Kestrel Prime</t>
        </is>
      </c>
      <c r="B56" t="inlineStr">
        <is>
          <t>Melee</t>
        </is>
      </c>
      <c r="C56" t="inlineStr">
        <is>
          <t>Weapon</t>
        </is>
      </c>
      <c r="D56" t="inlineStr">
        <is>
          <t>Player trade</t>
        </is>
      </c>
      <c r="E56" t="inlineStr">
        <is>
          <t>Gyre Prime</t>
        </is>
      </c>
      <c r="F56" t="inlineStr">
        <is>
          <t>Unchanged from v3 allocation</t>
        </is>
      </c>
      <c r="G56" t="inlineStr">
        <is>
          <t>OK</t>
        </is>
      </c>
      <c r="H56" t="inlineStr">
        <is>
          <t>Non-signature</t>
        </is>
      </c>
      <c r="J56" t="inlineStr">
        <is>
          <t>No</t>
        </is>
      </c>
    </row>
    <row r="57">
      <c r="A57" t="inlineStr">
        <is>
          <t>Scourge Prime</t>
        </is>
      </c>
      <c r="B57" t="inlineStr">
        <is>
          <t>Primary</t>
        </is>
      </c>
      <c r="C57" t="inlineStr">
        <is>
          <t>Weapon</t>
        </is>
      </c>
      <c r="D57" t="inlineStr">
        <is>
          <t>Player trade</t>
        </is>
      </c>
      <c r="E57" t="inlineStr">
        <is>
          <t>Harrow Prime</t>
        </is>
      </c>
      <c r="F57" t="inlineStr">
        <is>
          <t>Unchanged from v3 allocation</t>
        </is>
      </c>
      <c r="G57" t="inlineStr">
        <is>
          <t>OK</t>
        </is>
      </c>
      <c r="H57" t="inlineStr">
        <is>
          <t>Signature - Harrow Prime</t>
        </is>
      </c>
      <c r="I57" t="inlineStr">
        <is>
          <t>Signature, bonus not implemented</t>
        </is>
      </c>
      <c r="J57" t="inlineStr">
        <is>
          <t>No</t>
        </is>
      </c>
    </row>
    <row r="58">
      <c r="A58" t="inlineStr">
        <is>
          <t>Knell Prime</t>
        </is>
      </c>
      <c r="B58" t="inlineStr">
        <is>
          <t>Secondary</t>
        </is>
      </c>
      <c r="C58" t="inlineStr">
        <is>
          <t>Weapon</t>
        </is>
      </c>
      <c r="D58" t="inlineStr">
        <is>
          <t>Player trade</t>
        </is>
      </c>
      <c r="E58" t="inlineStr">
        <is>
          <t>Harrow Prime</t>
        </is>
      </c>
      <c r="F58" t="inlineStr">
        <is>
          <t>Unchanged from v3 allocation</t>
        </is>
      </c>
      <c r="G58" t="inlineStr">
        <is>
          <t>OK</t>
        </is>
      </c>
      <c r="H58" t="inlineStr">
        <is>
          <t>Signature - Harrow Prime</t>
        </is>
      </c>
      <c r="I58" t="inlineStr">
        <is>
          <t>+1 Magazine</t>
        </is>
      </c>
      <c r="J58" t="inlineStr">
        <is>
          <t>No</t>
        </is>
      </c>
    </row>
    <row r="59">
      <c r="A59" t="inlineStr">
        <is>
          <t>Dual Keres</t>
        </is>
      </c>
      <c r="B59" t="inlineStr">
        <is>
          <t>Melee</t>
        </is>
      </c>
      <c r="C59" t="inlineStr">
        <is>
          <t>Weapon</t>
        </is>
      </c>
      <c r="D59" t="inlineStr">
        <is>
          <t>Farm / vendor / Dojo / quest</t>
        </is>
      </c>
      <c r="E59" t="inlineStr">
        <is>
          <t>Harrow Prime</t>
        </is>
      </c>
      <c r="F59" t="inlineStr">
        <is>
          <t>Unchanged from v3 allocation</t>
        </is>
      </c>
      <c r="G59" t="inlineStr">
        <is>
          <t>FARMABLE / ACCOUNT-BOUND</t>
        </is>
      </c>
      <c r="H59" t="inlineStr">
        <is>
          <t>Non-signature</t>
        </is>
      </c>
      <c r="J59" t="inlineStr">
        <is>
          <t>No</t>
        </is>
      </c>
    </row>
    <row r="60">
      <c r="A60" t="inlineStr">
        <is>
          <t>Gorgon Wraith</t>
        </is>
      </c>
      <c r="B60" t="inlineStr">
        <is>
          <t>Primary</t>
        </is>
      </c>
      <c r="C60" t="inlineStr">
        <is>
          <t>Weapon</t>
        </is>
      </c>
      <c r="D60" t="inlineStr">
        <is>
          <t>Player trade</t>
        </is>
      </c>
      <c r="E60" t="inlineStr">
        <is>
          <t>Hildryn Prime</t>
        </is>
      </c>
      <c r="F60" t="inlineStr">
        <is>
          <t>Larkspur Prime is an ARCHGUN, so the Primary slot was effectively empty. Larkspur moved to an Archgun signature extra. Gorgon Wraith Incarnon (E).</t>
        </is>
      </c>
      <c r="G60" t="inlineStr">
        <is>
          <t>OK</t>
        </is>
      </c>
      <c r="H60" t="inlineStr">
        <is>
          <t>Non-signature</t>
        </is>
      </c>
      <c r="J60" t="inlineStr">
        <is>
          <t>Yes (Genesis)</t>
        </is>
      </c>
      <c r="K60" t="inlineStr">
        <is>
          <t>v3: Larkspur Prime</t>
        </is>
      </c>
    </row>
    <row r="61">
      <c r="A61" t="inlineStr">
        <is>
          <t>Balefire Charger Prime</t>
        </is>
      </c>
      <c r="B61" t="inlineStr">
        <is>
          <t>Secondary</t>
        </is>
      </c>
      <c r="C61" t="inlineStr">
        <is>
          <t>Exalted / Intrinsic</t>
        </is>
      </c>
      <c r="D61" t="inlineStr">
        <is>
          <t>Comes with frame</t>
        </is>
      </c>
      <c r="E61" t="inlineStr">
        <is>
          <t>Hildryn Prime</t>
        </is>
      </c>
      <c r="F61" t="inlineStr">
        <is>
          <t>Unchanged from v3 allocation</t>
        </is>
      </c>
      <c r="G61" t="inlineStr">
        <is>
          <t>INCLUDED WITH FRAME</t>
        </is>
      </c>
      <c r="H61" t="inlineStr">
        <is>
          <t>Exalted/Intrinsic</t>
        </is>
      </c>
    </row>
    <row r="62">
      <c r="A62" t="inlineStr">
        <is>
          <t>Hirudo</t>
        </is>
      </c>
      <c r="B62" t="inlineStr">
        <is>
          <t>Melee</t>
        </is>
      </c>
      <c r="C62" t="inlineStr">
        <is>
          <t>Weapon</t>
        </is>
      </c>
      <c r="D62" t="inlineStr">
        <is>
          <t>Farm / vendor / Dojo / quest</t>
        </is>
      </c>
      <c r="E62" t="inlineStr">
        <is>
          <t>Hildryn Prime</t>
        </is>
      </c>
      <c r="F62" t="inlineStr">
        <is>
          <t>Unchanged from v3 allocation</t>
        </is>
      </c>
      <c r="G62" t="inlineStr">
        <is>
          <t>FARMABLE / ACCOUNT-BOUND</t>
        </is>
      </c>
      <c r="H62" t="inlineStr">
        <is>
          <t>Non-signature</t>
        </is>
      </c>
      <c r="J62" t="inlineStr">
        <is>
          <t>No</t>
        </is>
      </c>
      <c r="K62" t="inlineStr">
        <is>
          <t>Coda Hirudo live (U38.5) - doctrine: no automatic Coda/adversary substitution; optional upgrade</t>
        </is>
      </c>
    </row>
    <row r="63">
      <c r="A63" t="inlineStr">
        <is>
          <t>Pox</t>
        </is>
      </c>
      <c r="B63" t="inlineStr">
        <is>
          <t>Secondary</t>
        </is>
      </c>
      <c r="C63" t="inlineStr">
        <is>
          <t>Weapon</t>
        </is>
      </c>
      <c r="D63" t="inlineStr">
        <is>
          <t>Farm / vendor / Dojo / quest</t>
        </is>
      </c>
      <c r="E63" t="inlineStr">
        <is>
          <t>Hydroid Prime</t>
        </is>
      </c>
      <c r="F63" t="inlineStr">
        <is>
          <t>Unchanged from v3 allocation</t>
        </is>
      </c>
      <c r="G63" t="inlineStr">
        <is>
          <t>FARMABLE / ACCOUNT-BOUND</t>
        </is>
      </c>
      <c r="H63" t="inlineStr">
        <is>
          <t>Non-signature</t>
        </is>
      </c>
      <c r="J63" t="inlineStr">
        <is>
          <t>No</t>
        </is>
      </c>
      <c r="K63" t="inlineStr">
        <is>
          <t>Coda Pox live (U38.5) - doctrine: no automatic Coda/adversary substitution; optional upgrade</t>
        </is>
      </c>
    </row>
    <row r="64">
      <c r="A64" t="inlineStr">
        <is>
          <t>Nami Skyla Prime</t>
        </is>
      </c>
      <c r="B64" t="inlineStr">
        <is>
          <t>Melee</t>
        </is>
      </c>
      <c r="C64" t="inlineStr">
        <is>
          <t>Weapon</t>
        </is>
      </c>
      <c r="D64" t="inlineStr">
        <is>
          <t>Player trade</t>
        </is>
      </c>
      <c r="E64" t="inlineStr">
        <is>
          <t>Hydroid Prime</t>
        </is>
      </c>
      <c r="F64" t="inlineStr">
        <is>
          <t>Unchanged from v3 allocation</t>
        </is>
      </c>
      <c r="G64" t="inlineStr">
        <is>
          <t>OK</t>
        </is>
      </c>
      <c r="H64" t="inlineStr">
        <is>
          <t>Non-signature</t>
        </is>
      </c>
      <c r="J64" t="inlineStr">
        <is>
          <t>No</t>
        </is>
      </c>
    </row>
    <row r="65">
      <c r="A65" t="inlineStr">
        <is>
          <t>Panthera Prime</t>
        </is>
      </c>
      <c r="B65" t="inlineStr">
        <is>
          <t>Primary</t>
        </is>
      </c>
      <c r="C65" t="inlineStr">
        <is>
          <t>Weapon</t>
        </is>
      </c>
      <c r="D65" t="inlineStr">
        <is>
          <t>Player trade</t>
        </is>
      </c>
      <c r="E65" t="inlineStr">
        <is>
          <t>Inaros Prime</t>
        </is>
      </c>
      <c r="F65" t="inlineStr">
        <is>
          <t>Unchanged from v3 allocation</t>
        </is>
      </c>
      <c r="G65" t="inlineStr">
        <is>
          <t>OK</t>
        </is>
      </c>
      <c r="H65" t="inlineStr">
        <is>
          <t>Non-signature</t>
        </is>
      </c>
      <c r="J65" t="inlineStr">
        <is>
          <t>No</t>
        </is>
      </c>
    </row>
    <row r="66">
      <c r="A66" t="inlineStr">
        <is>
          <t>Zymos</t>
        </is>
      </c>
      <c r="B66" t="inlineStr">
        <is>
          <t>Secondary</t>
        </is>
      </c>
      <c r="C66" t="inlineStr">
        <is>
          <t>Weapon</t>
        </is>
      </c>
      <c r="D66" t="inlineStr">
        <is>
          <t>Farm / vendor / Dojo / quest</t>
        </is>
      </c>
      <c r="E66" t="inlineStr">
        <is>
          <t>Inaros Prime</t>
        </is>
      </c>
      <c r="F66" t="inlineStr">
        <is>
          <t>Unchanged from v3 allocation</t>
        </is>
      </c>
      <c r="G66" t="inlineStr">
        <is>
          <t>FARMABLE / ACCOUNT-BOUND</t>
        </is>
      </c>
      <c r="H66" t="inlineStr">
        <is>
          <t>Non-signature</t>
        </is>
      </c>
      <c r="J66" t="inlineStr">
        <is>
          <t>No</t>
        </is>
      </c>
    </row>
    <row r="67">
      <c r="A67" t="inlineStr">
        <is>
          <t>Karyst Prime</t>
        </is>
      </c>
      <c r="B67" t="inlineStr">
        <is>
          <t>Melee</t>
        </is>
      </c>
      <c r="C67" t="inlineStr">
        <is>
          <t>Weapon</t>
        </is>
      </c>
      <c r="D67" t="inlineStr">
        <is>
          <t>Player trade</t>
        </is>
      </c>
      <c r="E67" t="inlineStr">
        <is>
          <t>Inaros Prime</t>
        </is>
      </c>
      <c r="F67" t="inlineStr">
        <is>
          <t>Unchanged from v3 allocation</t>
        </is>
      </c>
      <c r="G67" t="inlineStr">
        <is>
          <t>OK</t>
        </is>
      </c>
      <c r="H67" t="inlineStr">
        <is>
          <t>Non-signature</t>
        </is>
      </c>
      <c r="J67" t="inlineStr">
        <is>
          <t>No</t>
        </is>
      </c>
    </row>
    <row r="68">
      <c r="A68" t="inlineStr">
        <is>
          <t>Artemis Bow Prime</t>
        </is>
      </c>
      <c r="B68" t="inlineStr">
        <is>
          <t>Primary</t>
        </is>
      </c>
      <c r="C68" t="inlineStr">
        <is>
          <t>Exalted / Intrinsic</t>
        </is>
      </c>
      <c r="D68" t="inlineStr">
        <is>
          <t>Comes with frame</t>
        </is>
      </c>
      <c r="E68" t="inlineStr">
        <is>
          <t>Ivara Prime</t>
        </is>
      </c>
      <c r="F68" t="inlineStr">
        <is>
          <t>Unchanged from v3 allocation</t>
        </is>
      </c>
      <c r="G68" t="inlineStr">
        <is>
          <t>INCLUDED WITH FRAME</t>
        </is>
      </c>
      <c r="H68" t="inlineStr">
        <is>
          <t>Exalted/Intrinsic</t>
        </is>
      </c>
    </row>
    <row r="69">
      <c r="A69" t="inlineStr">
        <is>
          <t>Akstiletto Prime</t>
        </is>
      </c>
      <c r="B69" t="inlineStr">
        <is>
          <t>Secondary</t>
        </is>
      </c>
      <c r="C69" t="inlineStr">
        <is>
          <t>Weapon</t>
        </is>
      </c>
      <c r="D69" t="inlineStr">
        <is>
          <t>Player trade</t>
        </is>
      </c>
      <c r="E69" t="inlineStr">
        <is>
          <t>Ivara Prime</t>
        </is>
      </c>
      <c r="F69" t="inlineStr">
        <is>
          <t>Unchanged from v3 allocation</t>
        </is>
      </c>
      <c r="G69" t="inlineStr">
        <is>
          <t>OK</t>
        </is>
      </c>
      <c r="H69" t="inlineStr">
        <is>
          <t>Non-signature</t>
        </is>
      </c>
      <c r="J69" t="inlineStr">
        <is>
          <t>No</t>
        </is>
      </c>
    </row>
    <row r="70">
      <c r="A70" t="inlineStr">
        <is>
          <t>Cerata</t>
        </is>
      </c>
      <c r="B70" t="inlineStr">
        <is>
          <t>Melee</t>
        </is>
      </c>
      <c r="C70" t="inlineStr">
        <is>
          <t>Weapon</t>
        </is>
      </c>
      <c r="D70" t="inlineStr">
        <is>
          <t>Farm / vendor / Dojo / quest</t>
        </is>
      </c>
      <c r="E70" t="inlineStr">
        <is>
          <t>Ivara Prime</t>
        </is>
      </c>
      <c r="F70" t="inlineStr">
        <is>
          <t>Unchanged from v3 allocation</t>
        </is>
      </c>
      <c r="G70" t="inlineStr">
        <is>
          <t>FARMABLE / ACCOUNT-BOUND</t>
        </is>
      </c>
      <c r="H70" t="inlineStr">
        <is>
          <t>Non-signature</t>
        </is>
      </c>
      <c r="J70" t="inlineStr">
        <is>
          <t>No</t>
        </is>
      </c>
    </row>
    <row r="71">
      <c r="A71" t="inlineStr">
        <is>
          <t>Evensong</t>
        </is>
      </c>
      <c r="B71" t="inlineStr">
        <is>
          <t>Primary</t>
        </is>
      </c>
      <c r="C71" t="inlineStr">
        <is>
          <t>Weapon</t>
        </is>
      </c>
      <c r="D71" t="inlineStr">
        <is>
          <t>Farm / vendor / Dojo / quest</t>
        </is>
      </c>
      <c r="E71" t="inlineStr">
        <is>
          <t>Jade</t>
        </is>
      </c>
      <c r="F71" t="inlineStr">
        <is>
          <t>Unchanged from v3 allocation</t>
        </is>
      </c>
      <c r="G71" t="inlineStr">
        <is>
          <t>FARMABLE / ACCOUNT-BOUND</t>
        </is>
      </c>
      <c r="H71" t="inlineStr">
        <is>
          <t>Signature - Jade</t>
        </is>
      </c>
      <c r="I71" t="inlineStr">
        <is>
          <t>Signature, bonus not implemented</t>
        </is>
      </c>
      <c r="J71" t="inlineStr">
        <is>
          <t>No</t>
        </is>
      </c>
    </row>
    <row r="72">
      <c r="A72" t="inlineStr">
        <is>
          <t>Cantare</t>
        </is>
      </c>
      <c r="B72" t="inlineStr">
        <is>
          <t>Secondary</t>
        </is>
      </c>
      <c r="C72" t="inlineStr">
        <is>
          <t>Weapon</t>
        </is>
      </c>
      <c r="D72" t="inlineStr">
        <is>
          <t>Farm / vendor / Dojo / quest</t>
        </is>
      </c>
      <c r="E72" t="inlineStr">
        <is>
          <t>Jade</t>
        </is>
      </c>
      <c r="F72" t="inlineStr">
        <is>
          <t>Unchanged from v3 allocation</t>
        </is>
      </c>
      <c r="G72" t="inlineStr">
        <is>
          <t>FARMABLE / ACCOUNT-BOUND</t>
        </is>
      </c>
      <c r="H72" t="inlineStr">
        <is>
          <t>Signature - Jade</t>
        </is>
      </c>
      <c r="I72" t="inlineStr">
        <is>
          <t>Signature, bonus not implemented</t>
        </is>
      </c>
      <c r="J72" t="inlineStr">
        <is>
          <t>No</t>
        </is>
      </c>
    </row>
    <row r="73">
      <c r="A73" t="inlineStr">
        <is>
          <t>Harmony</t>
        </is>
      </c>
      <c r="B73" t="inlineStr">
        <is>
          <t>Melee</t>
        </is>
      </c>
      <c r="C73" t="inlineStr">
        <is>
          <t>Weapon</t>
        </is>
      </c>
      <c r="D73" t="inlineStr">
        <is>
          <t>Farm / vendor / Dojo / quest</t>
        </is>
      </c>
      <c r="E73" t="inlineStr">
        <is>
          <t>Jade</t>
        </is>
      </c>
      <c r="F73" t="inlineStr">
        <is>
          <t>Unchanged from v3 allocation</t>
        </is>
      </c>
      <c r="G73" t="inlineStr">
        <is>
          <t>FARMABLE / ACCOUNT-BOUND</t>
        </is>
      </c>
      <c r="H73" t="inlineStr">
        <is>
          <t>Signature - Jade</t>
        </is>
      </c>
      <c r="I73" t="inlineStr">
        <is>
          <t>Signature, bonus not implemented</t>
        </is>
      </c>
      <c r="J73" t="inlineStr">
        <is>
          <t>No</t>
        </is>
      </c>
    </row>
    <row r="74">
      <c r="A74" t="inlineStr">
        <is>
          <t>Corinth Prime</t>
        </is>
      </c>
      <c r="B74" t="inlineStr">
        <is>
          <t>Primary</t>
        </is>
      </c>
      <c r="C74" t="inlineStr">
        <is>
          <t>Weapon</t>
        </is>
      </c>
      <c r="D74" t="inlineStr">
        <is>
          <t>Player trade</t>
        </is>
      </c>
      <c r="E74" t="inlineStr">
        <is>
          <t>Khora Prime</t>
        </is>
      </c>
      <c r="F74" t="inlineStr">
        <is>
          <t>Unchanged from v3 allocation</t>
        </is>
      </c>
      <c r="G74" t="inlineStr">
        <is>
          <t>OK</t>
        </is>
      </c>
      <c r="H74" t="inlineStr">
        <is>
          <t>Non-signature</t>
        </is>
      </c>
      <c r="J74" t="inlineStr">
        <is>
          <t>No</t>
        </is>
      </c>
    </row>
    <row r="75">
      <c r="A75" t="inlineStr">
        <is>
          <t>Hystrix Prime</t>
        </is>
      </c>
      <c r="B75" t="inlineStr">
        <is>
          <t>Secondary</t>
        </is>
      </c>
      <c r="C75" t="inlineStr">
        <is>
          <t>Weapon</t>
        </is>
      </c>
      <c r="D75" t="inlineStr">
        <is>
          <t>Player trade</t>
        </is>
      </c>
      <c r="E75" t="inlineStr">
        <is>
          <t>Khora Prime</t>
        </is>
      </c>
      <c r="F75" t="inlineStr">
        <is>
          <t>Unchanged from v3 allocation</t>
        </is>
      </c>
      <c r="G75" t="inlineStr">
        <is>
          <t>OK</t>
        </is>
      </c>
      <c r="H75" t="inlineStr">
        <is>
          <t>Signature - Khora Prime</t>
        </is>
      </c>
      <c r="I75" t="inlineStr">
        <is>
          <t>8% instant reload on headshot</t>
        </is>
      </c>
      <c r="J75" t="inlineStr">
        <is>
          <t>No</t>
        </is>
      </c>
    </row>
    <row r="76">
      <c r="A76" t="inlineStr">
        <is>
          <t>Dual Keres Prime</t>
        </is>
      </c>
      <c r="B76" t="inlineStr">
        <is>
          <t>Melee</t>
        </is>
      </c>
      <c r="C76" t="inlineStr">
        <is>
          <t>Weapon</t>
        </is>
      </c>
      <c r="D76" t="inlineStr">
        <is>
          <t>Player trade</t>
        </is>
      </c>
      <c r="E76" t="inlineStr">
        <is>
          <t>Khora Prime</t>
        </is>
      </c>
      <c r="F76" t="inlineStr">
        <is>
          <t>Unchanged from v3 allocation</t>
        </is>
      </c>
      <c r="G76" t="inlineStr">
        <is>
          <t>OK</t>
        </is>
      </c>
      <c r="H76" t="inlineStr">
        <is>
          <t>Signature - Khora Prime</t>
        </is>
      </c>
      <c r="I76" t="inlineStr">
        <is>
          <t>20% Heavy Attack Efficiency</t>
        </is>
      </c>
      <c r="J76" t="inlineStr">
        <is>
          <t>No</t>
        </is>
      </c>
    </row>
    <row r="77">
      <c r="A77" t="inlineStr">
        <is>
          <t>Higasa</t>
        </is>
      </c>
      <c r="B77" t="inlineStr">
        <is>
          <t>Primary</t>
        </is>
      </c>
      <c r="C77" t="inlineStr">
        <is>
          <t>Weapon</t>
        </is>
      </c>
      <c r="D77" t="inlineStr">
        <is>
          <t>Farm / vendor / Dojo / quest</t>
        </is>
      </c>
      <c r="E77" t="inlineStr">
        <is>
          <t>Koumei</t>
        </is>
      </c>
      <c r="F77" t="inlineStr">
        <is>
          <t>Unchanged from v3 allocation</t>
        </is>
      </c>
      <c r="G77" t="inlineStr">
        <is>
          <t>FARMABLE / ACCOUNT-BOUND</t>
        </is>
      </c>
      <c r="H77" t="inlineStr">
        <is>
          <t>Signature - Koumei</t>
        </is>
      </c>
      <c r="I77" t="inlineStr">
        <is>
          <t>Signature, bonus not implemented</t>
        </is>
      </c>
      <c r="J77" t="inlineStr">
        <is>
          <t>No</t>
        </is>
      </c>
    </row>
    <row r="78">
      <c r="A78" t="inlineStr">
        <is>
          <t>Kunai</t>
        </is>
      </c>
      <c r="B78" t="inlineStr">
        <is>
          <t>Secondary</t>
        </is>
      </c>
      <c r="C78" t="inlineStr">
        <is>
          <t>Weapon</t>
        </is>
      </c>
      <c r="D78" t="inlineStr">
        <is>
          <t>Farm / vendor / Dojo / quest</t>
        </is>
      </c>
      <c r="E78" t="inlineStr">
        <is>
          <t>Koumei</t>
        </is>
      </c>
      <c r="F78" t="inlineStr">
        <is>
          <t>Kompressa line is Yareli signature (+30% Projectile Speed); Kompressa Prime exists. Kunai Incarnon: Japanese-themed thrown sidearm (D).</t>
        </is>
      </c>
      <c r="G78" t="inlineStr">
        <is>
          <t>FARMABLE / ACCOUNT-BOUND</t>
        </is>
      </c>
      <c r="H78" t="inlineStr">
        <is>
          <t>Non-signature</t>
        </is>
      </c>
      <c r="J78" t="inlineStr">
        <is>
          <t>Yes (Genesis)</t>
        </is>
      </c>
      <c r="K78" t="inlineStr">
        <is>
          <t>v3: Kompressa</t>
        </is>
      </c>
    </row>
    <row r="79">
      <c r="A79" t="inlineStr">
        <is>
          <t>Amanata</t>
        </is>
      </c>
      <c r="B79" t="inlineStr">
        <is>
          <t>Melee</t>
        </is>
      </c>
      <c r="C79" t="inlineStr">
        <is>
          <t>Weapon</t>
        </is>
      </c>
      <c r="D79" t="inlineStr">
        <is>
          <t>Farm / vendor / Dojo / quest</t>
        </is>
      </c>
      <c r="E79" t="inlineStr">
        <is>
          <t>Koumei</t>
        </is>
      </c>
      <c r="F79" t="inlineStr">
        <is>
          <t>Unchanged from v3 allocation</t>
        </is>
      </c>
      <c r="G79" t="inlineStr">
        <is>
          <t>FARMABLE / ACCOUNT-BOUND</t>
        </is>
      </c>
      <c r="H79" t="inlineStr">
        <is>
          <t>Signature - Koumei</t>
        </is>
      </c>
      <c r="I79" t="inlineStr">
        <is>
          <t>Signature, bonus not implemented</t>
        </is>
      </c>
      <c r="J79" t="inlineStr">
        <is>
          <t>No</t>
        </is>
      </c>
    </row>
    <row r="80">
      <c r="A80" t="inlineStr">
        <is>
          <t>Rauta</t>
        </is>
      </c>
      <c r="B80" t="inlineStr">
        <is>
          <t>Primary</t>
        </is>
      </c>
      <c r="C80" t="inlineStr">
        <is>
          <t>Weapon</t>
        </is>
      </c>
      <c r="D80" t="inlineStr">
        <is>
          <t>Player trade</t>
        </is>
      </c>
      <c r="E80" t="inlineStr">
        <is>
          <t>Kullervo</t>
        </is>
      </c>
      <c r="F80" t="inlineStr">
        <is>
          <t>Unchanged from v3 allocation</t>
        </is>
      </c>
      <c r="G80" t="inlineStr">
        <is>
          <t>OK</t>
        </is>
      </c>
      <c r="H80" t="inlineStr">
        <is>
          <t>Signature - Kullervo</t>
        </is>
      </c>
      <c r="I80" t="inlineStr">
        <is>
          <t>+7s Melee Combo duration</t>
        </is>
      </c>
      <c r="J80" t="inlineStr">
        <is>
          <t>No</t>
        </is>
      </c>
    </row>
    <row r="81">
      <c r="A81" t="inlineStr">
        <is>
          <t>Epitaph</t>
        </is>
      </c>
      <c r="B81" t="inlineStr">
        <is>
          <t>Secondary</t>
        </is>
      </c>
      <c r="C81" t="inlineStr">
        <is>
          <t>Weapon</t>
        </is>
      </c>
      <c r="D81" t="inlineStr">
        <is>
          <t>Player trade</t>
        </is>
      </c>
      <c r="E81" t="inlineStr">
        <is>
          <t>Kullervo</t>
        </is>
      </c>
      <c r="F81" t="inlineStr">
        <is>
          <t>Unchanged from v3 allocation</t>
        </is>
      </c>
      <c r="G81" t="inlineStr">
        <is>
          <t>OK</t>
        </is>
      </c>
      <c r="H81" t="inlineStr">
        <is>
          <t>Non-signature</t>
        </is>
      </c>
      <c r="J81" t="inlineStr">
        <is>
          <t>No</t>
        </is>
      </c>
    </row>
    <row r="82">
      <c r="A82" t="inlineStr">
        <is>
          <t>Azothane</t>
        </is>
      </c>
      <c r="B82" t="inlineStr">
        <is>
          <t>Melee</t>
        </is>
      </c>
      <c r="C82" t="inlineStr">
        <is>
          <t>Weapon</t>
        </is>
      </c>
      <c r="D82" t="inlineStr">
        <is>
          <t>Farm / vendor / Dojo / quest</t>
        </is>
      </c>
      <c r="E82" t="inlineStr">
        <is>
          <t>Kullervo</t>
        </is>
      </c>
      <c r="F82" t="inlineStr">
        <is>
          <t>Unchanged from v3 allocation</t>
        </is>
      </c>
      <c r="G82" t="inlineStr">
        <is>
          <t>FARMABLE / ACCOUNT-BOUND</t>
        </is>
      </c>
      <c r="H82" t="inlineStr">
        <is>
          <t>Non-signature</t>
        </is>
      </c>
      <c r="J82" t="inlineStr">
        <is>
          <t>No</t>
        </is>
      </c>
    </row>
    <row r="83">
      <c r="A83" t="inlineStr">
        <is>
          <t>Cedo Prime</t>
        </is>
      </c>
      <c r="B83" t="inlineStr">
        <is>
          <t>Primary</t>
        </is>
      </c>
      <c r="C83" t="inlineStr">
        <is>
          <t>Weapon</t>
        </is>
      </c>
      <c r="D83" t="inlineStr">
        <is>
          <t>Player trade</t>
        </is>
      </c>
      <c r="E83" t="inlineStr">
        <is>
          <t>Lavos Prime</t>
        </is>
      </c>
      <c r="F83" t="inlineStr">
        <is>
          <t>Unchanged from v3 allocation</t>
        </is>
      </c>
      <c r="G83" t="inlineStr">
        <is>
          <t>OK</t>
        </is>
      </c>
      <c r="H83" t="inlineStr">
        <is>
          <t>Signature - Lavos Prime</t>
        </is>
      </c>
      <c r="I83" t="inlineStr">
        <is>
          <t>Shotgun Ammo Mutation effect</t>
        </is>
      </c>
      <c r="J83" t="inlineStr">
        <is>
          <t>No</t>
        </is>
      </c>
    </row>
    <row r="84">
      <c r="A84" t="inlineStr">
        <is>
          <t>Cyanex</t>
        </is>
      </c>
      <c r="B84" t="inlineStr">
        <is>
          <t>Secondary</t>
        </is>
      </c>
      <c r="C84" t="inlineStr">
        <is>
          <t>Weapon</t>
        </is>
      </c>
      <c r="D84" t="inlineStr">
        <is>
          <t>Farm / vendor / Dojo / quest</t>
        </is>
      </c>
      <c r="E84" t="inlineStr">
        <is>
          <t>Lavos Prime</t>
        </is>
      </c>
      <c r="F84" t="inlineStr">
        <is>
          <t>Unchanged from v3 allocation</t>
        </is>
      </c>
      <c r="G84" t="inlineStr">
        <is>
          <t>FARMABLE / ACCOUNT-BOUND</t>
        </is>
      </c>
      <c r="H84" t="inlineStr">
        <is>
          <t>Non-signature</t>
        </is>
      </c>
      <c r="J84" t="inlineStr">
        <is>
          <t>No</t>
        </is>
      </c>
    </row>
    <row r="85">
      <c r="A85" t="inlineStr">
        <is>
          <t>Dual Zoren Prime</t>
        </is>
      </c>
      <c r="B85" t="inlineStr">
        <is>
          <t>Melee</t>
        </is>
      </c>
      <c r="C85" t="inlineStr">
        <is>
          <t>Weapon</t>
        </is>
      </c>
      <c r="D85" t="inlineStr">
        <is>
          <t>Player trade</t>
        </is>
      </c>
      <c r="E85" t="inlineStr">
        <is>
          <t>Lavos Prime</t>
        </is>
      </c>
      <c r="F85" t="inlineStr">
        <is>
          <t>Unchanged from v3 allocation</t>
        </is>
      </c>
      <c r="G85" t="inlineStr">
        <is>
          <t>OK</t>
        </is>
      </c>
      <c r="H85" t="inlineStr">
        <is>
          <t>Non-signature</t>
        </is>
      </c>
      <c r="J85" t="inlineStr">
        <is>
          <t>No</t>
        </is>
      </c>
    </row>
    <row r="86">
      <c r="A86" t="inlineStr">
        <is>
          <t>Vectis</t>
        </is>
      </c>
      <c r="B86" t="inlineStr">
        <is>
          <t>Primary</t>
        </is>
      </c>
      <c r="C86" t="inlineStr">
        <is>
          <t>Weapon</t>
        </is>
      </c>
      <c r="D86" t="inlineStr">
        <is>
          <t>Farm / vendor / Dojo / quest</t>
        </is>
      </c>
      <c r="E86" t="inlineStr">
        <is>
          <t>Limbo Prime</t>
        </is>
      </c>
      <c r="F86" t="inlineStr">
        <is>
          <t>Unchanged from v3 allocation</t>
        </is>
      </c>
      <c r="G86" t="inlineStr">
        <is>
          <t>FARMABLE / ACCOUNT-BOUND</t>
        </is>
      </c>
      <c r="H86" t="inlineStr">
        <is>
          <t>Non-signature</t>
        </is>
      </c>
      <c r="J86" t="inlineStr">
        <is>
          <t>Yes (Genesis)</t>
        </is>
      </c>
    </row>
    <row r="87">
      <c r="A87" t="inlineStr">
        <is>
          <t>Pyrana Prime</t>
        </is>
      </c>
      <c r="B87" t="inlineStr">
        <is>
          <t>Secondary</t>
        </is>
      </c>
      <c r="C87" t="inlineStr">
        <is>
          <t>Weapon</t>
        </is>
      </c>
      <c r="D87" t="inlineStr">
        <is>
          <t>Player trade</t>
        </is>
      </c>
      <c r="E87" t="inlineStr">
        <is>
          <t>Limbo Prime</t>
        </is>
      </c>
      <c r="F87" t="inlineStr">
        <is>
          <t>Unchanged from v3 allocation</t>
        </is>
      </c>
      <c r="G87" t="inlineStr">
        <is>
          <t>OK</t>
        </is>
      </c>
      <c r="H87" t="inlineStr">
        <is>
          <t>Non-signature</t>
        </is>
      </c>
      <c r="J87" t="inlineStr">
        <is>
          <t>No</t>
        </is>
      </c>
    </row>
    <row r="88">
      <c r="A88" t="inlineStr">
        <is>
          <t>Destreza Prime</t>
        </is>
      </c>
      <c r="B88" t="inlineStr">
        <is>
          <t>Melee</t>
        </is>
      </c>
      <c r="C88" t="inlineStr">
        <is>
          <t>Weapon</t>
        </is>
      </c>
      <c r="D88" t="inlineStr">
        <is>
          <t>Player trade</t>
        </is>
      </c>
      <c r="E88" t="inlineStr">
        <is>
          <t>Limbo Prime</t>
        </is>
      </c>
      <c r="F88" t="inlineStr">
        <is>
          <t>Unchanged from v3 allocation</t>
        </is>
      </c>
      <c r="G88" t="inlineStr">
        <is>
          <t>OK</t>
        </is>
      </c>
      <c r="H88" t="inlineStr">
        <is>
          <t>Non-signature</t>
        </is>
      </c>
      <c r="J88" t="inlineStr">
        <is>
          <t>Yes (Genesis)</t>
        </is>
      </c>
    </row>
    <row r="89">
      <c r="A89" t="inlineStr">
        <is>
          <t>Baza Prime</t>
        </is>
      </c>
      <c r="B89" t="inlineStr">
        <is>
          <t>Primary</t>
        </is>
      </c>
      <c r="C89" t="inlineStr">
        <is>
          <t>Weapon</t>
        </is>
      </c>
      <c r="D89" t="inlineStr">
        <is>
          <t>Player trade</t>
        </is>
      </c>
      <c r="E89" t="inlineStr">
        <is>
          <t>Loki Prime</t>
        </is>
      </c>
      <c r="F89" t="inlineStr">
        <is>
          <t>Unchanged from v3 allocation</t>
        </is>
      </c>
      <c r="G89" t="inlineStr">
        <is>
          <t>OK</t>
        </is>
      </c>
      <c r="H89" t="inlineStr">
        <is>
          <t>Non-signature</t>
        </is>
      </c>
      <c r="J89" t="inlineStr">
        <is>
          <t>No</t>
        </is>
      </c>
    </row>
    <row r="90">
      <c r="A90" t="inlineStr">
        <is>
          <t>Spira Prime</t>
        </is>
      </c>
      <c r="B90" t="inlineStr">
        <is>
          <t>Secondary</t>
        </is>
      </c>
      <c r="C90" t="inlineStr">
        <is>
          <t>Weapon</t>
        </is>
      </c>
      <c r="D90" t="inlineStr">
        <is>
          <t>Player trade</t>
        </is>
      </c>
      <c r="E90" t="inlineStr">
        <is>
          <t>Loki Prime</t>
        </is>
      </c>
      <c r="F90" t="inlineStr">
        <is>
          <t>Unchanged from v3 allocation</t>
        </is>
      </c>
      <c r="G90" t="inlineStr">
        <is>
          <t>OK</t>
        </is>
      </c>
      <c r="H90" t="inlineStr">
        <is>
          <t>Non-signature</t>
        </is>
      </c>
      <c r="J90" t="inlineStr">
        <is>
          <t>No</t>
        </is>
      </c>
    </row>
    <row r="91">
      <c r="A91" t="inlineStr">
        <is>
          <t>Nikana Prime</t>
        </is>
      </c>
      <c r="B91" t="inlineStr">
        <is>
          <t>Melee</t>
        </is>
      </c>
      <c r="C91" t="inlineStr">
        <is>
          <t>Weapon</t>
        </is>
      </c>
      <c r="D91" t="inlineStr">
        <is>
          <t>Player trade</t>
        </is>
      </c>
      <c r="E91" t="inlineStr">
        <is>
          <t>Loki Prime</t>
        </is>
      </c>
      <c r="F91" t="inlineStr">
        <is>
          <t>Unchanged from v3 allocation</t>
        </is>
      </c>
      <c r="G91" t="inlineStr">
        <is>
          <t>OK</t>
        </is>
      </c>
      <c r="H91" t="inlineStr">
        <is>
          <t>Non-signature</t>
        </is>
      </c>
      <c r="J91" t="inlineStr">
        <is>
          <t>No</t>
        </is>
      </c>
    </row>
    <row r="92">
      <c r="A92" t="inlineStr">
        <is>
          <t>Mara Detron</t>
        </is>
      </c>
      <c r="B92" t="inlineStr">
        <is>
          <t>Secondary</t>
        </is>
      </c>
      <c r="C92" t="inlineStr">
        <is>
          <t>Weapon</t>
        </is>
      </c>
      <c r="D92" t="inlineStr">
        <is>
          <t>Player trade</t>
        </is>
      </c>
      <c r="E92" t="inlineStr">
        <is>
          <t>Mag Prime</t>
        </is>
      </c>
      <c r="F92" t="inlineStr">
        <is>
          <t>Unchanged from v3 allocation</t>
        </is>
      </c>
      <c r="G92" t="inlineStr">
        <is>
          <t>OK</t>
        </is>
      </c>
      <c r="H92" t="inlineStr">
        <is>
          <t>Non-signature</t>
        </is>
      </c>
      <c r="J92" t="inlineStr">
        <is>
          <t>No</t>
        </is>
      </c>
    </row>
    <row r="93">
      <c r="A93" t="inlineStr">
        <is>
          <t>Dakra Prime</t>
        </is>
      </c>
      <c r="B93" t="inlineStr">
        <is>
          <t>Melee</t>
        </is>
      </c>
      <c r="C93" t="inlineStr">
        <is>
          <t>Weapon</t>
        </is>
      </c>
      <c r="D93" t="inlineStr">
        <is>
          <t>Player trade</t>
        </is>
      </c>
      <c r="E93" t="inlineStr">
        <is>
          <t>Mag Prime</t>
        </is>
      </c>
      <c r="F93" t="inlineStr">
        <is>
          <t>Unchanged from v3 allocation</t>
        </is>
      </c>
      <c r="G93" t="inlineStr">
        <is>
          <t>OK</t>
        </is>
      </c>
      <c r="H93" t="inlineStr">
        <is>
          <t>Non-signature</t>
        </is>
      </c>
      <c r="J93" t="inlineStr">
        <is>
          <t>No</t>
        </is>
      </c>
    </row>
    <row r="94">
      <c r="A94" t="inlineStr">
        <is>
          <t>Cedo</t>
        </is>
      </c>
      <c r="B94" t="inlineStr">
        <is>
          <t>Primary</t>
        </is>
      </c>
      <c r="C94" t="inlineStr">
        <is>
          <t>Weapon</t>
        </is>
      </c>
      <c r="D94" t="inlineStr">
        <is>
          <t>Player trade</t>
        </is>
      </c>
      <c r="E94" t="inlineStr">
        <is>
          <t>Mesa Prime</t>
        </is>
      </c>
      <c r="F94" t="inlineStr">
        <is>
          <t>Unchanged from v3 allocation</t>
        </is>
      </c>
      <c r="G94" t="inlineStr">
        <is>
          <t>OK</t>
        </is>
      </c>
      <c r="H94" t="inlineStr">
        <is>
          <t>Non-signature</t>
        </is>
      </c>
      <c r="J94" t="inlineStr">
        <is>
          <t>No</t>
        </is>
      </c>
    </row>
    <row r="95">
      <c r="A95" t="inlineStr">
        <is>
          <t>Akjagara Prime</t>
        </is>
      </c>
      <c r="B95" t="inlineStr">
        <is>
          <t>Secondary</t>
        </is>
      </c>
      <c r="C95" t="inlineStr">
        <is>
          <t>Weapon</t>
        </is>
      </c>
      <c r="D95" t="inlineStr">
        <is>
          <t>Player trade</t>
        </is>
      </c>
      <c r="E95" t="inlineStr">
        <is>
          <t>Mesa Prime</t>
        </is>
      </c>
      <c r="F95" t="inlineStr">
        <is>
          <t>Unchanged from v3 allocation</t>
        </is>
      </c>
      <c r="G95" t="inlineStr">
        <is>
          <t>OK</t>
        </is>
      </c>
      <c r="H95" t="inlineStr">
        <is>
          <t>Non-signature</t>
        </is>
      </c>
      <c r="J95" t="inlineStr">
        <is>
          <t>No</t>
        </is>
      </c>
    </row>
    <row r="96">
      <c r="A96" t="inlineStr">
        <is>
          <t>Regulators Prime</t>
        </is>
      </c>
      <c r="B96" t="inlineStr">
        <is>
          <t>Melee</t>
        </is>
      </c>
      <c r="C96" t="inlineStr">
        <is>
          <t>Exalted / Intrinsic</t>
        </is>
      </c>
      <c r="D96" t="inlineStr">
        <is>
          <t>Comes with frame</t>
        </is>
      </c>
      <c r="E96" t="inlineStr">
        <is>
          <t>Mesa Prime</t>
        </is>
      </c>
      <c r="F96" t="inlineStr">
        <is>
          <t>Unchanged from v3 allocation</t>
        </is>
      </c>
      <c r="G96" t="inlineStr">
        <is>
          <t>INCLUDED WITH FRAME</t>
        </is>
      </c>
      <c r="H96" t="inlineStr">
        <is>
          <t>Exalted/Intrinsic</t>
        </is>
      </c>
    </row>
    <row r="97">
      <c r="A97" t="inlineStr">
        <is>
          <t>Akzani</t>
        </is>
      </c>
      <c r="B97" t="inlineStr">
        <is>
          <t>Secondary</t>
        </is>
      </c>
      <c r="C97" t="inlineStr">
        <is>
          <t>Weapon</t>
        </is>
      </c>
      <c r="D97" t="inlineStr">
        <is>
          <t>Farm / vendor / Dojo / quest</t>
        </is>
      </c>
      <c r="E97" t="inlineStr">
        <is>
          <t>Mirage Prime</t>
        </is>
      </c>
      <c r="F97" t="inlineStr">
        <is>
          <t>v4.1 reconciliation: Akzani is Mirage's signature dual pistol; the slot is uncontested (tier D signature preference).</t>
        </is>
      </c>
      <c r="G97" t="inlineStr">
        <is>
          <t>FARMABLE / ACCOUNT-BOUND</t>
        </is>
      </c>
      <c r="H97" t="inlineStr">
        <is>
          <t>Signature - Mirage Prime</t>
        </is>
      </c>
      <c r="I97" t="inlineStr">
        <is>
          <t>Signature, bonus not implemented (not allocated)</t>
        </is>
      </c>
      <c r="J97" t="inlineStr">
        <is>
          <t>No</t>
        </is>
      </c>
      <c r="K97" t="inlineStr">
        <is>
          <t>v3: Prisma Twin Gremlins</t>
        </is>
      </c>
    </row>
    <row r="98">
      <c r="A98" t="inlineStr">
        <is>
          <t>Glaive Prime</t>
        </is>
      </c>
      <c r="B98" t="inlineStr">
        <is>
          <t>Melee</t>
        </is>
      </c>
      <c r="C98" t="inlineStr">
        <is>
          <t>Weapon</t>
        </is>
      </c>
      <c r="D98" t="inlineStr">
        <is>
          <t>Player trade</t>
        </is>
      </c>
      <c r="E98" t="inlineStr">
        <is>
          <t>Mirage Prime</t>
        </is>
      </c>
      <c r="F98" t="inlineStr">
        <is>
          <t>Unchanged from v3 allocation</t>
        </is>
      </c>
      <c r="G98" t="inlineStr">
        <is>
          <t>OK</t>
        </is>
      </c>
      <c r="H98" t="inlineStr">
        <is>
          <t>Non-signature</t>
        </is>
      </c>
      <c r="J98" t="inlineStr">
        <is>
          <t>No</t>
        </is>
      </c>
    </row>
    <row r="99">
      <c r="A99" t="inlineStr">
        <is>
          <t>Nunchasa</t>
        </is>
      </c>
      <c r="B99" t="inlineStr">
        <is>
          <t>Primary</t>
        </is>
      </c>
      <c r="C99" t="inlineStr">
        <is>
          <t>Weapon</t>
        </is>
      </c>
      <c r="D99" t="inlineStr">
        <is>
          <t>Farm / vendor / Dojo / quest</t>
        </is>
      </c>
      <c r="E99" t="inlineStr">
        <is>
          <t>Narin</t>
        </is>
      </c>
      <c r="F99" t="inlineStr">
        <is>
          <t>Unchanged from v3 allocation</t>
        </is>
      </c>
      <c r="G99" t="inlineStr">
        <is>
          <t>FARMABLE / ACCOUNT-BOUND</t>
        </is>
      </c>
      <c r="H99" t="inlineStr">
        <is>
          <t>Signature - Narin</t>
        </is>
      </c>
      <c r="I99" t="inlineStr">
        <is>
          <t>Signature, bonus not implemented</t>
        </is>
      </c>
      <c r="J99" t="inlineStr">
        <is>
          <t>No</t>
        </is>
      </c>
    </row>
    <row r="100">
      <c r="A100" t="inlineStr">
        <is>
          <t>Aksondol</t>
        </is>
      </c>
      <c r="B100" t="inlineStr">
        <is>
          <t>Secondary</t>
        </is>
      </c>
      <c r="C100" t="inlineStr">
        <is>
          <t>Weapon</t>
        </is>
      </c>
      <c r="D100" t="inlineStr">
        <is>
          <t>Farm / vendor / Dojo / quest</t>
        </is>
      </c>
      <c r="E100" t="inlineStr">
        <is>
          <t>Narin</t>
        </is>
      </c>
      <c r="F100" t="inlineStr">
        <is>
          <t>Unchanged from v3 allocation</t>
        </is>
      </c>
      <c r="G100" t="inlineStr">
        <is>
          <t>FARMABLE / ACCOUNT-BOUND</t>
        </is>
      </c>
      <c r="H100" t="inlineStr">
        <is>
          <t>Signature - Narin</t>
        </is>
      </c>
      <c r="I100" t="inlineStr">
        <is>
          <t>Signature, bonus not implemented</t>
        </is>
      </c>
      <c r="J100" t="inlineStr">
        <is>
          <t>No</t>
        </is>
      </c>
    </row>
    <row r="101">
      <c r="A101" t="inlineStr">
        <is>
          <t>Prisma Skana</t>
        </is>
      </c>
      <c r="B101" t="inlineStr">
        <is>
          <t>Melee</t>
        </is>
      </c>
      <c r="C101" t="inlineStr">
        <is>
          <t>Weapon</t>
        </is>
      </c>
      <c r="D101" t="inlineStr">
        <is>
          <t>Player trade</t>
        </is>
      </c>
      <c r="E101" t="inlineStr">
        <is>
          <t>Narin</t>
        </is>
      </c>
      <c r="F101" t="inlineStr">
        <is>
          <t>Nurinarim is a cast sword-dance ability (scales on Ability Strength, 20s, no weapon mods), not a wielded weapon, so it does NOT replace Melee. Prisma Skana Incarnon: sword fits Iceblade theme (D).</t>
        </is>
      </c>
      <c r="G101" t="inlineStr">
        <is>
          <t>OK</t>
        </is>
      </c>
      <c r="H101" t="inlineStr">
        <is>
          <t>Non-signature</t>
        </is>
      </c>
      <c r="J101" t="inlineStr">
        <is>
          <t>Yes (Genesis)</t>
        </is>
      </c>
      <c r="K101" t="inlineStr">
        <is>
          <t>v3: OPEN</t>
        </is>
      </c>
    </row>
    <row r="102">
      <c r="A102" t="inlineStr">
        <is>
          <t>Tigris Prime</t>
        </is>
      </c>
      <c r="B102" t="inlineStr">
        <is>
          <t>Primary</t>
        </is>
      </c>
      <c r="C102" t="inlineStr">
        <is>
          <t>Weapon</t>
        </is>
      </c>
      <c r="D102" t="inlineStr">
        <is>
          <t>Player trade</t>
        </is>
      </c>
      <c r="E102" t="inlineStr">
        <is>
          <t>Nekros Prime</t>
        </is>
      </c>
      <c r="F102" t="inlineStr">
        <is>
          <t>Unchanged from v3 allocation</t>
        </is>
      </c>
      <c r="G102" t="inlineStr">
        <is>
          <t>OK</t>
        </is>
      </c>
      <c r="H102" t="inlineStr">
        <is>
          <t>Non-signature</t>
        </is>
      </c>
      <c r="J102" t="inlineStr">
        <is>
          <t>No</t>
        </is>
      </c>
    </row>
    <row r="103">
      <c r="A103" t="inlineStr">
        <is>
          <t>Twin Grakatas</t>
        </is>
      </c>
      <c r="B103" t="inlineStr">
        <is>
          <t>Secondary</t>
        </is>
      </c>
      <c r="C103" t="inlineStr">
        <is>
          <t>Weapon</t>
        </is>
      </c>
      <c r="D103" t="inlineStr">
        <is>
          <t>Farm / vendor / Dojo / quest</t>
        </is>
      </c>
      <c r="E103" t="inlineStr">
        <is>
          <t>Nekros Prime</t>
        </is>
      </c>
      <c r="F103" t="inlineStr">
        <is>
          <t>Unchanged from v3 allocation</t>
        </is>
      </c>
      <c r="G103" t="inlineStr">
        <is>
          <t>FARMABLE / ACCOUNT-BOUND</t>
        </is>
      </c>
      <c r="H103" t="inlineStr">
        <is>
          <t>Non-signature</t>
        </is>
      </c>
      <c r="J103" t="inlineStr">
        <is>
          <t>No</t>
        </is>
      </c>
    </row>
    <row r="104">
      <c r="A104" t="inlineStr">
        <is>
          <t>Galatine Prime</t>
        </is>
      </c>
      <c r="B104" t="inlineStr">
        <is>
          <t>Melee</t>
        </is>
      </c>
      <c r="C104" t="inlineStr">
        <is>
          <t>Weapon</t>
        </is>
      </c>
      <c r="D104" t="inlineStr">
        <is>
          <t>Player trade</t>
        </is>
      </c>
      <c r="E104" t="inlineStr">
        <is>
          <t>Nekros Prime</t>
        </is>
      </c>
      <c r="F104" t="inlineStr">
        <is>
          <t>Unchanged from v3 allocation</t>
        </is>
      </c>
      <c r="G104" t="inlineStr">
        <is>
          <t>OK</t>
        </is>
      </c>
      <c r="H104" t="inlineStr">
        <is>
          <t>Non-signature</t>
        </is>
      </c>
      <c r="J104" t="inlineStr">
        <is>
          <t>No</t>
        </is>
      </c>
    </row>
    <row r="105">
      <c r="A105" t="inlineStr">
        <is>
          <t>Proboscis Cernos</t>
        </is>
      </c>
      <c r="B105" t="inlineStr">
        <is>
          <t>Primary</t>
        </is>
      </c>
      <c r="C105" t="inlineStr">
        <is>
          <t>Weapon</t>
        </is>
      </c>
      <c r="D105" t="inlineStr">
        <is>
          <t>Farm / vendor / Dojo / quest</t>
        </is>
      </c>
      <c r="E105" t="inlineStr">
        <is>
          <t>Nezha Prime</t>
        </is>
      </c>
      <c r="F105" t="inlineStr">
        <is>
          <t>Unchanged from v3 allocation</t>
        </is>
      </c>
      <c r="G105" t="inlineStr">
        <is>
          <t>FARMABLE / ACCOUNT-BOUND</t>
        </is>
      </c>
      <c r="H105" t="inlineStr">
        <is>
          <t>Non-signature</t>
        </is>
      </c>
      <c r="J105" t="inlineStr">
        <is>
          <t>No</t>
        </is>
      </c>
    </row>
    <row r="106">
      <c r="A106" t="inlineStr">
        <is>
          <t>Zakti Prime</t>
        </is>
      </c>
      <c r="B106" t="inlineStr">
        <is>
          <t>Secondary</t>
        </is>
      </c>
      <c r="C106" t="inlineStr">
        <is>
          <t>Weapon</t>
        </is>
      </c>
      <c r="D106" t="inlineStr">
        <is>
          <t>Player trade</t>
        </is>
      </c>
      <c r="E106" t="inlineStr">
        <is>
          <t>Nezha Prime</t>
        </is>
      </c>
      <c r="F106" t="inlineStr">
        <is>
          <t>Unchanged from v3 allocation</t>
        </is>
      </c>
      <c r="G106" t="inlineStr">
        <is>
          <t>OK</t>
        </is>
      </c>
      <c r="H106" t="inlineStr">
        <is>
          <t>Non-signature</t>
        </is>
      </c>
      <c r="J106" t="inlineStr">
        <is>
          <t>No</t>
        </is>
      </c>
    </row>
    <row r="107">
      <c r="A107" t="inlineStr">
        <is>
          <t>Guandao Prime</t>
        </is>
      </c>
      <c r="B107" t="inlineStr">
        <is>
          <t>Melee</t>
        </is>
      </c>
      <c r="C107" t="inlineStr">
        <is>
          <t>Weapon</t>
        </is>
      </c>
      <c r="D107" t="inlineStr">
        <is>
          <t>Player trade</t>
        </is>
      </c>
      <c r="E107" t="inlineStr">
        <is>
          <t>Nezha Prime</t>
        </is>
      </c>
      <c r="F107" t="inlineStr">
        <is>
          <t>Unchanged from v3 allocation</t>
        </is>
      </c>
      <c r="G107" t="inlineStr">
        <is>
          <t>OK</t>
        </is>
      </c>
      <c r="H107" t="inlineStr">
        <is>
          <t>Non-signature</t>
        </is>
      </c>
      <c r="J107" t="inlineStr">
        <is>
          <t>No</t>
        </is>
      </c>
    </row>
    <row r="108">
      <c r="A108" t="inlineStr">
        <is>
          <t>Strun Prime</t>
        </is>
      </c>
      <c r="B108" t="inlineStr">
        <is>
          <t>Primary</t>
        </is>
      </c>
      <c r="C108" t="inlineStr">
        <is>
          <t>Weapon</t>
        </is>
      </c>
      <c r="D108" t="inlineStr">
        <is>
          <t>Player trade</t>
        </is>
      </c>
      <c r="E108" t="inlineStr">
        <is>
          <t>Nidus Prime</t>
        </is>
      </c>
      <c r="F108" t="inlineStr">
        <is>
          <t>Unchanged from v3 allocation</t>
        </is>
      </c>
      <c r="G108" t="inlineStr">
        <is>
          <t>OK</t>
        </is>
      </c>
      <c r="H108" t="inlineStr">
        <is>
          <t>Non-signature</t>
        </is>
      </c>
      <c r="J108" t="inlineStr">
        <is>
          <t>Yes (Genesis)</t>
        </is>
      </c>
    </row>
    <row r="109">
      <c r="A109" t="inlineStr">
        <is>
          <t>Magnus Prime</t>
        </is>
      </c>
      <c r="B109" t="inlineStr">
        <is>
          <t>Secondary</t>
        </is>
      </c>
      <c r="C109" t="inlineStr">
        <is>
          <t>Weapon</t>
        </is>
      </c>
      <c r="D109" t="inlineStr">
        <is>
          <t>Player trade</t>
        </is>
      </c>
      <c r="E109" t="inlineStr">
        <is>
          <t>Nidus Prime</t>
        </is>
      </c>
      <c r="F109" t="inlineStr">
        <is>
          <t>Unchanged from v3 allocation</t>
        </is>
      </c>
      <c r="G109" t="inlineStr">
        <is>
          <t>OK</t>
        </is>
      </c>
      <c r="H109" t="inlineStr">
        <is>
          <t>Non-signature</t>
        </is>
      </c>
      <c r="J109" t="inlineStr">
        <is>
          <t>No</t>
        </is>
      </c>
    </row>
    <row r="110">
      <c r="A110" t="inlineStr">
        <is>
          <t>Pathocyst</t>
        </is>
      </c>
      <c r="B110" t="inlineStr">
        <is>
          <t>Melee</t>
        </is>
      </c>
      <c r="C110" t="inlineStr">
        <is>
          <t>Weapon</t>
        </is>
      </c>
      <c r="D110" t="inlineStr">
        <is>
          <t>Player trade</t>
        </is>
      </c>
      <c r="E110" t="inlineStr">
        <is>
          <t>Nidus Prime</t>
        </is>
      </c>
      <c r="F110" t="inlineStr">
        <is>
          <t>Unchanged from v3 allocation</t>
        </is>
      </c>
      <c r="G110" t="inlineStr">
        <is>
          <t>OK</t>
        </is>
      </c>
      <c r="H110" t="inlineStr">
        <is>
          <t>Non-signature</t>
        </is>
      </c>
      <c r="J110" t="inlineStr">
        <is>
          <t>No</t>
        </is>
      </c>
      <c r="K110" t="inlineStr">
        <is>
          <t>Coda Pathocyst live (U38.5) - doctrine: no automatic Coda/adversary substitution; optional upgrade</t>
        </is>
      </c>
    </row>
    <row r="111">
      <c r="A111" t="inlineStr">
        <is>
          <t>Sporothrix</t>
        </is>
      </c>
      <c r="B111" t="inlineStr">
        <is>
          <t>Primary</t>
        </is>
      </c>
      <c r="C111" t="inlineStr">
        <is>
          <t>Weapon</t>
        </is>
      </c>
      <c r="D111" t="inlineStr">
        <is>
          <t>Player trade</t>
        </is>
      </c>
      <c r="E111" t="inlineStr">
        <is>
          <t>Nokko</t>
        </is>
      </c>
      <c r="F111" t="inlineStr">
        <is>
          <t>Fungal sniper rifle, direct Nokko (mushroom) thematic fit (D). Signature Arbucep is an Archgun.</t>
        </is>
      </c>
      <c r="G111" t="inlineStr">
        <is>
          <t>OK</t>
        </is>
      </c>
      <c r="H111" t="inlineStr">
        <is>
          <t>Non-signature</t>
        </is>
      </c>
      <c r="J111" t="inlineStr">
        <is>
          <t>No</t>
        </is>
      </c>
      <c r="K111" t="inlineStr">
        <is>
          <t>v3: OPEN; Coda Sporothrix live (U38.5) - doctrine: no automatic Coda/adversary substitution; optional upgrade</t>
        </is>
      </c>
    </row>
    <row r="112">
      <c r="A112" t="inlineStr">
        <is>
          <t>Ocucor</t>
        </is>
      </c>
      <c r="B112" t="inlineStr">
        <is>
          <t>Secondary</t>
        </is>
      </c>
      <c r="C112" t="inlineStr">
        <is>
          <t>Weapon</t>
        </is>
      </c>
      <c r="D112" t="inlineStr">
        <is>
          <t>Farm / vendor / Dojo / quest</t>
        </is>
      </c>
      <c r="E112" t="inlineStr">
        <is>
          <t>Nokko</t>
        </is>
      </c>
      <c r="F112" t="inlineStr">
        <is>
          <t>Released from Yareli; Deimos/Infested-growth thematic fit (D).</t>
        </is>
      </c>
      <c r="G112" t="inlineStr">
        <is>
          <t>FARMABLE / ACCOUNT-BOUND</t>
        </is>
      </c>
      <c r="H112" t="inlineStr">
        <is>
          <t>Non-signature</t>
        </is>
      </c>
      <c r="J112" t="inlineStr">
        <is>
          <t>No</t>
        </is>
      </c>
      <c r="K112" t="inlineStr">
        <is>
          <t>v3: OPEN</t>
        </is>
      </c>
    </row>
    <row r="113">
      <c r="A113" t="inlineStr">
        <is>
          <t>Mios</t>
        </is>
      </c>
      <c r="B113" t="inlineStr">
        <is>
          <t>Melee</t>
        </is>
      </c>
      <c r="C113" t="inlineStr">
        <is>
          <t>Weapon</t>
        </is>
      </c>
      <c r="D113" t="inlineStr">
        <is>
          <t>Farm / vendor / Dojo / quest</t>
        </is>
      </c>
      <c r="E113" t="inlineStr">
        <is>
          <t>Nokko</t>
        </is>
      </c>
      <c r="F113" t="inlineStr">
        <is>
          <t>Released from Uriel (Vinquibus covers Melee); Infested blade-whip fit (D).</t>
        </is>
      </c>
      <c r="G113" t="inlineStr">
        <is>
          <t>FARMABLE / ACCOUNT-BOUND</t>
        </is>
      </c>
      <c r="H113" t="inlineStr">
        <is>
          <t>Non-signature</t>
        </is>
      </c>
      <c r="J113" t="inlineStr">
        <is>
          <t>No</t>
        </is>
      </c>
      <c r="K113" t="inlineStr">
        <is>
          <t>v3: OPEN</t>
        </is>
      </c>
    </row>
    <row r="114">
      <c r="A114" t="inlineStr">
        <is>
          <t>Soma Prime</t>
        </is>
      </c>
      <c r="B114" t="inlineStr">
        <is>
          <t>Primary</t>
        </is>
      </c>
      <c r="C114" t="inlineStr">
        <is>
          <t>Weapon</t>
        </is>
      </c>
      <c r="D114" t="inlineStr">
        <is>
          <t>Player trade</t>
        </is>
      </c>
      <c r="E114" t="inlineStr">
        <is>
          <t>Nova Prime</t>
        </is>
      </c>
      <c r="F114" t="inlineStr">
        <is>
          <t>Unchanged from v3 allocation</t>
        </is>
      </c>
      <c r="G114" t="inlineStr">
        <is>
          <t>OK</t>
        </is>
      </c>
      <c r="H114" t="inlineStr">
        <is>
          <t>Non-signature</t>
        </is>
      </c>
      <c r="J114" t="inlineStr">
        <is>
          <t>Yes (Genesis)</t>
        </is>
      </c>
    </row>
    <row r="115">
      <c r="A115" t="inlineStr">
        <is>
          <t>Aksomati Prime</t>
        </is>
      </c>
      <c r="B115" t="inlineStr">
        <is>
          <t>Secondary</t>
        </is>
      </c>
      <c r="C115" t="inlineStr">
        <is>
          <t>Weapon</t>
        </is>
      </c>
      <c r="D115" t="inlineStr">
        <is>
          <t>Player trade</t>
        </is>
      </c>
      <c r="E115" t="inlineStr">
        <is>
          <t>Nova Prime</t>
        </is>
      </c>
      <c r="F115" t="inlineStr">
        <is>
          <t>Unchanged from v3 allocation</t>
        </is>
      </c>
      <c r="G115" t="inlineStr">
        <is>
          <t>OK</t>
        </is>
      </c>
      <c r="H115" t="inlineStr">
        <is>
          <t>Non-signature</t>
        </is>
      </c>
      <c r="J115" t="inlineStr">
        <is>
          <t>No</t>
        </is>
      </c>
    </row>
    <row r="116">
      <c r="A116" t="inlineStr">
        <is>
          <t>Gunsen Prime</t>
        </is>
      </c>
      <c r="B116" t="inlineStr">
        <is>
          <t>Melee</t>
        </is>
      </c>
      <c r="C116" t="inlineStr">
        <is>
          <t>Weapon</t>
        </is>
      </c>
      <c r="D116" t="inlineStr">
        <is>
          <t>Player trade</t>
        </is>
      </c>
      <c r="E116" t="inlineStr">
        <is>
          <t>Nova Prime</t>
        </is>
      </c>
      <c r="F116" t="inlineStr">
        <is>
          <t>Unchanged from v3 allocation</t>
        </is>
      </c>
      <c r="G116" t="inlineStr">
        <is>
          <t>OK</t>
        </is>
      </c>
      <c r="H116" t="inlineStr">
        <is>
          <t>Non-signature</t>
        </is>
      </c>
      <c r="J116" t="inlineStr">
        <is>
          <t>No</t>
        </is>
      </c>
    </row>
    <row r="117">
      <c r="A117" t="inlineStr">
        <is>
          <t>Synapse</t>
        </is>
      </c>
      <c r="B117" t="inlineStr">
        <is>
          <t>Primary</t>
        </is>
      </c>
      <c r="C117" t="inlineStr">
        <is>
          <t>Weapon</t>
        </is>
      </c>
      <c r="D117" t="inlineStr">
        <is>
          <t>Farm / vendor / Dojo / quest</t>
        </is>
      </c>
      <c r="E117" t="inlineStr">
        <is>
          <t>Nyx Prime</t>
        </is>
      </c>
      <c r="F117" t="inlineStr">
        <is>
          <t>Unchanged from v3 allocation</t>
        </is>
      </c>
      <c r="G117" t="inlineStr">
        <is>
          <t>FARMABLE / ACCOUNT-BOUND</t>
        </is>
      </c>
      <c r="H117" t="inlineStr">
        <is>
          <t>Non-signature</t>
        </is>
      </c>
      <c r="J117" t="inlineStr">
        <is>
          <t>No</t>
        </is>
      </c>
      <c r="K117" t="inlineStr">
        <is>
          <t>Coda Synapse live (U38.5) - doctrine: no automatic Coda/adversary substitution; optional upgrade</t>
        </is>
      </c>
    </row>
    <row r="118">
      <c r="A118" t="inlineStr">
        <is>
          <t>Hikou Prime</t>
        </is>
      </c>
      <c r="B118" t="inlineStr">
        <is>
          <t>Secondary</t>
        </is>
      </c>
      <c r="C118" t="inlineStr">
        <is>
          <t>Weapon</t>
        </is>
      </c>
      <c r="D118" t="inlineStr">
        <is>
          <t>Player trade</t>
        </is>
      </c>
      <c r="E118" t="inlineStr">
        <is>
          <t>Nyx Prime</t>
        </is>
      </c>
      <c r="F118" t="inlineStr">
        <is>
          <t>Unchanged from v3 allocation</t>
        </is>
      </c>
      <c r="G118" t="inlineStr">
        <is>
          <t>OK</t>
        </is>
      </c>
      <c r="H118" t="inlineStr">
        <is>
          <t>Non-signature</t>
        </is>
      </c>
      <c r="J118" t="inlineStr">
        <is>
          <t>No</t>
        </is>
      </c>
    </row>
    <row r="119">
      <c r="A119" t="inlineStr">
        <is>
          <t>Scindo Prime</t>
        </is>
      </c>
      <c r="B119" t="inlineStr">
        <is>
          <t>Melee</t>
        </is>
      </c>
      <c r="C119" t="inlineStr">
        <is>
          <t>Weapon</t>
        </is>
      </c>
      <c r="D119" t="inlineStr">
        <is>
          <t>Player trade</t>
        </is>
      </c>
      <c r="E119" t="inlineStr">
        <is>
          <t>Nyx Prime</t>
        </is>
      </c>
      <c r="F119" t="inlineStr">
        <is>
          <t>Unchanged from v3 allocation</t>
        </is>
      </c>
      <c r="G119" t="inlineStr">
        <is>
          <t>OK</t>
        </is>
      </c>
      <c r="H119" t="inlineStr">
        <is>
          <t>Non-signature</t>
        </is>
      </c>
      <c r="J119" t="inlineStr">
        <is>
          <t>No</t>
        </is>
      </c>
    </row>
    <row r="120">
      <c r="A120" t="inlineStr">
        <is>
          <t>Sybaris Prime</t>
        </is>
      </c>
      <c r="B120" t="inlineStr">
        <is>
          <t>Primary</t>
        </is>
      </c>
      <c r="C120" t="inlineStr">
        <is>
          <t>Weapon</t>
        </is>
      </c>
      <c r="D120" t="inlineStr">
        <is>
          <t>Player trade</t>
        </is>
      </c>
      <c r="E120" t="inlineStr">
        <is>
          <t>Oberon Prime</t>
        </is>
      </c>
      <c r="F120" t="inlineStr">
        <is>
          <t>Unchanged from v3 allocation</t>
        </is>
      </c>
      <c r="G120" t="inlineStr">
        <is>
          <t>OK</t>
        </is>
      </c>
      <c r="H120" t="inlineStr">
        <is>
          <t>Non-signature</t>
        </is>
      </c>
      <c r="J120" t="inlineStr">
        <is>
          <t>Yes (Genesis)</t>
        </is>
      </c>
    </row>
    <row r="121">
      <c r="A121" t="inlineStr">
        <is>
          <t>Sicarus Prime</t>
        </is>
      </c>
      <c r="B121" t="inlineStr">
        <is>
          <t>Secondary</t>
        </is>
      </c>
      <c r="C121" t="inlineStr">
        <is>
          <t>Weapon</t>
        </is>
      </c>
      <c r="D121" t="inlineStr">
        <is>
          <t>Player trade</t>
        </is>
      </c>
      <c r="E121" t="inlineStr">
        <is>
          <t>Oberon Prime</t>
        </is>
      </c>
      <c r="F121" t="inlineStr">
        <is>
          <t>Unchanged from v3 allocation</t>
        </is>
      </c>
      <c r="G121" t="inlineStr">
        <is>
          <t>OK</t>
        </is>
      </c>
      <c r="H121" t="inlineStr">
        <is>
          <t>Non-signature</t>
        </is>
      </c>
      <c r="J121" t="inlineStr">
        <is>
          <t>Yes (Genesis)</t>
        </is>
      </c>
    </row>
    <row r="122">
      <c r="A122" t="inlineStr">
        <is>
          <t>Silva &amp; Aegis Prime</t>
        </is>
      </c>
      <c r="B122" t="inlineStr">
        <is>
          <t>Melee</t>
        </is>
      </c>
      <c r="C122" t="inlineStr">
        <is>
          <t>Weapon</t>
        </is>
      </c>
      <c r="D122" t="inlineStr">
        <is>
          <t>Player trade</t>
        </is>
      </c>
      <c r="E122" t="inlineStr">
        <is>
          <t>Oberon Prime</t>
        </is>
      </c>
      <c r="F122" t="inlineStr">
        <is>
          <t>Unchanged from v3 allocation</t>
        </is>
      </c>
      <c r="G122" t="inlineStr">
        <is>
          <t>OK</t>
        </is>
      </c>
      <c r="H122" t="inlineStr">
        <is>
          <t>Non-signature</t>
        </is>
      </c>
      <c r="J122" t="inlineStr">
        <is>
          <t>No</t>
        </is>
      </c>
    </row>
    <row r="123">
      <c r="A123" t="inlineStr">
        <is>
          <t>Tenora Prime</t>
        </is>
      </c>
      <c r="B123" t="inlineStr">
        <is>
          <t>Primary</t>
        </is>
      </c>
      <c r="C123" t="inlineStr">
        <is>
          <t>Weapon</t>
        </is>
      </c>
      <c r="D123" t="inlineStr">
        <is>
          <t>Player trade</t>
        </is>
      </c>
      <c r="E123" t="inlineStr">
        <is>
          <t>Octavia Prime</t>
        </is>
      </c>
      <c r="F123" t="inlineStr">
        <is>
          <t>Unchanged from v3 allocation</t>
        </is>
      </c>
      <c r="G123" t="inlineStr">
        <is>
          <t>OK</t>
        </is>
      </c>
      <c r="H123" t="inlineStr">
        <is>
          <t>Signature - Octavia Prime</t>
        </is>
      </c>
      <c r="I123" t="inlineStr">
        <is>
          <t>Alt-fire headshot kills 20% mag refill</t>
        </is>
      </c>
      <c r="J123" t="inlineStr">
        <is>
          <t>No</t>
        </is>
      </c>
    </row>
    <row r="124">
      <c r="A124" t="inlineStr">
        <is>
          <t>Pandero Prime</t>
        </is>
      </c>
      <c r="B124" t="inlineStr">
        <is>
          <t>Secondary</t>
        </is>
      </c>
      <c r="C124" t="inlineStr">
        <is>
          <t>Weapon</t>
        </is>
      </c>
      <c r="D124" t="inlineStr">
        <is>
          <t>Player trade</t>
        </is>
      </c>
      <c r="E124" t="inlineStr">
        <is>
          <t>Octavia Prime</t>
        </is>
      </c>
      <c r="F124" t="inlineStr">
        <is>
          <t>Unchanged from v3 allocation</t>
        </is>
      </c>
      <c r="G124" t="inlineStr">
        <is>
          <t>OK</t>
        </is>
      </c>
      <c r="H124" t="inlineStr">
        <is>
          <t>Signature - Octavia Prime</t>
        </is>
      </c>
      <c r="I124" t="inlineStr">
        <is>
          <t>Alt-fire headshot kills +20% reload</t>
        </is>
      </c>
      <c r="J124" t="inlineStr">
        <is>
          <t>No</t>
        </is>
      </c>
    </row>
    <row r="125">
      <c r="A125" t="inlineStr">
        <is>
          <t>Stropha</t>
        </is>
      </c>
      <c r="B125" t="inlineStr">
        <is>
          <t>Melee</t>
        </is>
      </c>
      <c r="C125" t="inlineStr">
        <is>
          <t>Weapon</t>
        </is>
      </c>
      <c r="D125" t="inlineStr">
        <is>
          <t>Player trade</t>
        </is>
      </c>
      <c r="E125" t="inlineStr">
        <is>
          <t>Octavia Prime</t>
        </is>
      </c>
      <c r="F125" t="inlineStr">
        <is>
          <t>Unchanged from v3 allocation</t>
        </is>
      </c>
      <c r="G125" t="inlineStr">
        <is>
          <t>OK</t>
        </is>
      </c>
      <c r="H125" t="inlineStr">
        <is>
          <t>Non-signature</t>
        </is>
      </c>
      <c r="J125" t="inlineStr">
        <is>
          <t>No</t>
        </is>
      </c>
    </row>
    <row r="126">
      <c r="A126" t="inlineStr">
        <is>
          <t>Torid</t>
        </is>
      </c>
      <c r="B126" t="inlineStr">
        <is>
          <t>Primary</t>
        </is>
      </c>
      <c r="C126" t="inlineStr">
        <is>
          <t>Weapon</t>
        </is>
      </c>
      <c r="D126" t="inlineStr">
        <is>
          <t>Farm / vendor / Dojo / quest</t>
        </is>
      </c>
      <c r="E126" t="inlineStr">
        <is>
          <t>Oraxia</t>
        </is>
      </c>
      <c r="F126" t="inlineStr">
        <is>
          <t>Toxin launcher Incarnon; venom/spider fit (D).</t>
        </is>
      </c>
      <c r="G126" t="inlineStr">
        <is>
          <t>FARMABLE / ACCOUNT-BOUND</t>
        </is>
      </c>
      <c r="H126" t="inlineStr">
        <is>
          <t>Non-signature</t>
        </is>
      </c>
      <c r="J126" t="inlineStr">
        <is>
          <t>Yes (Genesis)</t>
        </is>
      </c>
      <c r="K126" t="inlineStr">
        <is>
          <t>v3: OPEN</t>
        </is>
      </c>
    </row>
    <row r="127">
      <c r="A127" t="inlineStr">
        <is>
          <t>Scyotid</t>
        </is>
      </c>
      <c r="B127" t="inlineStr">
        <is>
          <t>Secondary</t>
        </is>
      </c>
      <c r="C127" t="inlineStr">
        <is>
          <t>Weapon</t>
        </is>
      </c>
      <c r="D127" t="inlineStr">
        <is>
          <t>Farm / vendor / Dojo / quest</t>
        </is>
      </c>
      <c r="E127" t="inlineStr">
        <is>
          <t>Oraxia</t>
        </is>
      </c>
      <c r="F127" t="inlineStr">
        <is>
          <t>Unchanged from v3 allocation</t>
        </is>
      </c>
      <c r="G127" t="inlineStr">
        <is>
          <t>FARMABLE / ACCOUNT-BOUND</t>
        </is>
      </c>
      <c r="H127" t="inlineStr">
        <is>
          <t>Signature - Oraxia</t>
        </is>
      </c>
      <c r="I127" t="inlineStr">
        <is>
          <t>Signature, bonus not implemented</t>
        </is>
      </c>
      <c r="J127" t="inlineStr">
        <is>
          <t>No</t>
        </is>
      </c>
    </row>
    <row r="128">
      <c r="A128" t="inlineStr">
        <is>
          <t>Spinnerex</t>
        </is>
      </c>
      <c r="B128" t="inlineStr">
        <is>
          <t>Melee</t>
        </is>
      </c>
      <c r="C128" t="inlineStr">
        <is>
          <t>Weapon</t>
        </is>
      </c>
      <c r="D128" t="inlineStr">
        <is>
          <t>Farm / vendor / Dojo / quest</t>
        </is>
      </c>
      <c r="E128" t="inlineStr">
        <is>
          <t>Oraxia</t>
        </is>
      </c>
      <c r="F128" t="inlineStr">
        <is>
          <t>Unchanged from v3 allocation</t>
        </is>
      </c>
      <c r="G128" t="inlineStr">
        <is>
          <t>FARMABLE / ACCOUNT-BOUND</t>
        </is>
      </c>
      <c r="H128" t="inlineStr">
        <is>
          <t>Signature - Oraxia</t>
        </is>
      </c>
      <c r="I128" t="inlineStr">
        <is>
          <t>Signature, bonus not implemented</t>
        </is>
      </c>
      <c r="J128" t="inlineStr">
        <is>
          <t>No</t>
        </is>
      </c>
    </row>
    <row r="129">
      <c r="A129" t="inlineStr">
        <is>
          <t>Stahlta</t>
        </is>
      </c>
      <c r="B129" t="inlineStr">
        <is>
          <t>Primary</t>
        </is>
      </c>
      <c r="C129" t="inlineStr">
        <is>
          <t>Weapon</t>
        </is>
      </c>
      <c r="D129" t="inlineStr">
        <is>
          <t>Player trade</t>
        </is>
      </c>
      <c r="E129" t="inlineStr">
        <is>
          <t>Protea Prime</t>
        </is>
      </c>
      <c r="F129" t="inlineStr">
        <is>
          <t>Unchanged from v3 allocation</t>
        </is>
      </c>
      <c r="G129" t="inlineStr">
        <is>
          <t>OK</t>
        </is>
      </c>
      <c r="H129" t="inlineStr">
        <is>
          <t>Non-signature</t>
        </is>
      </c>
      <c r="J129" t="inlineStr">
        <is>
          <t>No</t>
        </is>
      </c>
    </row>
    <row r="130">
      <c r="A130" t="inlineStr">
        <is>
          <t>Velox Prime</t>
        </is>
      </c>
      <c r="B130" t="inlineStr">
        <is>
          <t>Secondary</t>
        </is>
      </c>
      <c r="C130" t="inlineStr">
        <is>
          <t>Weapon</t>
        </is>
      </c>
      <c r="D130" t="inlineStr">
        <is>
          <t>Player trade</t>
        </is>
      </c>
      <c r="E130" t="inlineStr">
        <is>
          <t>Protea Prime</t>
        </is>
      </c>
      <c r="F130" t="inlineStr">
        <is>
          <t>Unchanged from v3 allocation</t>
        </is>
      </c>
      <c r="G130" t="inlineStr">
        <is>
          <t>OK</t>
        </is>
      </c>
      <c r="H130" t="inlineStr">
        <is>
          <t>Signature - Protea Prime</t>
        </is>
      </c>
      <c r="I130" t="inlineStr">
        <is>
          <t>Ammo Efficiency 40%</t>
        </is>
      </c>
      <c r="J130" t="inlineStr">
        <is>
          <t>No</t>
        </is>
      </c>
    </row>
    <row r="131">
      <c r="A131" t="inlineStr">
        <is>
          <t>Okina Prime</t>
        </is>
      </c>
      <c r="B131" t="inlineStr">
        <is>
          <t>Melee</t>
        </is>
      </c>
      <c r="C131" t="inlineStr">
        <is>
          <t>Weapon</t>
        </is>
      </c>
      <c r="D131" t="inlineStr">
        <is>
          <t>Player trade</t>
        </is>
      </c>
      <c r="E131" t="inlineStr">
        <is>
          <t>Protea Prime</t>
        </is>
      </c>
      <c r="F131" t="inlineStr">
        <is>
          <t>Unchanged from v3 allocation</t>
        </is>
      </c>
      <c r="G131" t="inlineStr">
        <is>
          <t>OK</t>
        </is>
      </c>
      <c r="H131" t="inlineStr">
        <is>
          <t>Non-signature</t>
        </is>
      </c>
      <c r="J131" t="inlineStr">
        <is>
          <t>Yes (Genesis)</t>
        </is>
      </c>
    </row>
    <row r="132">
      <c r="A132" t="inlineStr">
        <is>
          <t>Felarx</t>
        </is>
      </c>
      <c r="B132" t="inlineStr">
        <is>
          <t>Primary</t>
        </is>
      </c>
      <c r="C132" t="inlineStr">
        <is>
          <t>Weapon</t>
        </is>
      </c>
      <c r="D132" t="inlineStr">
        <is>
          <t>Player trade (blueprint; craft resources farmable)</t>
        </is>
      </c>
      <c r="E132" t="inlineStr">
        <is>
          <t>Qorvex</t>
        </is>
      </c>
      <c r="F132" t="inlineStr">
        <is>
          <t>Unchanged from v3 allocation</t>
        </is>
      </c>
      <c r="G132" t="inlineStr">
        <is>
          <t>OK</t>
        </is>
      </c>
      <c r="H132" t="inlineStr">
        <is>
          <t>Non-signature</t>
        </is>
      </c>
      <c r="J132" t="inlineStr">
        <is>
          <t>Yes (innate)</t>
        </is>
      </c>
    </row>
    <row r="133">
      <c r="A133" t="inlineStr">
        <is>
          <t>Bronco Prime</t>
        </is>
      </c>
      <c r="B133" t="inlineStr">
        <is>
          <t>Secondary</t>
        </is>
      </c>
      <c r="C133" t="inlineStr">
        <is>
          <t>Weapon</t>
        </is>
      </c>
      <c r="D133" t="inlineStr">
        <is>
          <t>Player trade</t>
        </is>
      </c>
      <c r="E133" t="inlineStr">
        <is>
          <t>Qorvex</t>
        </is>
      </c>
      <c r="F133" t="inlineStr">
        <is>
          <t>Laetum duplicate (Qorvex vs Xaku). Xaku keeps it (Void/Zariman fit). Bronco Prime Incarnon: hitscan sidearm exploits +3 Punch Through passive (C).</t>
        </is>
      </c>
      <c r="G133" t="inlineStr">
        <is>
          <t>OK</t>
        </is>
      </c>
      <c r="H133" t="inlineStr">
        <is>
          <t>Non-signature</t>
        </is>
      </c>
      <c r="J133" t="inlineStr">
        <is>
          <t>Yes (Genesis)</t>
        </is>
      </c>
      <c r="K133" t="inlineStr">
        <is>
          <t>v3: Laetum</t>
        </is>
      </c>
    </row>
    <row r="134">
      <c r="A134" t="inlineStr">
        <is>
          <t>Hate</t>
        </is>
      </c>
      <c r="B134" t="inlineStr">
        <is>
          <t>Melee</t>
        </is>
      </c>
      <c r="C134" t="inlineStr">
        <is>
          <t>Weapon</t>
        </is>
      </c>
      <c r="D134" t="inlineStr">
        <is>
          <t>Farm / vendor / Dojo / quest</t>
        </is>
      </c>
      <c r="E134" t="inlineStr">
        <is>
          <t>Qorvex</t>
        </is>
      </c>
      <c r="F134" t="inlineStr">
        <is>
          <t>Quassus is XAKU signature; Qorvex had no claim. Hate Incarnon (E).</t>
        </is>
      </c>
      <c r="G134" t="inlineStr">
        <is>
          <t>FARMABLE / ACCOUNT-BOUND</t>
        </is>
      </c>
      <c r="H134" t="inlineStr">
        <is>
          <t>Non-signature</t>
        </is>
      </c>
      <c r="J134" t="inlineStr">
        <is>
          <t>Yes (Genesis)</t>
        </is>
      </c>
      <c r="K134" t="inlineStr">
        <is>
          <t>v3: Quassus</t>
        </is>
      </c>
    </row>
    <row r="135">
      <c r="A135" t="inlineStr">
        <is>
          <t>Phantasma Prime</t>
        </is>
      </c>
      <c r="B135" t="inlineStr">
        <is>
          <t>Primary</t>
        </is>
      </c>
      <c r="C135" t="inlineStr">
        <is>
          <t>Weapon</t>
        </is>
      </c>
      <c r="D135" t="inlineStr">
        <is>
          <t>Player trade</t>
        </is>
      </c>
      <c r="E135" t="inlineStr">
        <is>
          <t>Revenant Prime</t>
        </is>
      </c>
      <c r="F135" t="inlineStr">
        <is>
          <t>Unchanged from v3 allocation</t>
        </is>
      </c>
      <c r="G135" t="inlineStr">
        <is>
          <t>OK</t>
        </is>
      </c>
      <c r="H135" t="inlineStr">
        <is>
          <t>Signature - Revenant Prime</t>
        </is>
      </c>
      <c r="I135" t="inlineStr">
        <is>
          <t>+4 Magazine</t>
        </is>
      </c>
      <c r="J135" t="inlineStr">
        <is>
          <t>No</t>
        </is>
      </c>
    </row>
    <row r="136">
      <c r="A136" t="inlineStr">
        <is>
          <t>Tatsu Prime</t>
        </is>
      </c>
      <c r="B136" t="inlineStr">
        <is>
          <t>Melee</t>
        </is>
      </c>
      <c r="C136" t="inlineStr">
        <is>
          <t>Weapon</t>
        </is>
      </c>
      <c r="D136" t="inlineStr">
        <is>
          <t>Player trade</t>
        </is>
      </c>
      <c r="E136" t="inlineStr">
        <is>
          <t>Revenant Prime</t>
        </is>
      </c>
      <c r="F136" t="inlineStr">
        <is>
          <t>Unchanged from v3 allocation</t>
        </is>
      </c>
      <c r="G136" t="inlineStr">
        <is>
          <t>OK</t>
        </is>
      </c>
      <c r="H136" t="inlineStr">
        <is>
          <t>Signature - Revenant Prime</t>
        </is>
      </c>
      <c r="I136" t="inlineStr">
        <is>
          <t>+4 Soul Swarm charges</t>
        </is>
      </c>
      <c r="J136" t="inlineStr">
        <is>
          <t>No</t>
        </is>
      </c>
    </row>
    <row r="137">
      <c r="A137" t="inlineStr">
        <is>
          <t>Boltor Prime</t>
        </is>
      </c>
      <c r="B137" t="inlineStr">
        <is>
          <t>Primary</t>
        </is>
      </c>
      <c r="C137" t="inlineStr">
        <is>
          <t>Weapon</t>
        </is>
      </c>
      <c r="D137" t="inlineStr">
        <is>
          <t>Player trade</t>
        </is>
      </c>
      <c r="E137" t="inlineStr">
        <is>
          <t>Rhino Prime</t>
        </is>
      </c>
      <c r="F137" t="inlineStr">
        <is>
          <t>Unchanged from v3 allocation</t>
        </is>
      </c>
      <c r="G137" t="inlineStr">
        <is>
          <t>OK</t>
        </is>
      </c>
      <c r="H137" t="inlineStr">
        <is>
          <t>Non-signature</t>
        </is>
      </c>
      <c r="J137" t="inlineStr">
        <is>
          <t>Yes (Genesis)</t>
        </is>
      </c>
    </row>
    <row r="138">
      <c r="A138" t="inlineStr">
        <is>
          <t>Viper Wraith</t>
        </is>
      </c>
      <c r="B138" t="inlineStr">
        <is>
          <t>Secondary</t>
        </is>
      </c>
      <c r="C138" t="inlineStr">
        <is>
          <t>Weapon</t>
        </is>
      </c>
      <c r="D138" t="inlineStr">
        <is>
          <t>Player trade</t>
        </is>
      </c>
      <c r="E138" t="inlineStr">
        <is>
          <t>Rhino Prime</t>
        </is>
      </c>
      <c r="F138" t="inlineStr">
        <is>
          <t>Unchanged from v3 allocation</t>
        </is>
      </c>
      <c r="G138" t="inlineStr">
        <is>
          <t>OK</t>
        </is>
      </c>
      <c r="H138" t="inlineStr">
        <is>
          <t>Non-signature</t>
        </is>
      </c>
      <c r="J138" t="inlineStr">
        <is>
          <t>No</t>
        </is>
      </c>
    </row>
    <row r="139">
      <c r="A139" t="inlineStr">
        <is>
          <t>Ankyros Prime</t>
        </is>
      </c>
      <c r="B139" t="inlineStr">
        <is>
          <t>Melee</t>
        </is>
      </c>
      <c r="C139" t="inlineStr">
        <is>
          <t>Weapon</t>
        </is>
      </c>
      <c r="D139" t="inlineStr">
        <is>
          <t>Player trade</t>
        </is>
      </c>
      <c r="E139" t="inlineStr">
        <is>
          <t>Rhino Prime</t>
        </is>
      </c>
      <c r="F139" t="inlineStr">
        <is>
          <t>Unchanged from v3 allocation</t>
        </is>
      </c>
      <c r="G139" t="inlineStr">
        <is>
          <t>OK</t>
        </is>
      </c>
      <c r="H139" t="inlineStr">
        <is>
          <t>Non-signature</t>
        </is>
      </c>
      <c r="J139" t="inlineStr">
        <is>
          <t>No</t>
        </is>
      </c>
    </row>
    <row r="140">
      <c r="A140" t="inlineStr">
        <is>
          <t>Pyrana</t>
        </is>
      </c>
      <c r="B140" t="inlineStr">
        <is>
          <t>Secondary</t>
        </is>
      </c>
      <c r="C140" t="inlineStr">
        <is>
          <t>Weapon</t>
        </is>
      </c>
      <c r="D140" t="inlineStr">
        <is>
          <t>Farm / vendor / Dojo / quest</t>
        </is>
      </c>
      <c r="E140" t="inlineStr">
        <is>
          <t>Saryn Prime</t>
        </is>
      </c>
      <c r="F140" t="inlineStr">
        <is>
          <t>Unchanged from v3 allocation</t>
        </is>
      </c>
      <c r="G140" t="inlineStr">
        <is>
          <t>FARMABLE / ACCOUNT-BOUND</t>
        </is>
      </c>
      <c r="H140" t="inlineStr">
        <is>
          <t>Non-signature</t>
        </is>
      </c>
      <c r="J140" t="inlineStr">
        <is>
          <t>No</t>
        </is>
      </c>
    </row>
    <row r="141">
      <c r="A141" t="inlineStr">
        <is>
          <t>Dual Ichor</t>
        </is>
      </c>
      <c r="B141" t="inlineStr">
        <is>
          <t>Melee</t>
        </is>
      </c>
      <c r="C141" t="inlineStr">
        <is>
          <t>Weapon</t>
        </is>
      </c>
      <c r="D141" t="inlineStr">
        <is>
          <t>Farm / vendor / Dojo / quest</t>
        </is>
      </c>
      <c r="E141" t="inlineStr">
        <is>
          <t>Saryn Prime</t>
        </is>
      </c>
      <c r="F141" t="inlineStr">
        <is>
          <t>Unchanged from v3 allocation</t>
        </is>
      </c>
      <c r="G141" t="inlineStr">
        <is>
          <t>FARMABLE / ACCOUNT-BOUND</t>
        </is>
      </c>
      <c r="H141" t="inlineStr">
        <is>
          <t>Non-signature</t>
        </is>
      </c>
      <c r="J141" t="inlineStr">
        <is>
          <t>Yes (Genesis)</t>
        </is>
      </c>
    </row>
    <row r="142">
      <c r="A142" t="inlineStr">
        <is>
          <t>Bubonico</t>
        </is>
      </c>
      <c r="B142" t="inlineStr">
        <is>
          <t>Primary</t>
        </is>
      </c>
      <c r="C142" t="inlineStr">
        <is>
          <t>Weapon</t>
        </is>
      </c>
      <c r="D142" t="inlineStr">
        <is>
          <t>Farm / vendor / Dojo / quest</t>
        </is>
      </c>
      <c r="E142" t="inlineStr">
        <is>
          <t>Sevagoth Prime</t>
        </is>
      </c>
      <c r="F142" t="inlineStr">
        <is>
          <t>Unchanged from v3 allocation</t>
        </is>
      </c>
      <c r="G142" t="inlineStr">
        <is>
          <t>FARMABLE / ACCOUNT-BOUND</t>
        </is>
      </c>
      <c r="H142" t="inlineStr">
        <is>
          <t>Non-signature</t>
        </is>
      </c>
      <c r="J142" t="inlineStr">
        <is>
          <t>No</t>
        </is>
      </c>
      <c r="K142" t="inlineStr">
        <is>
          <t>Coda Bubonico live (U42) - doctrine: no automatic Coda/adversary substitution; optional upgrade</t>
        </is>
      </c>
    </row>
    <row r="143">
      <c r="A143" t="inlineStr">
        <is>
          <t>Epitaph Prime</t>
        </is>
      </c>
      <c r="B143" t="inlineStr">
        <is>
          <t>Secondary</t>
        </is>
      </c>
      <c r="C143" t="inlineStr">
        <is>
          <t>Weapon</t>
        </is>
      </c>
      <c r="D143" t="inlineStr">
        <is>
          <t>Player trade</t>
        </is>
      </c>
      <c r="E143" t="inlineStr">
        <is>
          <t>Sevagoth Prime</t>
        </is>
      </c>
      <c r="F143" t="inlineStr">
        <is>
          <t>Unchanged from v3 allocation</t>
        </is>
      </c>
      <c r="G143" t="inlineStr">
        <is>
          <t>OK</t>
        </is>
      </c>
      <c r="H143" t="inlineStr">
        <is>
          <t>Signature - Sevagoth Prime</t>
        </is>
      </c>
      <c r="I143" t="inlineStr">
        <is>
          <t>+20% headshot damage</t>
        </is>
      </c>
      <c r="J143" t="inlineStr">
        <is>
          <t>No</t>
        </is>
      </c>
    </row>
    <row r="144">
      <c r="A144" t="inlineStr">
        <is>
          <t>Shadow Claws Prime</t>
        </is>
      </c>
      <c r="B144" t="inlineStr">
        <is>
          <t>Melee</t>
        </is>
      </c>
      <c r="C144" t="inlineStr">
        <is>
          <t>Exalted / Intrinsic</t>
        </is>
      </c>
      <c r="D144" t="inlineStr">
        <is>
          <t>Comes with frame</t>
        </is>
      </c>
      <c r="E144" t="inlineStr">
        <is>
          <t>Sevagoth Prime</t>
        </is>
      </c>
      <c r="F144" t="inlineStr">
        <is>
          <t>Unchanged from v3 allocation</t>
        </is>
      </c>
      <c r="G144" t="inlineStr">
        <is>
          <t>INCLUDED WITH FRAME</t>
        </is>
      </c>
      <c r="H144" t="inlineStr">
        <is>
          <t>Exalted/Intrinsic</t>
        </is>
      </c>
    </row>
    <row r="145">
      <c r="A145" t="inlineStr">
        <is>
          <t>Battacor</t>
        </is>
      </c>
      <c r="B145" t="inlineStr">
        <is>
          <t>Primary</t>
        </is>
      </c>
      <c r="C145" t="inlineStr">
        <is>
          <t>Weapon</t>
        </is>
      </c>
      <c r="D145" t="inlineStr">
        <is>
          <t>Farm / vendor / Dojo / quest</t>
        </is>
      </c>
      <c r="E145" t="inlineStr">
        <is>
          <t>Sirius &amp; Orion</t>
        </is>
      </c>
      <c r="F145" t="inlineStr">
        <is>
          <t>Unchanged from v3 allocation</t>
        </is>
      </c>
      <c r="G145" t="inlineStr">
        <is>
          <t>FARMABLE / ACCOUNT-BOUND</t>
        </is>
      </c>
      <c r="H145" t="inlineStr">
        <is>
          <t>Non-signature</t>
        </is>
      </c>
      <c r="J145" t="inlineStr">
        <is>
          <t>No</t>
        </is>
      </c>
    </row>
    <row r="146">
      <c r="A146" t="inlineStr">
        <is>
          <t>Spectra Vandal</t>
        </is>
      </c>
      <c r="B146" t="inlineStr">
        <is>
          <t>Secondary</t>
        </is>
      </c>
      <c r="C146" t="inlineStr">
        <is>
          <t>Weapon</t>
        </is>
      </c>
      <c r="D146" t="inlineStr">
        <is>
          <t>Player trade</t>
        </is>
      </c>
      <c r="E146" t="inlineStr">
        <is>
          <t>Sirius &amp; Orion</t>
        </is>
      </c>
      <c r="F146" t="inlineStr">
        <is>
          <t>Unchanged from v3 allocation</t>
        </is>
      </c>
      <c r="G146" t="inlineStr">
        <is>
          <t>OK</t>
        </is>
      </c>
      <c r="H146" t="inlineStr">
        <is>
          <t>Non-signature</t>
        </is>
      </c>
      <c r="J146" t="inlineStr">
        <is>
          <t>No</t>
        </is>
      </c>
    </row>
    <row r="147">
      <c r="A147" t="inlineStr">
        <is>
          <t>Pride</t>
        </is>
      </c>
      <c r="B147" t="inlineStr">
        <is>
          <t>Melee</t>
        </is>
      </c>
      <c r="C147" t="inlineStr">
        <is>
          <t>Weapon</t>
        </is>
      </c>
      <c r="D147" t="inlineStr">
        <is>
          <t>Farm / vendor / Dojo / quest</t>
        </is>
      </c>
      <c r="E147" t="inlineStr">
        <is>
          <t>Sirius &amp; Orion</t>
        </is>
      </c>
      <c r="F147" t="inlineStr">
        <is>
          <t>v4.1 reconciliation: Pride (Sirius) / Wrath (Orion) are the twins' signature heavy scythes (Update 43). The twins share one weapon loadout, so one Melee slot. Pride is Sirius, the default Primary Son. Wrath is listed as an optional extra.</t>
        </is>
      </c>
      <c r="G147" t="inlineStr">
        <is>
          <t>FARMABLE / ACCOUNT-BOUND</t>
        </is>
      </c>
      <c r="H147" t="inlineStr">
        <is>
          <t>Signature - Sirius &amp; Orion</t>
        </is>
      </c>
      <c r="I147" t="inlineStr">
        <is>
          <t>Signature (Sirius), bonus not implemented (not allocated)</t>
        </is>
      </c>
      <c r="J147" t="inlineStr">
        <is>
          <t>No</t>
        </is>
      </c>
      <c r="K147" t="inlineStr">
        <is>
          <t>v3: Caustacyst</t>
        </is>
      </c>
    </row>
    <row r="148">
      <c r="A148" t="inlineStr">
        <is>
          <t>Afentis Prime</t>
        </is>
      </c>
      <c r="B148" t="inlineStr">
        <is>
          <t>Primary</t>
        </is>
      </c>
      <c r="C148" t="inlineStr">
        <is>
          <t>Weapon</t>
        </is>
      </c>
      <c r="D148" t="inlineStr">
        <is>
          <t>Player trade</t>
        </is>
      </c>
      <c r="E148" t="inlineStr">
        <is>
          <t>Styanax Prime</t>
        </is>
      </c>
      <c r="F148" t="inlineStr">
        <is>
          <t>Afentis Prime is live; same signature bonus line.</t>
        </is>
      </c>
      <c r="G148" t="inlineStr">
        <is>
          <t>OK</t>
        </is>
      </c>
      <c r="H148" t="inlineStr">
        <is>
          <t>Signature - Styanax Prime</t>
        </is>
      </c>
      <c r="I148" t="inlineStr">
        <is>
          <t>+4 flat Ammo Max</t>
        </is>
      </c>
      <c r="J148" t="inlineStr">
        <is>
          <t>No</t>
        </is>
      </c>
      <c r="K148" t="inlineStr">
        <is>
          <t>v3: Afentis</t>
        </is>
      </c>
    </row>
    <row r="149">
      <c r="A149" t="inlineStr">
        <is>
          <t>Aegrit</t>
        </is>
      </c>
      <c r="B149" t="inlineStr">
        <is>
          <t>Secondary</t>
        </is>
      </c>
      <c r="C149" t="inlineStr">
        <is>
          <t>Weapon</t>
        </is>
      </c>
      <c r="D149" t="inlineStr">
        <is>
          <t>Farm / vendor / Dojo / quest</t>
        </is>
      </c>
      <c r="E149" t="inlineStr">
        <is>
          <t>Styanax Prime</t>
        </is>
      </c>
      <c r="F149" t="inlineStr">
        <is>
          <t>Unchanged from v3 allocation</t>
        </is>
      </c>
      <c r="G149" t="inlineStr">
        <is>
          <t>FARMABLE / ACCOUNT-BOUND</t>
        </is>
      </c>
      <c r="H149" t="inlineStr">
        <is>
          <t>Non-signature</t>
        </is>
      </c>
      <c r="J149" t="inlineStr">
        <is>
          <t>No</t>
        </is>
      </c>
    </row>
    <row r="150">
      <c r="A150" t="inlineStr">
        <is>
          <t>Slaytra</t>
        </is>
      </c>
      <c r="B150" t="inlineStr">
        <is>
          <t>Melee</t>
        </is>
      </c>
      <c r="C150" t="inlineStr">
        <is>
          <t>Weapon</t>
        </is>
      </c>
      <c r="D150" t="inlineStr">
        <is>
          <t>Farm / vendor / Dojo / quest</t>
        </is>
      </c>
      <c r="E150" t="inlineStr">
        <is>
          <t>Styanax Prime</t>
        </is>
      </c>
      <c r="F150" t="inlineStr">
        <is>
          <t>Unchanged from v3 allocation</t>
        </is>
      </c>
      <c r="G150" t="inlineStr">
        <is>
          <t>FARMABLE / ACCOUNT-BOUND</t>
        </is>
      </c>
      <c r="H150" t="inlineStr">
        <is>
          <t>Non-signature</t>
        </is>
      </c>
      <c r="J150" t="inlineStr">
        <is>
          <t>No</t>
        </is>
      </c>
    </row>
    <row r="151">
      <c r="A151" t="inlineStr">
        <is>
          <t>Lizzie</t>
        </is>
      </c>
      <c r="B151" t="inlineStr">
        <is>
          <t>Primary</t>
        </is>
      </c>
      <c r="C151" t="inlineStr">
        <is>
          <t>Exalted / Intrinsic</t>
        </is>
      </c>
      <c r="D151" t="inlineStr">
        <is>
          <t>Comes with frame</t>
        </is>
      </c>
      <c r="E151" t="inlineStr">
        <is>
          <t>Temple</t>
        </is>
      </c>
      <c r="F151" t="inlineStr">
        <is>
          <t>Unchanged from v3 allocation</t>
        </is>
      </c>
      <c r="G151" t="inlineStr">
        <is>
          <t>INCLUDED WITH FRAME</t>
        </is>
      </c>
      <c r="H151" t="inlineStr">
        <is>
          <t>Exalted/Intrinsic</t>
        </is>
      </c>
    </row>
    <row r="152">
      <c r="A152" t="inlineStr">
        <is>
          <t>Riot-848</t>
        </is>
      </c>
      <c r="B152" t="inlineStr">
        <is>
          <t>Secondary</t>
        </is>
      </c>
      <c r="C152" t="inlineStr">
        <is>
          <t>Weapon</t>
        </is>
      </c>
      <c r="D152" t="inlineStr">
        <is>
          <t>Player trade</t>
        </is>
      </c>
      <c r="E152" t="inlineStr">
        <is>
          <t>Temple</t>
        </is>
      </c>
      <c r="F152" t="inlineStr">
        <is>
          <t>v4.1 reconciliation: Riot-848 is Temple's signature machine pistol (Update 38.5). The slot is uncontested and Athodai has no Temple claim. Signature bonus is not implemented, so this is a tier D signature preference.</t>
        </is>
      </c>
      <c r="G152" t="inlineStr">
        <is>
          <t>OK</t>
        </is>
      </c>
      <c r="H152" t="inlineStr">
        <is>
          <t>Signature - Temple</t>
        </is>
      </c>
      <c r="I152" t="inlineStr">
        <is>
          <t>Signature, bonus not implemented (not allocated)</t>
        </is>
      </c>
      <c r="J152" t="inlineStr">
        <is>
          <t>No</t>
        </is>
      </c>
      <c r="K152" t="inlineStr">
        <is>
          <t>v3: Athodai</t>
        </is>
      </c>
    </row>
    <row r="153">
      <c r="A153" t="inlineStr">
        <is>
          <t>Prisma Ohma</t>
        </is>
      </c>
      <c r="B153" t="inlineStr">
        <is>
          <t>Melee</t>
        </is>
      </c>
      <c r="C153" t="inlineStr">
        <is>
          <t>Weapon</t>
        </is>
      </c>
      <c r="D153" t="inlineStr">
        <is>
          <t>Player trade</t>
        </is>
      </c>
      <c r="E153" t="inlineStr">
        <is>
          <t>Temple</t>
        </is>
      </c>
      <c r="F153" t="inlineStr">
        <is>
          <t>Unchanged from v3 allocation</t>
        </is>
      </c>
      <c r="G153" t="inlineStr">
        <is>
          <t>OK</t>
        </is>
      </c>
      <c r="H153" t="inlineStr">
        <is>
          <t>Non-signature</t>
        </is>
      </c>
      <c r="J153" t="inlineStr">
        <is>
          <t>No</t>
        </is>
      </c>
    </row>
    <row r="154">
      <c r="A154" t="inlineStr">
        <is>
          <t>Razorflies</t>
        </is>
      </c>
      <c r="B154" t="inlineStr">
        <is>
          <t>Primary</t>
        </is>
      </c>
      <c r="C154" t="inlineStr">
        <is>
          <t>Exalted / Intrinsic</t>
        </is>
      </c>
      <c r="D154" t="inlineStr">
        <is>
          <t>Comes with frame</t>
        </is>
      </c>
      <c r="E154" t="inlineStr">
        <is>
          <t>Titania Prime</t>
        </is>
      </c>
      <c r="F154" t="inlineStr">
        <is>
          <t>Unchanged from v3 allocation</t>
        </is>
      </c>
      <c r="G154" t="inlineStr">
        <is>
          <t>INCLUDED WITH FRAME</t>
        </is>
      </c>
      <c r="H154" t="inlineStr">
        <is>
          <t>Exalted/Intrinsic</t>
        </is>
      </c>
    </row>
    <row r="155">
      <c r="A155" t="inlineStr">
        <is>
          <t>Dex Pixia Prime</t>
        </is>
      </c>
      <c r="B155" t="inlineStr">
        <is>
          <t>Secondary</t>
        </is>
      </c>
      <c r="C155" t="inlineStr">
        <is>
          <t>Exalted / Intrinsic</t>
        </is>
      </c>
      <c r="D155" t="inlineStr">
        <is>
          <t>Comes with frame</t>
        </is>
      </c>
      <c r="E155" t="inlineStr">
        <is>
          <t>Titania Prime</t>
        </is>
      </c>
      <c r="F155" t="inlineStr">
        <is>
          <t>Unchanged from v3 allocation</t>
        </is>
      </c>
      <c r="G155" t="inlineStr">
        <is>
          <t>INCLUDED WITH FRAME</t>
        </is>
      </c>
      <c r="H155" t="inlineStr">
        <is>
          <t>Exalted/Intrinsic</t>
        </is>
      </c>
    </row>
    <row r="156">
      <c r="A156" t="inlineStr">
        <is>
          <t>Diwata Prime</t>
        </is>
      </c>
      <c r="B156" t="inlineStr">
        <is>
          <t>Melee</t>
        </is>
      </c>
      <c r="C156" t="inlineStr">
        <is>
          <t>Exalted / Intrinsic</t>
        </is>
      </c>
      <c r="D156" t="inlineStr">
        <is>
          <t>Comes with frame</t>
        </is>
      </c>
      <c r="E156" t="inlineStr">
        <is>
          <t>Titania Prime</t>
        </is>
      </c>
      <c r="F156" t="inlineStr">
        <is>
          <t>Unchanged from v3 allocation</t>
        </is>
      </c>
      <c r="G156" t="inlineStr">
        <is>
          <t>INCLUDED WITH FRAME</t>
        </is>
      </c>
      <c r="H156" t="inlineStr">
        <is>
          <t>Exalted/Intrinsic</t>
        </is>
      </c>
    </row>
    <row r="157">
      <c r="A157" t="inlineStr">
        <is>
          <t>Boar Prime</t>
        </is>
      </c>
      <c r="B157" t="inlineStr">
        <is>
          <t>Primary</t>
        </is>
      </c>
      <c r="C157" t="inlineStr">
        <is>
          <t>Weapon</t>
        </is>
      </c>
      <c r="D157" t="inlineStr">
        <is>
          <t>Player trade</t>
        </is>
      </c>
      <c r="E157" t="inlineStr">
        <is>
          <t>Trinity Prime</t>
        </is>
      </c>
      <c r="F157" t="inlineStr">
        <is>
          <t>Unchanged from v3 allocation</t>
        </is>
      </c>
      <c r="G157" t="inlineStr">
        <is>
          <t>OK</t>
        </is>
      </c>
      <c r="H157" t="inlineStr">
        <is>
          <t>Non-signature</t>
        </is>
      </c>
      <c r="J157" t="inlineStr">
        <is>
          <t>Yes (Genesis)</t>
        </is>
      </c>
    </row>
    <row r="158">
      <c r="A158" t="inlineStr">
        <is>
          <t>Akbronco Prime</t>
        </is>
      </c>
      <c r="B158" t="inlineStr">
        <is>
          <t>Secondary</t>
        </is>
      </c>
      <c r="C158" t="inlineStr">
        <is>
          <t>Weapon</t>
        </is>
      </c>
      <c r="D158" t="inlineStr">
        <is>
          <t>Player trade</t>
        </is>
      </c>
      <c r="E158" t="inlineStr">
        <is>
          <t>Trinity Prime</t>
        </is>
      </c>
      <c r="F158" t="inlineStr">
        <is>
          <t>Unchanged from v3 allocation</t>
        </is>
      </c>
      <c r="G158" t="inlineStr">
        <is>
          <t>OK</t>
        </is>
      </c>
      <c r="H158" t="inlineStr">
        <is>
          <t>Non-signature</t>
        </is>
      </c>
      <c r="J158" t="inlineStr">
        <is>
          <t>No</t>
        </is>
      </c>
    </row>
    <row r="159">
      <c r="A159" t="inlineStr">
        <is>
          <t>Dual Kamas Prime</t>
        </is>
      </c>
      <c r="B159" t="inlineStr">
        <is>
          <t>Melee</t>
        </is>
      </c>
      <c r="C159" t="inlineStr">
        <is>
          <t>Weapon</t>
        </is>
      </c>
      <c r="D159" t="inlineStr">
        <is>
          <t>Player trade</t>
        </is>
      </c>
      <c r="E159" t="inlineStr">
        <is>
          <t>Trinity Prime</t>
        </is>
      </c>
      <c r="F159" t="inlineStr">
        <is>
          <t>Unchanged from v3 allocation</t>
        </is>
      </c>
      <c r="G159" t="inlineStr">
        <is>
          <t>OK</t>
        </is>
      </c>
      <c r="H159" t="inlineStr">
        <is>
          <t>Non-signature</t>
        </is>
      </c>
      <c r="J159" t="inlineStr">
        <is>
          <t>No</t>
        </is>
      </c>
    </row>
    <row r="160">
      <c r="A160" t="inlineStr">
        <is>
          <t>Vinquibus</t>
        </is>
      </c>
      <c r="B160" t="inlineStr">
        <is>
          <t>Primary</t>
        </is>
      </c>
      <c r="C160" t="inlineStr">
        <is>
          <t>Weapon</t>
        </is>
      </c>
      <c r="D160" t="inlineStr">
        <is>
          <t>Farm / vendor / Dojo / quest</t>
        </is>
      </c>
      <c r="E160" t="inlineStr">
        <is>
          <t>Uriel</t>
        </is>
      </c>
      <c r="F160" t="inlineStr">
        <is>
          <t>Unchanged from v3 allocation</t>
        </is>
      </c>
      <c r="G160" t="inlineStr">
        <is>
          <t>FARMABLE / ACCOUNT-BOUND</t>
        </is>
      </c>
      <c r="H160" t="inlineStr">
        <is>
          <t>Signature - Uriel</t>
        </is>
      </c>
      <c r="I160" t="inlineStr">
        <is>
          <t>Signature, bonus not implemented; occupies Primary AND Melee</t>
        </is>
      </c>
      <c r="J160" t="inlineStr">
        <is>
          <t>No</t>
        </is>
      </c>
    </row>
    <row r="161">
      <c r="A161" t="inlineStr">
        <is>
          <t>Vinquibus (Melee)</t>
        </is>
      </c>
      <c r="B161" t="inlineStr">
        <is>
          <t>Melee</t>
        </is>
      </c>
      <c r="C161" t="inlineStr">
        <is>
          <t>Weapon</t>
        </is>
      </c>
      <c r="D161" t="inlineStr">
        <is>
          <t>Same item as Vinquibus (Primary)</t>
        </is>
      </c>
      <c r="E161" t="inlineStr">
        <is>
          <t>Uriel</t>
        </is>
      </c>
      <c r="F161" t="inlineStr">
        <is>
          <t>Vinquibus occupies BOTH Primary and Melee slots, so Mios was impossible to equip alongside it.</t>
        </is>
      </c>
      <c r="G161" t="inlineStr">
        <is>
          <t>COVERED BY VINQUIBUS</t>
        </is>
      </c>
      <c r="H161" t="inlineStr">
        <is>
          <t>Signature - Uriel</t>
        </is>
      </c>
      <c r="I161" t="inlineStr">
        <is>
          <t>Signature, bonus not implemented; occupies Primary AND Melee</t>
        </is>
      </c>
      <c r="K161" t="inlineStr">
        <is>
          <t>v3: Mios</t>
        </is>
      </c>
    </row>
    <row r="162">
      <c r="A162" t="inlineStr">
        <is>
          <t>Cernos Prime</t>
        </is>
      </c>
      <c r="B162" t="inlineStr">
        <is>
          <t>Primary</t>
        </is>
      </c>
      <c r="C162" t="inlineStr">
        <is>
          <t>Weapon</t>
        </is>
      </c>
      <c r="D162" t="inlineStr">
        <is>
          <t>Player trade</t>
        </is>
      </c>
      <c r="E162" t="inlineStr">
        <is>
          <t>Valkyr Prime</t>
        </is>
      </c>
      <c r="F162" t="inlineStr">
        <is>
          <t>Unchanged from v3 allocation</t>
        </is>
      </c>
      <c r="G162" t="inlineStr">
        <is>
          <t>OK</t>
        </is>
      </c>
      <c r="H162" t="inlineStr">
        <is>
          <t>Non-signature</t>
        </is>
      </c>
      <c r="J162" t="inlineStr">
        <is>
          <t>No</t>
        </is>
      </c>
    </row>
    <row r="163">
      <c r="A163" t="inlineStr">
        <is>
          <t>Twin Vipers Wraith</t>
        </is>
      </c>
      <c r="B163" t="inlineStr">
        <is>
          <t>Secondary</t>
        </is>
      </c>
      <c r="C163" t="inlineStr">
        <is>
          <t>Weapon</t>
        </is>
      </c>
      <c r="D163" t="inlineStr">
        <is>
          <t>Player trade</t>
        </is>
      </c>
      <c r="E163" t="inlineStr">
        <is>
          <t>Valkyr Prime</t>
        </is>
      </c>
      <c r="F163" t="inlineStr">
        <is>
          <t>Unchanged from v3 allocation</t>
        </is>
      </c>
      <c r="G163" t="inlineStr">
        <is>
          <t>OK</t>
        </is>
      </c>
      <c r="H163" t="inlineStr">
        <is>
          <t>Non-signature</t>
        </is>
      </c>
      <c r="J163" t="inlineStr">
        <is>
          <t>No</t>
        </is>
      </c>
    </row>
    <row r="164">
      <c r="A164" t="inlineStr">
        <is>
          <t>Valkyr Prime Talons</t>
        </is>
      </c>
      <c r="B164" t="inlineStr">
        <is>
          <t>Melee</t>
        </is>
      </c>
      <c r="C164" t="inlineStr">
        <is>
          <t>Exalted / Intrinsic</t>
        </is>
      </c>
      <c r="D164" t="inlineStr">
        <is>
          <t>Comes with frame</t>
        </is>
      </c>
      <c r="E164" t="inlineStr">
        <is>
          <t>Valkyr Prime</t>
        </is>
      </c>
      <c r="F164" t="inlineStr">
        <is>
          <t>Unchanged from v3 allocation</t>
        </is>
      </c>
      <c r="G164" t="inlineStr">
        <is>
          <t>INCLUDED WITH FRAME</t>
        </is>
      </c>
      <c r="H164" t="inlineStr">
        <is>
          <t>Exalted/Intrinsic</t>
        </is>
      </c>
    </row>
    <row r="165">
      <c r="A165" t="inlineStr">
        <is>
          <t>Ferrox</t>
        </is>
      </c>
      <c r="B165" t="inlineStr">
        <is>
          <t>Primary</t>
        </is>
      </c>
      <c r="C165" t="inlineStr">
        <is>
          <t>Weapon</t>
        </is>
      </c>
      <c r="D165" t="inlineStr">
        <is>
          <t>Farm / vendor / Dojo / quest</t>
        </is>
      </c>
      <c r="E165" t="inlineStr">
        <is>
          <t>Vauban Prime</t>
        </is>
      </c>
      <c r="F165" t="inlineStr">
        <is>
          <t>Unchanged from v3 allocation</t>
        </is>
      </c>
      <c r="G165" t="inlineStr">
        <is>
          <t>FARMABLE / ACCOUNT-BOUND</t>
        </is>
      </c>
      <c r="H165" t="inlineStr">
        <is>
          <t>Non-signature</t>
        </is>
      </c>
      <c r="J165" t="inlineStr">
        <is>
          <t>No</t>
        </is>
      </c>
    </row>
    <row r="166">
      <c r="A166" t="inlineStr">
        <is>
          <t>Kulstar</t>
        </is>
      </c>
      <c r="B166" t="inlineStr">
        <is>
          <t>Secondary</t>
        </is>
      </c>
      <c r="C166" t="inlineStr">
        <is>
          <t>Weapon</t>
        </is>
      </c>
      <c r="D166" t="inlineStr">
        <is>
          <t>Farm / vendor / Dojo / quest</t>
        </is>
      </c>
      <c r="E166" t="inlineStr">
        <is>
          <t>Vauban Prime</t>
        </is>
      </c>
      <c r="F166" t="inlineStr">
        <is>
          <t>Unchanged from v3 allocation</t>
        </is>
      </c>
      <c r="G166" t="inlineStr">
        <is>
          <t>FARMABLE / ACCOUNT-BOUND</t>
        </is>
      </c>
      <c r="H166" t="inlineStr">
        <is>
          <t>Non-signature</t>
        </is>
      </c>
      <c r="J166" t="inlineStr">
        <is>
          <t>No</t>
        </is>
      </c>
    </row>
    <row r="167">
      <c r="A167" t="inlineStr">
        <is>
          <t>Fragor Prime</t>
        </is>
      </c>
      <c r="B167" t="inlineStr">
        <is>
          <t>Melee</t>
        </is>
      </c>
      <c r="C167" t="inlineStr">
        <is>
          <t>Weapon</t>
        </is>
      </c>
      <c r="D167" t="inlineStr">
        <is>
          <t>Player trade</t>
        </is>
      </c>
      <c r="E167" t="inlineStr">
        <is>
          <t>Vauban Prime</t>
        </is>
      </c>
      <c r="F167" t="inlineStr">
        <is>
          <t>Unchanged from v3 allocation</t>
        </is>
      </c>
      <c r="G167" t="inlineStr">
        <is>
          <t>OK</t>
        </is>
      </c>
      <c r="H167" t="inlineStr">
        <is>
          <t>Non-signature</t>
        </is>
      </c>
      <c r="J167" t="inlineStr">
        <is>
          <t>No</t>
        </is>
      </c>
    </row>
    <row r="168">
      <c r="A168" t="inlineStr">
        <is>
          <t>Rubico Prime</t>
        </is>
      </c>
      <c r="B168" t="inlineStr">
        <is>
          <t>Primary</t>
        </is>
      </c>
      <c r="C168" t="inlineStr">
        <is>
          <t>Weapon</t>
        </is>
      </c>
      <c r="D168" t="inlineStr">
        <is>
          <t>Player trade</t>
        </is>
      </c>
      <c r="E168" t="inlineStr">
        <is>
          <t>Volt Prime</t>
        </is>
      </c>
      <c r="F168" t="inlineStr">
        <is>
          <t>Unchanged from v3 allocation</t>
        </is>
      </c>
      <c r="G168" t="inlineStr">
        <is>
          <t>OK</t>
        </is>
      </c>
      <c r="H168" t="inlineStr">
        <is>
          <t>Non-signature</t>
        </is>
      </c>
      <c r="J168" t="inlineStr">
        <is>
          <t>No</t>
        </is>
      </c>
    </row>
    <row r="169">
      <c r="A169" t="inlineStr">
        <is>
          <t>Ohma</t>
        </is>
      </c>
      <c r="B169" t="inlineStr">
        <is>
          <t>Melee</t>
        </is>
      </c>
      <c r="C169" t="inlineStr">
        <is>
          <t>Weapon</t>
        </is>
      </c>
      <c r="D169" t="inlineStr">
        <is>
          <t>Farm / vendor / Dojo / quest</t>
        </is>
      </c>
      <c r="E169" t="inlineStr">
        <is>
          <t>Volt Prime</t>
        </is>
      </c>
      <c r="F169" t="inlineStr">
        <is>
          <t>Unchanged from v3 allocation</t>
        </is>
      </c>
      <c r="G169" t="inlineStr">
        <is>
          <t>FARMABLE / ACCOUNT-BOUND</t>
        </is>
      </c>
      <c r="H169" t="inlineStr">
        <is>
          <t>Non-signature</t>
        </is>
      </c>
      <c r="J169" t="inlineStr">
        <is>
          <t>No</t>
        </is>
      </c>
    </row>
    <row r="170">
      <c r="A170" t="inlineStr">
        <is>
          <t>Perigale Prime</t>
        </is>
      </c>
      <c r="B170" t="inlineStr">
        <is>
          <t>Primary</t>
        </is>
      </c>
      <c r="C170" t="inlineStr">
        <is>
          <t>Weapon</t>
        </is>
      </c>
      <c r="D170" t="inlineStr">
        <is>
          <t>Player trade</t>
        </is>
      </c>
      <c r="E170" t="inlineStr">
        <is>
          <t>Voruna Prime</t>
        </is>
      </c>
      <c r="F170" t="inlineStr">
        <is>
          <t>Unchanged from v3 allocation</t>
        </is>
      </c>
      <c r="G170" t="inlineStr">
        <is>
          <t>OK</t>
        </is>
      </c>
      <c r="H170" t="inlineStr">
        <is>
          <t>Signature - Voruna Prime</t>
        </is>
      </c>
      <c r="I170" t="inlineStr">
        <is>
          <t>+24 Ammo Max</t>
        </is>
      </c>
      <c r="J170" t="inlineStr">
        <is>
          <t>No</t>
        </is>
      </c>
    </row>
    <row r="171">
      <c r="A171" t="inlineStr">
        <is>
          <t>Grimoire</t>
        </is>
      </c>
      <c r="B171" t="inlineStr">
        <is>
          <t>Secondary</t>
        </is>
      </c>
      <c r="C171" t="inlineStr">
        <is>
          <t>Weapon</t>
        </is>
      </c>
      <c r="D171" t="inlineStr">
        <is>
          <t>Farm / vendor / Dojo / quest</t>
        </is>
      </c>
      <c r="E171" t="inlineStr">
        <is>
          <t>Voruna Prime</t>
        </is>
      </c>
      <c r="F171" t="inlineStr">
        <is>
          <t>Unchanged from v3 allocation</t>
        </is>
      </c>
      <c r="G171" t="inlineStr">
        <is>
          <t>FARMABLE / ACCOUNT-BOUND</t>
        </is>
      </c>
      <c r="H171" t="inlineStr">
        <is>
          <t>Non-signature</t>
        </is>
      </c>
      <c r="J171" t="inlineStr">
        <is>
          <t>No</t>
        </is>
      </c>
    </row>
    <row r="172">
      <c r="A172" t="inlineStr">
        <is>
          <t>Sarofang Prime</t>
        </is>
      </c>
      <c r="B172" t="inlineStr">
        <is>
          <t>Melee</t>
        </is>
      </c>
      <c r="C172" t="inlineStr">
        <is>
          <t>Weapon</t>
        </is>
      </c>
      <c r="D172" t="inlineStr">
        <is>
          <t>Player trade</t>
        </is>
      </c>
      <c r="E172" t="inlineStr">
        <is>
          <t>Voruna Prime</t>
        </is>
      </c>
      <c r="F172" t="inlineStr">
        <is>
          <t>Unchanged from v3 allocation</t>
        </is>
      </c>
      <c r="G172" t="inlineStr">
        <is>
          <t>OK</t>
        </is>
      </c>
      <c r="H172" t="inlineStr">
        <is>
          <t>Signature - Voruna Prime</t>
        </is>
      </c>
      <c r="I172" t="inlineStr">
        <is>
          <t>Heavy Slam vortex at 5x combo</t>
        </is>
      </c>
      <c r="J172" t="inlineStr">
        <is>
          <t>No</t>
        </is>
      </c>
    </row>
    <row r="173">
      <c r="A173" t="inlineStr">
        <is>
          <t>Fulmin Prime</t>
        </is>
      </c>
      <c r="B173" t="inlineStr">
        <is>
          <t>Primary</t>
        </is>
      </c>
      <c r="C173" t="inlineStr">
        <is>
          <t>Weapon</t>
        </is>
      </c>
      <c r="D173" t="inlineStr">
        <is>
          <t>Player trade</t>
        </is>
      </c>
      <c r="E173" t="inlineStr">
        <is>
          <t>Wisp Prime</t>
        </is>
      </c>
      <c r="F173" t="inlineStr">
        <is>
          <t>Unchanged from v3 allocation</t>
        </is>
      </c>
      <c r="G173" t="inlineStr">
        <is>
          <t>OK</t>
        </is>
      </c>
      <c r="H173" t="inlineStr">
        <is>
          <t>Signature - Wisp Prime</t>
        </is>
      </c>
      <c r="I173" t="inlineStr">
        <is>
          <t>Faster auto/semi mode switch</t>
        </is>
      </c>
      <c r="J173" t="inlineStr">
        <is>
          <t>No</t>
        </is>
      </c>
    </row>
    <row r="174">
      <c r="A174" t="inlineStr">
        <is>
          <t>Furis</t>
        </is>
      </c>
      <c r="B174" t="inlineStr">
        <is>
          <t>Secondary</t>
        </is>
      </c>
      <c r="C174" t="inlineStr">
        <is>
          <t>Weapon</t>
        </is>
      </c>
      <c r="D174" t="inlineStr">
        <is>
          <t>Farm / vendor / Dojo / quest</t>
        </is>
      </c>
      <c r="E174" t="inlineStr">
        <is>
          <t>Wisp Prime</t>
        </is>
      </c>
      <c r="F174" t="inlineStr">
        <is>
          <t>Unchanged from v3 allocation</t>
        </is>
      </c>
      <c r="G174" t="inlineStr">
        <is>
          <t>FARMABLE / ACCOUNT-BOUND</t>
        </is>
      </c>
      <c r="H174" t="inlineStr">
        <is>
          <t>Non-signature</t>
        </is>
      </c>
      <c r="J174" t="inlineStr">
        <is>
          <t>Yes (Genesis)</t>
        </is>
      </c>
    </row>
    <row r="175">
      <c r="A175" t="inlineStr">
        <is>
          <t>Tipedo Prime</t>
        </is>
      </c>
      <c r="B175" t="inlineStr">
        <is>
          <t>Melee</t>
        </is>
      </c>
      <c r="C175" t="inlineStr">
        <is>
          <t>Weapon</t>
        </is>
      </c>
      <c r="D175" t="inlineStr">
        <is>
          <t>Player trade</t>
        </is>
      </c>
      <c r="E175" t="inlineStr">
        <is>
          <t>Wisp Prime</t>
        </is>
      </c>
      <c r="F175" t="inlineStr">
        <is>
          <t>Unchanged from v3 allocation</t>
        </is>
      </c>
      <c r="G175" t="inlineStr">
        <is>
          <t>OK</t>
        </is>
      </c>
      <c r="H175" t="inlineStr">
        <is>
          <t>Non-signature</t>
        </is>
      </c>
      <c r="J175" t="inlineStr">
        <is>
          <t>No</t>
        </is>
      </c>
    </row>
    <row r="176">
      <c r="A176" t="inlineStr">
        <is>
          <t>Zhuge Prime</t>
        </is>
      </c>
      <c r="B176" t="inlineStr">
        <is>
          <t>Primary</t>
        </is>
      </c>
      <c r="C176" t="inlineStr">
        <is>
          <t>Weapon</t>
        </is>
      </c>
      <c r="D176" t="inlineStr">
        <is>
          <t>Player trade</t>
        </is>
      </c>
      <c r="E176" t="inlineStr">
        <is>
          <t>Wukong Prime</t>
        </is>
      </c>
      <c r="F176" t="inlineStr">
        <is>
          <t>Unchanged from v3 allocation</t>
        </is>
      </c>
      <c r="G176" t="inlineStr">
        <is>
          <t>OK</t>
        </is>
      </c>
      <c r="H176" t="inlineStr">
        <is>
          <t>Non-signature</t>
        </is>
      </c>
      <c r="J176" t="inlineStr">
        <is>
          <t>No</t>
        </is>
      </c>
    </row>
    <row r="177">
      <c r="A177" t="inlineStr">
        <is>
          <t>Ballistica Prime</t>
        </is>
      </c>
      <c r="B177" t="inlineStr">
        <is>
          <t>Secondary</t>
        </is>
      </c>
      <c r="C177" t="inlineStr">
        <is>
          <t>Weapon</t>
        </is>
      </c>
      <c r="D177" t="inlineStr">
        <is>
          <t>Player trade</t>
        </is>
      </c>
      <c r="E177" t="inlineStr">
        <is>
          <t>Wukong Prime</t>
        </is>
      </c>
      <c r="F177" t="inlineStr">
        <is>
          <t>Pyrana Prime duplicate (Limbo vs Wukong). Limbo keeps it (Prime Access tie-break only). Ballistica Prime Incarnon (E).</t>
        </is>
      </c>
      <c r="G177" t="inlineStr">
        <is>
          <t>OK</t>
        </is>
      </c>
      <c r="H177" t="inlineStr">
        <is>
          <t>Non-signature</t>
        </is>
      </c>
      <c r="J177" t="inlineStr">
        <is>
          <t>Yes (Genesis)</t>
        </is>
      </c>
      <c r="K177" t="inlineStr">
        <is>
          <t>v3: Pyrana Prime</t>
        </is>
      </c>
    </row>
    <row r="178">
      <c r="A178" t="inlineStr">
        <is>
          <t>Iron Staff Prime</t>
        </is>
      </c>
      <c r="B178" t="inlineStr">
        <is>
          <t>Melee</t>
        </is>
      </c>
      <c r="C178" t="inlineStr">
        <is>
          <t>Exalted / Intrinsic</t>
        </is>
      </c>
      <c r="D178" t="inlineStr">
        <is>
          <t>Comes with frame</t>
        </is>
      </c>
      <c r="E178" t="inlineStr">
        <is>
          <t>Wukong Prime</t>
        </is>
      </c>
      <c r="F178" t="inlineStr">
        <is>
          <t>Unchanged from v3 allocation</t>
        </is>
      </c>
      <c r="G178" t="inlineStr">
        <is>
          <t>INCLUDED WITH FRAME</t>
        </is>
      </c>
      <c r="H178" t="inlineStr">
        <is>
          <t>Exalted/Intrinsic</t>
        </is>
      </c>
    </row>
    <row r="179">
      <c r="A179" t="inlineStr">
        <is>
          <t>Trumna Prime</t>
        </is>
      </c>
      <c r="B179" t="inlineStr">
        <is>
          <t>Primary</t>
        </is>
      </c>
      <c r="C179" t="inlineStr">
        <is>
          <t>Weapon</t>
        </is>
      </c>
      <c r="D179" t="inlineStr">
        <is>
          <t>Player trade</t>
        </is>
      </c>
      <c r="E179" t="inlineStr">
        <is>
          <t>Xaku Prime</t>
        </is>
      </c>
      <c r="F179" t="inlineStr">
        <is>
          <t>Unchanged from v3 allocation</t>
        </is>
      </c>
      <c r="G179" t="inlineStr">
        <is>
          <t>OK</t>
        </is>
      </c>
      <c r="H179" t="inlineStr">
        <is>
          <t>Non-signature</t>
        </is>
      </c>
      <c r="J179" t="inlineStr">
        <is>
          <t>No</t>
        </is>
      </c>
    </row>
    <row r="180">
      <c r="A180" t="inlineStr">
        <is>
          <t>Laetum</t>
        </is>
      </c>
      <c r="B180" t="inlineStr">
        <is>
          <t>Secondary</t>
        </is>
      </c>
      <c r="C180" t="inlineStr">
        <is>
          <t>Weapon</t>
        </is>
      </c>
      <c r="D180" t="inlineStr">
        <is>
          <t>Player trade (blueprint; craft resources farmable)</t>
        </is>
      </c>
      <c r="E180" t="inlineStr">
        <is>
          <t>Xaku Prime</t>
        </is>
      </c>
      <c r="F180" t="inlineStr">
        <is>
          <t>Unchanged from v3 allocation</t>
        </is>
      </c>
      <c r="G180" t="inlineStr">
        <is>
          <t>OK</t>
        </is>
      </c>
      <c r="H180" t="inlineStr">
        <is>
          <t>Non-signature</t>
        </is>
      </c>
      <c r="J180" t="inlineStr">
        <is>
          <t>Yes (innate)</t>
        </is>
      </c>
    </row>
    <row r="181">
      <c r="A181" t="inlineStr">
        <is>
          <t>Quassus Prime</t>
        </is>
      </c>
      <c r="B181" t="inlineStr">
        <is>
          <t>Melee</t>
        </is>
      </c>
      <c r="C181" t="inlineStr">
        <is>
          <t>Weapon</t>
        </is>
      </c>
      <c r="D181" t="inlineStr">
        <is>
          <t>Player trade</t>
        </is>
      </c>
      <c r="E181" t="inlineStr">
        <is>
          <t>Xaku Prime</t>
        </is>
      </c>
      <c r="F181" t="inlineStr">
        <is>
          <t>Unchanged from v3 allocation</t>
        </is>
      </c>
      <c r="G181" t="inlineStr">
        <is>
          <t>OK</t>
        </is>
      </c>
      <c r="H181" t="inlineStr">
        <is>
          <t>Signature - Xaku Prime</t>
        </is>
      </c>
      <c r="I181" t="inlineStr">
        <is>
          <t>Heavy Attack daggers +Accuracy</t>
        </is>
      </c>
      <c r="J181" t="inlineStr">
        <is>
          <t>No</t>
        </is>
      </c>
    </row>
    <row r="182">
      <c r="A182" t="inlineStr">
        <is>
          <t>Komorex</t>
        </is>
      </c>
      <c r="B182" t="inlineStr">
        <is>
          <t>Primary</t>
        </is>
      </c>
      <c r="C182" t="inlineStr">
        <is>
          <t>Weapon</t>
        </is>
      </c>
      <c r="D182" t="inlineStr">
        <is>
          <t>Farm / vendor / Dojo / quest</t>
        </is>
      </c>
      <c r="E182" t="inlineStr">
        <is>
          <t>Yareli Prime</t>
        </is>
      </c>
      <c r="F182" t="inlineStr">
        <is>
          <t>Unchanged from v3 allocation</t>
        </is>
      </c>
      <c r="G182" t="inlineStr">
        <is>
          <t>FARMABLE / ACCOUNT-BOUND</t>
        </is>
      </c>
      <c r="H182" t="inlineStr">
        <is>
          <t>Non-signature</t>
        </is>
      </c>
      <c r="J182" t="inlineStr">
        <is>
          <t>No</t>
        </is>
      </c>
    </row>
    <row r="183">
      <c r="A183" t="inlineStr">
        <is>
          <t>Kompressa Prime</t>
        </is>
      </c>
      <c r="B183" t="inlineStr">
        <is>
          <t>Secondary</t>
        </is>
      </c>
      <c r="C183" t="inlineStr">
        <is>
          <t>Weapon</t>
        </is>
      </c>
      <c r="D183" t="inlineStr">
        <is>
          <t>Player trade</t>
        </is>
      </c>
      <c r="E183" t="inlineStr">
        <is>
          <t>Yareli Prime</t>
        </is>
      </c>
      <c r="F183" t="inlineStr">
        <is>
          <t>Signature with a mechanical bonus (+30% Projectile Speed), tier A.</t>
        </is>
      </c>
      <c r="G183" t="inlineStr">
        <is>
          <t>OK</t>
        </is>
      </c>
      <c r="H183" t="inlineStr">
        <is>
          <t>Signature - Yareli Prime</t>
        </is>
      </c>
      <c r="I183" t="inlineStr">
        <is>
          <t>+30% Projectile Speed</t>
        </is>
      </c>
      <c r="J183" t="inlineStr">
        <is>
          <t>No</t>
        </is>
      </c>
      <c r="K183" t="inlineStr">
        <is>
          <t>v3: Ocucor</t>
        </is>
      </c>
    </row>
    <row r="184">
      <c r="A184" t="inlineStr">
        <is>
          <t>Ghoulsaw</t>
        </is>
      </c>
      <c r="B184" t="inlineStr">
        <is>
          <t>Melee</t>
        </is>
      </c>
      <c r="C184" t="inlineStr">
        <is>
          <t>Weapon</t>
        </is>
      </c>
      <c r="D184" t="inlineStr">
        <is>
          <t>Player trade</t>
        </is>
      </c>
      <c r="E184" t="inlineStr">
        <is>
          <t>Yareli Prime</t>
        </is>
      </c>
      <c r="F184" t="inlineStr">
        <is>
          <t>Unchanged from v3 allocation</t>
        </is>
      </c>
      <c r="G184" t="inlineStr">
        <is>
          <t>OK</t>
        </is>
      </c>
      <c r="H184" t="inlineStr">
        <is>
          <t>Non-signature</t>
        </is>
      </c>
      <c r="J184" t="inlineStr">
        <is>
          <t>No</t>
        </is>
      </c>
      <c r="K184" t="inlineStr">
        <is>
          <t>Kuva Ghoulsaw live (U42) - doctrine: no automatic Coda/adversary substitution; optional upgrade</t>
        </is>
      </c>
    </row>
    <row r="185">
      <c r="A185" t="inlineStr">
        <is>
          <t>Nataruk</t>
        </is>
      </c>
      <c r="B185" t="inlineStr">
        <is>
          <t>Primary</t>
        </is>
      </c>
      <c r="C185" t="inlineStr">
        <is>
          <t>Weapon</t>
        </is>
      </c>
      <c r="D185" t="inlineStr">
        <is>
          <t>Farm / vendor / Dojo / quest</t>
        </is>
      </c>
      <c r="E185" t="inlineStr">
        <is>
          <t>Zephyr Prime</t>
        </is>
      </c>
      <c r="F185" t="inlineStr">
        <is>
          <t>Unchanged from v3 allocation</t>
        </is>
      </c>
      <c r="G185" t="inlineStr">
        <is>
          <t>FARMABLE / ACCOUNT-BOUND</t>
        </is>
      </c>
      <c r="H185" t="inlineStr">
        <is>
          <t>Non-signature</t>
        </is>
      </c>
      <c r="J185" t="inlineStr">
        <is>
          <t>No</t>
        </is>
      </c>
    </row>
    <row r="186">
      <c r="A186" t="inlineStr">
        <is>
          <t>Catchmoon</t>
        </is>
      </c>
      <c r="B186" t="inlineStr">
        <is>
          <t>Secondary</t>
        </is>
      </c>
      <c r="C186" t="inlineStr">
        <is>
          <t>Weapon</t>
        </is>
      </c>
      <c r="D186" t="inlineStr">
        <is>
          <t>Farm / vendor / Dojo / quest</t>
        </is>
      </c>
      <c r="E186" t="inlineStr">
        <is>
          <t>Zephyr Prime</t>
        </is>
      </c>
      <c r="F186" t="inlineStr">
        <is>
          <t>Unchanged from v3 allocation</t>
        </is>
      </c>
      <c r="G186" t="inlineStr">
        <is>
          <t>FARMABLE / ACCOUNT-BOUND</t>
        </is>
      </c>
      <c r="H186" t="inlineStr">
        <is>
          <t>Non-signature</t>
        </is>
      </c>
      <c r="J186" t="inlineStr">
        <is>
          <t>No</t>
        </is>
      </c>
    </row>
    <row r="187">
      <c r="A187" t="inlineStr">
        <is>
          <t>Kronen Prime</t>
        </is>
      </c>
      <c r="B187" t="inlineStr">
        <is>
          <t>Melee</t>
        </is>
      </c>
      <c r="C187" t="inlineStr">
        <is>
          <t>Weapon</t>
        </is>
      </c>
      <c r="D187" t="inlineStr">
        <is>
          <t>Player trade</t>
        </is>
      </c>
      <c r="E187" t="inlineStr">
        <is>
          <t>Zephyr Prime</t>
        </is>
      </c>
      <c r="F187" t="inlineStr">
        <is>
          <t>Unchanged from v3 allocation</t>
        </is>
      </c>
      <c r="G187" t="inlineStr">
        <is>
          <t>OK</t>
        </is>
      </c>
      <c r="H187" t="inlineStr">
        <is>
          <t>Non-signature</t>
        </is>
      </c>
      <c r="J187" t="inlineStr">
        <is>
          <t>No</t>
        </is>
      </c>
    </row>
    <row r="188">
      <c r="A188" t="inlineStr">
        <is>
          <t>Larkspur Prime</t>
        </is>
      </c>
      <c r="B188" t="inlineStr">
        <is>
          <t>Archgun</t>
        </is>
      </c>
      <c r="C188" t="inlineStr">
        <is>
          <t>Archgun</t>
        </is>
      </c>
      <c r="D188" t="inlineStr">
        <is>
          <t>Player trade</t>
        </is>
      </c>
      <c r="E188" t="inlineStr">
        <is>
          <t>Hildryn Prime</t>
        </is>
      </c>
      <c r="F188" t="inlineStr">
        <is>
          <t>Signature archgun; not an ordinary slot. Uses free Archweapon slots (4 starter).</t>
        </is>
      </c>
      <c r="G188" t="inlineStr">
        <is>
          <t>OK</t>
        </is>
      </c>
      <c r="H188" t="inlineStr">
        <is>
          <t>Signature - Hildryn Prime</t>
        </is>
      </c>
      <c r="I188" t="inlineStr">
        <is>
          <t>+300 Ammo Max in atmosphere (ARCHGUN - not a Primary)</t>
        </is>
      </c>
    </row>
    <row r="189">
      <c r="A189" t="inlineStr">
        <is>
          <t>Mandonel</t>
        </is>
      </c>
      <c r="B189" t="inlineStr">
        <is>
          <t>Archgun</t>
        </is>
      </c>
      <c r="C189" t="inlineStr">
        <is>
          <t>Archgun</t>
        </is>
      </c>
      <c r="D189" t="inlineStr">
        <is>
          <t>Player trade</t>
        </is>
      </c>
      <c r="E189" t="inlineStr">
        <is>
          <t>Qorvex</t>
        </is>
      </c>
      <c r="F189" t="inlineStr">
        <is>
          <t>Signature archgun; not an ordinary slot. Uses free Archweapon slots (4 starter).</t>
        </is>
      </c>
      <c r="G189" t="inlineStr">
        <is>
          <t>OK</t>
        </is>
      </c>
      <c r="H189" t="inlineStr">
        <is>
          <t>Signature - Qorvex</t>
        </is>
      </c>
      <c r="I189" t="inlineStr">
        <is>
          <t>Charged beams empower Chyrinka Pillar (ARCHGUN)</t>
        </is>
      </c>
    </row>
    <row r="190">
      <c r="A190" t="inlineStr">
        <is>
          <t>Arbucep</t>
        </is>
      </c>
      <c r="B190" t="inlineStr">
        <is>
          <t>Archgun</t>
        </is>
      </c>
      <c r="C190" t="inlineStr">
        <is>
          <t>Archgun</t>
        </is>
      </c>
      <c r="D190" t="inlineStr">
        <is>
          <t>Farm / vendor</t>
        </is>
      </c>
      <c r="E190" t="inlineStr">
        <is>
          <t>Nokko</t>
        </is>
      </c>
      <c r="F190" t="inlineStr">
        <is>
          <t>Signature archgun; not an ordinary slot. Uses free Archweapon slots (4 starter).</t>
        </is>
      </c>
      <c r="G190" t="inlineStr">
        <is>
          <t>FARMABLE / ACCOUNT-BOUND</t>
        </is>
      </c>
      <c r="H190" t="inlineStr">
        <is>
          <t>Signature - Nokko</t>
        </is>
      </c>
      <c r="I190" t="inlineStr">
        <is>
          <t>Shooting Stinkbrain/Brightbonnet triggers pulses (ARCHGUN)</t>
        </is>
      </c>
    </row>
    <row r="191">
      <c r="A191" t="inlineStr">
        <is>
          <t>Glory</t>
        </is>
      </c>
      <c r="B191" t="inlineStr">
        <is>
          <t>Additional (no slot replacement)</t>
        </is>
      </c>
      <c r="C191" t="inlineStr">
        <is>
          <t>Exalted / Intrinsic</t>
        </is>
      </c>
      <c r="D191" t="inlineStr">
        <is>
          <t>Comes with frame</t>
        </is>
      </c>
      <c r="E191" t="inlineStr">
        <is>
          <t>Jade</t>
        </is>
      </c>
      <c r="F191" t="inlineStr">
        <is>
          <t>Additional Exalted; does not replace Evensong/Cantare/Harmony (doctrine)</t>
        </is>
      </c>
      <c r="G191" t="inlineStr">
        <is>
          <t>INCLUDED WITH FRAME</t>
        </is>
      </c>
      <c r="H191" t="inlineStr">
        <is>
          <t>Exalted/Intrinsic</t>
        </is>
      </c>
    </row>
    <row r="192">
      <c r="A192" t="inlineStr">
        <is>
          <t>Noctua</t>
        </is>
      </c>
      <c r="B192" t="inlineStr">
        <is>
          <t>Additional (no slot replacement)</t>
        </is>
      </c>
      <c r="C192" t="inlineStr">
        <is>
          <t>Exalted / Intrinsic</t>
        </is>
      </c>
      <c r="D192" t="inlineStr">
        <is>
          <t>Comes with frame</t>
        </is>
      </c>
      <c r="E192" t="inlineStr">
        <is>
          <t>Dante</t>
        </is>
      </c>
      <c r="F192" t="inlineStr">
        <is>
          <t>Additional Exalted (first ability); Onos retained - LIVE TEST if replacement is wanted</t>
        </is>
      </c>
      <c r="G192" t="inlineStr">
        <is>
          <t>INCLUDED WITH FRAME</t>
        </is>
      </c>
      <c r="H192" t="inlineStr">
        <is>
          <t>Exalted/Intrinsic</t>
        </is>
      </c>
    </row>
    <row r="193">
      <c r="A193" t="inlineStr">
        <is>
          <t>Shadow Clones Prime</t>
        </is>
      </c>
      <c r="B193" t="inlineStr">
        <is>
          <t>Additional (no slot replacement)</t>
        </is>
      </c>
      <c r="C193" t="inlineStr">
        <is>
          <t>Exalted / Intrinsic</t>
        </is>
      </c>
      <c r="D193" t="inlineStr">
        <is>
          <t>Comes with frame</t>
        </is>
      </c>
      <c r="E193" t="inlineStr">
        <is>
          <t>Ash Prime</t>
        </is>
      </c>
      <c r="F193" t="inlineStr">
        <is>
          <t>U38.5 Exalted conversion; cast-based, no Melee replacement (doctrine). Melee Crescendo via finishers</t>
        </is>
      </c>
      <c r="G193" t="inlineStr">
        <is>
          <t>INCLUDED WITH FRAME</t>
        </is>
      </c>
      <c r="H193" t="inlineStr">
        <is>
          <t>Exalted/Intrinsic</t>
        </is>
      </c>
    </row>
    <row r="194">
      <c r="A194" t="inlineStr">
        <is>
          <t>Landslide Fists Prime</t>
        </is>
      </c>
      <c r="B194" t="inlineStr">
        <is>
          <t>Additional (no slot replacement)</t>
        </is>
      </c>
      <c r="C194" t="inlineStr">
        <is>
          <t>Exalted / Intrinsic</t>
        </is>
      </c>
      <c r="D194" t="inlineStr">
        <is>
          <t>Comes with frame</t>
        </is>
      </c>
      <c r="E194" t="inlineStr">
        <is>
          <t>Atlas Prime</t>
        </is>
      </c>
      <c r="F194" t="inlineStr">
        <is>
          <t>U38.5 Exalted conversion; no Melee replacement (doctrine)</t>
        </is>
      </c>
      <c r="G194" t="inlineStr">
        <is>
          <t>INCLUDED WITH FRAME</t>
        </is>
      </c>
      <c r="H194" t="inlineStr">
        <is>
          <t>Exalted/Intrinsic</t>
        </is>
      </c>
    </row>
    <row r="195">
      <c r="A195" t="inlineStr">
        <is>
          <t>Shattered Lash Prime</t>
        </is>
      </c>
      <c r="B195" t="inlineStr">
        <is>
          <t>Additional (no slot replacement)</t>
        </is>
      </c>
      <c r="C195" t="inlineStr">
        <is>
          <t>Exalted / Intrinsic</t>
        </is>
      </c>
      <c r="D195" t="inlineStr">
        <is>
          <t>Comes with frame</t>
        </is>
      </c>
      <c r="E195" t="inlineStr">
        <is>
          <t>Gara Prime</t>
        </is>
      </c>
      <c r="F195" t="inlineStr">
        <is>
          <t>U38.5 Exalted conversion; no Melee replacement (doctrine)</t>
        </is>
      </c>
      <c r="G195" t="inlineStr">
        <is>
          <t>INCLUDED WITH FRAME</t>
        </is>
      </c>
      <c r="H195" t="inlineStr">
        <is>
          <t>Exalted/Intrinsic</t>
        </is>
      </c>
    </row>
    <row r="196">
      <c r="A196" t="inlineStr">
        <is>
          <t>Whipclaw Prime</t>
        </is>
      </c>
      <c r="B196" t="inlineStr">
        <is>
          <t>Additional (no slot replacement)</t>
        </is>
      </c>
      <c r="C196" t="inlineStr">
        <is>
          <t>Exalted / Intrinsic</t>
        </is>
      </c>
      <c r="D196" t="inlineStr">
        <is>
          <t>Comes with frame</t>
        </is>
      </c>
      <c r="E196" t="inlineStr">
        <is>
          <t>Khora Prime</t>
        </is>
      </c>
      <c r="F196" t="inlineStr">
        <is>
          <t>U38.5 Exalted conversion; no Melee replacement (doctrine)</t>
        </is>
      </c>
      <c r="G196" t="inlineStr">
        <is>
          <t>INCLUDED WITH FRAME</t>
        </is>
      </c>
      <c r="H196" t="inlineStr">
        <is>
          <t>Exalted/Intrinsic</t>
        </is>
      </c>
    </row>
    <row r="197">
      <c r="A197" t="inlineStr">
        <is>
          <t>Grasp of Lohk</t>
        </is>
      </c>
      <c r="B197" t="inlineStr">
        <is>
          <t>Additional (no slot replacement)</t>
        </is>
      </c>
      <c r="C197" t="inlineStr">
        <is>
          <t>Exalted / Intrinsic</t>
        </is>
      </c>
      <c r="D197" t="inlineStr">
        <is>
          <t>Comes with frame</t>
        </is>
      </c>
      <c r="E197" t="inlineStr">
        <is>
          <t>Xaku Prime</t>
        </is>
      </c>
      <c r="F197" t="inlineStr">
        <is>
          <t>Ability weapon; no replacement (doctrine)</t>
        </is>
      </c>
      <c r="G197" t="inlineStr">
        <is>
          <t>INCLUDED WITH FRAME</t>
        </is>
      </c>
      <c r="H197" t="inlineStr">
        <is>
          <t>Exalted/Intrinsic</t>
        </is>
      </c>
    </row>
    <row r="198">
      <c r="A198" t="inlineStr">
        <is>
          <t>Ulfrun's Descent</t>
        </is>
      </c>
      <c r="B198" t="inlineStr">
        <is>
          <t>Additional (no slot replacement)</t>
        </is>
      </c>
      <c r="C198" t="inlineStr">
        <is>
          <t>Exalted / Intrinsic</t>
        </is>
      </c>
      <c r="D198" t="inlineStr">
        <is>
          <t>Comes with frame</t>
        </is>
      </c>
      <c r="E198" t="inlineStr">
        <is>
          <t>Voruna Prime</t>
        </is>
      </c>
      <c r="F198" t="inlineStr">
        <is>
          <t>Ability form; no replacement (doctrine)</t>
        </is>
      </c>
      <c r="G198" t="inlineStr">
        <is>
          <t>INCLUDED WITH FRAME</t>
        </is>
      </c>
      <c r="H198" t="inlineStr">
        <is>
          <t>Exalted/Intrinsic</t>
        </is>
      </c>
    </row>
    <row r="199">
      <c r="A199" t="inlineStr">
        <is>
          <t>Nurinarim</t>
        </is>
      </c>
      <c r="B199" t="inlineStr">
        <is>
          <t>Additional (no slot replacement)</t>
        </is>
      </c>
      <c r="C199" t="inlineStr">
        <is>
          <t>Exalted / Intrinsic</t>
        </is>
      </c>
      <c r="D199" t="inlineStr">
        <is>
          <t>Comes with frame</t>
        </is>
      </c>
      <c r="E199" t="inlineStr">
        <is>
          <t>Narin</t>
        </is>
      </c>
      <c r="F199" t="inlineStr">
        <is>
          <t>Cast sword-dance ability; no Melee replacement (v4 ruling)</t>
        </is>
      </c>
      <c r="G199" t="inlineStr">
        <is>
          <t>INCLUDED WITH FRAME</t>
        </is>
      </c>
      <c r="H199" t="inlineStr">
        <is>
          <t>Exalted/Intrinsic</t>
        </is>
      </c>
    </row>
    <row r="200">
      <c r="A200" t="inlineStr">
        <is>
          <t>Tenet Plinx</t>
        </is>
      </c>
      <c r="B200" t="inlineStr">
        <is>
          <t>Secondary</t>
        </is>
      </c>
      <c r="C200" t="inlineStr">
        <is>
          <t>Adversary Weapon</t>
        </is>
      </c>
      <c r="D200" t="inlineStr">
        <is>
          <t>WFM Lich/Sister auction (direct buyout)</t>
        </is>
      </c>
      <c r="E200" t="inlineStr">
        <is>
          <t>Ash Prime</t>
        </is>
      </c>
      <c r="F200" t="inlineStr">
        <is>
          <t>Existing v3 selection kept; Coda not substituted per doctrine</t>
        </is>
      </c>
      <c r="G200" t="inlineStr">
        <is>
          <t>OK - target element, &gt;=58% valence</t>
        </is>
      </c>
      <c r="K200" t="inlineStr">
        <is>
          <t>130 auctions total; 125 direct-sell w/ owner seen &lt;=7d; &gt;=58%/any element floor: 120</t>
        </is>
      </c>
    </row>
    <row r="201">
      <c r="A201" t="inlineStr">
        <is>
          <t>Kuva Hek</t>
        </is>
      </c>
      <c r="B201" t="inlineStr">
        <is>
          <t>Primary</t>
        </is>
      </c>
      <c r="C201" t="inlineStr">
        <is>
          <t>Adversary Weapon</t>
        </is>
      </c>
      <c r="D201" t="inlineStr">
        <is>
          <t>WFM Lich/Sister auction (direct buyout)</t>
        </is>
      </c>
      <c r="E201" t="inlineStr">
        <is>
          <t>Atlas Prime</t>
        </is>
      </c>
      <c r="F201" t="inlineStr">
        <is>
          <t>Existing v3 selection kept; Coda not substituted per doctrine</t>
        </is>
      </c>
      <c r="G201" t="inlineStr">
        <is>
          <t>THIN - target element, &gt;=58% valence</t>
        </is>
      </c>
      <c r="K201" t="inlineStr">
        <is>
          <t>121 auctions total; 108 direct-sell w/ owner seen &lt;=7d; &gt;=58%/any element floor: 275</t>
        </is>
      </c>
    </row>
    <row r="202">
      <c r="A202" t="inlineStr">
        <is>
          <t>Tenet Diplos</t>
        </is>
      </c>
      <c r="B202" t="inlineStr">
        <is>
          <t>Secondary</t>
        </is>
      </c>
      <c r="C202" t="inlineStr">
        <is>
          <t>Adversary Weapon</t>
        </is>
      </c>
      <c r="D202" t="inlineStr">
        <is>
          <t>WFM Lich/Sister auction (direct buyout)</t>
        </is>
      </c>
      <c r="E202" t="inlineStr">
        <is>
          <t>Baruuk Prime</t>
        </is>
      </c>
      <c r="F202" t="inlineStr">
        <is>
          <t>Existing v3 selection kept; Coda not substituted per doctrine</t>
        </is>
      </c>
      <c r="G202" t="inlineStr">
        <is>
          <t>OK - target element, &gt;=58% valence</t>
        </is>
      </c>
      <c r="K202" t="inlineStr">
        <is>
          <t>178 auctions total; 170 direct-sell w/ owner seen &lt;=7d; &gt;=58%/any element floor: 100</t>
        </is>
      </c>
    </row>
    <row r="203">
      <c r="A203" t="inlineStr">
        <is>
          <t>Tenet Detron</t>
        </is>
      </c>
      <c r="B203" t="inlineStr">
        <is>
          <t>Secondary</t>
        </is>
      </c>
      <c r="C203" t="inlineStr">
        <is>
          <t>Adversary Weapon</t>
        </is>
      </c>
      <c r="D203" t="inlineStr">
        <is>
          <t>WFM Lich/Sister auction (direct buyout)</t>
        </is>
      </c>
      <c r="E203" t="inlineStr">
        <is>
          <t>Caliban Prime</t>
        </is>
      </c>
      <c r="F203" t="inlineStr">
        <is>
          <t>Existing v3 selection kept; Coda not substituted per doctrine</t>
        </is>
      </c>
      <c r="G203" t="inlineStr">
        <is>
          <t>THIN - target element, &gt;=58% valence</t>
        </is>
      </c>
      <c r="K203" t="inlineStr">
        <is>
          <t>150 auctions total; 142 direct-sell w/ owner seen &lt;=7d; &gt;=58%/any element floor: 115</t>
        </is>
      </c>
    </row>
    <row r="204">
      <c r="A204" t="inlineStr">
        <is>
          <t>Kuva Nukor</t>
        </is>
      </c>
      <c r="B204" t="inlineStr">
        <is>
          <t>Secondary</t>
        </is>
      </c>
      <c r="C204" t="inlineStr">
        <is>
          <t>Adversary Weapon</t>
        </is>
      </c>
      <c r="D204" t="inlineStr">
        <is>
          <t>WFM Lich/Sister auction (direct buyout)</t>
        </is>
      </c>
      <c r="E204" t="inlineStr">
        <is>
          <t>Ember Prime</t>
        </is>
      </c>
      <c r="F204" t="inlineStr">
        <is>
          <t>Existing v3 selection kept; Coda not substituted per doctrine</t>
        </is>
      </c>
      <c r="G204" t="inlineStr">
        <is>
          <t>THIN - target element, &gt;=58% valence</t>
        </is>
      </c>
      <c r="K204" t="inlineStr">
        <is>
          <t>318 auctions total; 293 direct-sell w/ owner seen &lt;=7d; &gt;=58%/any element floor: 190</t>
        </is>
      </c>
    </row>
    <row r="205">
      <c r="A205" t="inlineStr">
        <is>
          <t>Kuva Sobek</t>
        </is>
      </c>
      <c r="B205" t="inlineStr">
        <is>
          <t>Primary</t>
        </is>
      </c>
      <c r="C205" t="inlineStr">
        <is>
          <t>Adversary Weapon</t>
        </is>
      </c>
      <c r="D205" t="inlineStr">
        <is>
          <t>WFM Lich/Sister auction (direct buyout)</t>
        </is>
      </c>
      <c r="E205" t="inlineStr">
        <is>
          <t>Hydroid Prime</t>
        </is>
      </c>
      <c r="F205" t="inlineStr">
        <is>
          <t>Existing v3 selection kept; Coda not substituted per doctrine</t>
        </is>
      </c>
      <c r="G205" t="inlineStr">
        <is>
          <t>OK - target element, &gt;=58% valence</t>
        </is>
      </c>
      <c r="K205" t="inlineStr">
        <is>
          <t>307 auctions total; 281 direct-sell w/ owner seen &lt;=7d; &gt;=58%/any element floor: 150</t>
        </is>
      </c>
    </row>
    <row r="206">
      <c r="A206" t="inlineStr">
        <is>
          <t>Tenet Arca Plasmor</t>
        </is>
      </c>
      <c r="B206" t="inlineStr">
        <is>
          <t>Primary</t>
        </is>
      </c>
      <c r="C206" t="inlineStr">
        <is>
          <t>Adversary Weapon</t>
        </is>
      </c>
      <c r="D206" t="inlineStr">
        <is>
          <t>WFM Lich/Sister auction (direct buyout)</t>
        </is>
      </c>
      <c r="E206" t="inlineStr">
        <is>
          <t>Mag Prime</t>
        </is>
      </c>
      <c r="F206" t="inlineStr">
        <is>
          <t>Existing v3 selection kept; Coda not substituted per doctrine</t>
        </is>
      </c>
      <c r="G206" t="inlineStr">
        <is>
          <t>THIN - target element, &gt;=58% valence</t>
        </is>
      </c>
      <c r="K206" t="inlineStr">
        <is>
          <t>370 auctions total; 351 direct-sell w/ owner seen &lt;=7d; &gt;=58%/any element floor: 170</t>
        </is>
      </c>
    </row>
    <row r="207">
      <c r="A207" t="inlineStr">
        <is>
          <t>Kuva Bramma</t>
        </is>
      </c>
      <c r="B207" t="inlineStr">
        <is>
          <t>Primary</t>
        </is>
      </c>
      <c r="C207" t="inlineStr">
        <is>
          <t>Adversary Weapon</t>
        </is>
      </c>
      <c r="D207" t="inlineStr">
        <is>
          <t>WFM Lich/Sister auction (direct buyout)</t>
        </is>
      </c>
      <c r="E207" t="inlineStr">
        <is>
          <t>Mirage Prime</t>
        </is>
      </c>
      <c r="F207" t="inlineStr">
        <is>
          <t>Existing v3 selection kept; Coda not substituted per doctrine</t>
        </is>
      </c>
      <c r="G207" t="inlineStr">
        <is>
          <t>THIN - target element, &gt;=58% valence</t>
        </is>
      </c>
      <c r="K207" t="inlineStr">
        <is>
          <t>191 auctions total; 169 direct-sell w/ owner seen &lt;=7d; &gt;=58%/any element floor: 120</t>
        </is>
      </c>
    </row>
    <row r="208">
      <c r="A208" t="inlineStr">
        <is>
          <t>Tenet Cycron</t>
        </is>
      </c>
      <c r="B208" t="inlineStr">
        <is>
          <t>Secondary</t>
        </is>
      </c>
      <c r="C208" t="inlineStr">
        <is>
          <t>Adversary Weapon</t>
        </is>
      </c>
      <c r="D208" t="inlineStr">
        <is>
          <t>WFM Lich/Sister auction (direct buyout)</t>
        </is>
      </c>
      <c r="E208" t="inlineStr">
        <is>
          <t>Revenant Prime</t>
        </is>
      </c>
      <c r="F208" t="inlineStr">
        <is>
          <t>Existing v3 selection kept; Coda not substituted per doctrine</t>
        </is>
      </c>
      <c r="G208" t="inlineStr">
        <is>
          <t>OK - target element, &gt;=58% valence</t>
        </is>
      </c>
      <c r="K208" t="inlineStr">
        <is>
          <t>240 auctions total; 228 direct-sell w/ owner seen &lt;=7d; &gt;=58%/any element floor: 150</t>
        </is>
      </c>
    </row>
    <row r="209">
      <c r="A209" t="inlineStr">
        <is>
          <t>Kuva Ogris</t>
        </is>
      </c>
      <c r="B209" t="inlineStr">
        <is>
          <t>Primary</t>
        </is>
      </c>
      <c r="C209" t="inlineStr">
        <is>
          <t>Adversary Weapon</t>
        </is>
      </c>
      <c r="D209" t="inlineStr">
        <is>
          <t>WFM Lich/Sister auction (direct buyout)</t>
        </is>
      </c>
      <c r="E209" t="inlineStr">
        <is>
          <t>Saryn Prime</t>
        </is>
      </c>
      <c r="F209" t="inlineStr">
        <is>
          <t>Existing v3 selection kept; Coda not substituted per doctrine</t>
        </is>
      </c>
      <c r="G209" t="inlineStr">
        <is>
          <t>OK - target element, &gt;=58% valence</t>
        </is>
      </c>
      <c r="K209" t="inlineStr">
        <is>
          <t>219 auctions total; 196 direct-sell w/ owner seen &lt;=7d; &gt;=58%/any element floor: 200</t>
        </is>
      </c>
    </row>
    <row r="210">
      <c r="A210" t="inlineStr">
        <is>
          <t>Kuva Twin Stubbas</t>
        </is>
      </c>
      <c r="B210" t="inlineStr">
        <is>
          <t>Secondary</t>
        </is>
      </c>
      <c r="C210" t="inlineStr">
        <is>
          <t>Adversary Weapon</t>
        </is>
      </c>
      <c r="D210" t="inlineStr">
        <is>
          <t>WFM Lich/Sister auction (direct buyout)</t>
        </is>
      </c>
      <c r="E210" t="inlineStr">
        <is>
          <t>Uriel</t>
        </is>
      </c>
      <c r="F210" t="inlineStr">
        <is>
          <t>Existing v3 selection kept; Coda not substituted per doctrine</t>
        </is>
      </c>
      <c r="G210" t="inlineStr">
        <is>
          <t>THIN - target element, &gt;=58% valence</t>
        </is>
      </c>
      <c r="K210" t="inlineStr">
        <is>
          <t>65 auctions total; 65 direct-sell w/ owner seen &lt;=7d; &gt;=58%/any element floor: 150</t>
        </is>
      </c>
    </row>
    <row r="211">
      <c r="A211" t="inlineStr">
        <is>
          <t>Tenet Spirex</t>
        </is>
      </c>
      <c r="B211" t="inlineStr">
        <is>
          <t>Secondary</t>
        </is>
      </c>
      <c r="C211" t="inlineStr">
        <is>
          <t>Adversary Weapon</t>
        </is>
      </c>
      <c r="D211" t="inlineStr">
        <is>
          <t>WFM Lich/Sister auction (direct buyout)</t>
        </is>
      </c>
      <c r="E211" t="inlineStr">
        <is>
          <t>Volt Prime</t>
        </is>
      </c>
      <c r="F211" t="inlineStr">
        <is>
          <t>Existing v3 selection kept; Coda not substituted per doctrine</t>
        </is>
      </c>
      <c r="G211" t="inlineStr">
        <is>
          <t>OK - target element, &gt;=58% valence</t>
        </is>
      </c>
      <c r="K211" t="inlineStr">
        <is>
          <t>127 auctions total; 120 direct-sell w/ owner seen &lt;=7d; &gt;=58%/any element floor: 60</t>
        </is>
      </c>
    </row>
  </sheetData>
  <conditionalFormatting sqref="G2:G300">
    <cfRule type="expression" priority="1" dxfId="0">
      <formula>G2="LIVE TEST"</formula>
    </cfRule>
    <cfRule type="expression" priority="2" dxfId="1">
      <formula>G2="Complete"</formula>
    </cfRule>
  </conditionalFormatting>
  <dataValidations count="1">
    <dataValidation sqref="G2:G300" showDropDown="0" showInputMessage="0" showErrorMessage="0" allowBlank="0" type="list">
      <formula1>"Need,Owned,Farm,Trade,LIVE TEST,Complete"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24" customWidth="1" style="26" min="1" max="1"/>
    <col width="16" customWidth="1" style="26" min="2" max="2"/>
    <col width="18" customWidth="1" style="26" min="3" max="3"/>
    <col width="38" customWidth="1" style="26" min="4" max="4"/>
    <col width="16" customWidth="1" style="26" min="5" max="5"/>
  </cols>
  <sheetData>
    <row r="1">
      <c r="A1" s="51" t="inlineStr">
        <is>
          <t>Weapon</t>
        </is>
      </c>
      <c r="B1" s="51" t="inlineStr">
        <is>
          <t>System</t>
        </is>
      </c>
      <c r="C1" s="51" t="inlineStr">
        <is>
          <t>Valence Target</t>
        </is>
      </c>
      <c r="D1" s="51" t="inlineStr">
        <is>
          <t>Permanent Upgrade</t>
        </is>
      </c>
      <c r="E1" s="51" t="inlineStr">
        <is>
          <t>Status</t>
        </is>
      </c>
      <c r="F1" s="51" t="inlineStr">
        <is>
          <t>Assigned Frame</t>
        </is>
      </c>
      <c r="G1" s="51" t="inlineStr">
        <is>
          <t>Element target</t>
        </is>
      </c>
      <c r="H1" s="51" t="inlineStr">
        <is>
          <t>Floor Pt</t>
        </is>
      </c>
      <c r="I1" s="51" t="inlineStr">
        <is>
          <t>Realistic Pt</t>
        </is>
      </c>
      <c r="J1" s="51" t="inlineStr">
        <is>
          <t>Conservative Pt</t>
        </is>
      </c>
      <c r="K1" s="51" t="inlineStr">
        <is>
          <t>Market status</t>
        </is>
      </c>
    </row>
    <row r="2">
      <c r="A2" t="inlineStr">
        <is>
          <t>Tenet Plinx</t>
        </is>
      </c>
      <c r="B2" t="inlineStr">
        <is>
          <t>Tenet</t>
        </is>
      </c>
      <c r="C2" t="inlineStr">
        <is>
          <t>60% (&gt;=58% priced)</t>
        </is>
      </c>
      <c r="D2" t="inlineStr">
        <is>
          <t>Rank 40 (5 Forma) + Elemental Vice</t>
        </is>
      </c>
      <c r="E2" t="inlineStr">
        <is>
          <t>OK - target element, &gt;=58% valence</t>
        </is>
      </c>
      <c r="F2" t="inlineStr">
        <is>
          <t>Ash Prime</t>
        </is>
      </c>
      <c r="G2" t="inlineStr">
        <is>
          <t>Toxin</t>
        </is>
      </c>
      <c r="H2" t="n">
        <v>150</v>
      </c>
      <c r="I2" t="n">
        <v>200</v>
      </c>
      <c r="J2" t="n">
        <v>330</v>
      </c>
      <c r="K2" t="inlineStr">
        <is>
          <t>130 auctions total; 125 direct-sell w/ owner seen &lt;=7d; &gt;=58%/any element floor: 120</t>
        </is>
      </c>
    </row>
    <row r="3">
      <c r="A3" t="inlineStr">
        <is>
          <t>Kuva Hek</t>
        </is>
      </c>
      <c r="B3" t="inlineStr">
        <is>
          <t>Kuva</t>
        </is>
      </c>
      <c r="C3" t="inlineStr">
        <is>
          <t>60% (&gt;=58% priced)</t>
        </is>
      </c>
      <c r="D3" t="inlineStr">
        <is>
          <t>Rank 40 (5 Forma) + Elemental Vice</t>
        </is>
      </c>
      <c r="E3" t="inlineStr">
        <is>
          <t>THIN - target element, &gt;=58% valence</t>
        </is>
      </c>
      <c r="F3" t="inlineStr">
        <is>
          <t>Atlas Prime</t>
        </is>
      </c>
      <c r="G3" t="inlineStr">
        <is>
          <t>Toxin</t>
        </is>
      </c>
      <c r="H3" t="n">
        <v>275</v>
      </c>
      <c r="I3" t="n">
        <v>277.5</v>
      </c>
      <c r="J3" t="n">
        <v>308</v>
      </c>
      <c r="K3" t="inlineStr">
        <is>
          <t>121 auctions total; 108 direct-sell w/ owner seen &lt;=7d; &gt;=58%/any element floor: 275</t>
        </is>
      </c>
    </row>
    <row r="4">
      <c r="A4" t="inlineStr">
        <is>
          <t>Tenet Diplos</t>
        </is>
      </c>
      <c r="B4" t="inlineStr">
        <is>
          <t>Tenet</t>
        </is>
      </c>
      <c r="C4" t="inlineStr">
        <is>
          <t>60% (&gt;=58% priced)</t>
        </is>
      </c>
      <c r="D4" t="inlineStr">
        <is>
          <t>Rank 40 (5 Forma) + Elemental Vice</t>
        </is>
      </c>
      <c r="E4" t="inlineStr">
        <is>
          <t>OK - target element, &gt;=58% valence</t>
        </is>
      </c>
      <c r="F4" t="inlineStr">
        <is>
          <t>Baruuk Prime</t>
        </is>
      </c>
      <c r="G4" t="inlineStr">
        <is>
          <t>Toxin</t>
        </is>
      </c>
      <c r="H4" t="n">
        <v>200</v>
      </c>
      <c r="I4" t="n">
        <v>550</v>
      </c>
      <c r="J4" t="n">
        <v>660</v>
      </c>
      <c r="K4" t="inlineStr">
        <is>
          <t>178 auctions total; 170 direct-sell w/ owner seen &lt;=7d; &gt;=58%/any element floor: 100</t>
        </is>
      </c>
    </row>
    <row r="5">
      <c r="A5" t="inlineStr">
        <is>
          <t>Tenet Detron</t>
        </is>
      </c>
      <c r="B5" t="inlineStr">
        <is>
          <t>Tenet</t>
        </is>
      </c>
      <c r="C5" t="inlineStr">
        <is>
          <t>60% (&gt;=58% priced)</t>
        </is>
      </c>
      <c r="D5" t="inlineStr">
        <is>
          <t>Rank 40 (5 Forma) + Elemental Vice</t>
        </is>
      </c>
      <c r="E5" t="inlineStr">
        <is>
          <t>THIN - target element, &gt;=58% valence</t>
        </is>
      </c>
      <c r="F5" t="inlineStr">
        <is>
          <t>Caliban Prime</t>
        </is>
      </c>
      <c r="G5" t="inlineStr">
        <is>
          <t>Radiation</t>
        </is>
      </c>
      <c r="H5" t="n">
        <v>150</v>
      </c>
      <c r="I5" t="n">
        <v>150</v>
      </c>
      <c r="J5" t="n">
        <v>165</v>
      </c>
      <c r="K5" t="inlineStr">
        <is>
          <t>150 auctions total; 142 direct-sell w/ owner seen &lt;=7d; &gt;=58%/any element floor: 115</t>
        </is>
      </c>
    </row>
    <row r="6">
      <c r="A6" t="inlineStr">
        <is>
          <t>Kuva Nukor</t>
        </is>
      </c>
      <c r="B6" t="inlineStr">
        <is>
          <t>Kuva</t>
        </is>
      </c>
      <c r="C6" t="inlineStr">
        <is>
          <t>60% (&gt;=58% priced)</t>
        </is>
      </c>
      <c r="D6" t="inlineStr">
        <is>
          <t>Rank 40 (5 Forma) + Elemental Vice</t>
        </is>
      </c>
      <c r="E6" t="inlineStr">
        <is>
          <t>THIN - target element, &gt;=58% valence</t>
        </is>
      </c>
      <c r="F6" t="inlineStr">
        <is>
          <t>Ember Prime</t>
        </is>
      </c>
      <c r="G6" t="inlineStr">
        <is>
          <t>Heat</t>
        </is>
      </c>
      <c r="H6" t="n">
        <v>300</v>
      </c>
      <c r="I6" t="n">
        <v>300</v>
      </c>
      <c r="J6" t="n">
        <v>330</v>
      </c>
      <c r="K6" t="inlineStr">
        <is>
          <t>318 auctions total; 293 direct-sell w/ owner seen &lt;=7d; &gt;=58%/any element floor: 190</t>
        </is>
      </c>
    </row>
    <row r="7">
      <c r="A7" t="inlineStr">
        <is>
          <t>Kuva Sobek</t>
        </is>
      </c>
      <c r="B7" t="inlineStr">
        <is>
          <t>Kuva</t>
        </is>
      </c>
      <c r="C7" t="inlineStr">
        <is>
          <t>60% (&gt;=58% priced)</t>
        </is>
      </c>
      <c r="D7" t="inlineStr">
        <is>
          <t>Rank 40 (5 Forma) + Elemental Vice</t>
        </is>
      </c>
      <c r="E7" t="inlineStr">
        <is>
          <t>OK - target element, &gt;=58% valence</t>
        </is>
      </c>
      <c r="F7" t="inlineStr">
        <is>
          <t>Hydroid Prime</t>
        </is>
      </c>
      <c r="G7" t="inlineStr">
        <is>
          <t>Toxin</t>
        </is>
      </c>
      <c r="H7" t="n">
        <v>300</v>
      </c>
      <c r="I7" t="n">
        <v>300</v>
      </c>
      <c r="J7" t="n">
        <v>386</v>
      </c>
      <c r="K7" t="inlineStr">
        <is>
          <t>307 auctions total; 281 direct-sell w/ owner seen &lt;=7d; &gt;=58%/any element floor: 150</t>
        </is>
      </c>
    </row>
    <row r="8">
      <c r="A8" t="inlineStr">
        <is>
          <t>Tenet Arca Plasmor</t>
        </is>
      </c>
      <c r="B8" t="inlineStr">
        <is>
          <t>Tenet</t>
        </is>
      </c>
      <c r="C8" t="inlineStr">
        <is>
          <t>60% (&gt;=58% priced)</t>
        </is>
      </c>
      <c r="D8" t="inlineStr">
        <is>
          <t>Rank 40 (5 Forma) + Elemental Vice</t>
        </is>
      </c>
      <c r="E8" t="inlineStr">
        <is>
          <t>THIN - target element, &gt;=58% valence</t>
        </is>
      </c>
      <c r="F8" t="inlineStr">
        <is>
          <t>Mag Prime</t>
        </is>
      </c>
      <c r="G8" t="inlineStr">
        <is>
          <t>Radiation</t>
        </is>
      </c>
      <c r="H8" t="n">
        <v>400</v>
      </c>
      <c r="I8" t="n">
        <v>400</v>
      </c>
      <c r="J8" t="n">
        <v>441</v>
      </c>
      <c r="K8" t="inlineStr">
        <is>
          <t>370 auctions total; 351 direct-sell w/ owner seen &lt;=7d; &gt;=58%/any element floor: 170</t>
        </is>
      </c>
    </row>
    <row r="9">
      <c r="A9" t="inlineStr">
        <is>
          <t>Kuva Bramma</t>
        </is>
      </c>
      <c r="B9" t="inlineStr">
        <is>
          <t>Kuva</t>
        </is>
      </c>
      <c r="C9" t="inlineStr">
        <is>
          <t>60% (&gt;=58% priced)</t>
        </is>
      </c>
      <c r="D9" t="inlineStr">
        <is>
          <t>Rank 40 (5 Forma) + Elemental Vice</t>
        </is>
      </c>
      <c r="E9" t="inlineStr">
        <is>
          <t>THIN - target element, &gt;=58% valence</t>
        </is>
      </c>
      <c r="F9" t="inlineStr">
        <is>
          <t>Mirage Prime</t>
        </is>
      </c>
      <c r="G9" t="inlineStr">
        <is>
          <t>Heat</t>
        </is>
      </c>
      <c r="H9" t="n">
        <v>300</v>
      </c>
      <c r="I9" t="n">
        <v>387.5</v>
      </c>
      <c r="J9" t="n">
        <v>523</v>
      </c>
      <c r="K9" t="inlineStr">
        <is>
          <t>191 auctions total; 169 direct-sell w/ owner seen &lt;=7d; &gt;=58%/any element floor: 120</t>
        </is>
      </c>
    </row>
    <row r="10">
      <c r="A10" t="inlineStr">
        <is>
          <t>Tenet Cycron</t>
        </is>
      </c>
      <c r="B10" t="inlineStr">
        <is>
          <t>Tenet</t>
        </is>
      </c>
      <c r="C10" t="inlineStr">
        <is>
          <t>60% (&gt;=58% priced)</t>
        </is>
      </c>
      <c r="D10" t="inlineStr">
        <is>
          <t>Rank 40 (5 Forma) + Elemental Vice</t>
        </is>
      </c>
      <c r="E10" t="inlineStr">
        <is>
          <t>OK - target element, &gt;=58% valence</t>
        </is>
      </c>
      <c r="F10" t="inlineStr">
        <is>
          <t>Revenant Prime</t>
        </is>
      </c>
      <c r="G10" t="inlineStr">
        <is>
          <t>Toxin</t>
        </is>
      </c>
      <c r="H10" t="n">
        <v>250</v>
      </c>
      <c r="I10" t="n">
        <v>400</v>
      </c>
      <c r="J10" t="n">
        <v>550</v>
      </c>
      <c r="K10" t="inlineStr">
        <is>
          <t>240 auctions total; 228 direct-sell w/ owner seen &lt;=7d; &gt;=58%/any element floor: 150</t>
        </is>
      </c>
    </row>
    <row r="11">
      <c r="A11" t="inlineStr">
        <is>
          <t>Kuva Ogris</t>
        </is>
      </c>
      <c r="B11" t="inlineStr">
        <is>
          <t>Kuva</t>
        </is>
      </c>
      <c r="C11" t="inlineStr">
        <is>
          <t>60% (&gt;=58% priced)</t>
        </is>
      </c>
      <c r="D11" t="inlineStr">
        <is>
          <t>Rank 40 (5 Forma) + Elemental Vice</t>
        </is>
      </c>
      <c r="E11" t="inlineStr">
        <is>
          <t>OK - target element, &gt;=58% valence</t>
        </is>
      </c>
      <c r="F11" t="inlineStr">
        <is>
          <t>Saryn Prime</t>
        </is>
      </c>
      <c r="G11" t="inlineStr">
        <is>
          <t>Toxin</t>
        </is>
      </c>
      <c r="H11" t="n">
        <v>220</v>
      </c>
      <c r="I11" t="n">
        <v>300</v>
      </c>
      <c r="J11" t="n">
        <v>660</v>
      </c>
      <c r="K11" t="inlineStr">
        <is>
          <t>219 auctions total; 196 direct-sell w/ owner seen &lt;=7d; &gt;=58%/any element floor: 200</t>
        </is>
      </c>
    </row>
    <row r="12">
      <c r="A12" t="inlineStr">
        <is>
          <t>Kuva Twin Stubbas</t>
        </is>
      </c>
      <c r="B12" t="inlineStr">
        <is>
          <t>Kuva</t>
        </is>
      </c>
      <c r="C12" t="inlineStr">
        <is>
          <t>60% (&gt;=58% priced)</t>
        </is>
      </c>
      <c r="D12" t="inlineStr">
        <is>
          <t>Rank 40 (5 Forma) + Elemental Vice</t>
        </is>
      </c>
      <c r="E12" t="inlineStr">
        <is>
          <t>THIN - target element, &gt;=58% valence</t>
        </is>
      </c>
      <c r="F12" t="inlineStr">
        <is>
          <t>Uriel</t>
        </is>
      </c>
      <c r="G12" t="inlineStr">
        <is>
          <t>Heat</t>
        </is>
      </c>
      <c r="H12" t="n">
        <v>150</v>
      </c>
      <c r="I12" t="n">
        <v>150</v>
      </c>
      <c r="J12" t="n">
        <v>165</v>
      </c>
      <c r="K12" t="inlineStr">
        <is>
          <t>65 auctions total; 65 direct-sell w/ owner seen &lt;=7d; &gt;=58%/any element floor: 150</t>
        </is>
      </c>
    </row>
    <row r="13">
      <c r="A13" t="inlineStr">
        <is>
          <t>Tenet Spirex</t>
        </is>
      </c>
      <c r="B13" t="inlineStr">
        <is>
          <t>Tenet</t>
        </is>
      </c>
      <c r="C13" t="inlineStr">
        <is>
          <t>60% (&gt;=58% priced)</t>
        </is>
      </c>
      <c r="D13" t="inlineStr">
        <is>
          <t>Rank 40 (5 Forma) + Elemental Vice</t>
        </is>
      </c>
      <c r="E13" t="inlineStr">
        <is>
          <t>OK - target element, &gt;=58% valence</t>
        </is>
      </c>
      <c r="F13" t="inlineStr">
        <is>
          <t>Volt Prime</t>
        </is>
      </c>
      <c r="G13" t="inlineStr">
        <is>
          <t>Electricity</t>
        </is>
      </c>
      <c r="H13" t="n">
        <v>200</v>
      </c>
      <c r="I13" t="n">
        <v>200</v>
      </c>
      <c r="J13" t="n">
        <v>441</v>
      </c>
      <c r="K13" t="inlineStr">
        <is>
          <t>127 auctions total; 120 direct-sell w/ owner seen &lt;=7d; &gt;=58%/any element floor: 60</t>
        </is>
      </c>
    </row>
  </sheetData>
  <conditionalFormatting sqref="E2:E300">
    <cfRule type="expression" priority="1" dxfId="0">
      <formula>E2="LIVE TEST"</formula>
    </cfRule>
    <cfRule type="expression" priority="2" dxfId="1">
      <formula>E2="Complete"</formula>
    </cfRule>
  </conditionalFormatting>
  <dataValidations count="1">
    <dataValidation sqref="E2:E300" showDropDown="0" showInputMessage="0" showErrorMessage="0" allowBlank="0" type="list">
      <formula1>"Need,Owned,Farm,Trade,LIVE TEST,Complete"</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4" customWidth="1" style="26" min="1" max="1"/>
    <col width="38" customWidth="1" style="26" min="2" max="2"/>
    <col width="40" customWidth="1" style="26" min="3" max="3"/>
    <col width="16" customWidth="1" style="26" min="4" max="4"/>
  </cols>
  <sheetData>
    <row r="1">
      <c r="A1" s="51" t="inlineStr">
        <is>
          <t>Adapter Target</t>
        </is>
      </c>
      <c r="B1" s="51" t="inlineStr">
        <is>
          <t>Acquisition</t>
        </is>
      </c>
      <c r="C1" s="51" t="inlineStr">
        <is>
          <t>Install Rule</t>
        </is>
      </c>
      <c r="D1" s="51" t="inlineStr">
        <is>
          <t>Status</t>
        </is>
      </c>
      <c r="E1" s="51" t="inlineStr">
        <is>
          <t>Weapon (final variant)</t>
        </is>
      </c>
      <c r="F1" s="51" t="inlineStr">
        <is>
          <t>Frame</t>
        </is>
      </c>
    </row>
    <row r="2">
      <c r="A2" t="inlineStr">
        <is>
          <t>Vectis</t>
        </is>
      </c>
      <c r="B2" t="inlineStr">
        <is>
          <t>Steel Path Circuit / Cavalero rotation</t>
        </is>
      </c>
      <c r="C2" t="inlineStr">
        <is>
          <t>Install on assigned final variant</t>
        </is>
      </c>
      <c r="D2" t="inlineStr">
        <is>
          <t>Need</t>
        </is>
      </c>
      <c r="E2" t="inlineStr">
        <is>
          <t>Vectis Prime</t>
        </is>
      </c>
      <c r="F2" t="inlineStr">
        <is>
          <t>Ash Prime</t>
        </is>
      </c>
    </row>
    <row r="3">
      <c r="A3" t="inlineStr">
        <is>
          <t>Innodem</t>
        </is>
      </c>
      <c r="B3" t="inlineStr">
        <is>
          <t>Innate Incarnon (no adapter)</t>
        </is>
      </c>
      <c r="C3" t="inlineStr">
        <is>
          <t>Native evolution</t>
        </is>
      </c>
      <c r="D3" t="inlineStr">
        <is>
          <t>INNATE</t>
        </is>
      </c>
      <c r="E3" t="inlineStr">
        <is>
          <t>Innodem</t>
        </is>
      </c>
      <c r="F3" t="inlineStr">
        <is>
          <t>Ash Prime</t>
        </is>
      </c>
    </row>
    <row r="4">
      <c r="A4" t="inlineStr">
        <is>
          <t>Atomos</t>
        </is>
      </c>
      <c r="B4" t="inlineStr">
        <is>
          <t>Steel Path Circuit / Cavalero rotation</t>
        </is>
      </c>
      <c r="C4" t="inlineStr">
        <is>
          <t>Install on assigned final variant</t>
        </is>
      </c>
      <c r="D4" t="inlineStr">
        <is>
          <t>Need</t>
        </is>
      </c>
      <c r="E4" t="inlineStr">
        <is>
          <t>Atomos</t>
        </is>
      </c>
      <c r="F4" t="inlineStr">
        <is>
          <t>Atlas Prime</t>
        </is>
      </c>
    </row>
    <row r="5">
      <c r="A5" t="inlineStr">
        <is>
          <t>Latron</t>
        </is>
      </c>
      <c r="B5" t="inlineStr">
        <is>
          <t>Steel Path Circuit / Cavalero rotation</t>
        </is>
      </c>
      <c r="C5" t="inlineStr">
        <is>
          <t>Install on assigned final variant</t>
        </is>
      </c>
      <c r="D5" t="inlineStr">
        <is>
          <t>Need</t>
        </is>
      </c>
      <c r="E5" t="inlineStr">
        <is>
          <t>Latron Prime</t>
        </is>
      </c>
      <c r="F5" t="inlineStr">
        <is>
          <t>Banshee Prime</t>
        </is>
      </c>
    </row>
    <row r="6">
      <c r="A6" t="inlineStr">
        <is>
          <t>Paris</t>
        </is>
      </c>
      <c r="B6" t="inlineStr">
        <is>
          <t>Steel Path Circuit / Cavalero rotation</t>
        </is>
      </c>
      <c r="C6" t="inlineStr">
        <is>
          <t>Install on assigned final variant</t>
        </is>
      </c>
      <c r="D6" t="inlineStr">
        <is>
          <t>Need</t>
        </is>
      </c>
      <c r="E6" t="inlineStr">
        <is>
          <t>Paris Prime</t>
        </is>
      </c>
      <c r="F6" t="inlineStr">
        <is>
          <t>Baruuk Prime</t>
        </is>
      </c>
    </row>
    <row r="7">
      <c r="A7" t="inlineStr">
        <is>
          <t>Lato Vandal</t>
        </is>
      </c>
      <c r="B7" t="inlineStr">
        <is>
          <t>Steel Path Circuit / Cavalero rotation</t>
        </is>
      </c>
      <c r="C7" t="inlineStr">
        <is>
          <t>Install on assigned final variant</t>
        </is>
      </c>
      <c r="D7" t="inlineStr">
        <is>
          <t>Need</t>
        </is>
      </c>
      <c r="E7" t="inlineStr">
        <is>
          <t>Lato Vandal</t>
        </is>
      </c>
      <c r="F7" t="inlineStr">
        <is>
          <t>Chroma Prime</t>
        </is>
      </c>
    </row>
    <row r="8">
      <c r="A8" t="inlineStr">
        <is>
          <t>Lex</t>
        </is>
      </c>
      <c r="B8" t="inlineStr">
        <is>
          <t>Steel Path Circuit / Cavalero rotation</t>
        </is>
      </c>
      <c r="C8" t="inlineStr">
        <is>
          <t>Install on assigned final variant</t>
        </is>
      </c>
      <c r="D8" t="inlineStr">
        <is>
          <t>Need</t>
        </is>
      </c>
      <c r="E8" t="inlineStr">
        <is>
          <t>Lex Prime</t>
        </is>
      </c>
      <c r="F8" t="inlineStr">
        <is>
          <t>Cyte-09</t>
        </is>
      </c>
    </row>
    <row r="9">
      <c r="A9" t="inlineStr">
        <is>
          <t>Zylok</t>
        </is>
      </c>
      <c r="B9" t="inlineStr">
        <is>
          <t>Steel Path Circuit / Cavalero rotation</t>
        </is>
      </c>
      <c r="C9" t="inlineStr">
        <is>
          <t>Install on assigned final variant</t>
        </is>
      </c>
      <c r="D9" t="inlineStr">
        <is>
          <t>Need</t>
        </is>
      </c>
      <c r="E9" t="inlineStr">
        <is>
          <t>Zylok Prime</t>
        </is>
      </c>
      <c r="F9" t="inlineStr">
        <is>
          <t>Dagath</t>
        </is>
      </c>
    </row>
    <row r="10">
      <c r="A10" t="inlineStr">
        <is>
          <t>Phenmor</t>
        </is>
      </c>
      <c r="B10" t="inlineStr">
        <is>
          <t>Innate Incarnon (no adapter)</t>
        </is>
      </c>
      <c r="C10" t="inlineStr">
        <is>
          <t>Native evolution</t>
        </is>
      </c>
      <c r="D10" t="inlineStr">
        <is>
          <t>INNATE</t>
        </is>
      </c>
      <c r="E10" t="inlineStr">
        <is>
          <t>Phenmor</t>
        </is>
      </c>
      <c r="F10" t="inlineStr">
        <is>
          <t>Dante</t>
        </is>
      </c>
    </row>
    <row r="11">
      <c r="A11" t="inlineStr">
        <is>
          <t>Onos</t>
        </is>
      </c>
      <c r="B11" t="inlineStr">
        <is>
          <t>Innate Incarnon (no adapter)</t>
        </is>
      </c>
      <c r="C11" t="inlineStr">
        <is>
          <t>Native evolution</t>
        </is>
      </c>
      <c r="D11" t="inlineStr">
        <is>
          <t>INNATE</t>
        </is>
      </c>
      <c r="E11" t="inlineStr">
        <is>
          <t>Onos</t>
        </is>
      </c>
      <c r="F11" t="inlineStr">
        <is>
          <t>Dante</t>
        </is>
      </c>
    </row>
    <row r="12">
      <c r="A12" t="inlineStr">
        <is>
          <t>Ruvox</t>
        </is>
      </c>
      <c r="B12" t="inlineStr">
        <is>
          <t>Innate Incarnon (no adapter)</t>
        </is>
      </c>
      <c r="C12" t="inlineStr">
        <is>
          <t>Native evolution</t>
        </is>
      </c>
      <c r="D12" t="inlineStr">
        <is>
          <t>INNATE</t>
        </is>
      </c>
      <c r="E12" t="inlineStr">
        <is>
          <t>Ruvox</t>
        </is>
      </c>
      <c r="F12" t="inlineStr">
        <is>
          <t>Dante</t>
        </is>
      </c>
    </row>
    <row r="13">
      <c r="A13" t="inlineStr">
        <is>
          <t>Burston</t>
        </is>
      </c>
      <c r="B13" t="inlineStr">
        <is>
          <t>Steel Path Circuit / Cavalero rotation</t>
        </is>
      </c>
      <c r="C13" t="inlineStr">
        <is>
          <t>Install on assigned final variant</t>
        </is>
      </c>
      <c r="D13" t="inlineStr">
        <is>
          <t>Need</t>
        </is>
      </c>
      <c r="E13" t="inlineStr">
        <is>
          <t>Burston Prime</t>
        </is>
      </c>
      <c r="F13" t="inlineStr">
        <is>
          <t>Equinox Prime</t>
        </is>
      </c>
    </row>
    <row r="14">
      <c r="A14" t="inlineStr">
        <is>
          <t>Dual Toxocyst</t>
        </is>
      </c>
      <c r="B14" t="inlineStr">
        <is>
          <t>Steel Path Circuit / Cavalero rotation</t>
        </is>
      </c>
      <c r="C14" t="inlineStr">
        <is>
          <t>Install on assigned final variant</t>
        </is>
      </c>
      <c r="D14" t="inlineStr">
        <is>
          <t>Need</t>
        </is>
      </c>
      <c r="E14" t="inlineStr">
        <is>
          <t>Dual Toxocyst</t>
        </is>
      </c>
      <c r="F14" t="inlineStr">
        <is>
          <t>Equinox Prime</t>
        </is>
      </c>
    </row>
    <row r="15">
      <c r="A15" t="inlineStr">
        <is>
          <t>Braton</t>
        </is>
      </c>
      <c r="B15" t="inlineStr">
        <is>
          <t>Steel Path Circuit / Cavalero rotation</t>
        </is>
      </c>
      <c r="C15" t="inlineStr">
        <is>
          <t>Install on assigned final variant</t>
        </is>
      </c>
      <c r="D15" t="inlineStr">
        <is>
          <t>Need</t>
        </is>
      </c>
      <c r="E15" t="inlineStr">
        <is>
          <t>Braton Prime</t>
        </is>
      </c>
      <c r="F15" t="inlineStr">
        <is>
          <t>Excalibur Umbra</t>
        </is>
      </c>
    </row>
    <row r="16">
      <c r="A16" t="inlineStr">
        <is>
          <t>Vasto</t>
        </is>
      </c>
      <c r="B16" t="inlineStr">
        <is>
          <t>Steel Path Circuit / Cavalero rotation</t>
        </is>
      </c>
      <c r="C16" t="inlineStr">
        <is>
          <t>Install on assigned final variant</t>
        </is>
      </c>
      <c r="D16" t="inlineStr">
        <is>
          <t>Need</t>
        </is>
      </c>
      <c r="E16" t="inlineStr">
        <is>
          <t>Vasto Prime</t>
        </is>
      </c>
      <c r="F16" t="inlineStr">
        <is>
          <t>Excalibur Umbra</t>
        </is>
      </c>
    </row>
    <row r="17">
      <c r="A17" t="inlineStr">
        <is>
          <t>Sibear</t>
        </is>
      </c>
      <c r="B17" t="inlineStr">
        <is>
          <t>Steel Path Circuit / Cavalero rotation</t>
        </is>
      </c>
      <c r="C17" t="inlineStr">
        <is>
          <t>Install on assigned final variant</t>
        </is>
      </c>
      <c r="D17" t="inlineStr">
        <is>
          <t>Need</t>
        </is>
      </c>
      <c r="E17" t="inlineStr">
        <is>
          <t>Sibear</t>
        </is>
      </c>
      <c r="F17" t="inlineStr">
        <is>
          <t>Frost Prime</t>
        </is>
      </c>
    </row>
    <row r="18">
      <c r="A18" t="inlineStr">
        <is>
          <t>Despair</t>
        </is>
      </c>
      <c r="B18" t="inlineStr">
        <is>
          <t>Steel Path Circuit / Cavalero rotation</t>
        </is>
      </c>
      <c r="C18" t="inlineStr">
        <is>
          <t>Install on assigned final variant</t>
        </is>
      </c>
      <c r="D18" t="inlineStr">
        <is>
          <t>Need</t>
        </is>
      </c>
      <c r="E18" t="inlineStr">
        <is>
          <t>Despair</t>
        </is>
      </c>
      <c r="F18" t="inlineStr">
        <is>
          <t>Garuda Prime</t>
        </is>
      </c>
    </row>
    <row r="19">
      <c r="A19" t="inlineStr">
        <is>
          <t>Praedos</t>
        </is>
      </c>
      <c r="B19" t="inlineStr">
        <is>
          <t>Innate Incarnon (no adapter)</t>
        </is>
      </c>
      <c r="C19" t="inlineStr">
        <is>
          <t>Native evolution</t>
        </is>
      </c>
      <c r="D19" t="inlineStr">
        <is>
          <t>INNATE</t>
        </is>
      </c>
      <c r="E19" t="inlineStr">
        <is>
          <t>Praedos</t>
        </is>
      </c>
      <c r="F19" t="inlineStr">
        <is>
          <t>Gauss Prime</t>
        </is>
      </c>
    </row>
    <row r="20">
      <c r="A20" t="inlineStr">
        <is>
          <t>Prisma Angstrum</t>
        </is>
      </c>
      <c r="B20" t="inlineStr">
        <is>
          <t>Steel Path Circuit / Cavalero rotation</t>
        </is>
      </c>
      <c r="C20" t="inlineStr">
        <is>
          <t>Install on assigned final variant</t>
        </is>
      </c>
      <c r="D20" t="inlineStr">
        <is>
          <t>Need</t>
        </is>
      </c>
      <c r="E20" t="inlineStr">
        <is>
          <t>Prisma Angstrum</t>
        </is>
      </c>
      <c r="F20" t="inlineStr">
        <is>
          <t>Gyre Prime</t>
        </is>
      </c>
    </row>
    <row r="21">
      <c r="A21" t="inlineStr">
        <is>
          <t>Gorgon Wraith</t>
        </is>
      </c>
      <c r="B21" t="inlineStr">
        <is>
          <t>Steel Path Circuit / Cavalero rotation</t>
        </is>
      </c>
      <c r="C21" t="inlineStr">
        <is>
          <t>Install on assigned final variant</t>
        </is>
      </c>
      <c r="D21" t="inlineStr">
        <is>
          <t>Need</t>
        </is>
      </c>
      <c r="E21" t="inlineStr">
        <is>
          <t>Gorgon Wraith</t>
        </is>
      </c>
      <c r="F21" t="inlineStr">
        <is>
          <t>Hildryn Prime</t>
        </is>
      </c>
    </row>
    <row r="22">
      <c r="A22" t="inlineStr">
        <is>
          <t>Kunai</t>
        </is>
      </c>
      <c r="B22" t="inlineStr">
        <is>
          <t>Steel Path Circuit / Cavalero rotation</t>
        </is>
      </c>
      <c r="C22" t="inlineStr">
        <is>
          <t>Install on assigned final variant</t>
        </is>
      </c>
      <c r="D22" t="inlineStr">
        <is>
          <t>Need</t>
        </is>
      </c>
      <c r="E22" t="inlineStr">
        <is>
          <t>Kunai</t>
        </is>
      </c>
      <c r="F22" t="inlineStr">
        <is>
          <t>Koumei</t>
        </is>
      </c>
    </row>
    <row r="23">
      <c r="A23" t="inlineStr">
        <is>
          <t>Vectis</t>
        </is>
      </c>
      <c r="B23" t="inlineStr">
        <is>
          <t>Steel Path Circuit / Cavalero rotation</t>
        </is>
      </c>
      <c r="C23" t="inlineStr">
        <is>
          <t>Install on assigned final variant</t>
        </is>
      </c>
      <c r="D23" t="inlineStr">
        <is>
          <t>Need</t>
        </is>
      </c>
      <c r="E23" t="inlineStr">
        <is>
          <t>Vectis</t>
        </is>
      </c>
      <c r="F23" t="inlineStr">
        <is>
          <t>Limbo Prime</t>
        </is>
      </c>
    </row>
    <row r="24">
      <c r="A24" t="inlineStr">
        <is>
          <t>Destreza</t>
        </is>
      </c>
      <c r="B24" t="inlineStr">
        <is>
          <t>Steel Path Circuit / Cavalero rotation</t>
        </is>
      </c>
      <c r="C24" t="inlineStr">
        <is>
          <t>Install on assigned final variant</t>
        </is>
      </c>
      <c r="D24" t="inlineStr">
        <is>
          <t>Need</t>
        </is>
      </c>
      <c r="E24" t="inlineStr">
        <is>
          <t>Destreza Prime</t>
        </is>
      </c>
      <c r="F24" t="inlineStr">
        <is>
          <t>Limbo Prime</t>
        </is>
      </c>
    </row>
    <row r="25">
      <c r="A25" t="inlineStr">
        <is>
          <t>Prisma Skana</t>
        </is>
      </c>
      <c r="B25" t="inlineStr">
        <is>
          <t>Steel Path Circuit / Cavalero rotation</t>
        </is>
      </c>
      <c r="C25" t="inlineStr">
        <is>
          <t>Install on assigned final variant</t>
        </is>
      </c>
      <c r="D25" t="inlineStr">
        <is>
          <t>Need</t>
        </is>
      </c>
      <c r="E25" t="inlineStr">
        <is>
          <t>Prisma Skana</t>
        </is>
      </c>
      <c r="F25" t="inlineStr">
        <is>
          <t>Narin</t>
        </is>
      </c>
    </row>
    <row r="26">
      <c r="A26" t="inlineStr">
        <is>
          <t>Strun</t>
        </is>
      </c>
      <c r="B26" t="inlineStr">
        <is>
          <t>Steel Path Circuit / Cavalero rotation</t>
        </is>
      </c>
      <c r="C26" t="inlineStr">
        <is>
          <t>Install on assigned final variant</t>
        </is>
      </c>
      <c r="D26" t="inlineStr">
        <is>
          <t>Need</t>
        </is>
      </c>
      <c r="E26" t="inlineStr">
        <is>
          <t>Strun Prime</t>
        </is>
      </c>
      <c r="F26" t="inlineStr">
        <is>
          <t>Nidus Prime</t>
        </is>
      </c>
    </row>
    <row r="27">
      <c r="A27" t="inlineStr">
        <is>
          <t>Soma</t>
        </is>
      </c>
      <c r="B27" t="inlineStr">
        <is>
          <t>Steel Path Circuit / Cavalero rotation</t>
        </is>
      </c>
      <c r="C27" t="inlineStr">
        <is>
          <t>Install on assigned final variant</t>
        </is>
      </c>
      <c r="D27" t="inlineStr">
        <is>
          <t>Need</t>
        </is>
      </c>
      <c r="E27" t="inlineStr">
        <is>
          <t>Soma Prime</t>
        </is>
      </c>
      <c r="F27" t="inlineStr">
        <is>
          <t>Nova Prime</t>
        </is>
      </c>
    </row>
    <row r="28">
      <c r="A28" t="inlineStr">
        <is>
          <t>Sybaris</t>
        </is>
      </c>
      <c r="B28" t="inlineStr">
        <is>
          <t>Steel Path Circuit / Cavalero rotation</t>
        </is>
      </c>
      <c r="C28" t="inlineStr">
        <is>
          <t>Install on assigned final variant</t>
        </is>
      </c>
      <c r="D28" t="inlineStr">
        <is>
          <t>Need</t>
        </is>
      </c>
      <c r="E28" t="inlineStr">
        <is>
          <t>Sybaris Prime</t>
        </is>
      </c>
      <c r="F28" t="inlineStr">
        <is>
          <t>Oberon Prime</t>
        </is>
      </c>
    </row>
    <row r="29">
      <c r="A29" t="inlineStr">
        <is>
          <t>Sicarus</t>
        </is>
      </c>
      <c r="B29" t="inlineStr">
        <is>
          <t>Steel Path Circuit / Cavalero rotation</t>
        </is>
      </c>
      <c r="C29" t="inlineStr">
        <is>
          <t>Install on assigned final variant</t>
        </is>
      </c>
      <c r="D29" t="inlineStr">
        <is>
          <t>Need</t>
        </is>
      </c>
      <c r="E29" t="inlineStr">
        <is>
          <t>Sicarus Prime</t>
        </is>
      </c>
      <c r="F29" t="inlineStr">
        <is>
          <t>Oberon Prime</t>
        </is>
      </c>
    </row>
    <row r="30">
      <c r="A30" t="inlineStr">
        <is>
          <t>Torid</t>
        </is>
      </c>
      <c r="B30" t="inlineStr">
        <is>
          <t>Steel Path Circuit / Cavalero rotation</t>
        </is>
      </c>
      <c r="C30" t="inlineStr">
        <is>
          <t>Install on assigned final variant</t>
        </is>
      </c>
      <c r="D30" t="inlineStr">
        <is>
          <t>Need</t>
        </is>
      </c>
      <c r="E30" t="inlineStr">
        <is>
          <t>Torid</t>
        </is>
      </c>
      <c r="F30" t="inlineStr">
        <is>
          <t>Oraxia</t>
        </is>
      </c>
    </row>
    <row r="31">
      <c r="A31" t="inlineStr">
        <is>
          <t>Okina</t>
        </is>
      </c>
      <c r="B31" t="inlineStr">
        <is>
          <t>Steel Path Circuit / Cavalero rotation</t>
        </is>
      </c>
      <c r="C31" t="inlineStr">
        <is>
          <t>Install on assigned final variant</t>
        </is>
      </c>
      <c r="D31" t="inlineStr">
        <is>
          <t>Need</t>
        </is>
      </c>
      <c r="E31" t="inlineStr">
        <is>
          <t>Okina Prime</t>
        </is>
      </c>
      <c r="F31" t="inlineStr">
        <is>
          <t>Protea Prime</t>
        </is>
      </c>
    </row>
    <row r="32">
      <c r="A32" t="inlineStr">
        <is>
          <t>Felarx</t>
        </is>
      </c>
      <c r="B32" t="inlineStr">
        <is>
          <t>Innate Incarnon (no adapter)</t>
        </is>
      </c>
      <c r="C32" t="inlineStr">
        <is>
          <t>Native evolution</t>
        </is>
      </c>
      <c r="D32" t="inlineStr">
        <is>
          <t>INNATE</t>
        </is>
      </c>
      <c r="E32" t="inlineStr">
        <is>
          <t>Felarx</t>
        </is>
      </c>
      <c r="F32" t="inlineStr">
        <is>
          <t>Qorvex</t>
        </is>
      </c>
    </row>
    <row r="33">
      <c r="A33" t="inlineStr">
        <is>
          <t>Bronco</t>
        </is>
      </c>
      <c r="B33" t="inlineStr">
        <is>
          <t>Steel Path Circuit / Cavalero rotation</t>
        </is>
      </c>
      <c r="C33" t="inlineStr">
        <is>
          <t>Install on assigned final variant</t>
        </is>
      </c>
      <c r="D33" t="inlineStr">
        <is>
          <t>Need</t>
        </is>
      </c>
      <c r="E33" t="inlineStr">
        <is>
          <t>Bronco Prime</t>
        </is>
      </c>
      <c r="F33" t="inlineStr">
        <is>
          <t>Qorvex</t>
        </is>
      </c>
    </row>
    <row r="34">
      <c r="A34" t="inlineStr">
        <is>
          <t>Hate</t>
        </is>
      </c>
      <c r="B34" t="inlineStr">
        <is>
          <t>Steel Path Circuit / Cavalero rotation</t>
        </is>
      </c>
      <c r="C34" t="inlineStr">
        <is>
          <t>Install on assigned final variant</t>
        </is>
      </c>
      <c r="D34" t="inlineStr">
        <is>
          <t>Need</t>
        </is>
      </c>
      <c r="E34" t="inlineStr">
        <is>
          <t>Hate</t>
        </is>
      </c>
      <c r="F34" t="inlineStr">
        <is>
          <t>Qorvex</t>
        </is>
      </c>
    </row>
    <row r="35">
      <c r="A35" t="inlineStr">
        <is>
          <t>Boltor</t>
        </is>
      </c>
      <c r="B35" t="inlineStr">
        <is>
          <t>Steel Path Circuit / Cavalero rotation</t>
        </is>
      </c>
      <c r="C35" t="inlineStr">
        <is>
          <t>Install on assigned final variant</t>
        </is>
      </c>
      <c r="D35" t="inlineStr">
        <is>
          <t>Need</t>
        </is>
      </c>
      <c r="E35" t="inlineStr">
        <is>
          <t>Boltor Prime</t>
        </is>
      </c>
      <c r="F35" t="inlineStr">
        <is>
          <t>Rhino Prime</t>
        </is>
      </c>
    </row>
    <row r="36">
      <c r="A36" t="inlineStr">
        <is>
          <t>Dual Ichor</t>
        </is>
      </c>
      <c r="B36" t="inlineStr">
        <is>
          <t>Steel Path Circuit / Cavalero rotation</t>
        </is>
      </c>
      <c r="C36" t="inlineStr">
        <is>
          <t>Install on assigned final variant</t>
        </is>
      </c>
      <c r="D36" t="inlineStr">
        <is>
          <t>Need</t>
        </is>
      </c>
      <c r="E36" t="inlineStr">
        <is>
          <t>Dual Ichor</t>
        </is>
      </c>
      <c r="F36" t="inlineStr">
        <is>
          <t>Saryn Prime</t>
        </is>
      </c>
    </row>
    <row r="37">
      <c r="A37" t="inlineStr">
        <is>
          <t>Boar</t>
        </is>
      </c>
      <c r="B37" t="inlineStr">
        <is>
          <t>Steel Path Circuit / Cavalero rotation</t>
        </is>
      </c>
      <c r="C37" t="inlineStr">
        <is>
          <t>Install on assigned final variant</t>
        </is>
      </c>
      <c r="D37" t="inlineStr">
        <is>
          <t>Need</t>
        </is>
      </c>
      <c r="E37" t="inlineStr">
        <is>
          <t>Boar Prime</t>
        </is>
      </c>
      <c r="F37" t="inlineStr">
        <is>
          <t>Trinity Prime</t>
        </is>
      </c>
    </row>
    <row r="38">
      <c r="A38" t="inlineStr">
        <is>
          <t>Furis</t>
        </is>
      </c>
      <c r="B38" t="inlineStr">
        <is>
          <t>Steel Path Circuit / Cavalero rotation</t>
        </is>
      </c>
      <c r="C38" t="inlineStr">
        <is>
          <t>Install on assigned final variant</t>
        </is>
      </c>
      <c r="D38" t="inlineStr">
        <is>
          <t>Need</t>
        </is>
      </c>
      <c r="E38" t="inlineStr">
        <is>
          <t>Furis</t>
        </is>
      </c>
      <c r="F38" t="inlineStr">
        <is>
          <t>Wisp Prime</t>
        </is>
      </c>
    </row>
    <row r="39">
      <c r="A39" t="inlineStr">
        <is>
          <t>Ballistica</t>
        </is>
      </c>
      <c r="B39" t="inlineStr">
        <is>
          <t>Steel Path Circuit / Cavalero rotation</t>
        </is>
      </c>
      <c r="C39" t="inlineStr">
        <is>
          <t>Install on assigned final variant</t>
        </is>
      </c>
      <c r="D39" t="inlineStr">
        <is>
          <t>Need</t>
        </is>
      </c>
      <c r="E39" t="inlineStr">
        <is>
          <t>Ballistica Prime</t>
        </is>
      </c>
      <c r="F39" t="inlineStr">
        <is>
          <t>Wukong Prime</t>
        </is>
      </c>
    </row>
    <row r="40">
      <c r="A40" t="inlineStr">
        <is>
          <t>Laetum</t>
        </is>
      </c>
      <c r="B40" t="inlineStr">
        <is>
          <t>Innate Incarnon (no adapter)</t>
        </is>
      </c>
      <c r="C40" t="inlineStr">
        <is>
          <t>Native evolution</t>
        </is>
      </c>
      <c r="D40" t="inlineStr">
        <is>
          <t>INNATE</t>
        </is>
      </c>
      <c r="E40" t="inlineStr">
        <is>
          <t>Laetum</t>
        </is>
      </c>
      <c r="F40" t="inlineStr">
        <is>
          <t>Xaku Prime</t>
        </is>
      </c>
    </row>
  </sheetData>
  <conditionalFormatting sqref="D2:D300">
    <cfRule type="expression" priority="1" dxfId="0">
      <formula>D2="LIVE TEST"</formula>
    </cfRule>
    <cfRule type="expression" priority="2" dxfId="1">
      <formula>D2="Complete"</formula>
    </cfRule>
  </conditionalFormatting>
  <dataValidations count="1">
    <dataValidation sqref="D2:D300" showDropDown="0" showInputMessage="0" showErrorMessage="0" allowBlank="0" type="list">
      <formula1>"Need,Owned,Farm,Trade,LIVE TEST,Complete"</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style="26" min="1" max="1"/>
    <col width="10" customWidth="1" style="26" min="2" max="2"/>
    <col width="10" customWidth="1" style="26" min="3" max="3"/>
    <col width="14" customWidth="1" style="26" min="4" max="4"/>
    <col width="10" customWidth="1" style="26" min="5" max="5"/>
    <col width="80" customWidth="1" style="26" min="6" max="6"/>
    <col width="10" customWidth="1" style="26" min="7" max="7"/>
    <col width="14" customWidth="1" style="26" min="8" max="8"/>
    <col width="17" customWidth="1" style="26" min="9" max="9"/>
    <col width="18" customWidth="1" style="26" min="10" max="10"/>
  </cols>
  <sheetData>
    <row r="1">
      <c r="A1" s="51" t="inlineStr">
        <is>
          <t>Arcane</t>
        </is>
      </c>
      <c r="B1" s="51" t="inlineStr">
        <is>
          <t>Type</t>
        </is>
      </c>
      <c r="C1" s="51" t="inlineStr">
        <is>
          <t>Target</t>
        </is>
      </c>
      <c r="D1" s="51" t="inlineStr">
        <is>
          <t>Tradeability</t>
        </is>
      </c>
      <c r="E1" s="51" t="inlineStr">
        <is>
          <t>Uses</t>
        </is>
      </c>
      <c r="F1" s="51" t="inlineStr">
        <is>
          <t>Used by</t>
        </is>
      </c>
      <c r="G1" s="51" t="inlineStr">
        <is>
          <t>Floor Pt</t>
        </is>
      </c>
      <c r="H1" s="51" t="inlineStr">
        <is>
          <t>Realistic Pt</t>
        </is>
      </c>
      <c r="I1" s="51" t="inlineStr">
        <is>
          <t>Conservative Pt</t>
        </is>
      </c>
      <c r="J1" s="51" t="inlineStr">
        <is>
          <t>Via R0 copies Pt</t>
        </is>
      </c>
    </row>
    <row r="2">
      <c r="A2" s="39" t="inlineStr">
        <is>
          <t>Arcane Avenger</t>
        </is>
      </c>
      <c r="B2" s="39" t="inlineStr">
        <is>
          <t>Warframe</t>
        </is>
      </c>
      <c r="C2" s="39" t="inlineStr">
        <is>
          <t>Rank 5</t>
        </is>
      </c>
      <c r="D2" s="39" t="inlineStr">
        <is>
          <t>Tradeable</t>
        </is>
      </c>
      <c r="E2" s="39" t="n">
        <v>9</v>
      </c>
      <c r="F2" s="39" t="inlineStr">
        <is>
          <t>Ash Prime, Chroma Prime, Cyte-09, Gauss Prime, Ivara Prime, Mesa Prime, Mirage Prime, Titania Prime, Zephyr Prime</t>
        </is>
      </c>
      <c r="G2" s="39" t="n">
        <v>90</v>
      </c>
      <c r="H2" s="39" t="n">
        <v>90</v>
      </c>
      <c r="I2" s="39" t="n">
        <v>105</v>
      </c>
      <c r="J2" s="39" t="n">
        <v>105</v>
      </c>
    </row>
    <row r="3">
      <c r="A3" s="39" t="inlineStr">
        <is>
          <t>Arcane Bellicose</t>
        </is>
      </c>
      <c r="B3" s="39" t="inlineStr">
        <is>
          <t>Warframe</t>
        </is>
      </c>
      <c r="C3" s="39" t="inlineStr">
        <is>
          <t>Rank 5</t>
        </is>
      </c>
      <c r="D3" s="39" t="inlineStr">
        <is>
          <t>Tradeable</t>
        </is>
      </c>
      <c r="E3" s="39" t="n">
        <v>1</v>
      </c>
      <c r="F3" s="39" t="inlineStr">
        <is>
          <t>Inaros Prime</t>
        </is>
      </c>
      <c r="G3" s="39" t="n">
        <v>25</v>
      </c>
      <c r="H3" s="39" t="n">
        <v>27</v>
      </c>
      <c r="I3" s="39" t="n">
        <v>31</v>
      </c>
      <c r="J3" s="39" t="n">
        <v>42</v>
      </c>
    </row>
    <row r="4">
      <c r="A4" s="39" t="inlineStr">
        <is>
          <t>Arcane Camisado</t>
        </is>
      </c>
      <c r="B4" s="39" t="inlineStr">
        <is>
          <t>Warframe</t>
        </is>
      </c>
      <c r="C4" s="39" t="inlineStr">
        <is>
          <t>Rank 5</t>
        </is>
      </c>
      <c r="D4" s="39" t="inlineStr">
        <is>
          <t>Tradeable</t>
        </is>
      </c>
      <c r="E4" s="39" t="n">
        <v>2</v>
      </c>
      <c r="F4" s="39" t="inlineStr">
        <is>
          <t>Caliban Prime, Uriel</t>
        </is>
      </c>
      <c r="G4" s="39" t="n">
        <v>20</v>
      </c>
      <c r="H4" s="39" t="n">
        <v>30</v>
      </c>
      <c r="I4" s="39" t="n">
        <v>33</v>
      </c>
      <c r="J4" s="39" t="n">
        <v>42</v>
      </c>
    </row>
    <row r="5">
      <c r="A5" s="39" t="inlineStr">
        <is>
          <t>Arcane Crepuscular</t>
        </is>
      </c>
      <c r="B5" s="39" t="inlineStr">
        <is>
          <t>Warframe</t>
        </is>
      </c>
      <c r="C5" s="39" t="inlineStr">
        <is>
          <t>Rank 5</t>
        </is>
      </c>
      <c r="D5" s="39" t="inlineStr">
        <is>
          <t>Tradeable</t>
        </is>
      </c>
      <c r="E5" s="39" t="n">
        <v>2</v>
      </c>
      <c r="F5" s="39" t="inlineStr">
        <is>
          <t>Ivara Prime, Loki Prime</t>
        </is>
      </c>
      <c r="G5" s="39" t="n">
        <v>25</v>
      </c>
      <c r="H5" s="39" t="n">
        <v>29</v>
      </c>
      <c r="I5" s="39" t="n">
        <v>33</v>
      </c>
      <c r="J5" s="39" t="n">
        <v>42</v>
      </c>
    </row>
    <row r="6">
      <c r="A6" s="39" t="inlineStr">
        <is>
          <t>Arcane Energize</t>
        </is>
      </c>
      <c r="B6" s="39" t="inlineStr">
        <is>
          <t>Warframe</t>
        </is>
      </c>
      <c r="C6" s="39" t="inlineStr">
        <is>
          <t>Rank 5</t>
        </is>
      </c>
      <c r="D6" s="39" t="inlineStr">
        <is>
          <t>Tradeable</t>
        </is>
      </c>
      <c r="E6" s="39" t="n">
        <v>38</v>
      </c>
      <c r="F6" s="39" t="inlineStr">
        <is>
          <t>Banshee Prime, Citrine Prime, Dagath, Dante, Equinox Prime, Follie, Grendel Prime, Gyre Prime, Harrow Prime, Hydroid Prime, Jade, Khora Prime, Koumei, Limbo Prime, Loki Prime, Mag Prime, Narin, Nekros Prime, Nezha Prime, Nokko, Nova Prime, Nyx Prime, Oberon Prime, Octavia Prime, Oraxia, Protea Prime</t>
        </is>
      </c>
      <c r="G6" s="39" t="n">
        <v>139</v>
      </c>
      <c r="H6" s="39" t="n">
        <v>140</v>
      </c>
      <c r="I6" s="39" t="n">
        <v>154</v>
      </c>
      <c r="J6" s="39" t="n">
        <v>168</v>
      </c>
    </row>
    <row r="7">
      <c r="A7" s="39" t="inlineStr">
        <is>
          <t>Arcane Expertise</t>
        </is>
      </c>
      <c r="B7" s="39" t="inlineStr">
        <is>
          <t>Warframe</t>
        </is>
      </c>
      <c r="C7" s="39" t="inlineStr">
        <is>
          <t>Rank 5</t>
        </is>
      </c>
      <c r="D7" s="39" t="inlineStr">
        <is>
          <t>Tradeable</t>
        </is>
      </c>
      <c r="E7" s="39" t="n">
        <v>1</v>
      </c>
      <c r="F7" s="39" t="inlineStr">
        <is>
          <t>Hildryn Prime</t>
        </is>
      </c>
      <c r="G7" s="39" t="n">
        <v>35</v>
      </c>
      <c r="H7" s="39" t="n">
        <v>39</v>
      </c>
      <c r="I7" s="39" t="n">
        <v>44</v>
      </c>
      <c r="J7" s="39" t="n">
        <v>63</v>
      </c>
    </row>
    <row r="8">
      <c r="A8" s="39" t="inlineStr">
        <is>
          <t>Arcane Fury</t>
        </is>
      </c>
      <c r="B8" s="39" t="inlineStr">
        <is>
          <t>Warframe</t>
        </is>
      </c>
      <c r="C8" s="39" t="inlineStr">
        <is>
          <t>Rank 5</t>
        </is>
      </c>
      <c r="D8" s="39" t="inlineStr">
        <is>
          <t>Tradeable</t>
        </is>
      </c>
      <c r="E8" s="39" t="n">
        <v>3</v>
      </c>
      <c r="F8" s="39" t="inlineStr">
        <is>
          <t>Kullervo, Valkyr Prime, Wukong Prime</t>
        </is>
      </c>
      <c r="G8" s="39" t="n">
        <v>120</v>
      </c>
      <c r="H8" s="39" t="n">
        <v>120</v>
      </c>
      <c r="I8" s="39" t="n">
        <v>149</v>
      </c>
      <c r="J8" s="39" t="n">
        <v>168</v>
      </c>
    </row>
    <row r="9">
      <c r="A9" s="39" t="inlineStr">
        <is>
          <t>Arcane Hot Shot</t>
        </is>
      </c>
      <c r="B9" s="39" t="inlineStr">
        <is>
          <t>Warframe</t>
        </is>
      </c>
      <c r="C9" s="39" t="inlineStr">
        <is>
          <t>Rank 5</t>
        </is>
      </c>
      <c r="D9" s="39" t="inlineStr">
        <is>
          <t>Tradeable</t>
        </is>
      </c>
      <c r="E9" s="39" t="n">
        <v>1</v>
      </c>
      <c r="F9" s="39" t="inlineStr">
        <is>
          <t>Ember Prime</t>
        </is>
      </c>
      <c r="G9" s="39" t="n">
        <v>310</v>
      </c>
      <c r="H9" s="39" t="n">
        <v>320</v>
      </c>
      <c r="I9" s="39" t="n">
        <v>386</v>
      </c>
      <c r="J9" s="39" t="n">
        <v>294</v>
      </c>
    </row>
    <row r="10">
      <c r="A10" s="39" t="inlineStr">
        <is>
          <t>Arcane Ice Storm</t>
        </is>
      </c>
      <c r="B10" s="39" t="inlineStr">
        <is>
          <t>Warframe</t>
        </is>
      </c>
      <c r="C10" s="39" t="inlineStr">
        <is>
          <t>Rank 5</t>
        </is>
      </c>
      <c r="D10" s="39" t="inlineStr">
        <is>
          <t>Tradeable</t>
        </is>
      </c>
      <c r="E10" s="39" t="n">
        <v>1</v>
      </c>
      <c r="F10" s="39" t="inlineStr">
        <is>
          <t>Frost Prime</t>
        </is>
      </c>
      <c r="G10" s="39" t="n">
        <v>74</v>
      </c>
      <c r="H10" s="39" t="n">
        <v>78</v>
      </c>
      <c r="I10" s="39" t="n">
        <v>94</v>
      </c>
      <c r="J10" s="39" t="n">
        <v>105</v>
      </c>
    </row>
    <row r="11">
      <c r="A11" s="39" t="inlineStr">
        <is>
          <t>Arcane Reaper</t>
        </is>
      </c>
      <c r="B11" s="39" t="inlineStr">
        <is>
          <t>Warframe</t>
        </is>
      </c>
      <c r="C11" s="39" t="inlineStr">
        <is>
          <t>Rank 5</t>
        </is>
      </c>
      <c r="D11" s="39" t="inlineStr">
        <is>
          <t>Tradeable</t>
        </is>
      </c>
      <c r="E11" s="39" t="n">
        <v>13</v>
      </c>
      <c r="F11" s="39" t="inlineStr">
        <is>
          <t>Atlas Prime, Baruuk Prime, Excalibur Umbra, Gara Prime, Garuda Prime, Inaros Prime, Kullervo, Lavos Prime, Nidus Prime, Rhino Prime, Valkyr Prime, Voruna Prime, Wukong Prime</t>
        </is>
      </c>
      <c r="G11" s="39" t="n">
        <v>350</v>
      </c>
      <c r="H11" s="39" t="n">
        <v>390</v>
      </c>
      <c r="I11" s="39" t="n">
        <v>441</v>
      </c>
      <c r="J11" s="39" t="n">
        <v>294</v>
      </c>
    </row>
    <row r="12">
      <c r="A12" s="39" t="inlineStr">
        <is>
          <t>Arcane Universal Fallout</t>
        </is>
      </c>
      <c r="B12" s="39" t="inlineStr">
        <is>
          <t>Warframe</t>
        </is>
      </c>
      <c r="C12" s="39" t="inlineStr">
        <is>
          <t>Rank 5</t>
        </is>
      </c>
      <c r="D12" s="39" t="inlineStr">
        <is>
          <t>Tradeable</t>
        </is>
      </c>
      <c r="E12" s="39" t="n">
        <v>1</v>
      </c>
      <c r="F12" s="39" t="inlineStr">
        <is>
          <t>Qorvex</t>
        </is>
      </c>
      <c r="G12" s="39" t="n">
        <v>90</v>
      </c>
      <c r="H12" s="39" t="n">
        <v>95</v>
      </c>
      <c r="I12" s="39" t="n">
        <v>111</v>
      </c>
      <c r="J12" s="39" t="n">
        <v>105</v>
      </c>
    </row>
    <row r="13">
      <c r="A13" s="39" t="inlineStr">
        <is>
          <t>Melee Animosity</t>
        </is>
      </c>
      <c r="B13" s="39" t="inlineStr">
        <is>
          <t>Melee</t>
        </is>
      </c>
      <c r="C13" s="39" t="inlineStr">
        <is>
          <t>Rank 5</t>
        </is>
      </c>
      <c r="D13" s="39" t="inlineStr">
        <is>
          <t>Tradeable</t>
        </is>
      </c>
      <c r="E13" s="39" t="n">
        <v>9</v>
      </c>
      <c r="F13" s="39" t="inlineStr">
        <is>
          <t>Corufell Prime, Fragor Prime, Galatine Prime, Gram Prime, Hate, Masseter Prime, Sarofang Prime, Scindo Prime, Venato Prime</t>
        </is>
      </c>
      <c r="G13" s="39" t="n">
        <v>60</v>
      </c>
      <c r="H13" s="39" t="n">
        <v>64</v>
      </c>
      <c r="I13" s="39" t="n">
        <v>77</v>
      </c>
      <c r="J13" s="39" t="n">
        <v>94.5</v>
      </c>
    </row>
    <row r="14">
      <c r="A14" s="39" t="inlineStr">
        <is>
          <t>Melee Crescendo</t>
        </is>
      </c>
      <c r="B14" s="39" t="inlineStr">
        <is>
          <t>Melee</t>
        </is>
      </c>
      <c r="C14" s="39" t="inlineStr">
        <is>
          <t>Rank 5</t>
        </is>
      </c>
      <c r="D14" s="39" t="inlineStr">
        <is>
          <t>Tradeable</t>
        </is>
      </c>
      <c r="E14" s="39" t="n">
        <v>1</v>
      </c>
      <c r="F14" s="39" t="inlineStr">
        <is>
          <t>Innodem</t>
        </is>
      </c>
      <c r="G14" s="39" t="n">
        <v>95</v>
      </c>
      <c r="H14" s="39" t="n">
        <v>98</v>
      </c>
      <c r="I14" s="39" t="n">
        <v>111</v>
      </c>
      <c r="J14" s="39" t="n">
        <v>105</v>
      </c>
    </row>
    <row r="15">
      <c r="A15" s="39" t="inlineStr">
        <is>
          <t>Melee Duplicate</t>
        </is>
      </c>
      <c r="B15" s="39" t="inlineStr">
        <is>
          <t>Melee</t>
        </is>
      </c>
      <c r="C15" s="39" t="inlineStr">
        <is>
          <t>Rank 5</t>
        </is>
      </c>
      <c r="D15" s="39" t="inlineStr">
        <is>
          <t>Tradeable</t>
        </is>
      </c>
      <c r="E15" s="39" t="n">
        <v>25</v>
      </c>
      <c r="F15" s="39" t="inlineStr">
        <is>
          <t>Amanata, Ankyros Prime, Azothane, Dakra Prime, Destreza Prime, Dorrclave, Dual Ichor, Dual Keres, Dual Keres Prime, Dual Zoren Prime, Guandao Prime, Hirudo, Karyst Prime, Nikana Prime, Okina Prime, Praedos, Prisma Ohma, Prisma Skana, Quassus Prime, Ruvox, Silva &amp; Aegis Prime, Stropha, Tekko Prime, T</t>
        </is>
      </c>
      <c r="G15" s="39" t="n">
        <v>170</v>
      </c>
      <c r="H15" s="39" t="n">
        <v>180</v>
      </c>
      <c r="I15" s="39" t="n">
        <v>221</v>
      </c>
      <c r="J15" s="39" t="n">
        <v>147</v>
      </c>
    </row>
    <row r="16">
      <c r="A16" s="39" t="inlineStr">
        <is>
          <t>Melee Influence</t>
        </is>
      </c>
      <c r="B16" s="39" t="inlineStr">
        <is>
          <t>Melee</t>
        </is>
      </c>
      <c r="C16" s="39" t="inlineStr">
        <is>
          <t>Rank 5</t>
        </is>
      </c>
      <c r="D16" s="39" t="inlineStr">
        <is>
          <t>Tradeable</t>
        </is>
      </c>
      <c r="E16" s="39" t="n">
        <v>23</v>
      </c>
      <c r="F16" s="39" t="inlineStr">
        <is>
          <t>Cerata, Dual Kamas Prime, Ghoulsaw, Glaive Prime, Gunsen Prime, Harmony, Jat Kittag, Keratinos, Kestrel Prime, Kogake Prime, Kronen Prime, Lesion, Mios, Nami Skyla Prime, Ohma, Pathocyst, Pride, Rakta Dark Dagger, Sibear, Slaytra, Spinnerex, Tatsu Prime, Volnus Prime</t>
        </is>
      </c>
      <c r="G16" s="39" t="n">
        <v>59</v>
      </c>
      <c r="H16" s="39" t="n">
        <v>65</v>
      </c>
      <c r="I16" s="39" t="n">
        <v>72</v>
      </c>
      <c r="J16" s="39" t="n">
        <v>84</v>
      </c>
    </row>
    <row r="17">
      <c r="A17" s="39" t="inlineStr">
        <is>
          <t>Molt Augmented</t>
        </is>
      </c>
      <c r="B17" s="39" t="inlineStr">
        <is>
          <t>Warframe</t>
        </is>
      </c>
      <c r="C17" s="39" t="inlineStr">
        <is>
          <t>Rank 5</t>
        </is>
      </c>
      <c r="D17" s="39" t="inlineStr">
        <is>
          <t>Tradeable</t>
        </is>
      </c>
      <c r="E17" s="39" t="n">
        <v>60</v>
      </c>
      <c r="F17" s="39" t="inlineStr">
        <is>
          <t>Ash Prime, Atlas Prime, Banshee Prime, Baruuk Prime, Caliban Prime, Chroma Prime, Citrine Prime, Cyte-09, Dagath, Dante, Ember Prime, Equinox Prime, Excalibur Umbra, Follie, Frost Prime, Gara Prime, Garuda Prime, Gauss Prime, Grendel Prime, Gyre Prime, Harrow Prime, Hildryn Prime, Hydroid Prime, Jad</t>
        </is>
      </c>
      <c r="G17" s="39" t="n">
        <v>35</v>
      </c>
      <c r="H17" s="39" t="n">
        <v>40</v>
      </c>
      <c r="I17" s="39" t="n">
        <v>44</v>
      </c>
      <c r="J17" s="39" t="n">
        <v>63</v>
      </c>
    </row>
    <row r="18">
      <c r="A18" s="39" t="inlineStr">
        <is>
          <t>Primary Deadhead</t>
        </is>
      </c>
      <c r="B18" s="39" t="inlineStr">
        <is>
          <t>Primary</t>
        </is>
      </c>
      <c r="C18" s="39" t="inlineStr">
        <is>
          <t>Rank 5</t>
        </is>
      </c>
      <c r="D18" s="39" t="inlineStr">
        <is>
          <t>Tradeable</t>
        </is>
      </c>
      <c r="E18" s="39" t="n">
        <v>19</v>
      </c>
      <c r="F18" s="39" t="inlineStr">
        <is>
          <t>Artemis Bow Prime, Cernos Prime, Cinta, Evensong, Komorex, Kuva Bramma, Nagantaka Prime, Nataruk, Neutralizer, Nunchasa, Paris Prime, Perigale Prime, Proboscis Cernos, Rubico Prime, Sporothrix, Vadarya Prime, Vectis, Vectis Prime, Zhuge Prime</t>
        </is>
      </c>
      <c r="G18" s="39" t="n">
        <v>13</v>
      </c>
      <c r="H18" s="39" t="n">
        <v>13</v>
      </c>
      <c r="I18" s="39" t="n">
        <v>17</v>
      </c>
      <c r="J18" s="39" t="n">
        <v>42</v>
      </c>
    </row>
    <row r="19">
      <c r="A19" s="39" t="inlineStr">
        <is>
          <t>Primary Merciless</t>
        </is>
      </c>
      <c r="B19" s="39" t="inlineStr">
        <is>
          <t>Primary</t>
        </is>
      </c>
      <c r="C19" s="39" t="inlineStr">
        <is>
          <t>Rank 5</t>
        </is>
      </c>
      <c r="D19" s="39" t="inlineStr">
        <is>
          <t>Tradeable</t>
        </is>
      </c>
      <c r="E19" s="39" t="n">
        <v>31</v>
      </c>
      <c r="F19" s="39" t="inlineStr">
        <is>
          <t>Acceltra Prime, Afentis Prime, Alternox Prime, Battacor, Baza Prime, Boltor Prime, Braton Prime, Burston Prime, Enkaus, Ferrox, Fulmin Prime, Glaxion Vandal, Gorgon Wraith, Higasa, Ignis Wraith, Kuva Ogris, Latron Prime, Lizzie, Opticor Vandal, Panthera Prime, Phenmor, Scourge Prime, Soma Prime, Sta</t>
        </is>
      </c>
      <c r="G19" s="39" t="n">
        <v>12</v>
      </c>
      <c r="H19" s="39" t="n">
        <v>15</v>
      </c>
      <c r="I19" s="39" t="n">
        <v>22</v>
      </c>
      <c r="J19" s="39" t="n">
        <v>42</v>
      </c>
    </row>
    <row r="20">
      <c r="A20" s="39" t="inlineStr">
        <is>
          <t>Secondary Deadhead</t>
        </is>
      </c>
      <c r="B20" s="39" t="inlineStr">
        <is>
          <t>Secondary</t>
        </is>
      </c>
      <c r="C20" s="39" t="inlineStr">
        <is>
          <t>Rank 5</t>
        </is>
      </c>
      <c r="D20" s="39" t="inlineStr">
        <is>
          <t>Tradeable</t>
        </is>
      </c>
      <c r="E20" s="39" t="n">
        <v>1</v>
      </c>
      <c r="F20" s="39" t="inlineStr">
        <is>
          <t>Regulators Prime</t>
        </is>
      </c>
      <c r="G20" s="39" t="n">
        <v>8</v>
      </c>
      <c r="H20" s="39" t="n">
        <v>10</v>
      </c>
      <c r="I20" s="39" t="n">
        <v>11</v>
      </c>
      <c r="J20" s="39" t="n">
        <v>21</v>
      </c>
    </row>
    <row r="21">
      <c r="A21" s="39" t="inlineStr">
        <is>
          <t>Secondary Encumber</t>
        </is>
      </c>
      <c r="B21" s="39" t="inlineStr">
        <is>
          <t>Secondary</t>
        </is>
      </c>
      <c r="C21" s="39" t="inlineStr">
        <is>
          <t>Rank 5</t>
        </is>
      </c>
      <c r="D21" s="39" t="inlineStr">
        <is>
          <t>Tradeable</t>
        </is>
      </c>
      <c r="E21" s="39" t="n">
        <v>29</v>
      </c>
      <c r="F21" s="39" t="inlineStr">
        <is>
          <t xml:space="preserve">Akarius Prime, Akbronco Prime, Akjagara Prime, Akstiletto Prime, Atomos, Bronco Prime, Cantare, Catabolyst, Cyanex, Dual Toxocyst, Furis, Fusilai, Hikou Prime, Kompressa Prime, Kulstar, Kuva Nukor, Kuva Twin Stubbas, Mara Detron, Ocucor, Pox, Prisma Angstrum, Spectra Vandal, Staticor, Tenet Cycron, </t>
        </is>
      </c>
      <c r="G21" s="39" t="n">
        <v>59</v>
      </c>
      <c r="H21" s="39" t="n">
        <v>60</v>
      </c>
      <c r="I21" s="39" t="n">
        <v>85</v>
      </c>
      <c r="J21" s="39" t="n">
        <v>84</v>
      </c>
    </row>
    <row r="22">
      <c r="A22" s="39" t="inlineStr">
        <is>
          <t>Secondary Merciless</t>
        </is>
      </c>
      <c r="B22" s="39" t="inlineStr">
        <is>
          <t>Secondary</t>
        </is>
      </c>
      <c r="C22" s="39" t="inlineStr">
        <is>
          <t>Rank 5</t>
        </is>
      </c>
      <c r="D22" s="39" t="inlineStr">
        <is>
          <t>Tradeable</t>
        </is>
      </c>
      <c r="E22" s="39" t="n">
        <v>31</v>
      </c>
      <c r="F22" s="39" t="inlineStr">
        <is>
          <t>Aegrit, Aksomati Prime, Aksondol, Akzani, Balefire Charger Prime, Catchmoon, Dex Pixia Prime, Epitaph Prime, Euphona Prime, Glory, Hystrix Prime, Knell Prime, Kunai, Laetum, Lato Vandal, Lex Prime, Magnus Prime, Noctua, Onos, Pandero Prime, Pyrana, Pyrana Prime, Riot-848, Scyotid, Sepulcrum, Sicarus</t>
        </is>
      </c>
      <c r="G22" s="39" t="n">
        <v>7</v>
      </c>
      <c r="H22" s="39" t="n">
        <v>8</v>
      </c>
      <c r="I22" s="39" t="n">
        <v>11</v>
      </c>
      <c r="J22" s="39" t="n">
        <v>21</v>
      </c>
    </row>
    <row r="23">
      <c r="A23" s="39" t="inlineStr">
        <is>
          <t>Secondary Outburst</t>
        </is>
      </c>
      <c r="B23" s="39" t="inlineStr">
        <is>
          <t>Secondary</t>
        </is>
      </c>
      <c r="C23" s="39" t="inlineStr">
        <is>
          <t>Rank 5</t>
        </is>
      </c>
      <c r="D23" s="39" t="inlineStr">
        <is>
          <t>Tradeable</t>
        </is>
      </c>
      <c r="E23" s="39" t="n">
        <v>8</v>
      </c>
      <c r="F23" s="39" t="inlineStr">
        <is>
          <t>Ballistica Prime, Despair, Epitaph, Grimoire, Tenet Diplos, Tenet Plinx, Twin Vipers Wraith, Vasto Prime</t>
        </is>
      </c>
      <c r="G23" s="39" t="n">
        <v>90</v>
      </c>
      <c r="H23" s="39" t="n">
        <v>90</v>
      </c>
      <c r="I23" s="39" t="n">
        <v>111</v>
      </c>
      <c r="J23" s="39" t="n">
        <v>168</v>
      </c>
    </row>
    <row r="24">
      <c r="A24" s="39" t="inlineStr">
        <is>
          <t>Shotgun Vendetta</t>
        </is>
      </c>
      <c r="B24" s="39" t="inlineStr">
        <is>
          <t>Shotgun</t>
        </is>
      </c>
      <c r="C24" s="39" t="inlineStr">
        <is>
          <t>Rank 5</t>
        </is>
      </c>
      <c r="D24" s="39" t="inlineStr">
        <is>
          <t>Tradeable</t>
        </is>
      </c>
      <c r="E24" s="39" t="n">
        <v>15</v>
      </c>
      <c r="F24" s="39" t="inlineStr">
        <is>
          <t>Astilla Prime, Boar Prime, Bubonico, Cedo, Cedo Prime, Corinth Prime, Felarx, Kuva Hek, Kuva Sobek, Phantasma Prime, Rauta, Steflos Prime, Strun Prime, Tenet Arca Plasmor, Tigris Prime</t>
        </is>
      </c>
      <c r="G24" s="39" t="n">
        <v>99</v>
      </c>
      <c r="H24" s="39" t="n">
        <v>100</v>
      </c>
      <c r="I24" s="39" t="n">
        <v>176</v>
      </c>
      <c r="J24" s="39" t="n">
        <v>147</v>
      </c>
    </row>
  </sheetData>
  <autoFilter ref="A1:J2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cols>
    <col width="20" customWidth="1" style="26" min="1" max="1"/>
    <col width="30" customWidth="1" style="26" min="2" max="2"/>
    <col width="14" customWidth="1" style="26" min="3" max="3"/>
    <col width="24" customWidth="1" style="26" min="4" max="4"/>
    <col width="30" customWidth="1" style="26" min="5" max="5"/>
    <col width="42" customWidth="1" style="26" min="6" max="6"/>
    <col width="16" customWidth="1" style="26" min="7" max="7"/>
  </cols>
  <sheetData>
    <row r="1">
      <c r="A1" s="51" t="inlineStr">
        <is>
          <t>Class</t>
        </is>
      </c>
      <c r="B1" s="51" t="inlineStr">
        <is>
          <t>Mod / Mandate</t>
        </is>
      </c>
      <c r="C1" s="51" t="inlineStr">
        <is>
          <t>Target Rank</t>
        </is>
      </c>
      <c r="D1" s="51" t="inlineStr">
        <is>
          <t>Acquisition</t>
        </is>
      </c>
      <c r="E1" s="51" t="inlineStr">
        <is>
          <t>Trade Status</t>
        </is>
      </c>
      <c r="F1" s="51" t="inlineStr">
        <is>
          <t>Notes</t>
        </is>
      </c>
      <c r="G1" s="51" t="inlineStr">
        <is>
          <t>Status</t>
        </is>
      </c>
      <c r="H1" s="51" t="inlineStr">
        <is>
          <t>Max Rank</t>
        </is>
      </c>
      <c r="I1" s="51" t="inlineStr">
        <is>
          <t>Floor Pt</t>
        </is>
      </c>
      <c r="J1" s="51" t="inlineStr">
        <is>
          <t>Realistic Pt</t>
        </is>
      </c>
      <c r="K1" s="51" t="inlineStr">
        <is>
          <t>Conservative Pt</t>
        </is>
      </c>
      <c r="L1" s="51" t="inlineStr">
        <is>
          <t>Market status</t>
        </is>
      </c>
    </row>
    <row r="2">
      <c r="A2" s="37" t="inlineStr">
        <is>
          <t>Collection mandate</t>
        </is>
      </c>
      <c r="B2" s="37" t="inlineStr">
        <is>
          <t>ALL tradeable Mods</t>
        </is>
      </c>
      <c r="C2" s="37" t="inlineStr">
        <is>
          <t>MAX RANK</t>
        </is>
      </c>
      <c r="D2" s="37" t="inlineStr">
        <is>
          <t>Player trade / normal acquisition</t>
        </is>
      </c>
      <c r="E2" s="37" t="inlineStr">
        <is>
          <t>Exclude Rivens; exclude Flawed; exclude Daily Tribute/account-bound mods</t>
        </is>
      </c>
      <c r="F2" s="37" t="inlineStr">
        <is>
          <t>Permanent collection doctrine</t>
        </is>
      </c>
    </row>
    <row r="3">
      <c r="A3" s="37" t="inlineStr">
        <is>
          <t>Warframe core</t>
        </is>
      </c>
      <c r="B3" s="37" t="inlineStr">
        <is>
          <t>Primed Continuity</t>
        </is>
      </c>
      <c r="C3" s="37" t="inlineStr">
        <is>
          <t>MAX</t>
        </is>
      </c>
      <c r="D3" s="37" t="inlineStr">
        <is>
          <t>Baro/trade</t>
        </is>
      </c>
      <c r="E3" s="37" t="inlineStr">
        <is>
          <t>Tradeable when unused copy conditions allow</t>
        </is>
      </c>
      <c r="F3" s="37" t="inlineStr">
        <is>
          <t>High priority</t>
        </is>
      </c>
      <c r="H3" t="n">
        <v>10</v>
      </c>
      <c r="I3" t="n">
        <v>100</v>
      </c>
      <c r="J3" t="n">
        <v>115</v>
      </c>
      <c r="K3" t="n">
        <v>132</v>
      </c>
      <c r="L3" t="inlineStr">
        <is>
          <t>OK</t>
        </is>
      </c>
    </row>
    <row r="4">
      <c r="A4" s="37" t="inlineStr">
        <is>
          <t>Warframe core</t>
        </is>
      </c>
      <c r="B4" s="37" t="inlineStr">
        <is>
          <t>Umbral Intensify</t>
        </is>
      </c>
      <c r="C4" s="37" t="inlineStr">
        <is>
          <t>MAX</t>
        </is>
      </c>
      <c r="D4" s="37" t="inlineStr">
        <is>
          <t>Account-bound progression</t>
        </is>
      </c>
      <c r="E4" s="37" t="inlineStr">
        <is>
          <t>Not a trade purchase</t>
        </is>
      </c>
      <c r="F4" s="37" t="inlineStr">
        <is>
          <t>High priority</t>
        </is>
      </c>
    </row>
    <row r="5">
      <c r="A5" s="37" t="inlineStr">
        <is>
          <t>Warframe core</t>
        </is>
      </c>
      <c r="B5" s="37" t="inlineStr">
        <is>
          <t>Umbral Vitality</t>
        </is>
      </c>
      <c r="C5" s="37" t="inlineStr">
        <is>
          <t>MAX</t>
        </is>
      </c>
      <c r="D5" s="37" t="inlineStr">
        <is>
          <t>Account-bound progression</t>
        </is>
      </c>
      <c r="E5" s="37" t="inlineStr">
        <is>
          <t>Not a trade purchase</t>
        </is>
      </c>
      <c r="F5" s="37" t="str"/>
    </row>
    <row r="6">
      <c r="A6" s="37" t="inlineStr">
        <is>
          <t>Warframe core</t>
        </is>
      </c>
      <c r="B6" s="37" t="inlineStr">
        <is>
          <t>Umbral Fiber</t>
        </is>
      </c>
      <c r="C6" s="37" t="inlineStr">
        <is>
          <t>MAX</t>
        </is>
      </c>
      <c r="D6" s="37" t="inlineStr">
        <is>
          <t>Account-bound progression</t>
        </is>
      </c>
      <c r="E6" s="37" t="inlineStr">
        <is>
          <t>Not a trade purchase</t>
        </is>
      </c>
      <c r="F6" s="37" t="str"/>
    </row>
    <row r="7">
      <c r="A7" s="37" t="inlineStr">
        <is>
          <t>Warframe core</t>
        </is>
      </c>
      <c r="B7" s="37" t="inlineStr">
        <is>
          <t>Blind Rage</t>
        </is>
      </c>
      <c r="C7" s="37" t="inlineStr">
        <is>
          <t>MAX</t>
        </is>
      </c>
      <c r="D7" s="37" t="inlineStr">
        <is>
          <t>Trade/farm</t>
        </is>
      </c>
      <c r="E7" s="37" t="inlineStr">
        <is>
          <t>Tradeable</t>
        </is>
      </c>
      <c r="F7" s="37" t="str"/>
      <c r="H7" t="n">
        <v>10</v>
      </c>
      <c r="I7" t="n">
        <v>84</v>
      </c>
      <c r="J7" t="n">
        <v>90</v>
      </c>
      <c r="K7" t="n">
        <v>111</v>
      </c>
      <c r="L7" t="inlineStr">
        <is>
          <t>OK</t>
        </is>
      </c>
    </row>
    <row r="8">
      <c r="A8" s="37" t="inlineStr">
        <is>
          <t>Warframe core</t>
        </is>
      </c>
      <c r="B8" s="37" t="inlineStr">
        <is>
          <t>Transient Fortitude</t>
        </is>
      </c>
      <c r="C8" s="37" t="inlineStr">
        <is>
          <t>MAX</t>
        </is>
      </c>
      <c r="D8" s="37" t="inlineStr">
        <is>
          <t>Trade/farm</t>
        </is>
      </c>
      <c r="E8" s="37" t="inlineStr">
        <is>
          <t>Tradeable</t>
        </is>
      </c>
      <c r="F8" s="37" t="str"/>
      <c r="H8" t="n">
        <v>10</v>
      </c>
      <c r="I8" t="n">
        <v>75</v>
      </c>
      <c r="J8" t="n">
        <v>78</v>
      </c>
      <c r="K8" t="n">
        <v>88</v>
      </c>
      <c r="L8" t="inlineStr">
        <is>
          <t>OK</t>
        </is>
      </c>
    </row>
    <row r="9">
      <c r="A9" s="37" t="inlineStr">
        <is>
          <t>Warframe core</t>
        </is>
      </c>
      <c r="B9" s="37" t="inlineStr">
        <is>
          <t>Overextended</t>
        </is>
      </c>
      <c r="C9" s="37" t="inlineStr">
        <is>
          <t>MAX</t>
        </is>
      </c>
      <c r="D9" s="37" t="inlineStr">
        <is>
          <t>Trade/farm</t>
        </is>
      </c>
      <c r="E9" s="37" t="inlineStr">
        <is>
          <t>Tradeable</t>
        </is>
      </c>
      <c r="F9" s="37" t="str"/>
      <c r="H9" t="n">
        <v>5</v>
      </c>
      <c r="I9" t="n">
        <v>20</v>
      </c>
      <c r="J9" t="n">
        <v>29</v>
      </c>
      <c r="K9" t="n">
        <v>33</v>
      </c>
      <c r="L9" t="inlineStr">
        <is>
          <t>OK</t>
        </is>
      </c>
    </row>
    <row r="10">
      <c r="A10" s="37" t="inlineStr">
        <is>
          <t>Warframe core</t>
        </is>
      </c>
      <c r="B10" s="37" t="inlineStr">
        <is>
          <t>Narrow Minded</t>
        </is>
      </c>
      <c r="C10" s="37" t="inlineStr">
        <is>
          <t>MAX</t>
        </is>
      </c>
      <c r="D10" s="37" t="inlineStr">
        <is>
          <t>Trade/farm</t>
        </is>
      </c>
      <c r="E10" s="37" t="inlineStr">
        <is>
          <t>Tradeable</t>
        </is>
      </c>
      <c r="F10" s="37" t="str"/>
      <c r="H10" t="n">
        <v>10</v>
      </c>
      <c r="I10" t="n">
        <v>73</v>
      </c>
      <c r="J10" t="n">
        <v>74</v>
      </c>
      <c r="K10" t="n">
        <v>88</v>
      </c>
      <c r="L10" t="inlineStr">
        <is>
          <t>OK</t>
        </is>
      </c>
    </row>
    <row r="11">
      <c r="A11" s="37" t="inlineStr">
        <is>
          <t>Warframe core</t>
        </is>
      </c>
      <c r="B11" s="37" t="inlineStr">
        <is>
          <t>Stretch</t>
        </is>
      </c>
      <c r="C11" s="37" t="inlineStr">
        <is>
          <t>MAX</t>
        </is>
      </c>
      <c r="D11" s="37" t="inlineStr">
        <is>
          <t>Trade/farm</t>
        </is>
      </c>
      <c r="E11" s="37" t="inlineStr">
        <is>
          <t>Tradeable</t>
        </is>
      </c>
      <c r="F11" s="37" t="str"/>
      <c r="H11" t="n">
        <v>5</v>
      </c>
      <c r="I11" t="n">
        <v>8</v>
      </c>
      <c r="J11" t="n">
        <v>13.5</v>
      </c>
      <c r="K11" t="n">
        <v>22</v>
      </c>
      <c r="L11" t="inlineStr">
        <is>
          <t>OK</t>
        </is>
      </c>
    </row>
    <row r="12">
      <c r="A12" s="37" t="inlineStr">
        <is>
          <t>Warframe core</t>
        </is>
      </c>
      <c r="B12" s="37" t="inlineStr">
        <is>
          <t>Augur Reach</t>
        </is>
      </c>
      <c r="C12" s="37" t="inlineStr">
        <is>
          <t>MAX</t>
        </is>
      </c>
      <c r="D12" s="37" t="inlineStr">
        <is>
          <t>Trade/farm</t>
        </is>
      </c>
      <c r="E12" s="37" t="inlineStr">
        <is>
          <t>Tradeable</t>
        </is>
      </c>
      <c r="F12" s="37" t="str"/>
      <c r="H12" t="n">
        <v>5</v>
      </c>
      <c r="I12" t="n">
        <v>25</v>
      </c>
      <c r="J12" t="n">
        <v>30</v>
      </c>
      <c r="K12" t="n">
        <v>66</v>
      </c>
      <c r="L12" t="inlineStr">
        <is>
          <t>OK</t>
        </is>
      </c>
    </row>
    <row r="13">
      <c r="A13" s="37" t="inlineStr">
        <is>
          <t>Warframe core</t>
        </is>
      </c>
      <c r="B13" s="37" t="inlineStr">
        <is>
          <t>Streamline</t>
        </is>
      </c>
      <c r="C13" s="37" t="inlineStr">
        <is>
          <t>MAX</t>
        </is>
      </c>
      <c r="D13" s="37" t="inlineStr">
        <is>
          <t>Trade/farm</t>
        </is>
      </c>
      <c r="E13" s="37" t="inlineStr">
        <is>
          <t>Tradeable</t>
        </is>
      </c>
      <c r="F13" s="37" t="str"/>
      <c r="H13" t="n">
        <v>5</v>
      </c>
      <c r="I13" t="n">
        <v>4</v>
      </c>
      <c r="J13" t="n">
        <v>7</v>
      </c>
      <c r="K13" t="n">
        <v>11</v>
      </c>
      <c r="L13" t="inlineStr">
        <is>
          <t>OK</t>
        </is>
      </c>
    </row>
    <row r="14">
      <c r="A14" s="37" t="inlineStr">
        <is>
          <t>Warframe core</t>
        </is>
      </c>
      <c r="B14" s="37" t="inlineStr">
        <is>
          <t>Primed Flow</t>
        </is>
      </c>
      <c r="C14" s="37" t="inlineStr">
        <is>
          <t>MAX</t>
        </is>
      </c>
      <c r="D14" s="37" t="inlineStr">
        <is>
          <t>Baro/trade</t>
        </is>
      </c>
      <c r="E14" s="37" t="inlineStr">
        <is>
          <t>Tradeable</t>
        </is>
      </c>
      <c r="F14" s="37" t="str"/>
      <c r="H14" t="n">
        <v>10</v>
      </c>
      <c r="I14" t="n">
        <v>80</v>
      </c>
      <c r="J14" t="n">
        <v>90</v>
      </c>
      <c r="K14" t="n">
        <v>111</v>
      </c>
      <c r="L14" t="inlineStr">
        <is>
          <t>OK</t>
        </is>
      </c>
    </row>
    <row r="15">
      <c r="A15" s="37" t="inlineStr">
        <is>
          <t>Warframe core</t>
        </is>
      </c>
      <c r="B15" s="37" t="inlineStr">
        <is>
          <t>Adaptation</t>
        </is>
      </c>
      <c r="C15" s="37" t="inlineStr">
        <is>
          <t>MAX</t>
        </is>
      </c>
      <c r="D15" s="37" t="inlineStr">
        <is>
          <t>Trade/farm</t>
        </is>
      </c>
      <c r="E15" s="37" t="inlineStr">
        <is>
          <t>Tradeable</t>
        </is>
      </c>
      <c r="F15" s="37" t="str"/>
      <c r="H15" t="n">
        <v>10</v>
      </c>
      <c r="I15" t="n">
        <v>60</v>
      </c>
      <c r="J15" t="n">
        <v>68</v>
      </c>
      <c r="K15" t="n">
        <v>76</v>
      </c>
      <c r="L15" t="inlineStr">
        <is>
          <t>OK</t>
        </is>
      </c>
    </row>
    <row r="16">
      <c r="A16" s="37" t="inlineStr">
        <is>
          <t>Warframe core</t>
        </is>
      </c>
      <c r="B16" s="37" t="inlineStr">
        <is>
          <t>Rolling Guard</t>
        </is>
      </c>
      <c r="C16" s="37" t="inlineStr">
        <is>
          <t>MAX</t>
        </is>
      </c>
      <c r="D16" s="37" t="inlineStr">
        <is>
          <t>Trade/farm</t>
        </is>
      </c>
      <c r="E16" s="37" t="inlineStr">
        <is>
          <t>Tradeable</t>
        </is>
      </c>
      <c r="F16" s="37" t="str"/>
      <c r="H16" t="n">
        <v>10</v>
      </c>
      <c r="I16" t="n">
        <v>75</v>
      </c>
      <c r="J16" t="n">
        <v>80</v>
      </c>
      <c r="K16" t="n">
        <v>100</v>
      </c>
      <c r="L16" t="inlineStr">
        <is>
          <t>OK</t>
        </is>
      </c>
    </row>
    <row r="17">
      <c r="A17" s="37" t="inlineStr">
        <is>
          <t>Exilus</t>
        </is>
      </c>
      <c r="B17" s="37" t="inlineStr">
        <is>
          <t>Primed Sure Footed</t>
        </is>
      </c>
      <c r="C17" s="37" t="inlineStr">
        <is>
          <t>MAX</t>
        </is>
      </c>
      <c r="D17" s="37" t="inlineStr">
        <is>
          <t>Daily Tribute</t>
        </is>
      </c>
      <c r="E17" s="37" t="inlineStr">
        <is>
          <t>ACCOUNT-BOUND / earn</t>
        </is>
      </c>
      <c r="F17" s="37" t="inlineStr">
        <is>
          <t>Cannot be bought</t>
        </is>
      </c>
    </row>
    <row r="18">
      <c r="A18" s="37" t="inlineStr">
        <is>
          <t>Augment</t>
        </is>
      </c>
      <c r="B18" s="37" t="inlineStr">
        <is>
          <t>Savage Silence</t>
        </is>
      </c>
      <c r="C18" s="37" t="inlineStr">
        <is>
          <t>MAX</t>
        </is>
      </c>
      <c r="D18" s="37" t="inlineStr">
        <is>
          <t>Syndicate/trade</t>
        </is>
      </c>
      <c r="E18" s="37" t="inlineStr">
        <is>
          <t>Tradeable</t>
        </is>
      </c>
      <c r="F18" s="37" t="inlineStr">
        <is>
          <t>Banshee (v4 fix: was Ash)</t>
        </is>
      </c>
      <c r="H18" t="n">
        <v>3</v>
      </c>
      <c r="I18" t="n">
        <v>19</v>
      </c>
      <c r="J18" t="n">
        <v>23.2</v>
      </c>
      <c r="K18" t="n">
        <v>48</v>
      </c>
      <c r="L18" t="inlineStr">
        <is>
          <t>OK</t>
        </is>
      </c>
    </row>
    <row r="19">
      <c r="A19" s="37" t="inlineStr">
        <is>
          <t>Augment</t>
        </is>
      </c>
      <c r="B19" s="37" t="inlineStr">
        <is>
          <t>Rubble Heap</t>
        </is>
      </c>
      <c r="C19" s="37" t="inlineStr">
        <is>
          <t>MAX</t>
        </is>
      </c>
      <c r="D19" s="37" t="inlineStr">
        <is>
          <t>Syndicate/trade</t>
        </is>
      </c>
      <c r="E19" s="37" t="inlineStr">
        <is>
          <t>Tradeable</t>
        </is>
      </c>
      <c r="F19" s="37" t="inlineStr">
        <is>
          <t>Atlas</t>
        </is>
      </c>
      <c r="H19" t="n">
        <v>3</v>
      </c>
      <c r="I19" t="n">
        <v>20</v>
      </c>
      <c r="J19" t="n">
        <v>22.5</v>
      </c>
      <c r="K19" t="n">
        <v>50</v>
      </c>
      <c r="L19" t="inlineStr">
        <is>
          <t>OK</t>
        </is>
      </c>
    </row>
    <row r="20">
      <c r="A20" s="37" t="inlineStr">
        <is>
          <t>Augment</t>
        </is>
      </c>
      <c r="B20" s="37" t="inlineStr">
        <is>
          <t>Resonance</t>
        </is>
      </c>
      <c r="C20" s="37" t="inlineStr">
        <is>
          <t>MAX</t>
        </is>
      </c>
      <c r="D20" s="37" t="inlineStr">
        <is>
          <t>Syndicate/trade</t>
        </is>
      </c>
      <c r="E20" s="37" t="inlineStr">
        <is>
          <t>Tradeable</t>
        </is>
      </c>
      <c r="F20" s="37" t="inlineStr">
        <is>
          <t>Banshee</t>
        </is>
      </c>
      <c r="H20" t="n">
        <v>3</v>
      </c>
      <c r="I20" t="n">
        <v>19</v>
      </c>
      <c r="J20" t="n">
        <v>25</v>
      </c>
      <c r="K20" t="n">
        <v>28</v>
      </c>
      <c r="L20" t="inlineStr">
        <is>
          <t>OK</t>
        </is>
      </c>
    </row>
    <row r="21">
      <c r="A21" s="37" t="inlineStr">
        <is>
          <t>Augment</t>
        </is>
      </c>
      <c r="B21" s="37" t="inlineStr">
        <is>
          <t>Reactive Storm</t>
        </is>
      </c>
      <c r="C21" s="37" t="inlineStr">
        <is>
          <t>MAX</t>
        </is>
      </c>
      <c r="D21" s="37" t="inlineStr">
        <is>
          <t>Syndicate/trade</t>
        </is>
      </c>
      <c r="E21" s="37" t="inlineStr">
        <is>
          <t>Tradeable</t>
        </is>
      </c>
      <c r="F21" s="37" t="inlineStr">
        <is>
          <t>Baruuk</t>
        </is>
      </c>
      <c r="H21" t="n">
        <v>3</v>
      </c>
      <c r="I21" t="n">
        <v>11</v>
      </c>
      <c r="J21" t="n">
        <v>15</v>
      </c>
      <c r="K21" t="n">
        <v>26</v>
      </c>
      <c r="L21" t="inlineStr">
        <is>
          <t>OK</t>
        </is>
      </c>
    </row>
    <row r="22">
      <c r="A22" s="37" t="inlineStr">
        <is>
          <t>Augment</t>
        </is>
      </c>
      <c r="B22" s="37" t="inlineStr">
        <is>
          <t>Exothermic</t>
        </is>
      </c>
      <c r="C22" s="37" t="inlineStr">
        <is>
          <t>MAX</t>
        </is>
      </c>
      <c r="D22" s="37" t="inlineStr">
        <is>
          <t>Syndicate/trade</t>
        </is>
      </c>
      <c r="E22" s="37" t="inlineStr">
        <is>
          <t>Tradeable</t>
        </is>
      </c>
      <c r="F22" s="37" t="inlineStr">
        <is>
          <t>Ember</t>
        </is>
      </c>
      <c r="H22" t="n">
        <v>3</v>
      </c>
      <c r="I22" t="n">
        <v>8</v>
      </c>
      <c r="J22" t="n">
        <v>10</v>
      </c>
      <c r="K22" t="n">
        <v>14</v>
      </c>
      <c r="L22" t="inlineStr">
        <is>
          <t>OK</t>
        </is>
      </c>
    </row>
    <row r="23">
      <c r="A23" s="37" t="inlineStr">
        <is>
          <t>Augment</t>
        </is>
      </c>
      <c r="B23" s="37" t="inlineStr">
        <is>
          <t>Chromatic Blade</t>
        </is>
      </c>
      <c r="C23" s="37" t="inlineStr">
        <is>
          <t>MAX</t>
        </is>
      </c>
      <c r="D23" s="37" t="inlineStr">
        <is>
          <t>Syndicate/trade</t>
        </is>
      </c>
      <c r="E23" s="37" t="inlineStr">
        <is>
          <t>Tradeable</t>
        </is>
      </c>
      <c r="F23" s="37" t="inlineStr">
        <is>
          <t>Excalibur</t>
        </is>
      </c>
      <c r="H23" t="n">
        <v>3</v>
      </c>
      <c r="I23" t="n">
        <v>17</v>
      </c>
      <c r="J23" t="n">
        <v>17</v>
      </c>
      <c r="K23" t="n">
        <v>25</v>
      </c>
      <c r="L23" t="inlineStr">
        <is>
          <t>OK</t>
        </is>
      </c>
    </row>
    <row r="24">
      <c r="A24" s="37" t="inlineStr">
        <is>
          <t>Augment</t>
        </is>
      </c>
      <c r="B24" s="37" t="inlineStr">
        <is>
          <t>Icy Avalanche</t>
        </is>
      </c>
      <c r="C24" s="37" t="inlineStr">
        <is>
          <t>MAX</t>
        </is>
      </c>
      <c r="D24" s="37" t="inlineStr">
        <is>
          <t>Syndicate/trade</t>
        </is>
      </c>
      <c r="E24" s="37" t="inlineStr">
        <is>
          <t>Tradeable</t>
        </is>
      </c>
      <c r="F24" s="37" t="inlineStr">
        <is>
          <t>Frost</t>
        </is>
      </c>
      <c r="H24" t="n">
        <v>3</v>
      </c>
      <c r="I24" t="n">
        <v>20</v>
      </c>
      <c r="J24" t="n">
        <v>20</v>
      </c>
      <c r="K24" t="n">
        <v>44</v>
      </c>
      <c r="L24" t="inlineStr">
        <is>
          <t>OK</t>
        </is>
      </c>
    </row>
    <row r="25">
      <c r="A25" s="37" t="inlineStr">
        <is>
          <t>Augment</t>
        </is>
      </c>
      <c r="B25" s="37" t="inlineStr">
        <is>
          <t>Biting Frost</t>
        </is>
      </c>
      <c r="C25" s="37" t="inlineStr">
        <is>
          <t>MAX</t>
        </is>
      </c>
      <c r="D25" s="37" t="inlineStr">
        <is>
          <t>Syndicate/trade</t>
        </is>
      </c>
      <c r="E25" s="37" t="inlineStr">
        <is>
          <t>Tradeable</t>
        </is>
      </c>
      <c r="F25" s="37" t="inlineStr">
        <is>
          <t>Frost</t>
        </is>
      </c>
      <c r="H25" t="n">
        <v>3</v>
      </c>
      <c r="I25" t="n">
        <v>19</v>
      </c>
      <c r="J25" t="n">
        <v>19.5</v>
      </c>
      <c r="K25" t="n">
        <v>43</v>
      </c>
      <c r="L25" t="inlineStr">
        <is>
          <t>OK</t>
        </is>
      </c>
    </row>
    <row r="26">
      <c r="A26" s="37" t="inlineStr">
        <is>
          <t>Augment</t>
        </is>
      </c>
      <c r="B26" s="37" t="inlineStr">
        <is>
          <t>Cathode Current</t>
        </is>
      </c>
      <c r="C26" s="37" t="inlineStr">
        <is>
          <t>MAX</t>
        </is>
      </c>
      <c r="D26" s="37" t="inlineStr">
        <is>
          <t>Syndicate/trade</t>
        </is>
      </c>
      <c r="E26" s="37" t="inlineStr">
        <is>
          <t>Tradeable</t>
        </is>
      </c>
      <c r="F26" s="37" t="inlineStr">
        <is>
          <t>Gyre</t>
        </is>
      </c>
      <c r="H26" t="n">
        <v>3</v>
      </c>
      <c r="I26" t="n">
        <v>20</v>
      </c>
      <c r="J26" t="n">
        <v>21.8</v>
      </c>
      <c r="K26" t="n">
        <v>44</v>
      </c>
      <c r="L26" t="inlineStr">
        <is>
          <t>OK</t>
        </is>
      </c>
    </row>
    <row r="27">
      <c r="A27" s="37" t="inlineStr">
        <is>
          <t>Augment</t>
        </is>
      </c>
      <c r="B27" s="37" t="inlineStr">
        <is>
          <t>Blazing Pillage</t>
        </is>
      </c>
      <c r="C27" s="37" t="inlineStr">
        <is>
          <t>MAX</t>
        </is>
      </c>
      <c r="D27" s="37" t="inlineStr">
        <is>
          <t>Syndicate/trade</t>
        </is>
      </c>
      <c r="E27" s="37" t="inlineStr">
        <is>
          <t>Tradeable</t>
        </is>
      </c>
      <c r="F27" s="37" t="inlineStr">
        <is>
          <t>Hildryn</t>
        </is>
      </c>
      <c r="H27" t="n">
        <v>3</v>
      </c>
      <c r="I27" t="n">
        <v>8</v>
      </c>
      <c r="J27" t="n">
        <v>12</v>
      </c>
      <c r="K27" t="n">
        <v>17</v>
      </c>
      <c r="L27" t="inlineStr">
        <is>
          <t>OK</t>
        </is>
      </c>
    </row>
    <row r="28">
      <c r="A28" s="37" t="inlineStr">
        <is>
          <t>Augment</t>
        </is>
      </c>
      <c r="B28" s="37" t="inlineStr">
        <is>
          <t>Infiltrate</t>
        </is>
      </c>
      <c r="C28" s="37" t="inlineStr">
        <is>
          <t>MAX</t>
        </is>
      </c>
      <c r="D28" s="37" t="inlineStr">
        <is>
          <t>Syndicate/trade</t>
        </is>
      </c>
      <c r="E28" s="37" t="inlineStr">
        <is>
          <t>Tradeable</t>
        </is>
      </c>
      <c r="F28" s="37" t="inlineStr">
        <is>
          <t>Ivara</t>
        </is>
      </c>
      <c r="H28" t="n">
        <v>3</v>
      </c>
      <c r="I28" t="n">
        <v>20</v>
      </c>
      <c r="J28" t="n">
        <v>20</v>
      </c>
      <c r="K28" t="n">
        <v>44</v>
      </c>
      <c r="L28" t="inlineStr">
        <is>
          <t>OK</t>
        </is>
      </c>
    </row>
    <row r="29">
      <c r="A29" s="37" t="inlineStr">
        <is>
          <t>Augment</t>
        </is>
      </c>
      <c r="B29" s="37" t="inlineStr">
        <is>
          <t>Accumulating Whipclaw</t>
        </is>
      </c>
      <c r="C29" s="37" t="inlineStr">
        <is>
          <t>MAX</t>
        </is>
      </c>
      <c r="D29" s="37" t="inlineStr">
        <is>
          <t>Syndicate/trade</t>
        </is>
      </c>
      <c r="E29" s="37" t="inlineStr">
        <is>
          <t>Tradeable</t>
        </is>
      </c>
      <c r="F29" s="37" t="inlineStr">
        <is>
          <t>Khora</t>
        </is>
      </c>
      <c r="H29" t="n">
        <v>3</v>
      </c>
      <c r="I29" t="n">
        <v>10</v>
      </c>
      <c r="J29" t="n">
        <v>15</v>
      </c>
      <c r="K29" t="n">
        <v>28</v>
      </c>
      <c r="L29" t="inlineStr">
        <is>
          <t>OK</t>
        </is>
      </c>
    </row>
    <row r="30">
      <c r="A30" s="37" t="inlineStr">
        <is>
          <t>Augment</t>
        </is>
      </c>
      <c r="B30" s="37" t="inlineStr">
        <is>
          <t>Pilfering Strangledome</t>
        </is>
      </c>
      <c r="C30" s="37" t="inlineStr">
        <is>
          <t>MAX</t>
        </is>
      </c>
      <c r="D30" s="37" t="inlineStr">
        <is>
          <t>Syndicate/trade</t>
        </is>
      </c>
      <c r="E30" s="37" t="inlineStr">
        <is>
          <t>Tradeable</t>
        </is>
      </c>
      <c r="F30" s="37" t="inlineStr">
        <is>
          <t>Khora</t>
        </is>
      </c>
      <c r="H30" t="n">
        <v>3</v>
      </c>
      <c r="I30" t="n">
        <v>15</v>
      </c>
      <c r="J30" t="n">
        <v>15</v>
      </c>
      <c r="K30" t="n">
        <v>21</v>
      </c>
      <c r="L30" t="inlineStr">
        <is>
          <t>OK</t>
        </is>
      </c>
    </row>
    <row r="31">
      <c r="A31" s="37" t="inlineStr">
        <is>
          <t>Augment</t>
        </is>
      </c>
      <c r="B31" s="37" t="inlineStr">
        <is>
          <t>Hushed Invisibility</t>
        </is>
      </c>
      <c r="C31" s="37" t="inlineStr">
        <is>
          <t>MAX</t>
        </is>
      </c>
      <c r="D31" s="37" t="inlineStr">
        <is>
          <t>Syndicate/trade</t>
        </is>
      </c>
      <c r="E31" s="37" t="inlineStr">
        <is>
          <t>Tradeable</t>
        </is>
      </c>
      <c r="F31" s="37" t="inlineStr">
        <is>
          <t>Loki</t>
        </is>
      </c>
      <c r="H31" t="n">
        <v>3</v>
      </c>
      <c r="I31" t="n">
        <v>10</v>
      </c>
      <c r="J31" t="n">
        <v>10</v>
      </c>
      <c r="K31" t="n">
        <v>14</v>
      </c>
      <c r="L31" t="inlineStr">
        <is>
          <t>OK</t>
        </is>
      </c>
    </row>
    <row r="32">
      <c r="A32" s="37" t="inlineStr">
        <is>
          <t>Augment</t>
        </is>
      </c>
      <c r="B32" s="37" t="inlineStr">
        <is>
          <t>Fracturing Crush</t>
        </is>
      </c>
      <c r="C32" s="37" t="inlineStr">
        <is>
          <t>MAX</t>
        </is>
      </c>
      <c r="D32" s="37" t="inlineStr">
        <is>
          <t>Syndicate/trade</t>
        </is>
      </c>
      <c r="E32" s="37" t="inlineStr">
        <is>
          <t>Tradeable</t>
        </is>
      </c>
      <c r="F32" s="37" t="inlineStr">
        <is>
          <t>Mag</t>
        </is>
      </c>
      <c r="H32" t="n">
        <v>3</v>
      </c>
      <c r="I32" t="n">
        <v>15</v>
      </c>
      <c r="J32" t="n">
        <v>17</v>
      </c>
      <c r="K32" t="n">
        <v>33</v>
      </c>
      <c r="L32" t="inlineStr">
        <is>
          <t>OK</t>
        </is>
      </c>
    </row>
    <row r="33">
      <c r="A33" s="37" t="inlineStr">
        <is>
          <t>Augment</t>
        </is>
      </c>
      <c r="B33" s="37" t="inlineStr">
        <is>
          <t>Mesa's Waltz</t>
        </is>
      </c>
      <c r="C33" s="37" t="inlineStr">
        <is>
          <t>MAX</t>
        </is>
      </c>
      <c r="D33" s="37" t="inlineStr">
        <is>
          <t>Syndicate/trade</t>
        </is>
      </c>
      <c r="E33" s="37" t="inlineStr">
        <is>
          <t>Tradeable</t>
        </is>
      </c>
      <c r="F33" s="37" t="inlineStr">
        <is>
          <t>Mesa</t>
        </is>
      </c>
      <c r="H33" t="n">
        <v>3</v>
      </c>
      <c r="I33" t="n">
        <v>14</v>
      </c>
      <c r="J33" t="n">
        <v>15</v>
      </c>
      <c r="K33" t="n">
        <v>22</v>
      </c>
      <c r="L33" t="inlineStr">
        <is>
          <t>OK</t>
        </is>
      </c>
    </row>
    <row r="34">
      <c r="A34" s="37" t="inlineStr">
        <is>
          <t>Augment</t>
        </is>
      </c>
      <c r="B34" s="37" t="inlineStr">
        <is>
          <t>Hall of Malevolence</t>
        </is>
      </c>
      <c r="C34" s="37" t="inlineStr">
        <is>
          <t>MAX</t>
        </is>
      </c>
      <c r="D34" s="37" t="inlineStr">
        <is>
          <t>Syndicate/trade</t>
        </is>
      </c>
      <c r="E34" s="37" t="inlineStr">
        <is>
          <t>Tradeable</t>
        </is>
      </c>
      <c r="F34" s="37" t="inlineStr">
        <is>
          <t>Mirage</t>
        </is>
      </c>
    </row>
    <row r="35">
      <c r="A35" s="37" t="inlineStr">
        <is>
          <t>Augment</t>
        </is>
      </c>
      <c r="B35" s="37" t="inlineStr">
        <is>
          <t>Despoil</t>
        </is>
      </c>
      <c r="C35" s="37" t="inlineStr">
        <is>
          <t>MAX</t>
        </is>
      </c>
      <c r="D35" s="37" t="inlineStr">
        <is>
          <t>Syndicate/trade</t>
        </is>
      </c>
      <c r="E35" s="37" t="inlineStr">
        <is>
          <t>Tradeable</t>
        </is>
      </c>
      <c r="F35" s="37" t="inlineStr">
        <is>
          <t>Nekros</t>
        </is>
      </c>
      <c r="H35" t="n">
        <v>3</v>
      </c>
      <c r="I35" t="n">
        <v>14</v>
      </c>
      <c r="J35" t="n">
        <v>15</v>
      </c>
      <c r="K35" t="n">
        <v>17</v>
      </c>
      <c r="L35" t="inlineStr">
        <is>
          <t>OK</t>
        </is>
      </c>
    </row>
    <row r="36">
      <c r="A36" s="37" t="inlineStr">
        <is>
          <t>Augment</t>
        </is>
      </c>
      <c r="B36" s="37" t="inlineStr">
        <is>
          <t>Shield of Shadows</t>
        </is>
      </c>
      <c r="C36" s="37" t="inlineStr">
        <is>
          <t>MAX</t>
        </is>
      </c>
      <c r="D36" s="37" t="inlineStr">
        <is>
          <t>Syndicate/trade</t>
        </is>
      </c>
      <c r="E36" s="37" t="inlineStr">
        <is>
          <t>Tradeable</t>
        </is>
      </c>
      <c r="F36" s="37" t="inlineStr">
        <is>
          <t>Nekros</t>
        </is>
      </c>
    </row>
    <row r="37">
      <c r="A37" s="37" t="inlineStr">
        <is>
          <t>Augment</t>
        </is>
      </c>
      <c r="B37" s="37" t="inlineStr">
        <is>
          <t>Divine Retribution</t>
        </is>
      </c>
      <c r="C37" s="37" t="inlineStr">
        <is>
          <t>MAX</t>
        </is>
      </c>
      <c r="D37" s="37" t="inlineStr">
        <is>
          <t>Syndicate/trade</t>
        </is>
      </c>
      <c r="E37" s="37" t="inlineStr">
        <is>
          <t>Tradeable</t>
        </is>
      </c>
      <c r="F37" s="37" t="inlineStr">
        <is>
          <t>Nezha</t>
        </is>
      </c>
      <c r="H37" t="n">
        <v>3</v>
      </c>
      <c r="I37" t="n">
        <v>15</v>
      </c>
      <c r="J37" t="n">
        <v>18</v>
      </c>
      <c r="K37" t="n">
        <v>28</v>
      </c>
      <c r="L37" t="inlineStr">
        <is>
          <t>OK</t>
        </is>
      </c>
    </row>
    <row r="38">
      <c r="A38" s="37" t="inlineStr">
        <is>
          <t>Augment</t>
        </is>
      </c>
      <c r="B38" s="37" t="inlineStr">
        <is>
          <t>Teeming Virulence</t>
        </is>
      </c>
      <c r="C38" s="37" t="inlineStr">
        <is>
          <t>MAX</t>
        </is>
      </c>
      <c r="D38" s="37" t="inlineStr">
        <is>
          <t>Syndicate/trade</t>
        </is>
      </c>
      <c r="E38" s="37" t="inlineStr">
        <is>
          <t>Tradeable</t>
        </is>
      </c>
      <c r="F38" s="37" t="inlineStr">
        <is>
          <t>Nidus</t>
        </is>
      </c>
      <c r="H38" t="n">
        <v>3</v>
      </c>
      <c r="I38" t="n">
        <v>15</v>
      </c>
      <c r="J38" t="n">
        <v>22.5</v>
      </c>
      <c r="K38" t="n">
        <v>42</v>
      </c>
      <c r="L38" t="inlineStr">
        <is>
          <t>OK</t>
        </is>
      </c>
    </row>
    <row r="39">
      <c r="A39" s="37" t="inlineStr">
        <is>
          <t>Augment</t>
        </is>
      </c>
      <c r="B39" s="37" t="inlineStr">
        <is>
          <t>Molecular Fission</t>
        </is>
      </c>
      <c r="C39" s="37" t="inlineStr">
        <is>
          <t>MAX</t>
        </is>
      </c>
      <c r="D39" s="37" t="inlineStr">
        <is>
          <t>Syndicate/trade</t>
        </is>
      </c>
      <c r="E39" s="37" t="inlineStr">
        <is>
          <t>Tradeable</t>
        </is>
      </c>
      <c r="F39" s="37" t="inlineStr">
        <is>
          <t>Nova</t>
        </is>
      </c>
      <c r="H39" t="n">
        <v>3</v>
      </c>
      <c r="I39" t="n">
        <v>15</v>
      </c>
      <c r="J39" t="n">
        <v>17.5</v>
      </c>
      <c r="K39" t="n">
        <v>39</v>
      </c>
      <c r="L39" t="inlineStr">
        <is>
          <t>OK</t>
        </is>
      </c>
    </row>
    <row r="40">
      <c r="A40" s="37" t="inlineStr">
        <is>
          <t>Augment</t>
        </is>
      </c>
      <c r="B40" s="37" t="inlineStr">
        <is>
          <t>Assimilate</t>
        </is>
      </c>
      <c r="C40" s="37" t="inlineStr">
        <is>
          <t>MAX</t>
        </is>
      </c>
      <c r="D40" s="37" t="inlineStr">
        <is>
          <t>Syndicate/trade</t>
        </is>
      </c>
      <c r="E40" s="37" t="inlineStr">
        <is>
          <t>Tradeable</t>
        </is>
      </c>
      <c r="F40" s="37" t="inlineStr">
        <is>
          <t>Nyx</t>
        </is>
      </c>
      <c r="H40" t="n">
        <v>3</v>
      </c>
      <c r="I40" t="n">
        <v>20</v>
      </c>
      <c r="J40" t="n">
        <v>22.5</v>
      </c>
      <c r="K40" t="n">
        <v>50</v>
      </c>
      <c r="L40" t="inlineStr">
        <is>
          <t>OK</t>
        </is>
      </c>
    </row>
    <row r="41">
      <c r="A41" s="37" t="inlineStr">
        <is>
          <t>Augment</t>
        </is>
      </c>
      <c r="B41" s="37" t="inlineStr">
        <is>
          <t>Phoenix Renewal</t>
        </is>
      </c>
      <c r="C41" s="37" t="inlineStr">
        <is>
          <t>MAX</t>
        </is>
      </c>
      <c r="D41" s="37" t="inlineStr">
        <is>
          <t>Syndicate/trade</t>
        </is>
      </c>
      <c r="E41" s="37" t="inlineStr">
        <is>
          <t>Tradeable</t>
        </is>
      </c>
      <c r="F41" s="37" t="inlineStr">
        <is>
          <t>Oberon</t>
        </is>
      </c>
      <c r="H41" t="n">
        <v>3</v>
      </c>
      <c r="I41" t="n">
        <v>10</v>
      </c>
      <c r="J41" t="n">
        <v>15</v>
      </c>
      <c r="K41" t="n">
        <v>28</v>
      </c>
      <c r="L41" t="inlineStr">
        <is>
          <t>OK</t>
        </is>
      </c>
    </row>
    <row r="42">
      <c r="A42" s="37" t="inlineStr">
        <is>
          <t>Augment</t>
        </is>
      </c>
      <c r="B42" s="37" t="inlineStr">
        <is>
          <t>Partitioned Mallet</t>
        </is>
      </c>
      <c r="C42" s="37" t="inlineStr">
        <is>
          <t>MAX</t>
        </is>
      </c>
      <c r="D42" s="37" t="inlineStr">
        <is>
          <t>Syndicate/trade</t>
        </is>
      </c>
      <c r="E42" s="37" t="inlineStr">
        <is>
          <t>Tradeable</t>
        </is>
      </c>
      <c r="F42" s="37" t="inlineStr">
        <is>
          <t>Octavia</t>
        </is>
      </c>
      <c r="H42" t="n">
        <v>3</v>
      </c>
      <c r="I42" t="n">
        <v>25</v>
      </c>
      <c r="J42" t="n">
        <v>25</v>
      </c>
      <c r="K42" t="n">
        <v>56</v>
      </c>
      <c r="L42" t="inlineStr">
        <is>
          <t>OK</t>
        </is>
      </c>
    </row>
    <row r="43">
      <c r="A43" s="37" t="inlineStr">
        <is>
          <t>Augment</t>
        </is>
      </c>
      <c r="B43" s="37" t="inlineStr">
        <is>
          <t>Temporal Artillery</t>
        </is>
      </c>
      <c r="C43" s="37" t="inlineStr">
        <is>
          <t>MAX</t>
        </is>
      </c>
      <c r="D43" s="37" t="inlineStr">
        <is>
          <t>Syndicate/trade</t>
        </is>
      </c>
      <c r="E43" s="37" t="inlineStr">
        <is>
          <t>Tradeable</t>
        </is>
      </c>
      <c r="F43" s="37" t="inlineStr">
        <is>
          <t>Protea; LIVE TEST with Helminth config</t>
        </is>
      </c>
      <c r="H43" t="n">
        <v>3</v>
      </c>
      <c r="I43" t="n">
        <v>25</v>
      </c>
      <c r="J43" t="n">
        <v>25</v>
      </c>
      <c r="K43" t="n">
        <v>56</v>
      </c>
      <c r="L43" t="inlineStr">
        <is>
          <t>OK</t>
        </is>
      </c>
    </row>
    <row r="44">
      <c r="A44" s="37" t="inlineStr">
        <is>
          <t>Augment</t>
        </is>
      </c>
      <c r="B44" s="37" t="inlineStr">
        <is>
          <t>Mesmer Shield</t>
        </is>
      </c>
      <c r="C44" s="37" t="inlineStr">
        <is>
          <t>MAX</t>
        </is>
      </c>
      <c r="D44" s="37" t="inlineStr">
        <is>
          <t>Syndicate/trade</t>
        </is>
      </c>
      <c r="E44" s="37" t="inlineStr">
        <is>
          <t>Tradeable</t>
        </is>
      </c>
      <c r="F44" s="37" t="inlineStr">
        <is>
          <t>Revenant</t>
        </is>
      </c>
      <c r="H44" t="n">
        <v>3</v>
      </c>
      <c r="I44" t="n">
        <v>15</v>
      </c>
      <c r="J44" t="n">
        <v>19</v>
      </c>
      <c r="K44" t="n">
        <v>28</v>
      </c>
      <c r="L44" t="inlineStr">
        <is>
          <t>OK</t>
        </is>
      </c>
    </row>
    <row r="45">
      <c r="A45" s="37" t="inlineStr">
        <is>
          <t>Augment</t>
        </is>
      </c>
      <c r="B45" s="37" t="inlineStr">
        <is>
          <t>Ironclad Charge</t>
        </is>
      </c>
      <c r="C45" s="37" t="inlineStr">
        <is>
          <t>MAX</t>
        </is>
      </c>
      <c r="D45" s="37" t="inlineStr">
        <is>
          <t>Syndicate/trade</t>
        </is>
      </c>
      <c r="E45" s="37" t="inlineStr">
        <is>
          <t>Tradeable</t>
        </is>
      </c>
      <c r="F45" s="37" t="inlineStr">
        <is>
          <t>Rhino</t>
        </is>
      </c>
      <c r="H45" t="n">
        <v>3</v>
      </c>
      <c r="I45" t="n">
        <v>22</v>
      </c>
      <c r="J45" t="n">
        <v>22</v>
      </c>
      <c r="K45" t="n">
        <v>33</v>
      </c>
      <c r="L45" t="inlineStr">
        <is>
          <t>OK</t>
        </is>
      </c>
    </row>
    <row r="46">
      <c r="A46" s="37" t="inlineStr">
        <is>
          <t>Augment</t>
        </is>
      </c>
      <c r="B46" s="37" t="inlineStr">
        <is>
          <t>Reinforcing Stomp</t>
        </is>
      </c>
      <c r="C46" s="37" t="inlineStr">
        <is>
          <t>MAX</t>
        </is>
      </c>
      <c r="D46" s="37" t="inlineStr">
        <is>
          <t>Syndicate/trade</t>
        </is>
      </c>
      <c r="E46" s="37" t="inlineStr">
        <is>
          <t>Tradeable</t>
        </is>
      </c>
      <c r="F46" s="37" t="inlineStr">
        <is>
          <t>Rhino</t>
        </is>
      </c>
      <c r="H46" t="n">
        <v>3</v>
      </c>
      <c r="I46" t="n">
        <v>10</v>
      </c>
      <c r="J46" t="n">
        <v>21</v>
      </c>
      <c r="K46" t="n">
        <v>47</v>
      </c>
      <c r="L46" t="inlineStr">
        <is>
          <t>OK</t>
        </is>
      </c>
    </row>
    <row r="47">
      <c r="A47" s="37" t="inlineStr">
        <is>
          <t>Augment</t>
        </is>
      </c>
      <c r="B47" s="37" t="inlineStr">
        <is>
          <t>Venom Dose</t>
        </is>
      </c>
      <c r="C47" s="37" t="inlineStr">
        <is>
          <t>MAX</t>
        </is>
      </c>
      <c r="D47" s="37" t="inlineStr">
        <is>
          <t>Syndicate/trade</t>
        </is>
      </c>
      <c r="E47" s="37" t="inlineStr">
        <is>
          <t>Tradeable</t>
        </is>
      </c>
      <c r="F47" s="37" t="inlineStr">
        <is>
          <t>Saryn</t>
        </is>
      </c>
      <c r="H47" t="n">
        <v>3</v>
      </c>
      <c r="I47" t="n">
        <v>15</v>
      </c>
      <c r="J47" t="n">
        <v>15</v>
      </c>
      <c r="K47" t="n">
        <v>22</v>
      </c>
      <c r="L47" t="inlineStr">
        <is>
          <t>OK</t>
        </is>
      </c>
    </row>
    <row r="48">
      <c r="A48" s="37" t="inlineStr">
        <is>
          <t>Augment</t>
        </is>
      </c>
      <c r="B48" s="37" t="inlineStr">
        <is>
          <t>Shadow Haze</t>
        </is>
      </c>
      <c r="C48" s="37" t="inlineStr">
        <is>
          <t>MAX</t>
        </is>
      </c>
      <c r="D48" s="37" t="inlineStr">
        <is>
          <t>Syndicate/trade</t>
        </is>
      </c>
      <c r="E48" s="37" t="inlineStr">
        <is>
          <t>Tradeable</t>
        </is>
      </c>
      <c r="F48" s="37" t="inlineStr">
        <is>
          <t>Sevagoth</t>
        </is>
      </c>
      <c r="H48" t="n">
        <v>3</v>
      </c>
      <c r="I48" t="n">
        <v>18</v>
      </c>
      <c r="J48" t="n">
        <v>22.5</v>
      </c>
      <c r="K48" t="n">
        <v>33</v>
      </c>
      <c r="L48" t="inlineStr">
        <is>
          <t>OK</t>
        </is>
      </c>
    </row>
    <row r="49">
      <c r="A49" s="37" t="inlineStr">
        <is>
          <t>Augment</t>
        </is>
      </c>
      <c r="B49" s="37" t="inlineStr">
        <is>
          <t>Intrepid Stand</t>
        </is>
      </c>
      <c r="C49" s="37" t="inlineStr">
        <is>
          <t>MAX</t>
        </is>
      </c>
      <c r="D49" s="37" t="inlineStr">
        <is>
          <t>Syndicate/trade</t>
        </is>
      </c>
      <c r="E49" s="37" t="inlineStr">
        <is>
          <t>Tradeable</t>
        </is>
      </c>
      <c r="F49" s="37" t="inlineStr">
        <is>
          <t>Styanax</t>
        </is>
      </c>
      <c r="H49" t="n">
        <v>3</v>
      </c>
      <c r="I49" t="n">
        <v>15</v>
      </c>
      <c r="J49" t="n">
        <v>20</v>
      </c>
      <c r="K49" t="n">
        <v>27</v>
      </c>
      <c r="L49" t="inlineStr">
        <is>
          <t>OK</t>
        </is>
      </c>
    </row>
    <row r="50">
      <c r="A50" s="37" t="inlineStr">
        <is>
          <t>Augment</t>
        </is>
      </c>
      <c r="B50" s="37" t="inlineStr">
        <is>
          <t>Razorwing Blitz</t>
        </is>
      </c>
      <c r="C50" s="37" t="inlineStr">
        <is>
          <t>MAX</t>
        </is>
      </c>
      <c r="D50" s="37" t="inlineStr">
        <is>
          <t>Syndicate/trade</t>
        </is>
      </c>
      <c r="E50" s="37" t="inlineStr">
        <is>
          <t>Tradeable</t>
        </is>
      </c>
      <c r="F50" s="37" t="inlineStr">
        <is>
          <t>Titania</t>
        </is>
      </c>
      <c r="H50" t="n">
        <v>3</v>
      </c>
      <c r="I50" t="n">
        <v>11</v>
      </c>
      <c r="J50" t="n">
        <v>15</v>
      </c>
      <c r="K50" t="n">
        <v>17</v>
      </c>
      <c r="L50" t="inlineStr">
        <is>
          <t>OK</t>
        </is>
      </c>
    </row>
    <row r="51">
      <c r="A51" s="37" t="inlineStr">
        <is>
          <t>Augment</t>
        </is>
      </c>
      <c r="B51" s="37" t="inlineStr">
        <is>
          <t>Abating Link</t>
        </is>
      </c>
      <c r="C51" s="37" t="inlineStr">
        <is>
          <t>MAX</t>
        </is>
      </c>
      <c r="D51" s="37" t="inlineStr">
        <is>
          <t>Syndicate/trade</t>
        </is>
      </c>
      <c r="E51" s="37" t="inlineStr">
        <is>
          <t>Tradeable</t>
        </is>
      </c>
      <c r="F51" s="37" t="inlineStr">
        <is>
          <t>Trinity</t>
        </is>
      </c>
      <c r="H51" t="n">
        <v>3</v>
      </c>
      <c r="I51" t="n">
        <v>20</v>
      </c>
      <c r="J51" t="n">
        <v>27</v>
      </c>
      <c r="K51" t="n">
        <v>52</v>
      </c>
      <c r="L51" t="inlineStr">
        <is>
          <t>OK</t>
        </is>
      </c>
    </row>
    <row r="52">
      <c r="A52" s="37" t="inlineStr">
        <is>
          <t>Augment</t>
        </is>
      </c>
      <c r="B52" s="37" t="inlineStr">
        <is>
          <t>Champion's Blessing</t>
        </is>
      </c>
      <c r="C52" s="37" t="inlineStr">
        <is>
          <t>MAX</t>
        </is>
      </c>
      <c r="D52" s="37" t="inlineStr">
        <is>
          <t>Syndicate/trade</t>
        </is>
      </c>
      <c r="E52" s="37" t="inlineStr">
        <is>
          <t>Tradeable</t>
        </is>
      </c>
      <c r="F52" s="37" t="inlineStr">
        <is>
          <t>Trinity</t>
        </is>
      </c>
      <c r="H52" t="n">
        <v>3</v>
      </c>
      <c r="I52" t="n">
        <v>24</v>
      </c>
      <c r="J52" t="n">
        <v>24</v>
      </c>
      <c r="K52" t="n">
        <v>53</v>
      </c>
      <c r="L52" t="inlineStr">
        <is>
          <t>OK</t>
        </is>
      </c>
    </row>
    <row r="53">
      <c r="A53" s="37" t="inlineStr">
        <is>
          <t>Augment</t>
        </is>
      </c>
      <c r="B53" s="37" t="inlineStr">
        <is>
          <t>Eternal War</t>
        </is>
      </c>
      <c r="C53" s="37" t="inlineStr">
        <is>
          <t>MAX</t>
        </is>
      </c>
      <c r="D53" s="37" t="inlineStr">
        <is>
          <t>Syndicate/trade</t>
        </is>
      </c>
      <c r="E53" s="37" t="inlineStr">
        <is>
          <t>Tradeable</t>
        </is>
      </c>
      <c r="F53" s="37" t="inlineStr">
        <is>
          <t>Valkyr</t>
        </is>
      </c>
      <c r="H53" t="n">
        <v>3</v>
      </c>
      <c r="I53" t="n">
        <v>13</v>
      </c>
      <c r="J53" t="n">
        <v>22.5</v>
      </c>
      <c r="K53" t="n">
        <v>39</v>
      </c>
      <c r="L53" t="inlineStr">
        <is>
          <t>OK</t>
        </is>
      </c>
    </row>
    <row r="54">
      <c r="A54" s="37" t="inlineStr">
        <is>
          <t>Augment</t>
        </is>
      </c>
      <c r="B54" s="37" t="inlineStr">
        <is>
          <t>Enduring Bastille</t>
        </is>
      </c>
      <c r="C54" s="37" t="inlineStr">
        <is>
          <t>MAX</t>
        </is>
      </c>
      <c r="D54" s="37" t="inlineStr">
        <is>
          <t>Syndicate/trade</t>
        </is>
      </c>
      <c r="E54" s="37" t="inlineStr">
        <is>
          <t>Tradeable</t>
        </is>
      </c>
      <c r="F54" s="37" t="inlineStr">
        <is>
          <t>Vauban (v4 fix: Repelling Bastille does not exist)</t>
        </is>
      </c>
      <c r="H54" t="n">
        <v>3</v>
      </c>
      <c r="I54" t="n">
        <v>18</v>
      </c>
      <c r="J54" t="n">
        <v>22.5</v>
      </c>
      <c r="K54" t="n">
        <v>50</v>
      </c>
      <c r="L54" t="inlineStr">
        <is>
          <t>OK</t>
        </is>
      </c>
    </row>
    <row r="55">
      <c r="A55" s="37" t="inlineStr">
        <is>
          <t>Augment</t>
        </is>
      </c>
      <c r="B55" s="37" t="inlineStr">
        <is>
          <t>Capacitance</t>
        </is>
      </c>
      <c r="C55" s="37" t="inlineStr">
        <is>
          <t>MAX</t>
        </is>
      </c>
      <c r="D55" s="37" t="inlineStr">
        <is>
          <t>Syndicate/trade</t>
        </is>
      </c>
      <c r="E55" s="37" t="inlineStr">
        <is>
          <t>Tradeable</t>
        </is>
      </c>
      <c r="F55" s="37" t="inlineStr">
        <is>
          <t>Volt</t>
        </is>
      </c>
      <c r="H55" t="n">
        <v>3</v>
      </c>
      <c r="I55" t="n">
        <v>20</v>
      </c>
      <c r="J55" t="n">
        <v>21.8</v>
      </c>
      <c r="K55" t="n">
        <v>48</v>
      </c>
      <c r="L55" t="inlineStr">
        <is>
          <t>OK</t>
        </is>
      </c>
    </row>
    <row r="56">
      <c r="A56" s="37" t="inlineStr">
        <is>
          <t>Augment</t>
        </is>
      </c>
      <c r="B56" s="37" t="inlineStr">
        <is>
          <t>Ulfrun's Endurance</t>
        </is>
      </c>
      <c r="C56" s="37" t="inlineStr">
        <is>
          <t>MAX</t>
        </is>
      </c>
      <c r="D56" s="37" t="inlineStr">
        <is>
          <t>Syndicate/trade</t>
        </is>
      </c>
      <c r="E56" s="37" t="inlineStr">
        <is>
          <t>Tradeable</t>
        </is>
      </c>
      <c r="F56" s="37" t="inlineStr">
        <is>
          <t>Voruna</t>
        </is>
      </c>
      <c r="H56" t="n">
        <v>3</v>
      </c>
      <c r="I56" t="n">
        <v>15</v>
      </c>
      <c r="J56" t="n">
        <v>18</v>
      </c>
      <c r="K56" t="n">
        <v>22</v>
      </c>
      <c r="L56" t="inlineStr">
        <is>
          <t>OK</t>
        </is>
      </c>
    </row>
    <row r="57">
      <c r="A57" s="37" t="inlineStr">
        <is>
          <t>Augment</t>
        </is>
      </c>
      <c r="B57" s="37" t="inlineStr">
        <is>
          <t>Fused Reservoir</t>
        </is>
      </c>
      <c r="C57" s="37" t="inlineStr">
        <is>
          <t>MAX</t>
        </is>
      </c>
      <c r="D57" s="37" t="inlineStr">
        <is>
          <t>Syndicate/trade</t>
        </is>
      </c>
      <c r="E57" s="37" t="inlineStr">
        <is>
          <t>Tradeable</t>
        </is>
      </c>
      <c r="F57" s="37" t="inlineStr">
        <is>
          <t>Wisp</t>
        </is>
      </c>
      <c r="H57" t="n">
        <v>3</v>
      </c>
      <c r="I57" t="n">
        <v>10</v>
      </c>
      <c r="J57" t="n">
        <v>18</v>
      </c>
      <c r="K57" t="n">
        <v>33</v>
      </c>
      <c r="L57" t="inlineStr">
        <is>
          <t>OK</t>
        </is>
      </c>
    </row>
    <row r="58">
      <c r="A58" s="37" t="inlineStr">
        <is>
          <t>Augment</t>
        </is>
      </c>
      <c r="B58" s="37" t="inlineStr">
        <is>
          <t>Primal Rage</t>
        </is>
      </c>
      <c r="C58" s="37" t="inlineStr">
        <is>
          <t>MAX</t>
        </is>
      </c>
      <c r="D58" s="37" t="inlineStr">
        <is>
          <t>Syndicate/trade</t>
        </is>
      </c>
      <c r="E58" s="37" t="inlineStr">
        <is>
          <t>Tradeable</t>
        </is>
      </c>
      <c r="F58" s="37" t="inlineStr">
        <is>
          <t>Wukong</t>
        </is>
      </c>
      <c r="H58" t="n">
        <v>3</v>
      </c>
      <c r="I58" t="n">
        <v>25</v>
      </c>
      <c r="J58" t="n">
        <v>25</v>
      </c>
      <c r="K58" t="n">
        <v>56</v>
      </c>
      <c r="L58" t="inlineStr">
        <is>
          <t>OK</t>
        </is>
      </c>
    </row>
    <row r="59">
      <c r="A59" s="37" t="inlineStr">
        <is>
          <t>Augment</t>
        </is>
      </c>
      <c r="B59" s="37" t="inlineStr">
        <is>
          <t>Merulina Guardian</t>
        </is>
      </c>
      <c r="C59" s="37" t="inlineStr">
        <is>
          <t>MAX</t>
        </is>
      </c>
      <c r="D59" s="37" t="inlineStr">
        <is>
          <t>Syndicate/trade</t>
        </is>
      </c>
      <c r="E59" s="37" t="inlineStr">
        <is>
          <t>Tradeable</t>
        </is>
      </c>
      <c r="F59" s="37" t="inlineStr">
        <is>
          <t>Yareli</t>
        </is>
      </c>
      <c r="H59" t="n">
        <v>3</v>
      </c>
      <c r="I59" t="n">
        <v>30</v>
      </c>
      <c r="J59" t="n">
        <v>30</v>
      </c>
      <c r="K59" t="n">
        <v>66</v>
      </c>
      <c r="L59" t="inlineStr">
        <is>
          <t>OK</t>
        </is>
      </c>
    </row>
    <row r="60">
      <c r="A60" s="37" t="inlineStr">
        <is>
          <t>Augment</t>
        </is>
      </c>
      <c r="B60" s="37" t="inlineStr">
        <is>
          <t>Surging Blades</t>
        </is>
      </c>
      <c r="C60" s="37" t="inlineStr">
        <is>
          <t>MAX</t>
        </is>
      </c>
      <c r="D60" s="37" t="inlineStr">
        <is>
          <t>Syndicate/trade</t>
        </is>
      </c>
      <c r="E60" s="37" t="inlineStr">
        <is>
          <t>Tradeable</t>
        </is>
      </c>
      <c r="F60" s="37" t="inlineStr">
        <is>
          <t>Yareli</t>
        </is>
      </c>
      <c r="H60" t="n">
        <v>3</v>
      </c>
      <c r="I60" t="n">
        <v>30</v>
      </c>
      <c r="J60" t="n">
        <v>30</v>
      </c>
      <c r="K60" t="n">
        <v>66</v>
      </c>
      <c r="L60" t="inlineStr">
        <is>
          <t>OK</t>
        </is>
      </c>
    </row>
    <row r="61">
      <c r="A61" s="37" t="inlineStr">
        <is>
          <t>Augment</t>
        </is>
      </c>
      <c r="B61" s="37" t="inlineStr">
        <is>
          <t>Jet Stream</t>
        </is>
      </c>
      <c r="C61" s="37" t="inlineStr">
        <is>
          <t>MAX</t>
        </is>
      </c>
      <c r="D61" s="37" t="inlineStr">
        <is>
          <t>Syndicate/trade</t>
        </is>
      </c>
      <c r="E61" s="37" t="inlineStr">
        <is>
          <t>Tradeable</t>
        </is>
      </c>
      <c r="F61" s="37" t="inlineStr">
        <is>
          <t>Zephyr</t>
        </is>
      </c>
      <c r="H61" t="n">
        <v>3</v>
      </c>
      <c r="I61" t="n">
        <v>10</v>
      </c>
      <c r="J61" t="n">
        <v>10</v>
      </c>
      <c r="K61" t="n">
        <v>15</v>
      </c>
      <c r="L61" t="inlineStr">
        <is>
          <t>OK</t>
        </is>
      </c>
    </row>
    <row r="62">
      <c r="A62" t="inlineStr">
        <is>
          <t>Collection mandate (v4)</t>
        </is>
      </c>
      <c r="B62" t="inlineStr">
        <is>
          <t>1388 mods priced at max rank</t>
        </is>
      </c>
      <c r="C62" t="inlineStr">
        <is>
          <t>MAX RANK</t>
        </is>
      </c>
      <c r="D62" t="inlineStr">
        <is>
          <t>See Procurement Master</t>
        </is>
      </c>
      <c r="F62" t="inlineStr">
        <is>
          <t>Full list incl. category, Endo/credit relevance</t>
        </is>
      </c>
    </row>
  </sheetData>
  <conditionalFormatting sqref="G2:G300">
    <cfRule type="expression" priority="1" dxfId="0">
      <formula>G2="LIVE TEST"</formula>
    </cfRule>
    <cfRule type="expression" priority="2" dxfId="1">
      <formula>G2="Complete"</formula>
    </cfRule>
  </conditionalFormatting>
  <dataValidations count="1">
    <dataValidation sqref="G2:G300" showDropDown="0" showInputMessage="0" showErrorMessage="0" allowBlank="0" type="list">
      <formula1>"Need,Owned,Farm,Trade,LIVE TEST,Complete"</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style="26" min="1" max="1"/>
    <col width="20" customWidth="1" style="26" min="2" max="2"/>
    <col width="10" customWidth="1" style="26" min="3" max="3"/>
  </cols>
  <sheetData>
    <row r="1">
      <c r="A1" s="51" t="inlineStr">
        <is>
          <t>Shard</t>
        </is>
      </c>
      <c r="B1" s="51" t="inlineStr">
        <is>
          <t>Normal / Tauforged</t>
        </is>
      </c>
      <c r="C1" s="51" t="inlineStr">
        <is>
          <t>Count</t>
        </is>
      </c>
    </row>
    <row r="2">
      <c r="A2" s="39" t="inlineStr">
        <is>
          <t>Amber - Casting Speed</t>
        </is>
      </c>
      <c r="B2" s="39" t="inlineStr">
        <is>
          <t>Normal</t>
        </is>
      </c>
      <c r="C2" s="39" t="n">
        <v>56</v>
      </c>
    </row>
    <row r="3">
      <c r="A3" s="39" t="inlineStr">
        <is>
          <t>Amber - Health Orb Effectiveness</t>
        </is>
      </c>
      <c r="B3" s="39" t="inlineStr">
        <is>
          <t>Normal</t>
        </is>
      </c>
      <c r="C3" s="39" t="n">
        <v>2</v>
      </c>
    </row>
    <row r="4">
      <c r="A4" s="39" t="inlineStr">
        <is>
          <t>Azure - Armor</t>
        </is>
      </c>
      <c r="B4" s="39" t="inlineStr">
        <is>
          <t>Normal</t>
        </is>
      </c>
      <c r="C4" s="39" t="n">
        <v>50</v>
      </c>
    </row>
    <row r="5">
      <c r="A5" s="39" t="inlineStr">
        <is>
          <t>Azure - Health</t>
        </is>
      </c>
      <c r="B5" s="39" t="inlineStr">
        <is>
          <t>Normal</t>
        </is>
      </c>
      <c r="C5" s="39" t="n">
        <v>23</v>
      </c>
    </row>
    <row r="6">
      <c r="A6" s="39" t="inlineStr">
        <is>
          <t>Azure - Shield Capacity</t>
        </is>
      </c>
      <c r="B6" s="39" t="inlineStr">
        <is>
          <t>Normal</t>
        </is>
      </c>
      <c r="C6" s="39" t="n">
        <v>16</v>
      </c>
    </row>
    <row r="7">
      <c r="A7" s="39" t="inlineStr">
        <is>
          <t>Crimson - Ability Duration</t>
        </is>
      </c>
      <c r="B7" s="39" t="inlineStr">
        <is>
          <t>Normal</t>
        </is>
      </c>
      <c r="C7" s="39" t="n">
        <v>32</v>
      </c>
    </row>
    <row r="8">
      <c r="A8" s="39" t="inlineStr">
        <is>
          <t>Crimson - Ability Strength</t>
        </is>
      </c>
      <c r="B8" s="39" t="inlineStr">
        <is>
          <t>Normal</t>
        </is>
      </c>
      <c r="C8" s="39" t="n">
        <v>55</v>
      </c>
    </row>
    <row r="9">
      <c r="A9" s="39" t="inlineStr">
        <is>
          <t>Crimson - Ability Strength</t>
        </is>
      </c>
      <c r="B9" s="39" t="inlineStr">
        <is>
          <t>Tauforged</t>
        </is>
      </c>
      <c r="C9" s="39" t="n">
        <v>70</v>
      </c>
    </row>
    <row r="10">
      <c r="A10" s="39" t="inlineStr">
        <is>
          <t>Crimson - Melee Critical Damage</t>
        </is>
      </c>
      <c r="B10" s="39" t="inlineStr">
        <is>
          <t>Normal</t>
        </is>
      </c>
      <c r="C10" s="39" t="n">
        <v>4</v>
      </c>
    </row>
    <row r="11">
      <c r="A11" s="39" t="inlineStr">
        <is>
          <t>Crimson - Melee Critical Damage</t>
        </is>
      </c>
      <c r="B11" s="39" t="inlineStr">
        <is>
          <t>Tauforged</t>
        </is>
      </c>
      <c r="C11" s="39" t="n">
        <v>8</v>
      </c>
    </row>
    <row r="12">
      <c r="A12" s="39" t="inlineStr">
        <is>
          <t>Crimson - Primary Status Chance</t>
        </is>
      </c>
      <c r="B12" s="39" t="inlineStr">
        <is>
          <t>Tauforged</t>
        </is>
      </c>
      <c r="C12" s="39" t="n">
        <v>1</v>
      </c>
    </row>
    <row r="13">
      <c r="A13" s="39" t="inlineStr">
        <is>
          <t>Crimson - Secondary Critical Chance</t>
        </is>
      </c>
      <c r="B13" s="39" t="inlineStr">
        <is>
          <t>Tauforged</t>
        </is>
      </c>
      <c r="C13" s="39" t="n">
        <v>1</v>
      </c>
    </row>
    <row r="14">
      <c r="A14" s="39" t="inlineStr">
        <is>
          <t>Emerald - Ability Damage vs Corrosion</t>
        </is>
      </c>
      <c r="B14" s="39" t="inlineStr">
        <is>
          <t>Normal</t>
        </is>
      </c>
      <c r="C14" s="39" t="n">
        <v>2</v>
      </c>
    </row>
    <row r="15">
      <c r="A15" s="39" t="inlineStr">
        <is>
          <t>Emerald - Toxin Status Damage</t>
        </is>
      </c>
      <c r="B15" s="39" t="inlineStr">
        <is>
          <t>Normal</t>
        </is>
      </c>
      <c r="C15" s="39" t="n">
        <v>1</v>
      </c>
    </row>
    <row r="16">
      <c r="A16" s="39" t="inlineStr">
        <is>
          <t>Topaz - Ability Damage vs Radiation</t>
        </is>
      </c>
      <c r="B16" s="39" t="inlineStr">
        <is>
          <t>Normal</t>
        </is>
      </c>
      <c r="C16" s="39" t="n">
        <v>3</v>
      </c>
    </row>
    <row r="17">
      <c r="A17" s="39" t="inlineStr">
        <is>
          <t>Topaz - Secondary Crit Chance on Heat kill</t>
        </is>
      </c>
      <c r="B17" s="39" t="inlineStr">
        <is>
          <t>Normal</t>
        </is>
      </c>
      <c r="C17" s="39" t="n">
        <v>2</v>
      </c>
    </row>
    <row r="18">
      <c r="A18" s="39" t="inlineStr">
        <is>
          <t>Violet - Ability Damage vs Electricity</t>
        </is>
      </c>
      <c r="B18" s="39" t="inlineStr">
        <is>
          <t>Normal</t>
        </is>
      </c>
      <c r="C18" s="39" t="n">
        <v>4</v>
      </c>
    </row>
    <row r="19">
      <c r="A19" s="39" t="inlineStr">
        <is>
          <t>TOTAL</t>
        </is>
      </c>
      <c r="B19" s="39" t="inlineStr"/>
      <c r="C19" s="39" t="n">
        <v>330</v>
      </c>
    </row>
  </sheetData>
  <autoFilter ref="A1:C1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6" customWidth="1" style="26" min="1" max="1"/>
    <col width="38" customWidth="1" style="26" min="2" max="2"/>
    <col width="36" customWidth="1" style="26" min="3" max="3"/>
    <col width="16" customWidth="1" style="26" min="4" max="4"/>
  </cols>
  <sheetData>
    <row r="1">
      <c r="A1" s="51" t="inlineStr">
        <is>
          <t>Companion</t>
        </is>
      </c>
      <c r="B1" s="51" t="inlineStr">
        <is>
          <t>Acquisition</t>
        </is>
      </c>
      <c r="C1" s="51" t="inlineStr">
        <is>
          <t>Investment</t>
        </is>
      </c>
      <c r="D1" s="51" t="inlineStr">
        <is>
          <t>Status</t>
        </is>
      </c>
      <c r="E1" s="51" t="inlineStr">
        <is>
          <t>Floor Pt</t>
        </is>
      </c>
      <c r="F1" s="51" t="inlineStr">
        <is>
          <t>Realistic Pt</t>
        </is>
      </c>
      <c r="G1" s="51" t="inlineStr">
        <is>
          <t>Conservative Pt</t>
        </is>
      </c>
      <c r="H1" s="51" t="inlineStr">
        <is>
          <t>Market status</t>
        </is>
      </c>
    </row>
    <row r="2">
      <c r="A2" s="37" t="inlineStr">
        <is>
          <t>Panzer Vulpaphyla</t>
        </is>
      </c>
      <c r="B2" s="37" t="inlineStr">
        <is>
          <t>Account progression</t>
        </is>
      </c>
      <c r="C2" s="37" t="inlineStr">
        <is>
          <t>Build + companion mods</t>
        </is>
      </c>
      <c r="H2" t="inlineStr">
        <is>
          <t>FARMABLE / ACCOUNT-BOUND</t>
        </is>
      </c>
    </row>
    <row r="3">
      <c r="A3" s="37" t="inlineStr">
        <is>
          <t>Nautilus Prime</t>
        </is>
      </c>
      <c r="B3" s="37" t="inlineStr">
        <is>
          <t>Trade Prime set / Relics</t>
        </is>
      </c>
      <c r="C3" s="37" t="inlineStr">
        <is>
          <t>Catalyst/Forma as required</t>
        </is>
      </c>
      <c r="E3" t="n">
        <v>50</v>
      </c>
      <c r="F3" t="n">
        <v>55</v>
      </c>
      <c r="G3" t="n">
        <v>61</v>
      </c>
      <c r="H3" t="inlineStr">
        <is>
          <t>OK</t>
        </is>
      </c>
    </row>
    <row r="4">
      <c r="A4" s="37" t="inlineStr">
        <is>
          <t>Wyrm Prime</t>
        </is>
      </c>
      <c r="B4" s="37" t="inlineStr">
        <is>
          <t>Trade Prime set / Relics</t>
        </is>
      </c>
      <c r="C4" s="37" t="inlineStr">
        <is>
          <t>Catalyst/Forma as required</t>
        </is>
      </c>
      <c r="E4" t="n">
        <v>75</v>
      </c>
      <c r="F4" t="n">
        <v>75</v>
      </c>
      <c r="G4" t="n">
        <v>85</v>
      </c>
      <c r="H4" t="inlineStr">
        <is>
          <t>OK</t>
        </is>
      </c>
    </row>
    <row r="5">
      <c r="A5" s="37" t="inlineStr">
        <is>
          <t>Dethcube Prime</t>
        </is>
      </c>
      <c r="B5" s="37" t="inlineStr">
        <is>
          <t>Trade Prime set / Relics</t>
        </is>
      </c>
      <c r="C5" s="37" t="inlineStr">
        <is>
          <t>Catalyst/Forma as required</t>
        </is>
      </c>
      <c r="E5" t="n">
        <v>75</v>
      </c>
      <c r="F5" t="n">
        <v>75</v>
      </c>
      <c r="G5" t="n">
        <v>87</v>
      </c>
      <c r="H5" t="inlineStr">
        <is>
          <t>OK</t>
        </is>
      </c>
    </row>
    <row r="6">
      <c r="A6" s="37" t="inlineStr">
        <is>
          <t>Diriga</t>
        </is>
      </c>
      <c r="B6" s="37" t="inlineStr">
        <is>
          <t>Account progression</t>
        </is>
      </c>
      <c r="C6" s="37" t="str"/>
      <c r="H6" t="inlineStr">
        <is>
          <t>FARMABLE / ACCOUNT-BOUND</t>
        </is>
      </c>
    </row>
    <row r="7">
      <c r="A7" s="37" t="inlineStr">
        <is>
          <t>Adarza Kavat</t>
        </is>
      </c>
      <c r="B7" s="37" t="inlineStr">
        <is>
          <t>Account progression / genetic imprints</t>
        </is>
      </c>
      <c r="C7" s="37" t="str"/>
      <c r="H7" t="inlineStr">
        <is>
          <t>FARMABLE / ACCOUNT-BOUND</t>
        </is>
      </c>
    </row>
    <row r="8">
      <c r="A8" s="37" t="inlineStr">
        <is>
          <t>Smeeta Kavat</t>
        </is>
      </c>
      <c r="B8" s="37" t="inlineStr">
        <is>
          <t>Account progression / genetic imprints</t>
        </is>
      </c>
      <c r="C8" s="37" t="str"/>
      <c r="H8" t="inlineStr">
        <is>
          <t>FARMABLE / ACCOUNT-BOUND</t>
        </is>
      </c>
    </row>
    <row r="9">
      <c r="A9" s="37" t="inlineStr">
        <is>
          <t>Shade Prime</t>
        </is>
      </c>
      <c r="B9" s="37" t="inlineStr">
        <is>
          <t>Trade Prime set / Relics</t>
        </is>
      </c>
      <c r="C9" s="37" t="str"/>
      <c r="E9" t="n">
        <v>55</v>
      </c>
      <c r="F9" t="n">
        <v>55</v>
      </c>
      <c r="G9" t="n">
        <v>61</v>
      </c>
      <c r="H9" t="inlineStr">
        <is>
          <t>OK</t>
        </is>
      </c>
    </row>
    <row r="10">
      <c r="A10" s="37" t="inlineStr">
        <is>
          <t>Huras Kubrow</t>
        </is>
      </c>
      <c r="B10" s="37" t="inlineStr">
        <is>
          <t>Account progression</t>
        </is>
      </c>
      <c r="C10" s="37" t="str"/>
      <c r="H10" t="inlineStr">
        <is>
          <t>FARMABLE / ACCOUNT-BOUND</t>
        </is>
      </c>
    </row>
    <row r="11">
      <c r="A11" s="37" t="inlineStr">
        <is>
          <t>Sahasa Kubrow</t>
        </is>
      </c>
      <c r="B11" s="37" t="inlineStr">
        <is>
          <t>Account progression</t>
        </is>
      </c>
      <c r="C11" s="37" t="str"/>
      <c r="H11" t="inlineStr">
        <is>
          <t>FARMABLE / ACCOUNT-BOUND</t>
        </is>
      </c>
    </row>
    <row r="12">
      <c r="A12" s="37" t="inlineStr">
        <is>
          <t>Helios Prime</t>
        </is>
      </c>
      <c r="B12" s="37" t="inlineStr">
        <is>
          <t>Trade Prime set / Relics</t>
        </is>
      </c>
      <c r="C12" s="37" t="str"/>
      <c r="E12" t="n">
        <v>44</v>
      </c>
      <c r="F12" t="n">
        <v>45</v>
      </c>
      <c r="G12" t="n">
        <v>56</v>
      </c>
      <c r="H12" t="inlineStr">
        <is>
          <t>OK</t>
        </is>
      </c>
    </row>
    <row r="13">
      <c r="A13" s="37" t="inlineStr">
        <is>
          <t>Taxon</t>
        </is>
      </c>
      <c r="B13" s="37" t="inlineStr">
        <is>
          <t>Account progression</t>
        </is>
      </c>
      <c r="C13" s="37" t="str"/>
      <c r="H13" t="inlineStr">
        <is>
          <t>FARMABLE / ACCOUNT-BOUND</t>
        </is>
      </c>
    </row>
    <row r="14">
      <c r="A14" s="37" t="inlineStr">
        <is>
          <t>Helminth Charger</t>
        </is>
      </c>
      <c r="B14" s="37" t="inlineStr">
        <is>
          <t>Account progression</t>
        </is>
      </c>
      <c r="C14" s="37" t="str"/>
      <c r="H14" t="inlineStr">
        <is>
          <t>FARMABLE / ACCOUNT-BOUND</t>
        </is>
      </c>
    </row>
  </sheetData>
  <conditionalFormatting sqref="D2:D300">
    <cfRule type="expression" priority="1" dxfId="0">
      <formula>D2="LIVE TEST"</formula>
    </cfRule>
    <cfRule type="expression" priority="2" dxfId="1">
      <formula>D2="Complete"</formula>
    </cfRule>
  </conditionalFormatting>
  <dataValidations count="1">
    <dataValidation sqref="D2:D300" showDropDown="0" showInputMessage="0" showErrorMessage="0" allowBlank="0" type="list">
      <formula1>"Need,Owned,Farm,Trade,LIVE TEST,Complete"</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style="26" min="1" max="1"/>
    <col width="30" customWidth="1" style="26" min="2" max="2"/>
    <col width="34" customWidth="1" style="26" min="3" max="3"/>
    <col width="50" customWidth="1" style="26" min="4" max="4"/>
    <col width="16" customWidth="1" style="26" min="5" max="5"/>
  </cols>
  <sheetData>
    <row r="1">
      <c r="A1" s="36" t="inlineStr">
        <is>
          <t>Item</t>
        </is>
      </c>
      <c r="B1" s="36" t="inlineStr">
        <is>
          <t>Target</t>
        </is>
      </c>
      <c r="C1" s="36" t="inlineStr">
        <is>
          <t>Acquisition</t>
        </is>
      </c>
      <c r="D1" s="36" t="inlineStr">
        <is>
          <t>Notes</t>
        </is>
      </c>
      <c r="E1" s="33" t="inlineStr">
        <is>
          <t>Status</t>
        </is>
      </c>
    </row>
    <row r="2">
      <c r="A2" s="37" t="inlineStr">
        <is>
          <t>Orokin Reactors</t>
        </is>
      </c>
      <c r="B2" s="37" t="inlineStr">
        <is>
          <t>65 (66 frames minus Umbra)</t>
        </is>
      </c>
      <c r="C2" s="37" t="inlineStr">
        <is>
          <t>Market/Nightwave/etc.</t>
        </is>
      </c>
      <c r="D2" s="37" t="inlineStr">
        <is>
          <t>Cyte-09 may already have one; verify before purchase</t>
        </is>
      </c>
    </row>
    <row r="3">
      <c r="A3" s="37" t="inlineStr">
        <is>
          <t>Orokin Catalysts</t>
        </is>
      </c>
      <c r="B3" s="37" t="inlineStr">
        <is>
          <t>171 ordinary non-adversary weapons (v4)</t>
        </is>
      </c>
      <c r="C3" s="37" t="inlineStr">
        <is>
          <t>Market/Nightwave/etc.</t>
        </is>
      </c>
      <c r="D3" s="37" t="inlineStr">
        <is>
          <t>Do not buy until weapon conflict audit is resolved</t>
        </is>
      </c>
    </row>
    <row r="4">
      <c r="A4" s="37" t="inlineStr">
        <is>
          <t>Forma</t>
        </is>
      </c>
      <c r="B4" s="37" t="inlineStr">
        <is>
          <t>Large reserve</t>
        </is>
      </c>
      <c r="C4" s="37" t="inlineStr">
        <is>
          <t>Relics/Market</t>
        </is>
      </c>
      <c r="D4" s="37" t="inlineStr">
        <is>
          <t>Adversary weapon: 5 each to Rank 40; Exalteds and permanent weapons also need polarization</t>
        </is>
      </c>
    </row>
    <row r="5">
      <c r="A5" s="37" t="inlineStr">
        <is>
          <t>Aura Forma</t>
        </is>
      </c>
      <c r="B5" s="37" t="inlineStr">
        <is>
          <t>Targeted</t>
        </is>
      </c>
      <c r="C5" s="37" t="inlineStr">
        <is>
          <t>Account progression/Market</t>
        </is>
      </c>
      <c r="D5" s="37" t="inlineStr">
        <is>
          <t>Only where aura flexibility is materially useful</t>
        </is>
      </c>
    </row>
    <row r="6">
      <c r="A6" s="37" t="inlineStr">
        <is>
          <t>Exilus Adapters</t>
        </is>
      </c>
      <c r="B6" s="37" t="inlineStr">
        <is>
          <t>Targeted per frame</t>
        </is>
      </c>
      <c r="C6" s="37" t="inlineStr">
        <is>
          <t>Account progression/Market</t>
        </is>
      </c>
      <c r="D6" s="37" t="inlineStr">
        <is>
          <t>Needed for locked Exilus configuration</t>
        </is>
      </c>
    </row>
    <row r="7">
      <c r="A7" s="37" t="inlineStr">
        <is>
          <t>Weapon Exilus Adapters</t>
        </is>
      </c>
      <c r="B7" s="37" t="inlineStr">
        <is>
          <t>Targeted</t>
        </is>
      </c>
      <c r="C7" s="37" t="inlineStr">
        <is>
          <t>Account progression/Market</t>
        </is>
      </c>
      <c r="D7" s="37" t="inlineStr">
        <is>
          <t>Only where final weapon build uses Exilus</t>
        </is>
      </c>
    </row>
    <row r="8">
      <c r="A8" s="37" t="inlineStr">
        <is>
          <t>Arcane Adapters</t>
        </is>
      </c>
      <c r="B8" s="37" t="inlineStr">
        <is>
          <t>All permanent eligible weapons</t>
        </is>
      </c>
      <c r="C8" s="37" t="inlineStr">
        <is>
          <t>Steel Path / relevant vendors</t>
        </is>
      </c>
      <c r="D8" s="37" t="inlineStr">
        <is>
          <t>Weapon Arcane slots</t>
        </is>
      </c>
    </row>
    <row r="9">
      <c r="A9" s="37" t="inlineStr">
        <is>
          <t>Elemental Vice</t>
        </is>
      </c>
      <c r="B9" s="37" t="inlineStr">
        <is>
          <t>12 baseline (v4: 12 adversary weapons)</t>
        </is>
      </c>
      <c r="C9" s="37" t="inlineStr">
        <is>
          <t>Eleanor/Market/Coda drop</t>
        </is>
      </c>
      <c r="D9" s="37" t="inlineStr">
        <is>
          <t>One for each locked Adversary weapon if permanent element flexibility desired</t>
        </is>
      </c>
    </row>
    <row r="10">
      <c r="A10" s="37" t="inlineStr">
        <is>
          <t>Helminth Segment</t>
        </is>
      </c>
      <c r="B10" s="37" t="inlineStr">
        <is>
          <t>1</t>
        </is>
      </c>
      <c r="C10" s="37" t="inlineStr">
        <is>
          <t>Entrati progression</t>
        </is>
      </c>
      <c r="D10" s="37" t="inlineStr">
        <is>
          <t>Required</t>
        </is>
      </c>
    </row>
    <row r="11">
      <c r="A11" s="37" t="inlineStr">
        <is>
          <t>Helminth Invigoration Segment</t>
        </is>
      </c>
      <c r="B11" s="37" t="inlineStr">
        <is>
          <t>1</t>
        </is>
      </c>
      <c r="C11" s="37" t="inlineStr">
        <is>
          <t>Entrati progression</t>
        </is>
      </c>
      <c r="D11" s="37" t="inlineStr">
        <is>
          <t>Collection/completeness</t>
        </is>
      </c>
    </row>
    <row r="12">
      <c r="A12" s="37" t="inlineStr">
        <is>
          <t>Archon Shard Helminth segment</t>
        </is>
      </c>
      <c r="B12" s="37" t="inlineStr">
        <is>
          <t>1</t>
        </is>
      </c>
      <c r="C12" s="37" t="inlineStr">
        <is>
          <t>Account progression</t>
        </is>
      </c>
      <c r="D12" s="37" t="inlineStr">
        <is>
          <t>Required for shard installation</t>
        </is>
      </c>
    </row>
    <row r="13">
      <c r="A13" s="37" t="inlineStr">
        <is>
          <t>Focus schools</t>
        </is>
      </c>
      <c r="B13" s="37" t="inlineStr">
        <is>
          <t>All 5 maxed eventually</t>
        </is>
      </c>
      <c r="C13" s="37" t="inlineStr">
        <is>
          <t>Account progression</t>
        </is>
      </c>
      <c r="D13" s="37" t="inlineStr">
        <is>
          <t>Permanent frame assignments use all five schools</t>
        </is>
      </c>
    </row>
    <row r="14">
      <c r="A14" s="37" t="inlineStr">
        <is>
          <t>Operator/Drifter Arcanes</t>
        </is>
      </c>
      <c r="B14" s="37" t="inlineStr">
        <is>
          <t>Complete useful max-rank collection</t>
        </is>
      </c>
      <c r="C14" s="37" t="inlineStr">
        <is>
          <t>Trade/farm depending item</t>
        </is>
      </c>
      <c r="D14" s="37" t="inlineStr">
        <is>
          <t>Account infrastructure, not frame-specific</t>
        </is>
      </c>
    </row>
  </sheetData>
  <conditionalFormatting sqref="E2:E300">
    <cfRule type="expression" priority="1" dxfId="0">
      <formula>E2="LIVE TEST"</formula>
    </cfRule>
    <cfRule type="expression" priority="2" dxfId="1">
      <formula>E2="Complete"</formula>
    </cfRule>
  </conditionalFormatting>
  <dataValidations count="1">
    <dataValidation sqref="E2:E300" showDropDown="0" showInputMessage="0" showErrorMessage="0" allowBlank="0" type="list">
      <formula1>"Need,Owned,Farm,Trade,LIVE TEST,Complete"</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style="26" min="1" max="1"/>
    <col width="75" customWidth="1" style="26" min="2" max="2"/>
    <col width="42" customWidth="1" style="26" min="3" max="3"/>
  </cols>
  <sheetData>
    <row r="1">
      <c r="A1" s="36" t="inlineStr">
        <is>
          <t>Source</t>
        </is>
      </c>
      <c r="B1" s="36" t="inlineStr">
        <is>
          <t>URL</t>
        </is>
      </c>
      <c r="C1" s="36" t="inlineStr">
        <is>
          <t>Supports</t>
        </is>
      </c>
    </row>
    <row r="2">
      <c r="A2" s="37" t="inlineStr">
        <is>
          <t>DE Trading FAQ</t>
        </is>
      </c>
      <c r="B2" s="37" t="inlineStr">
        <is>
          <t>https://support.warframe.com/hc/en-us/articles/37999066923533-Trading-FAQ-Safe-Trading-Tips</t>
        </is>
      </c>
      <c r="C2" s="37" t="inlineStr">
        <is>
          <t>Tradeability rules</t>
        </is>
      </c>
    </row>
    <row r="3">
      <c r="A3" s="37" t="inlineStr">
        <is>
          <t>DE Duviri Update 33</t>
        </is>
      </c>
      <c r="B3" s="37" t="inlineStr">
        <is>
          <t>https://www.warframe.com/de/patch-notes/switch/33-0-0</t>
        </is>
      </c>
      <c r="C3" s="37" t="inlineStr">
        <is>
          <t>Steel Path Circuit Incarnon Genesis</t>
        </is>
      </c>
    </row>
    <row r="4">
      <c r="A4" s="37" t="inlineStr">
        <is>
          <t>DE Update 43</t>
        </is>
      </c>
      <c r="B4" s="37" t="inlineStr">
        <is>
          <t>https://www.warframe.com/ru/patch-notes/psn/43-0-0</t>
        </is>
      </c>
      <c r="C4" s="37" t="inlineStr">
        <is>
          <t>2026 Incarnon additions including Vectis/Destreza</t>
        </is>
      </c>
    </row>
    <row r="5">
      <c r="A5" s="37" t="inlineStr">
        <is>
          <t>DE Lich Update 27.1</t>
        </is>
      </c>
      <c r="B5" s="37" t="inlineStr">
        <is>
          <t>https://www.warframe.com/es/patch-notes/pc/27-1-0</t>
        </is>
      </c>
      <c r="C5" s="37" t="inlineStr">
        <is>
          <t>Valence Fusion to 60%</t>
        </is>
      </c>
    </row>
    <row r="6">
      <c r="A6" s="37" t="inlineStr">
        <is>
          <t>DE Devstream 184</t>
        </is>
      </c>
      <c r="B6" s="37" t="inlineStr">
        <is>
          <t>https://www.warframe.com/en/news/riassunto-devstream-184</t>
        </is>
      </c>
      <c r="C6" s="37" t="inlineStr">
        <is>
          <t>Elemental Vice / Coda systems</t>
        </is>
      </c>
    </row>
    <row r="7">
      <c r="A7" s="37" t="inlineStr">
        <is>
          <t>DE Devstream 177</t>
        </is>
      </c>
      <c r="B7" s="37" t="inlineStr">
        <is>
          <t>https://www.warframe.com/en/news/177</t>
        </is>
      </c>
      <c r="C7" s="37" t="inlineStr">
        <is>
          <t>Tauforged Ascent Fusion reduced to 3 base shards</t>
        </is>
      </c>
    </row>
    <row r="8">
      <c r="A8" t="inlineStr">
        <is>
          <t>Warframe Wiki data modules (Warframes/Weapons/Mods/Arcane data)</t>
        </is>
      </c>
      <c r="B8" t="inlineStr">
        <is>
          <t>https://wiki.warframe.com/w/Module:Weapons/data</t>
        </is>
      </c>
      <c r="C8" t="inlineStr">
        <is>
          <t>Live roster, slots, Incarnon, signatures, mod tradeability (pulled 2026-10-05)</t>
        </is>
      </c>
    </row>
    <row r="9">
      <c r="A9" t="inlineStr">
        <is>
          <t>Warframe.Market API v2/v1</t>
        </is>
      </c>
      <c r="B9" t="inlineStr">
        <is>
          <t>https://api.warframe.market</t>
        </is>
      </c>
      <c r="C9" t="inlineStr">
        <is>
          <t>Live orders, 90d statistics, lich/sister auctions (PC)</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42" customWidth="1" style="26" min="1" max="1"/>
    <col width="88" customWidth="1" style="26" min="2" max="2"/>
    <col width="16" customWidth="1" style="26" min="3" max="3"/>
  </cols>
  <sheetData>
    <row r="1">
      <c r="A1" s="24" t="inlineStr">
        <is>
          <t>Change</t>
        </is>
      </c>
      <c r="B1" s="24" t="inlineStr">
        <is>
          <t>Reason</t>
        </is>
      </c>
      <c r="C1" s="24" t="inlineStr">
        <is>
          <t>Status</t>
        </is>
      </c>
    </row>
    <row r="2">
      <c r="A2" s="39" t="inlineStr">
        <is>
          <t>Atlas: Akarius Prime → Atomos Incarnon</t>
        </is>
      </c>
      <c r="B2" s="39" t="inlineStr">
        <is>
          <t>Gauss has explicit frame-specific Akarius Prime reload bonus; uniqueness doctrine awards Akarius to Gauss.</t>
        </is>
      </c>
      <c r="C2" s="39" t="inlineStr">
        <is>
          <t>FINAL</t>
        </is>
      </c>
    </row>
    <row r="3">
      <c r="A3" s="39" t="inlineStr">
        <is>
          <t>Uriel: Catabolyst → Kuva Twin Stubbas</t>
        </is>
      </c>
      <c r="B3" s="39" t="inlineStr">
        <is>
          <t>Citrine retains Catabolyst; removes only remaining Secondary collision.</t>
        </is>
      </c>
      <c r="C3" s="39" t="inlineStr">
        <is>
          <t>FINAL</t>
        </is>
      </c>
    </row>
    <row r="4">
      <c r="A4" s="39" t="inlineStr">
        <is>
          <t>Equinox: Strun Prime → Burston Prime Incarnon</t>
        </is>
      </c>
      <c r="B4" s="39" t="inlineStr">
        <is>
          <t>Nidus retains Strun Prime; Burston gives Equinox a unique high-end Primary.</t>
        </is>
      </c>
      <c r="C4" s="39" t="inlineStr">
        <is>
          <t>FINAL</t>
        </is>
      </c>
    </row>
    <row r="5">
      <c r="A5" s="39" t="inlineStr">
        <is>
          <t>Gauss: Acceltra Prime + Akarius Prime</t>
        </is>
      </c>
      <c r="B5" s="39" t="inlineStr">
        <is>
          <t>Official signature Prime pair; both gain enhanced reload behavior with Gauss.</t>
        </is>
      </c>
      <c r="C5" s="39" t="inlineStr">
        <is>
          <t>HARD LOCK</t>
        </is>
      </c>
    </row>
    <row r="6">
      <c r="A6" s="39" t="inlineStr">
        <is>
          <t>Styanax: Afentis</t>
        </is>
      </c>
      <c r="B6" s="39" t="inlineStr">
        <is>
          <t>Official Styanax signature speargun; overrides prior Baruuk assignment.</t>
        </is>
      </c>
      <c r="C6" s="39" t="inlineStr">
        <is>
          <t>HARD LOCK</t>
        </is>
      </c>
    </row>
    <row r="7">
      <c r="A7" s="39" t="inlineStr">
        <is>
          <t>Khora: Hystrix Prime + Dual Keres Prime</t>
        </is>
      </c>
      <c r="B7" s="39" t="inlineStr">
        <is>
          <t>Official signatures with Khora-specific bonuses.</t>
        </is>
      </c>
      <c r="C7" s="39" t="inlineStr">
        <is>
          <t>HARD LOCK</t>
        </is>
      </c>
    </row>
    <row r="8">
      <c r="A8" s="39" t="inlineStr">
        <is>
          <t>Citrine: Steflos Prime + Corufell Prime</t>
        </is>
      </c>
      <c r="B8" s="39" t="inlineStr">
        <is>
          <t>Official Citrine signature Prime weapons.</t>
        </is>
      </c>
      <c r="C8" s="39" t="inlineStr">
        <is>
          <t>HARD LOCK</t>
        </is>
      </c>
    </row>
    <row r="9">
      <c r="A9" s="39" t="inlineStr">
        <is>
          <t>Xaku: Trumna Prime + Quassus Prime</t>
        </is>
      </c>
      <c r="B9" s="39" t="inlineStr">
        <is>
          <t>Official Xaku Prime signature pair.</t>
        </is>
      </c>
      <c r="C9" s="39" t="inlineStr">
        <is>
          <t>HARD LOCK</t>
        </is>
      </c>
    </row>
    <row r="10">
      <c r="A10" s="39" t="inlineStr">
        <is>
          <t>Voruna: Perigale Prime + Sarofang Prime</t>
        </is>
      </c>
      <c r="B10" s="39" t="inlineStr">
        <is>
          <t>Official Voruna Prime signature pair.</t>
        </is>
      </c>
      <c r="C10" s="39" t="inlineStr">
        <is>
          <t>HARD LOCK</t>
        </is>
      </c>
    </row>
    <row r="11">
      <c r="A11" t="inlineStr">
        <is>
          <t>Baruuk Prime: OPEN -&gt; Paris Prime (Primary)</t>
        </is>
      </c>
      <c r="B11" t="inlineStr">
        <is>
          <t>Afentis is Styanax signature. Paris Prime Incarnon: high-end bow, unallocated, Genesis farmable. Tier D/E.</t>
        </is>
      </c>
      <c r="C11" t="inlineStr">
        <is>
          <t>FINAL (v4)</t>
        </is>
      </c>
    </row>
    <row r="12">
      <c r="A12" t="inlineStr">
        <is>
          <t>Dante: Ruvox -&gt; Phenmor (Primary)</t>
        </is>
      </c>
      <c r="B12" t="inlineStr">
        <is>
          <t>Ruvox is a MELEE (Fist), not a Primary. Phenmor: Entrati/Albrecht innate Incarnon rifle, Whispers-era fit (D).</t>
        </is>
      </c>
      <c r="C12" t="inlineStr">
        <is>
          <t>FINAL (v4)</t>
        </is>
      </c>
    </row>
    <row r="13">
      <c r="A13" t="inlineStr">
        <is>
          <t>Dante: Ekhein -&gt; Ruvox (Melee)</t>
        </is>
      </c>
      <c r="B13" t="inlineStr">
        <is>
          <t>Ruvox is Dante signature melee (A/B claim, innate Incarnon). Ekhein released to pool.</t>
        </is>
      </c>
      <c r="C13" t="inlineStr">
        <is>
          <t>FINAL (v4)</t>
        </is>
      </c>
    </row>
    <row r="14">
      <c r="A14" t="inlineStr">
        <is>
          <t>Garuda Prime: Zakti Prime -&gt; Despair (Secondary)</t>
        </is>
      </c>
      <c r="B14" t="inlineStr">
        <is>
          <t>Zakti Prime duplicate (Garuda vs Nezha); neither has a signature claim. Nezha keeps it (Prime Access tie-break only). Despair Incarnon: thrown blades suit talon kit (D).</t>
        </is>
      </c>
      <c r="C14" t="inlineStr">
        <is>
          <t>FINAL (v4)</t>
        </is>
      </c>
    </row>
    <row r="15">
      <c r="A15" t="inlineStr">
        <is>
          <t>Hildryn Prime: Larkspur Prime -&gt; Gorgon Wraith (Primary)</t>
        </is>
      </c>
      <c r="B15" t="inlineStr">
        <is>
          <t>Larkspur Prime is an ARCHGUN, so the Primary slot was effectively empty. Larkspur moved to an Archgun signature extra. Gorgon Wraith Incarnon (E).</t>
        </is>
      </c>
      <c r="C15" t="inlineStr">
        <is>
          <t>FINAL (v4)</t>
        </is>
      </c>
    </row>
    <row r="16">
      <c r="A16" t="inlineStr">
        <is>
          <t>Koumei: Kompressa -&gt; Kunai (Secondary)</t>
        </is>
      </c>
      <c r="B16" t="inlineStr">
        <is>
          <t>Kompressa line is Yareli signature (+30% Projectile Speed); Kompressa Prime exists. Kunai Incarnon: Japanese-themed thrown sidearm (D).</t>
        </is>
      </c>
      <c r="C16" t="inlineStr">
        <is>
          <t>FINAL (v4)</t>
        </is>
      </c>
    </row>
    <row r="17">
      <c r="A17" t="inlineStr">
        <is>
          <t>Narin: OPEN -&gt; Prisma Skana (Melee)</t>
        </is>
      </c>
      <c r="B17" t="inlineStr">
        <is>
          <t>Nurinarim is a cast sword-dance ability (scales on Ability Strength, 20s, no weapon mods), not a wielded weapon, so it does NOT replace Melee. Prisma Skana Incarnon: sword fits Iceblade theme (D).</t>
        </is>
      </c>
      <c r="C17" t="inlineStr">
        <is>
          <t>FINAL (v4)</t>
        </is>
      </c>
    </row>
    <row r="18">
      <c r="A18" t="inlineStr">
        <is>
          <t>Nokko: OPEN -&gt; Sporothrix (Primary)</t>
        </is>
      </c>
      <c r="B18" t="inlineStr">
        <is>
          <t>Fungal sniper rifle, direct Nokko (mushroom) thematic fit (D). Signature Arbucep is an Archgun.</t>
        </is>
      </c>
      <c r="C18" t="inlineStr">
        <is>
          <t>FINAL (v4)</t>
        </is>
      </c>
    </row>
    <row r="19">
      <c r="A19" t="inlineStr">
        <is>
          <t>Nokko: OPEN -&gt; Ocucor (Secondary)</t>
        </is>
      </c>
      <c r="B19" t="inlineStr">
        <is>
          <t>Released from Yareli; Deimos/Infested-growth thematic fit (D).</t>
        </is>
      </c>
      <c r="C19" t="inlineStr">
        <is>
          <t>FINAL (v4)</t>
        </is>
      </c>
    </row>
    <row r="20">
      <c r="A20" t="inlineStr">
        <is>
          <t>Nokko: OPEN -&gt; Mios (Melee)</t>
        </is>
      </c>
      <c r="B20" t="inlineStr">
        <is>
          <t>Released from Uriel (Vinquibus covers Melee); Infested blade-whip fit (D).</t>
        </is>
      </c>
      <c r="C20" t="inlineStr">
        <is>
          <t>FINAL (v4)</t>
        </is>
      </c>
    </row>
    <row r="21">
      <c r="A21" t="inlineStr">
        <is>
          <t>Oraxia: OPEN -&gt; Torid (Primary)</t>
        </is>
      </c>
      <c r="B21" t="inlineStr">
        <is>
          <t>Toxin launcher Incarnon; venom/spider fit (D).</t>
        </is>
      </c>
      <c r="C21" t="inlineStr">
        <is>
          <t>FINAL (v4)</t>
        </is>
      </c>
    </row>
    <row r="22">
      <c r="A22" t="inlineStr">
        <is>
          <t>Qorvex: Laetum -&gt; Bronco Prime (Secondary)</t>
        </is>
      </c>
      <c r="B22" t="inlineStr">
        <is>
          <t>Laetum duplicate (Qorvex vs Xaku). Xaku keeps it (Void/Zariman fit). Bronco Prime Incarnon: hitscan sidearm exploits +3 Punch Through passive (C).</t>
        </is>
      </c>
      <c r="C22" t="inlineStr">
        <is>
          <t>FINAL (v4)</t>
        </is>
      </c>
    </row>
    <row r="23">
      <c r="A23" t="inlineStr">
        <is>
          <t>Qorvex: Quassus -&gt; Hate (Melee)</t>
        </is>
      </c>
      <c r="B23" t="inlineStr">
        <is>
          <t>Quassus is XAKU signature; Qorvex had no claim. Hate Incarnon (E).</t>
        </is>
      </c>
      <c r="C23" t="inlineStr">
        <is>
          <t>FINAL (v4)</t>
        </is>
      </c>
    </row>
    <row r="24">
      <c r="A24" t="inlineStr">
        <is>
          <t>Styanax Prime: Afentis -&gt; Afentis Prime (Primary)</t>
        </is>
      </c>
      <c r="B24" t="inlineStr">
        <is>
          <t>Afentis Prime is live; same signature bonus line.</t>
        </is>
      </c>
      <c r="C24" t="inlineStr">
        <is>
          <t>FINAL (v4)</t>
        </is>
      </c>
    </row>
    <row r="25">
      <c r="A25" t="inlineStr">
        <is>
          <t>Uriel: Mios -&gt; Vinquibus (Melee) (Melee)</t>
        </is>
      </c>
      <c r="B25" t="inlineStr">
        <is>
          <t>Vinquibus occupies BOTH Primary and Melee slots, so Mios was impossible to equip alongside it.</t>
        </is>
      </c>
      <c r="C25" t="inlineStr">
        <is>
          <t>FINAL (v4)</t>
        </is>
      </c>
    </row>
    <row r="26">
      <c r="A26" t="inlineStr">
        <is>
          <t>Wukong Prime: Pyrana Prime -&gt; Ballistica Prime (Secondary)</t>
        </is>
      </c>
      <c r="B26" t="inlineStr">
        <is>
          <t>Pyrana Prime duplicate (Limbo vs Wukong). Limbo keeps it (Prime Access tie-break only). Ballistica Prime Incarnon (E).</t>
        </is>
      </c>
      <c r="C26" t="inlineStr">
        <is>
          <t>FINAL (v4)</t>
        </is>
      </c>
    </row>
    <row r="27">
      <c r="A27" t="inlineStr">
        <is>
          <t>Yareli Prime: Ocucor -&gt; Kompressa Prime (Secondary)</t>
        </is>
      </c>
      <c r="B27" t="inlineStr">
        <is>
          <t>Signature with a mechanical bonus (+30% Projectile Speed), tier A.</t>
        </is>
      </c>
      <c r="C27" t="inlineStr">
        <is>
          <t>FINAL (v4)</t>
        </is>
      </c>
    </row>
    <row r="28">
      <c r="A28" t="inlineStr">
        <is>
          <t>Temple: Athodai -&gt; Riot-848 (Secondary)</t>
        </is>
      </c>
      <c r="B28" t="inlineStr">
        <is>
          <t>v4.1 reconciliation: Riot-848 is Temple's signature machine pistol (Update 38.5). The slot is uncontested and Athodai has no Temple claim. Signature bonus is not implemented, so this is a tier D signature preference.</t>
        </is>
      </c>
      <c r="C28" t="inlineStr">
        <is>
          <t>FINAL (v4)</t>
        </is>
      </c>
    </row>
    <row r="29">
      <c r="A29" t="inlineStr">
        <is>
          <t>Mirage Prime: Prisma Twin Gremlins -&gt; Akzani (Secondary)</t>
        </is>
      </c>
      <c r="B29" t="inlineStr">
        <is>
          <t>v4.1 reconciliation: Akzani is Mirage's signature dual pistol; the slot is uncontested (tier D signature preference).</t>
        </is>
      </c>
      <c r="C29" t="inlineStr">
        <is>
          <t>FINAL (v4)</t>
        </is>
      </c>
    </row>
    <row r="30">
      <c r="A30" t="inlineStr">
        <is>
          <t>Sirius &amp; Orion: Caustacyst -&gt; Pride (Melee)</t>
        </is>
      </c>
      <c r="B30" t="inlineStr">
        <is>
          <t>v4.1 reconciliation: Pride (Sirius) / Wrath (Orion) are the twins' signature heavy scythes (Update 43). The twins share one weapon loadout, so one Melee slot. Pride is Sirius, the default Primary Son. Wrath is listed as an optional extra.</t>
        </is>
      </c>
      <c r="C30" t="inlineStr">
        <is>
          <t>FINAL (v4)</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60" customWidth="1" style="26" min="1" max="1"/>
    <col width="16" customWidth="1" style="26" min="2" max="2"/>
    <col width="16" customWidth="1" style="26" min="3" max="3"/>
    <col width="16" customWidth="1" style="26" min="4" max="4"/>
    <col width="16" customWidth="1" style="26" min="5" max="5"/>
    <col width="16" customWidth="1" style="26" min="6" max="6"/>
    <col width="16" customWidth="1" style="26" min="7" max="7"/>
    <col width="60" customWidth="1" style="26" min="8" max="8"/>
  </cols>
  <sheetData>
    <row r="1">
      <c r="A1" s="53" t="inlineStr">
        <is>
          <t>PHASE 3 ECONOMIC MODEL v4 - NORMALIZED ROSTER, LIVE WARFRAME.MARKET PRICING</t>
        </is>
      </c>
    </row>
    <row r="2">
      <c r="A2" t="inlineStr">
        <is>
          <t>Market: Warframe.Market PC, 2026-10-05 UTC (WFM pull 02:52-04:00). Floor = cheapest credible (online, else seen &lt;=3d) sell order at the required rank; Realistic = median of cheapest 3-5 credible, bounded by max(Floor, 1.5x traded median) when trade history exists; Conservative = max(Realistic, 5th seller, 30d traded median; capped 2x Realistic) x1.10. Adversary: direct-buyout auctions, owner seen &lt;=7d.</t>
        </is>
      </c>
    </row>
    <row r="3">
      <c r="A3" t="inlineStr">
        <is>
          <t>Benchmark: 23,000p = $1,000 (5 x 4,600p @ $199.99). 1p = $0.04348. Cells are live formulas over Procurement Master.</t>
        </is>
      </c>
    </row>
    <row r="5">
      <c r="A5" s="54" t="inlineStr">
        <is>
          <t>1. PLAYER-TRADE ACQUISITION</t>
        </is>
      </c>
      <c r="B5" s="54" t="inlineStr">
        <is>
          <t>Floor</t>
        </is>
      </c>
      <c r="C5" s="54" t="inlineStr">
        <is>
          <t>Realistic</t>
        </is>
      </c>
      <c r="D5" s="54" t="inlineStr">
        <is>
          <t>Conservative</t>
        </is>
      </c>
      <c r="E5" s="54" t="inlineStr">
        <is>
          <t>Rows counted</t>
        </is>
      </c>
      <c r="F5" s="54" t="inlineStr">
        <is>
          <t>Rows w/o sell orders</t>
        </is>
      </c>
      <c r="G5" s="54" t="inlineStr">
        <is>
          <t>Rows no data</t>
        </is>
      </c>
      <c r="H5" s="54" t="inlineStr">
        <is>
          <t>Scope</t>
        </is>
      </c>
    </row>
    <row r="6">
      <c r="A6" t="inlineStr">
        <is>
          <t>Prime frame acquisition</t>
        </is>
      </c>
      <c r="B6" s="55">
        <f>SUMIFS('Procurement Master'!$L$2:$L$1865,'Procurement Master'!$A$2:$A$1865,"Warframe",'Procurement Master'!$AS$2:$AS$1865,"Yes")</f>
        <v/>
      </c>
      <c r="C6" s="55">
        <f>SUMIFS('Procurement Master'!$M$2:$M$1865,'Procurement Master'!$A$2:$A$1865,"Warframe",'Procurement Master'!$AS$2:$AS$1865,"Yes")</f>
        <v/>
      </c>
      <c r="D6" s="55">
        <f>SUMIFS('Procurement Master'!$N$2:$N$1865,'Procurement Master'!$A$2:$A$1865,"Warframe",'Procurement Master'!$AS$2:$AS$1865,"Yes")</f>
        <v/>
      </c>
      <c r="E6" s="55">
        <f>COUNTIFS('Procurement Master'!$A$2:$A$1865,"Warframe",'Procurement Master'!$AS$2:$AS$1865,"Yes")</f>
        <v/>
      </c>
      <c r="F6" s="55">
        <f>COUNTIFS('Procurement Master'!$A$2:$A$1865,"Warframe",'Procurement Master'!$AS$2:$AS$1865,"Yes",'Procurement Master'!$L$2:$L$1865,"")</f>
        <v/>
      </c>
      <c r="G6" s="55">
        <f>COUNTIFS('Procurement Master'!$A$2:$A$1865,"Warframe",'Procurement Master'!$P$2:$P$1865,"*UNAVAILABLE*")</f>
        <v/>
      </c>
      <c r="H6" t="inlineStr">
        <is>
          <t>51 Prime sets; 15 base/quest frames are account-bound (0p)</t>
        </is>
      </c>
    </row>
    <row r="7">
      <c r="A7" t="inlineStr">
        <is>
          <t>Weapon acquisition (ordinary, tradeable)</t>
        </is>
      </c>
      <c r="B7" s="55">
        <f>SUMIFS('Procurement Master'!$L$2:$L$1865,'Procurement Master'!$A$2:$A$1865,"Weapon",'Procurement Master'!$AS$2:$AS$1865,"Yes")</f>
        <v/>
      </c>
      <c r="C7" s="55">
        <f>SUMIFS('Procurement Master'!$M$2:$M$1865,'Procurement Master'!$A$2:$A$1865,"Weapon",'Procurement Master'!$AS$2:$AS$1865,"Yes")</f>
        <v/>
      </c>
      <c r="D7" s="55">
        <f>SUMIFS('Procurement Master'!$N$2:$N$1865,'Procurement Master'!$A$2:$A$1865,"Weapon",'Procurement Master'!$AS$2:$AS$1865,"Yes")</f>
        <v/>
      </c>
      <c r="E7" s="55">
        <f>COUNTIFS('Procurement Master'!$A$2:$A$1865,"Weapon",'Procurement Master'!$AS$2:$AS$1865,"Yes")</f>
        <v/>
      </c>
      <c r="F7" s="55">
        <f>COUNTIFS('Procurement Master'!$A$2:$A$1865,"Weapon",'Procurement Master'!$AS$2:$AS$1865,"Yes",'Procurement Master'!$L$2:$L$1865,"")</f>
        <v/>
      </c>
      <c r="G7" s="55">
        <f>COUNTIFS('Procurement Master'!$A$2:$A$1865,"Weapon",'Procurement Master'!$P$2:$P$1865,"*UNAVAILABLE*")</f>
        <v/>
      </c>
      <c r="H7" t="inlineStr">
        <is>
          <t>Prime sets, Vandal/Wraith/Prisma, Zariman/Entrati blueprints</t>
        </is>
      </c>
    </row>
    <row r="8">
      <c r="A8" t="inlineStr">
        <is>
          <t>Adversary acquisition (Kuva/Tenet)</t>
        </is>
      </c>
      <c r="B8" s="55">
        <f>SUMIFS('Procurement Master'!$L$2:$L$1865,'Procurement Master'!$A$2:$A$1865,"Adversary Weapon",'Procurement Master'!$AS$2:$AS$1865,"Yes")</f>
        <v/>
      </c>
      <c r="C8" s="55">
        <f>SUMIFS('Procurement Master'!$M$2:$M$1865,'Procurement Master'!$A$2:$A$1865,"Adversary Weapon",'Procurement Master'!$AS$2:$AS$1865,"Yes")</f>
        <v/>
      </c>
      <c r="D8" s="55">
        <f>SUMIFS('Procurement Master'!$N$2:$N$1865,'Procurement Master'!$A$2:$A$1865,"Adversary Weapon",'Procurement Master'!$AS$2:$AS$1865,"Yes")</f>
        <v/>
      </c>
      <c r="E8" s="55">
        <f>COUNTIFS('Procurement Master'!$A$2:$A$1865,"Adversary Weapon",'Procurement Master'!$AS$2:$AS$1865,"Yes")</f>
        <v/>
      </c>
      <c r="F8" s="55">
        <f>COUNTIFS('Procurement Master'!$A$2:$A$1865,"Adversary Weapon",'Procurement Master'!$AS$2:$AS$1865,"Yes",'Procurement Master'!$L$2:$L$1865,"")</f>
        <v/>
      </c>
      <c r="G8" s="55">
        <f>COUNTIFS('Procurement Master'!$A$2:$A$1865,"Adversary Weapon",'Procurement Master'!$P$2:$P$1865,"*UNAVAILABLE*")</f>
        <v/>
      </c>
      <c r="H8" t="inlineStr">
        <is>
          <t>12 weapons, target element, &gt;=58% valence</t>
        </is>
      </c>
    </row>
    <row r="9">
      <c r="A9" t="inlineStr">
        <is>
          <t>Max-rank mod acquisition (PvE, every tradeable mod)</t>
        </is>
      </c>
      <c r="B9" s="55">
        <f>SUMIFS('Procurement Master'!$L$2:$L$1865,'Procurement Master'!$A$2:$A$1865,"Mod",'Procurement Master'!$AS$2:$AS$1865,"Yes")</f>
        <v/>
      </c>
      <c r="C9" s="55">
        <f>SUMIFS('Procurement Master'!$M$2:$M$1865,'Procurement Master'!$A$2:$A$1865,"Mod",'Procurement Master'!$AS$2:$AS$1865,"Yes")</f>
        <v/>
      </c>
      <c r="D9" s="55">
        <f>SUMIFS('Procurement Master'!$N$2:$N$1865,'Procurement Master'!$A$2:$A$1865,"Mod",'Procurement Master'!$AS$2:$AS$1865,"Yes")</f>
        <v/>
      </c>
      <c r="E9" s="55">
        <f>COUNTIFS('Procurement Master'!$A$2:$A$1865,"Mod",'Procurement Master'!$AS$2:$AS$1865,"Yes")</f>
        <v/>
      </c>
      <c r="F9" s="55">
        <f>COUNTIFS('Procurement Master'!$A$2:$A$1865,"Mod",'Procurement Master'!$AS$2:$AS$1865,"Yes",'Procurement Master'!$L$2:$L$1865,"")</f>
        <v/>
      </c>
      <c r="G9" s="55">
        <f>COUNTIFS('Procurement Master'!$A$2:$A$1865,"Mod",'Procurement Master'!$P$2:$P$1865,"*UNAVAILABLE*")</f>
        <v/>
      </c>
      <c r="H9" t="inlineStr">
        <is>
          <t>All WFM mods ex Rivens/Flawed/locators; Conclave reported separately</t>
        </is>
      </c>
    </row>
    <row r="10">
      <c r="A10" t="inlineStr">
        <is>
          <t>Max-rank Arcane acquisition (required)</t>
        </is>
      </c>
      <c r="B10" s="55">
        <f>SUMIFS('Procurement Master'!$L$2:$L$1865,'Procurement Master'!$A$2:$A$1865,"Arcane",'Procurement Master'!$AS$2:$AS$1865,"Yes")</f>
        <v/>
      </c>
      <c r="C10" s="55">
        <f>SUMIFS('Procurement Master'!$M$2:$M$1865,'Procurement Master'!$A$2:$A$1865,"Arcane",'Procurement Master'!$AS$2:$AS$1865,"Yes")</f>
        <v/>
      </c>
      <c r="D10" s="55">
        <f>SUMIFS('Procurement Master'!$N$2:$N$1865,'Procurement Master'!$A$2:$A$1865,"Arcane",'Procurement Master'!$AS$2:$AS$1865,"Yes")</f>
        <v/>
      </c>
      <c r="E10" s="55">
        <f>COUNTIFS('Procurement Master'!$A$2:$A$1865,"Arcane",'Procurement Master'!$AS$2:$AS$1865,"Yes")</f>
        <v/>
      </c>
      <c r="F10" s="55">
        <f>COUNTIFS('Procurement Master'!$A$2:$A$1865,"Arcane",'Procurement Master'!$AS$2:$AS$1865,"Yes",'Procurement Master'!$L$2:$L$1865,"")</f>
        <v/>
      </c>
      <c r="G10" s="55">
        <f>COUNTIFS('Procurement Master'!$A$2:$A$1865,"Arcane",'Procurement Master'!$P$2:$P$1865,"*UNAVAILABLE*")</f>
        <v/>
      </c>
      <c r="H10" t="inlineStr">
        <is>
          <t>v3 14 required + v4 11 weapon-arcane baseline</t>
        </is>
      </c>
    </row>
    <row r="11">
      <c r="A11" t="inlineStr">
        <is>
          <t>Companions (Prime sentinel sets)</t>
        </is>
      </c>
      <c r="B11" s="55">
        <f>SUMIFS('Procurement Master'!$L$2:$L$1865,'Procurement Master'!$A$2:$A$1865,"Companion",'Procurement Master'!$AS$2:$AS$1865,"Yes")</f>
        <v/>
      </c>
      <c r="C11" s="55">
        <f>SUMIFS('Procurement Master'!$M$2:$M$1865,'Procurement Master'!$A$2:$A$1865,"Companion",'Procurement Master'!$AS$2:$AS$1865,"Yes")</f>
        <v/>
      </c>
      <c r="D11" s="55">
        <f>SUMIFS('Procurement Master'!$N$2:$N$1865,'Procurement Master'!$A$2:$A$1865,"Companion",'Procurement Master'!$AS$2:$AS$1865,"Yes")</f>
        <v/>
      </c>
      <c r="E11" s="55">
        <f>COUNTIFS('Procurement Master'!$A$2:$A$1865,"Companion",'Procurement Master'!$AS$2:$AS$1865,"Yes")</f>
        <v/>
      </c>
      <c r="F11" s="55">
        <f>COUNTIFS('Procurement Master'!$A$2:$A$1865,"Companion",'Procurement Master'!$AS$2:$AS$1865,"Yes",'Procurement Master'!$L$2:$L$1865,"")</f>
        <v/>
      </c>
      <c r="G11" s="55">
        <f>COUNTIFS('Procurement Master'!$A$2:$A$1865,"Companion",'Procurement Master'!$P$2:$P$1865,"*UNAVAILABLE*")</f>
        <v/>
      </c>
      <c r="H11" t="inlineStr">
        <is>
          <t>v3 companion list; beasts/base sentinels farmed</t>
        </is>
      </c>
    </row>
    <row r="12">
      <c r="A12" s="54" t="inlineStr">
        <is>
          <t>PLAYER-TRADE TOTAL</t>
        </is>
      </c>
      <c r="B12" s="56">
        <f>SUM(B6:B11)</f>
        <v/>
      </c>
      <c r="C12" s="56">
        <f>SUM(C6:C11)</f>
        <v/>
      </c>
      <c r="D12" s="56">
        <f>SUM(D6:D11)</f>
        <v/>
      </c>
      <c r="E12" s="54" t="n"/>
      <c r="F12" s="54" t="n"/>
      <c r="G12" s="54" t="n"/>
      <c r="H12" s="54" t="n"/>
    </row>
    <row r="13">
      <c r="A13" t="inlineStr">
        <is>
          <t xml:space="preserve">   Rows without credible sell orders contribute Realistic/Conservative from the traded median when one exists (Floor blank); otherwise 0 and marked MARKET DATA UNAVAILABLE.</t>
        </is>
      </c>
    </row>
    <row r="15">
      <c r="A15" s="54" t="inlineStr">
        <is>
          <t>SEPARATE / OPTIONAL TRADE LINES (not in totals)</t>
        </is>
      </c>
      <c r="B15" s="54" t="inlineStr">
        <is>
          <t>Floor</t>
        </is>
      </c>
      <c r="C15" s="54" t="inlineStr">
        <is>
          <t>Realistic</t>
        </is>
      </c>
      <c r="D15" s="54" t="inlineStr">
        <is>
          <t>Conservative</t>
        </is>
      </c>
      <c r="E15" s="54" t="n"/>
      <c r="F15" s="54" t="n"/>
      <c r="G15" s="54" t="n"/>
      <c r="H15" s="54" t="n"/>
    </row>
    <row r="16">
      <c r="A16" t="inlineStr">
        <is>
          <t>Conclave/PvP-only mods (max rank)</t>
        </is>
      </c>
      <c r="B16" s="55">
        <f>SUMIFS('Procurement Master'!$L$2:$L$1865,'Procurement Master'!$A$2:$A$1865,"Mod",'Procurement Master'!$AS$2:$AS$1865,"PvP subtotal")</f>
        <v/>
      </c>
      <c r="C16" s="55">
        <f>SUMIFS('Procurement Master'!$M$2:$M$1865,'Procurement Master'!$A$2:$A$1865,"Mod",'Procurement Master'!$AS$2:$AS$1865,"PvP subtotal")</f>
        <v/>
      </c>
      <c r="D16" s="55">
        <f>SUMIFS('Procurement Master'!$N$2:$N$1865,'Procurement Master'!$A$2:$A$1865,"Mod",'Procurement Master'!$AS$2:$AS$1865,"PvP subtotal")</f>
        <v/>
      </c>
    </row>
    <row r="17">
      <c r="A17" t="inlineStr">
        <is>
          <t>Remaining Arcane collection (all other tradeable Arcanes, max rank)</t>
        </is>
      </c>
      <c r="B17" s="55">
        <f>SUMIFS('Procurement Master'!$L$2:$L$1865,'Procurement Master'!$A$2:$A$1865,"Arcane",'Procurement Master'!$AS$2:$AS$1865,"Collection (optional)")</f>
        <v/>
      </c>
      <c r="C17" s="55">
        <f>SUMIFS('Procurement Master'!$M$2:$M$1865,'Procurement Master'!$A$2:$A$1865,"Arcane",'Procurement Master'!$AS$2:$AS$1865,"Collection (optional)")</f>
        <v/>
      </c>
      <c r="D17" s="55">
        <f>SUMIFS('Procurement Master'!$N$2:$N$1865,'Procurement Master'!$A$2:$A$1865,"Arcane",'Procurement Master'!$AS$2:$AS$1865,"Collection (optional)")</f>
        <v/>
      </c>
    </row>
    <row r="18">
      <c r="A18" t="inlineStr">
        <is>
          <t>Signature archguns (Larkspur Prime; Mandonel/Arbucep farmed)</t>
        </is>
      </c>
      <c r="B18" s="55">
        <f>SUMIFS('Procurement Master'!$L$2:$L$1865,'Procurement Master'!$A$2:$A$1865,"Archgun",'Procurement Master'!$AS$2:$AS$1865,"Optional")</f>
        <v/>
      </c>
      <c r="C18" s="55">
        <f>SUMIFS('Procurement Master'!$M$2:$M$1865,'Procurement Master'!$A$2:$A$1865,"Archgun",'Procurement Master'!$AS$2:$AS$1865,"Optional")</f>
        <v/>
      </c>
      <c r="D18" s="55">
        <f>SUMIFS('Procurement Master'!$N$2:$N$1865,'Procurement Master'!$A$2:$A$1865,"Archgun",'Procurement Master'!$AS$2:$AS$1865,"Optional")</f>
        <v/>
      </c>
    </row>
    <row r="19">
      <c r="A19" t="inlineStr">
        <is>
          <t>Signature extras for Exalted-replaced/shared slots (Reconifex, Cobra &amp; Crane Prime; Skiajati/Wrath farmed)</t>
        </is>
      </c>
      <c r="B19" s="55">
        <f>SUMIFS('Procurement Master'!$L$2:$L$1865,'Procurement Master'!$A$2:$A$1865,"Signature Extra",'Procurement Master'!$AS$2:$AS$1865,"Optional")</f>
        <v/>
      </c>
      <c r="C19" s="55">
        <f>SUMIFS('Procurement Master'!$M$2:$M$1865,'Procurement Master'!$A$2:$A$1865,"Signature Extra",'Procurement Master'!$AS$2:$AS$1865,"Optional")</f>
        <v/>
      </c>
      <c r="D19" s="55">
        <f>SUMIFS('Procurement Master'!$N$2:$N$1865,'Procurement Master'!$A$2:$A$1865,"Signature Extra",'Procurement Master'!$AS$2:$AS$1865,"Optional")</f>
        <v/>
      </c>
    </row>
    <row r="20">
      <c r="A20" t="inlineStr">
        <is>
          <t>Upcoming / not live (Brysko, Corecracker, Rain &amp; Shine, Hound, Sentient shotgun, Tigris Incarnon)</t>
        </is>
      </c>
      <c r="B20" t="inlineStr">
        <is>
          <t>EXCLUDED</t>
        </is>
      </c>
      <c r="C20" t="inlineStr">
        <is>
          <t>EXCLUDED</t>
        </is>
      </c>
      <c r="D20" t="inlineStr">
        <is>
          <t>EXCLUDED</t>
        </is>
      </c>
    </row>
    <row r="22">
      <c r="A22" s="54" t="inlineStr">
        <is>
          <t>2. FIXED / DIRECT INFRASTRUCTURE</t>
        </is>
      </c>
      <c r="B22" s="54" t="inlineStr">
        <is>
          <t>Count</t>
        </is>
      </c>
      <c r="C22" s="54" t="inlineStr">
        <is>
          <t>Unit Pt</t>
        </is>
      </c>
      <c r="D22" s="54" t="inlineStr">
        <is>
          <t>Gross Pt</t>
        </is>
      </c>
      <c r="E22" s="54" t="inlineStr">
        <is>
          <t>Free slots</t>
        </is>
      </c>
      <c r="F22" s="54" t="inlineStr">
        <is>
          <t>Net Pt</t>
        </is>
      </c>
      <c r="G22" s="54" t="inlineStr"/>
      <c r="H22" s="54" t="inlineStr">
        <is>
          <t>Basis</t>
        </is>
      </c>
    </row>
    <row r="23">
      <c r="A23" t="inlineStr">
        <is>
          <t>Warframe slots</t>
        </is>
      </c>
      <c r="B23" t="n">
        <v>66</v>
      </c>
      <c r="C23" t="n">
        <v>20</v>
      </c>
      <c r="D23" s="55">
        <f>B23*C23</f>
        <v/>
      </c>
      <c r="E23" t="n">
        <v>5</v>
      </c>
      <c r="F23" s="55">
        <f>(B23-E23)*C23</f>
        <v/>
      </c>
      <c r="H23" t="inlineStr">
        <is>
          <t>Free: 3 starter, Excalibur Umbra (Sacrifice), Nora's Mix</t>
        </is>
      </c>
    </row>
    <row r="24">
      <c r="A24" t="inlineStr">
        <is>
          <t>Weapon slots (2 per 12p)</t>
        </is>
      </c>
      <c r="B24" t="n">
        <v>183</v>
      </c>
      <c r="C24" t="n">
        <v>6</v>
      </c>
      <c r="D24" s="55">
        <f>CEILING(B24/2,1)*12</f>
        <v/>
      </c>
      <c r="E24" t="n">
        <v>23</v>
      </c>
      <c r="F24" s="55">
        <f>CEILING((B24-E24)/2,1)*12</f>
        <v/>
      </c>
      <c r="H24" t="inlineStr">
        <is>
          <t>183 slot-taking weapons (Exalted/intrinsic excluded; Vinquibus counted once). Free: 11 starter + 12 junction/quest (quest weapons such as Thornbak, Broken War, Skiajati and Rumblejack must be sold to free theirs)</t>
        </is>
      </c>
    </row>
    <row r="25">
      <c r="A25" t="inlineStr">
        <is>
          <t>Companion slots (2 per 12p)</t>
        </is>
      </c>
      <c r="B25" t="n">
        <v>12</v>
      </c>
      <c r="C25" t="n">
        <v>6</v>
      </c>
      <c r="D25" s="55">
        <f>CEILING(B25/2,1)*12</f>
        <v/>
      </c>
      <c r="E25" t="n">
        <v>10</v>
      </c>
      <c r="F25" s="55">
        <f>MAX(0,CEILING((B25-E25)/2,1)*12)</f>
        <v/>
      </c>
      <c r="H25" t="inlineStr">
        <is>
          <t>12 = 8 assigned companions + 4 bundled sentinel weapons (v4.2 builds); 10 starter</t>
        </is>
      </c>
    </row>
    <row r="26">
      <c r="A26" s="54" t="inlineStr">
        <is>
          <t>FIXED INFRASTRUCTURE TOTAL</t>
        </is>
      </c>
      <c r="B26" s="54" t="inlineStr"/>
      <c r="C26" s="54" t="inlineStr"/>
      <c r="D26" s="56">
        <f>SUM(D23:D25)</f>
        <v/>
      </c>
      <c r="E26" s="54" t="inlineStr"/>
      <c r="F26" s="56">
        <f>SUM(F23:F25)</f>
        <v/>
      </c>
      <c r="G26" s="54" t="n"/>
      <c r="H26" s="54" t="n"/>
    </row>
    <row r="28">
      <c r="A28" s="54" t="inlineStr">
        <is>
          <t>3. OPTIONAL CONVENIENCE (plat shortcut for farmable items)</t>
        </is>
      </c>
      <c r="B28" s="54" t="inlineStr">
        <is>
          <t>Count</t>
        </is>
      </c>
      <c r="C28" s="54" t="inlineStr">
        <is>
          <t>Unit Pt</t>
        </is>
      </c>
      <c r="D28" s="54" t="inlineStr">
        <is>
          <t>Pt</t>
        </is>
      </c>
      <c r="E28" s="54" t="inlineStr"/>
      <c r="F28" s="54" t="inlineStr"/>
      <c r="G28" s="54" t="inlineStr"/>
      <c r="H28" s="54" t="inlineStr">
        <is>
          <t>Basis</t>
        </is>
      </c>
    </row>
    <row r="29">
      <c r="A29" t="inlineStr">
        <is>
          <t>Orokin Reactors</t>
        </is>
      </c>
      <c r="B29" t="n">
        <v>65</v>
      </c>
      <c r="C29" t="n">
        <v>20</v>
      </c>
      <c r="D29" s="55">
        <f>B29*C29</f>
        <v/>
      </c>
      <c r="H29" t="inlineStr">
        <is>
          <t>66 frames minus Excalibur Umbra (pre-installed). Cyte-09 counted: verify</t>
        </is>
      </c>
    </row>
    <row r="30">
      <c r="A30" t="inlineStr">
        <is>
          <t>Orokin Catalysts</t>
        </is>
      </c>
      <c r="B30" t="n">
        <v>171</v>
      </c>
      <c r="C30" t="n">
        <v>20</v>
      </c>
      <c r="D30" s="55">
        <f>B30*C30</f>
        <v/>
      </c>
      <c r="H30" t="inlineStr">
        <is>
          <t>171 ordinary non-adversary weapons (Kuva/Tenet pre-installed; Exalted use frame Reactor)</t>
        </is>
      </c>
    </row>
    <row r="31">
      <c r="A31" t="inlineStr">
        <is>
          <t>Incarnon Genesis via Cavalero (plat, one-time each)</t>
        </is>
      </c>
      <c r="B31" t="n">
        <v>32</v>
      </c>
      <c r="C31" t="n">
        <v>120</v>
      </c>
      <c r="D31" s="55">
        <f>B31*C31</f>
        <v/>
      </c>
      <c r="H31" t="inlineStr">
        <is>
          <t>v4.2: wiki - rotation adapters purchasable for 120p incl. install resources (U39). Otherwise farm Steel Path Circuit</t>
        </is>
      </c>
    </row>
    <row r="32">
      <c r="A32" s="54" t="inlineStr">
        <is>
          <t>OPTIONAL CONVENIENCE TOTAL</t>
        </is>
      </c>
      <c r="B32" s="54" t="inlineStr"/>
      <c r="C32" s="54" t="inlineStr"/>
      <c r="D32" s="56">
        <f>SUM(D29:D31)</f>
        <v/>
      </c>
      <c r="E32" s="54" t="n"/>
      <c r="F32" s="54" t="n"/>
      <c r="G32" s="54" t="n"/>
      <c r="H32" s="54" t="n"/>
    </row>
    <row r="34">
      <c r="A34" s="54" t="inlineStr">
        <is>
          <t>4. RECONSTRUCTION TOTALS</t>
        </is>
      </c>
      <c r="B34" s="54" t="inlineStr">
        <is>
          <t>Floor Pt</t>
        </is>
      </c>
      <c r="C34" s="54" t="inlineStr">
        <is>
          <t>Realistic Pt</t>
        </is>
      </c>
      <c r="D34" s="54" t="inlineStr">
        <is>
          <t>Conservative Pt</t>
        </is>
      </c>
      <c r="E34" s="54" t="inlineStr">
        <is>
          <t>USD Floor</t>
        </is>
      </c>
      <c r="F34" s="54" t="inlineStr">
        <is>
          <t>USD Realistic</t>
        </is>
      </c>
      <c r="G34" s="54" t="inlineStr">
        <is>
          <t>USD Conservative</t>
        </is>
      </c>
      <c r="H34" s="54" t="n"/>
    </row>
    <row r="35">
      <c r="A35" t="inlineStr">
        <is>
          <t>TOTAL RECONSTRUCTION (trade + fixed infra net of free slots)</t>
        </is>
      </c>
      <c r="B35" s="55">
        <f>B12+F26</f>
        <v/>
      </c>
      <c r="C35" s="55">
        <f>C12+F26</f>
        <v/>
      </c>
      <c r="D35" s="55">
        <f>D12+F26</f>
        <v/>
      </c>
      <c r="E35" s="57">
        <f>B35*0.043478260869565216</f>
        <v/>
      </c>
      <c r="F35" s="57">
        <f>C35*0.043478260869565216</f>
        <v/>
      </c>
      <c r="G35" s="57">
        <f>D35*0.043478260869565216</f>
        <v/>
      </c>
    </row>
    <row r="36">
      <c r="A36" t="inlineStr">
        <is>
          <t>TOTAL RECONSTRUCTION (trade + fixed infra gross, v3 method)</t>
        </is>
      </c>
      <c r="B36" s="55">
        <f>B12+D26</f>
        <v/>
      </c>
      <c r="C36" s="55">
        <f>C12+D26</f>
        <v/>
      </c>
      <c r="D36" s="55">
        <f>D12+D26</f>
        <v/>
      </c>
      <c r="E36" s="57">
        <f>B36*0.043478260869565216</f>
        <v/>
      </c>
      <c r="F36" s="57">
        <f>C36*0.043478260869565216</f>
        <v/>
      </c>
      <c r="G36" s="57">
        <f>D36*0.043478260869565216</f>
        <v/>
      </c>
    </row>
    <row r="37">
      <c r="A37" t="inlineStr">
        <is>
          <t>TOTAL incl. optional Reactors/Catalysts (gross)</t>
        </is>
      </c>
      <c r="B37" s="55">
        <f>B12+D26+D32</f>
        <v/>
      </c>
      <c r="C37" s="55">
        <f>C12+D26+D32</f>
        <v/>
      </c>
      <c r="D37" s="55">
        <f>D12+D26+D32</f>
        <v/>
      </c>
      <c r="E37" s="57">
        <f>B37*0.043478260869565216</f>
        <v/>
      </c>
      <c r="F37" s="57">
        <f>C37*0.043478260869565216</f>
        <v/>
      </c>
      <c r="G37" s="57">
        <f>D37*0.043478260869565216</f>
        <v/>
      </c>
    </row>
    <row r="39">
      <c r="A39" s="54" t="inlineStr">
        <is>
          <t>5. COMPARISON vs ~$1,000 / ~23,000p</t>
        </is>
      </c>
      <c r="B39" s="54" t="inlineStr">
        <is>
          <t>Floor</t>
        </is>
      </c>
      <c r="C39" s="54" t="inlineStr">
        <is>
          <t>Realistic</t>
        </is>
      </c>
      <c r="D39" s="54" t="inlineStr">
        <is>
          <t>Conservative</t>
        </is>
      </c>
      <c r="E39" s="54" t="n"/>
      <c r="F39" s="54" t="n"/>
      <c r="G39" s="54" t="n"/>
      <c r="H39" s="54" t="n"/>
    </row>
    <row r="40">
      <c r="A40" t="inlineStr">
        <is>
          <t>Net reconstruction / 23,000p</t>
        </is>
      </c>
      <c r="B40" s="58">
        <f>B35/23000</f>
        <v/>
      </c>
      <c r="C40" s="58">
        <f>C35/23000</f>
        <v/>
      </c>
      <c r="D40" s="58">
        <f>D35/23000</f>
        <v/>
      </c>
    </row>
    <row r="41">
      <c r="A41" t="inlineStr">
        <is>
          <t>Gross + potatoes / 23,000p</t>
        </is>
      </c>
      <c r="B41" s="58">
        <f>B37/23000</f>
        <v/>
      </c>
      <c r="C41" s="58">
        <f>C37/23000</f>
        <v/>
      </c>
      <c r="D41" s="58">
        <f>D37/23000</f>
        <v/>
      </c>
    </row>
    <row r="42">
      <c r="A42" t="inlineStr">
        <is>
          <t>Interpretation: see 7. MODEL NOTES. Account-purchase risk (ban/recovery/ToS) is NOT priced here and must be assessed separately.</t>
        </is>
      </c>
    </row>
    <row r="44">
      <c r="A44" s="54" t="inlineStr">
        <is>
          <t>6. FARMABLE SAVINGS / ACCOUNT-BOUND (not plat)</t>
        </is>
      </c>
      <c r="B44" s="54" t="inlineStr">
        <is>
          <t>Value</t>
        </is>
      </c>
      <c r="C44" s="54" t="inlineStr"/>
      <c r="D44" s="54" t="inlineStr"/>
      <c r="E44" s="54" t="inlineStr"/>
      <c r="F44" s="54" t="inlineStr"/>
      <c r="G44" s="54" t="inlineStr"/>
      <c r="H44" s="54" t="inlineStr">
        <is>
          <t>Note</t>
        </is>
      </c>
    </row>
    <row r="45">
      <c r="A45" t="inlineStr">
        <is>
          <t>Mods bought at R0 instead of max (realistic plat)</t>
        </is>
      </c>
      <c r="B45" s="55">
        <f>SUMIFS('Procurement Master'!$AQ$2:$AQ$1865,'Procurement Master'!$A$2:$A$1865,"Mod",'Procurement Master'!$AS$2:$AS$1865,"Yes")</f>
        <v/>
      </c>
      <c r="H45" t="inlineStr">
        <is>
          <t>Requires the Endo/credits below; R0 not on market for some mods</t>
        </is>
      </c>
    </row>
    <row r="46">
      <c r="A46" t="inlineStr">
        <is>
          <t xml:space="preserve">  Endo needed to max every PvE mod yourself</t>
        </is>
      </c>
      <c r="B46" s="55">
        <f>SUMIFS('Procurement Master'!$AO$2:$AO$1865,'Procurement Master'!$A$2:$A$1865,"Mod",'Procurement Master'!$AS$2:$AS$1865,"Yes")</f>
        <v/>
      </c>
    </row>
    <row r="47">
      <c r="A47" t="inlineStr">
        <is>
          <t xml:space="preserve">  Credits needed to max every PvE mod yourself</t>
        </is>
      </c>
      <c r="B47" s="55">
        <f>SUMIFS('Procurement Master'!$AP$2:$AP$1865,'Procurement Master'!$A$2:$A$1865,"Mod",'Procurement Master'!$AS$2:$AS$1865,"Yes")</f>
        <v/>
      </c>
    </row>
    <row r="48">
      <c r="A48" t="inlineStr">
        <is>
          <t>Arcanes via R0 copies (sum where available, required set)</t>
        </is>
      </c>
      <c r="B48" s="55">
        <f>SUMIFS('Procurement Master'!$AR$2:$AR$1865,'Procurement Master'!$A$2:$A$1865,"Arcane",'Procurement Master'!$AS$2:$AS$1865,"Yes")</f>
        <v/>
      </c>
    </row>
    <row r="49">
      <c r="A49" t="inlineStr">
        <is>
          <t>Non-tradeable frames/weapons/companions (farm/quest/vendor/Dojo)</t>
        </is>
      </c>
      <c r="B49" s="55">
        <f>COUNTIFS('Procurement Master'!$P$2:$P$1865,"FARMABLE*")</f>
        <v/>
      </c>
      <c r="H49" t="inlineStr">
        <is>
          <t>items; 0p by definition</t>
        </is>
      </c>
    </row>
    <row r="50">
      <c r="A50" t="inlineStr">
        <is>
          <t>Incarnon Genesis adapters (Steel Path Circuit)</t>
        </is>
      </c>
      <c r="B50" s="55">
        <f>COUNTIFS('Procurement Master'!$AF$2:$AF$1865,"Incarnon*")</f>
        <v/>
      </c>
      <c r="H50" t="inlineStr">
        <is>
          <t>adapters</t>
        </is>
      </c>
    </row>
    <row r="51">
      <c r="A51" t="inlineStr">
        <is>
          <t>Archon Shards (account-bound)</t>
        </is>
      </c>
      <c r="B51" t="n">
        <v>330</v>
      </c>
      <c r="H51" t="inlineStr">
        <is>
          <t>66 frames x 5; v3 shard plan covers only 230</t>
        </is>
      </c>
    </row>
    <row r="53">
      <c r="A53" t="inlineStr">
        <is>
          <t>Official Platinum pack</t>
        </is>
      </c>
      <c r="B53" t="n">
        <v>4600</v>
      </c>
      <c r="C53" t="n">
        <v>199.99</v>
      </c>
      <c r="H53" t="inlineStr">
        <is>
          <t>Current undiscounted USD price (v3)</t>
        </is>
      </c>
    </row>
    <row r="54">
      <c r="A54" t="inlineStr">
        <is>
          <t>$1,000 benchmark packs</t>
        </is>
      </c>
      <c r="B54" t="n">
        <v>5</v>
      </c>
      <c r="C54" t="n">
        <v>4600</v>
      </c>
      <c r="D54" s="55">
        <f>B54*C54</f>
        <v/>
      </c>
      <c r="H54" t="inlineStr">
        <is>
          <t>Five 4,600p packs = 23,000p for $999.95</t>
        </is>
      </c>
    </row>
    <row r="56">
      <c r="A56" s="54" t="inlineStr">
        <is>
          <t>7. MODEL NOTES</t>
        </is>
      </c>
      <c r="B56" s="54" t="n"/>
      <c r="C56" s="54" t="n"/>
      <c r="D56" s="54" t="n"/>
      <c r="E56" s="54" t="n"/>
      <c r="F56" s="54" t="n"/>
      <c r="G56" s="54" t="n"/>
      <c r="H56" s="54" t="n"/>
    </row>
    <row r="57">
      <c r="A57" t="inlineStr">
        <is>
          <t xml:space="preserve">  - Mods are ~70% of the player-trade total. Buying every PvE mod already at max rank is the most expensive acquisition route; buying R0 copies and ranking them yourself (section 6) removes most of that premium at the cost of Endo/credits.</t>
        </is>
      </c>
    </row>
    <row r="58">
      <c r="A58" t="inlineStr">
        <is>
          <t xml:space="preserve">  - Many collection mods (common drops, syndicate offerings, Nightwave/Cephalon Simaris items) are farmable at no plat cost; the max-rank trade total is an upper-bound valuation of the mandate, not a recommended spend plan.</t>
        </is>
      </c>
    </row>
    <row r="59">
      <c r="A59" t="inlineStr">
        <is>
          <t xml:space="preserve">  - Conservative mod pricing is wide because many max-rank books are thin (few sellers). Use Realistic for decisions; Conservative is an allowance.</t>
        </is>
      </c>
    </row>
    <row r="60">
      <c r="A60" t="inlineStr">
        <is>
          <t xml:space="preserve">  - Prime frames/weapons are priced as complete sets; buying parts or cracking relics is cheaper but slower.</t>
        </is>
      </c>
    </row>
    <row r="61">
      <c r="A61" t="inlineStr">
        <is>
          <t xml:space="preserve">  - Account purchase comparison: the $1,000 / 23,000p benchmark should be compared to the portion of THIS procurement universe a candidate account already satisfies (equivalency audit), not to its raw inventory. Purchase risk is separate.</t>
        </is>
      </c>
    </row>
    <row r="62">
      <c r="A62" t="inlineStr">
        <is>
          <t xml:space="preserve">  - Platinum totals exclude Forma, Archon Shards, Focus, Helminth, Incarnon Genesis, Endo and credits (all farmable/account-bound).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S18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style="26" min="1" max="1"/>
    <col width="30" customWidth="1" style="26" min="2" max="2"/>
    <col width="18" customWidth="1" style="26" min="3" max="3"/>
    <col width="10" customWidth="1" style="26" min="4" max="4"/>
    <col width="10" customWidth="1" style="26" min="5" max="5"/>
    <col width="15" customWidth="1" style="26" min="6" max="6"/>
    <col width="10" customWidth="1" style="26" min="7" max="7"/>
    <col width="30" customWidth="1" style="26" min="8" max="8"/>
    <col width="12" customWidth="1" style="26" min="9" max="9"/>
    <col width="16" customWidth="1" style="26" min="10" max="10"/>
    <col width="10" customWidth="1" style="26" min="11" max="11"/>
    <col width="16" customWidth="1" style="26" min="12" max="12"/>
    <col width="20" customWidth="1" style="26" min="13" max="13"/>
    <col width="23" customWidth="1" style="26" min="14" max="14"/>
    <col width="18" customWidth="1" style="26" min="15" max="15"/>
    <col width="30" customWidth="1" style="26" min="16" max="16"/>
    <col width="50" customWidth="1" style="26" min="17" max="17"/>
    <col width="60" customWidth="1" style="26" min="18" max="18"/>
    <col width="13" customWidth="1" style="26" min="19" max="19"/>
    <col width="18" customWidth="1" style="26" min="20" max="20"/>
    <col width="16" customWidth="1" style="26" min="21" max="21"/>
    <col width="21" customWidth="1" style="26" min="22" max="22"/>
    <col width="12" customWidth="1" style="26" min="23" max="23"/>
    <col width="18" customWidth="1" style="26" min="24" max="24"/>
    <col width="12" customWidth="1" style="26" min="25" max="25"/>
    <col width="12" customWidth="1" style="26" min="26" max="26"/>
    <col width="17" customWidth="1" style="26" min="27" max="27"/>
    <col width="17" customWidth="1" style="26" min="28" max="28"/>
    <col width="18" customWidth="1" style="26" min="29" max="29"/>
    <col width="24" customWidth="1" style="26" min="30" max="30"/>
    <col width="11" customWidth="1" style="26" min="31" max="31"/>
    <col width="19" customWidth="1" style="26" min="32" max="32"/>
    <col width="19" customWidth="1" style="26" min="33" max="33"/>
    <col width="16" customWidth="1" style="26" min="34" max="34"/>
    <col width="16" customWidth="1" style="26" min="35" max="35"/>
    <col width="10" customWidth="1" style="26" min="36" max="36"/>
    <col width="11" customWidth="1" style="26" min="37" max="37"/>
    <col width="11" customWidth="1" style="26" min="38" max="38"/>
    <col width="16" customWidth="1" style="26" min="39" max="39"/>
    <col width="14" customWidth="1" style="26" min="40" max="40"/>
    <col width="13" customWidth="1" style="26" min="41" max="41"/>
    <col width="16" customWidth="1" style="26" min="42" max="42"/>
    <col width="14" customWidth="1" style="26" min="43" max="43"/>
    <col width="31" customWidth="1" style="26" min="44" max="44"/>
    <col width="32" customWidth="1" style="26" min="45" max="45"/>
  </cols>
  <sheetData>
    <row r="1">
      <c r="A1" s="51" t="inlineStr">
        <is>
          <t>Category</t>
        </is>
      </c>
      <c r="B1" s="51" t="inlineStr">
        <is>
          <t>Item</t>
        </is>
      </c>
      <c r="C1" s="51" t="inlineStr">
        <is>
          <t>Assigned Frame(s)</t>
        </is>
      </c>
      <c r="D1" s="51" t="inlineStr">
        <is>
          <t>Slot</t>
        </is>
      </c>
      <c r="E1" s="51" t="inlineStr">
        <is>
          <t>Variant</t>
        </is>
      </c>
      <c r="F1" s="51" t="inlineStr">
        <is>
          <t>Required Rank</t>
        </is>
      </c>
      <c r="G1" s="51" t="inlineStr">
        <is>
          <t>Quantity</t>
        </is>
      </c>
      <c r="H1" s="51" t="inlineStr">
        <is>
          <t>Acquisition Method</t>
        </is>
      </c>
      <c r="I1" s="51" t="inlineStr">
        <is>
          <t>Tradeable?</t>
        </is>
      </c>
      <c r="J1" s="51" t="inlineStr">
        <is>
          <t>Already Owned?</t>
        </is>
      </c>
      <c r="K1" s="51" t="inlineStr">
        <is>
          <t>Priority</t>
        </is>
      </c>
      <c r="L1" s="51" t="inlineStr">
        <is>
          <t>Floor Platinum</t>
        </is>
      </c>
      <c r="M1" s="51" t="inlineStr">
        <is>
          <t>Realistic Platinum</t>
        </is>
      </c>
      <c r="N1" s="51" t="inlineStr">
        <is>
          <t>Conservative Platinum</t>
        </is>
      </c>
      <c r="O1" s="51" t="inlineStr">
        <is>
          <t>Market Timestamp</t>
        </is>
      </c>
      <c r="P1" s="51" t="inlineStr">
        <is>
          <t>Status</t>
        </is>
      </c>
      <c r="Q1" s="51" t="inlineStr">
        <is>
          <t>Notes</t>
        </is>
      </c>
      <c r="R1" s="51" t="inlineStr">
        <is>
          <t>Source/Reasoning</t>
        </is>
      </c>
      <c r="S1" s="51" t="inlineStr">
        <is>
          <t>Market Slug</t>
        </is>
      </c>
      <c r="T1" s="51" t="inlineStr">
        <is>
          <t>Credible Sellers</t>
        </is>
      </c>
      <c r="U1" s="51" t="inlineStr">
        <is>
          <t>Online Sellers</t>
        </is>
      </c>
      <c r="V1" s="51" t="inlineStr">
        <is>
          <t>Recent Median (30d)</t>
        </is>
      </c>
      <c r="W1" s="51" t="inlineStr">
        <is>
          <t>90d Median</t>
        </is>
      </c>
      <c r="X1" s="51" t="inlineStr">
        <is>
          <t>90d Weighted Avg</t>
        </is>
      </c>
      <c r="Y1" s="51" t="inlineStr">
        <is>
          <t>90d Volume</t>
        </is>
      </c>
      <c r="Z1" s="51" t="inlineStr">
        <is>
          <t>48h Volume</t>
        </is>
      </c>
      <c r="AA1" s="51" t="inlineStr">
        <is>
          <t>Best Online Buy</t>
        </is>
      </c>
      <c r="AB1" s="51" t="inlineStr">
        <is>
          <t>Buy/Sell Spread</t>
        </is>
      </c>
      <c r="AC1" s="51" t="inlineStr">
        <is>
          <t>Signature status</t>
        </is>
      </c>
      <c r="AD1" s="51" t="inlineStr">
        <is>
          <t>Mechanical frame bonus</t>
        </is>
      </c>
      <c r="AE1" s="51" t="inlineStr">
        <is>
          <t>Incarnon?</t>
        </is>
      </c>
      <c r="AF1" s="51" t="inlineStr">
        <is>
          <t>Adapter required?</t>
        </is>
      </c>
      <c r="AG1" s="51" t="inlineStr">
        <is>
          <t>Adversary family?</t>
        </is>
      </c>
      <c r="AH1" s="51" t="inlineStr">
        <is>
          <t>Valence target</t>
        </is>
      </c>
      <c r="AI1" s="51" t="inlineStr">
        <is>
          <t>Element target</t>
        </is>
      </c>
      <c r="AJ1" s="51" t="inlineStr">
        <is>
          <t>Rank 40?</t>
        </is>
      </c>
      <c r="AK1" s="51" t="inlineStr">
        <is>
          <t>Ephemera?</t>
        </is>
      </c>
      <c r="AL1" s="51" t="inlineStr">
        <is>
          <t>Catalyst?</t>
        </is>
      </c>
      <c r="AM1" s="51" t="inlineStr">
        <is>
          <t>Forma estimate</t>
        </is>
      </c>
      <c r="AN1" s="51" t="inlineStr">
        <is>
          <t>Mod Category</t>
        </is>
      </c>
      <c r="AO1" s="51" t="inlineStr">
        <is>
          <t>Endo to Max</t>
        </is>
      </c>
      <c r="AP1" s="51" t="inlineStr">
        <is>
          <t>Credits to Max</t>
        </is>
      </c>
      <c r="AQ1" s="51" t="inlineStr">
        <is>
          <t>R0 Realistic</t>
        </is>
      </c>
      <c r="AR1" s="51" t="inlineStr">
        <is>
          <t>Max via R0 copies (Realistic)</t>
        </is>
      </c>
      <c r="AS1" s="51" t="inlineStr">
        <is>
          <t>Counted in Player-Trade Total?</t>
        </is>
      </c>
    </row>
    <row r="2">
      <c r="A2" t="inlineStr">
        <is>
          <t>Warframe</t>
        </is>
      </c>
      <c r="B2" t="inlineStr">
        <is>
          <t>Ash Prime</t>
        </is>
      </c>
      <c r="C2" t="inlineStr">
        <is>
          <t>Ash Prime</t>
        </is>
      </c>
      <c r="D2" t="inlineStr">
        <is>
          <t>Warframe</t>
        </is>
      </c>
      <c r="E2" t="inlineStr">
        <is>
          <t>Prime</t>
        </is>
      </c>
      <c r="G2" t="n">
        <v>1</v>
      </c>
      <c r="H2" t="inlineStr">
        <is>
          <t>Player trade (set)</t>
        </is>
      </c>
      <c r="I2" t="inlineStr">
        <is>
          <t>Yes</t>
        </is>
      </c>
      <c r="K2" t="inlineStr">
        <is>
          <t>Core</t>
        </is>
      </c>
      <c r="L2" t="n">
        <v>63</v>
      </c>
      <c r="M2" t="n">
        <v>65</v>
      </c>
      <c r="N2" t="n">
        <v>74</v>
      </c>
      <c r="O2" t="inlineStr">
        <is>
          <t>2026-10-05 UTC (WFM pull 02:52-04:00)</t>
        </is>
      </c>
      <c r="P2" t="inlineStr">
        <is>
          <t>OK</t>
        </is>
      </c>
      <c r="Q2" t="inlineStr">
        <is>
          <t>Helminth: Shuriken</t>
        </is>
      </c>
      <c r="R2" t="inlineStr">
        <is>
          <t>Best permanent version (Prime replaces Normal)</t>
        </is>
      </c>
      <c r="S2" t="inlineStr">
        <is>
          <t>ash_prime_set</t>
        </is>
      </c>
      <c r="T2" t="n">
        <v>62</v>
      </c>
      <c r="U2" t="n">
        <v>62</v>
      </c>
      <c r="V2" t="n">
        <v>67</v>
      </c>
      <c r="W2" t="n">
        <v>68</v>
      </c>
      <c r="X2" t="n">
        <v>67.7</v>
      </c>
      <c r="Y2" t="n">
        <v>5956</v>
      </c>
      <c r="Z2" t="n">
        <v>179</v>
      </c>
      <c r="AA2" t="n">
        <v>53</v>
      </c>
      <c r="AB2" t="n">
        <v>10</v>
      </c>
      <c r="AS2" t="inlineStr">
        <is>
          <t>Yes</t>
        </is>
      </c>
    </row>
    <row r="3">
      <c r="A3" t="inlineStr">
        <is>
          <t>Warframe</t>
        </is>
      </c>
      <c r="B3" t="inlineStr">
        <is>
          <t>Atlas Prime</t>
        </is>
      </c>
      <c r="C3" t="inlineStr">
        <is>
          <t>Atlas Prime</t>
        </is>
      </c>
      <c r="D3" t="inlineStr">
        <is>
          <t>Warframe</t>
        </is>
      </c>
      <c r="E3" t="inlineStr">
        <is>
          <t>Prime</t>
        </is>
      </c>
      <c r="G3" t="n">
        <v>1</v>
      </c>
      <c r="H3" t="inlineStr">
        <is>
          <t>Player trade (set)</t>
        </is>
      </c>
      <c r="I3" t="inlineStr">
        <is>
          <t>Yes</t>
        </is>
      </c>
      <c r="K3" t="inlineStr">
        <is>
          <t>Core</t>
        </is>
      </c>
      <c r="L3" t="n">
        <v>69</v>
      </c>
      <c r="M3" t="n">
        <v>69</v>
      </c>
      <c r="N3" t="n">
        <v>77</v>
      </c>
      <c r="O3" t="inlineStr">
        <is>
          <t>2026-10-05 UTC (WFM pull 02:52-04:00)</t>
        </is>
      </c>
      <c r="P3" t="inlineStr">
        <is>
          <t>OK</t>
        </is>
      </c>
      <c r="Q3" t="inlineStr">
        <is>
          <t>Helminth: Petrify</t>
        </is>
      </c>
      <c r="R3" t="inlineStr">
        <is>
          <t>Best permanent version (Prime replaces Normal)</t>
        </is>
      </c>
      <c r="S3" t="inlineStr">
        <is>
          <t>atlas_prime_set</t>
        </is>
      </c>
      <c r="T3" t="n">
        <v>45</v>
      </c>
      <c r="U3" t="n">
        <v>45</v>
      </c>
      <c r="V3" t="n">
        <v>70</v>
      </c>
      <c r="W3" t="n">
        <v>70</v>
      </c>
      <c r="X3" t="n">
        <v>68.8</v>
      </c>
      <c r="Y3" t="n">
        <v>6190</v>
      </c>
      <c r="Z3" t="n">
        <v>151</v>
      </c>
      <c r="AA3" t="n">
        <v>50</v>
      </c>
      <c r="AB3" t="n">
        <v>19</v>
      </c>
      <c r="AS3" t="inlineStr">
        <is>
          <t>Yes</t>
        </is>
      </c>
    </row>
    <row r="4">
      <c r="A4" t="inlineStr">
        <is>
          <t>Warframe</t>
        </is>
      </c>
      <c r="B4" t="inlineStr">
        <is>
          <t>Banshee Prime</t>
        </is>
      </c>
      <c r="C4" t="inlineStr">
        <is>
          <t>Banshee Prime</t>
        </is>
      </c>
      <c r="D4" t="inlineStr">
        <is>
          <t>Warframe</t>
        </is>
      </c>
      <c r="E4" t="inlineStr">
        <is>
          <t>Prime</t>
        </is>
      </c>
      <c r="G4" t="n">
        <v>1</v>
      </c>
      <c r="H4" t="inlineStr">
        <is>
          <t>Player trade (set)</t>
        </is>
      </c>
      <c r="I4" t="inlineStr">
        <is>
          <t>Yes</t>
        </is>
      </c>
      <c r="K4" t="inlineStr">
        <is>
          <t>Core</t>
        </is>
      </c>
      <c r="L4" t="n">
        <v>63</v>
      </c>
      <c r="M4" t="n">
        <v>64</v>
      </c>
      <c r="N4" t="n">
        <v>72</v>
      </c>
      <c r="O4" t="inlineStr">
        <is>
          <t>2026-10-05 UTC (WFM pull 02:52-04:00)</t>
        </is>
      </c>
      <c r="P4" t="inlineStr">
        <is>
          <t>OK</t>
        </is>
      </c>
      <c r="Q4" t="inlineStr">
        <is>
          <t>Helminth: Silence</t>
        </is>
      </c>
      <c r="R4" t="inlineStr">
        <is>
          <t>Best permanent version (Prime replaces Normal)</t>
        </is>
      </c>
      <c r="S4" t="inlineStr">
        <is>
          <t>banshee_prime_set</t>
        </is>
      </c>
      <c r="T4" t="n">
        <v>105</v>
      </c>
      <c r="U4" t="n">
        <v>105</v>
      </c>
      <c r="V4" t="n">
        <v>65</v>
      </c>
      <c r="W4" t="n">
        <v>70</v>
      </c>
      <c r="X4" t="n">
        <v>73.5</v>
      </c>
      <c r="Y4" t="n">
        <v>11095</v>
      </c>
      <c r="Z4" t="n">
        <v>451</v>
      </c>
      <c r="AA4" t="n">
        <v>54</v>
      </c>
      <c r="AB4" t="n">
        <v>9</v>
      </c>
      <c r="AS4" t="inlineStr">
        <is>
          <t>Yes</t>
        </is>
      </c>
    </row>
    <row r="5">
      <c r="A5" t="inlineStr">
        <is>
          <t>Warframe</t>
        </is>
      </c>
      <c r="B5" t="inlineStr">
        <is>
          <t>Baruuk Prime</t>
        </is>
      </c>
      <c r="C5" t="inlineStr">
        <is>
          <t>Baruuk Prime</t>
        </is>
      </c>
      <c r="D5" t="inlineStr">
        <is>
          <t>Warframe</t>
        </is>
      </c>
      <c r="E5" t="inlineStr">
        <is>
          <t>Prime</t>
        </is>
      </c>
      <c r="G5" t="n">
        <v>1</v>
      </c>
      <c r="H5" t="inlineStr">
        <is>
          <t>Player trade (set)</t>
        </is>
      </c>
      <c r="I5" t="inlineStr">
        <is>
          <t>Yes</t>
        </is>
      </c>
      <c r="K5" t="inlineStr">
        <is>
          <t>Core</t>
        </is>
      </c>
      <c r="L5" t="n">
        <v>42</v>
      </c>
      <c r="M5" t="n">
        <v>50</v>
      </c>
      <c r="N5" t="n">
        <v>56</v>
      </c>
      <c r="O5" t="inlineStr">
        <is>
          <t>2026-10-05 UTC (WFM pull 02:52-04:00)</t>
        </is>
      </c>
      <c r="P5" t="inlineStr">
        <is>
          <t>OK</t>
        </is>
      </c>
      <c r="Q5" t="inlineStr">
        <is>
          <t>Helminth: Lull</t>
        </is>
      </c>
      <c r="R5" t="inlineStr">
        <is>
          <t>Best permanent version (Prime replaces Normal)</t>
        </is>
      </c>
      <c r="S5" t="inlineStr">
        <is>
          <t>baruuk_prime_set</t>
        </is>
      </c>
      <c r="T5" t="n">
        <v>73</v>
      </c>
      <c r="U5" t="n">
        <v>73</v>
      </c>
      <c r="V5" t="n">
        <v>48</v>
      </c>
      <c r="W5" t="n">
        <v>50</v>
      </c>
      <c r="X5" t="n">
        <v>54.8</v>
      </c>
      <c r="Y5" t="n">
        <v>8354</v>
      </c>
      <c r="Z5" t="n">
        <v>157</v>
      </c>
      <c r="AA5" t="n">
        <v>40</v>
      </c>
      <c r="AB5" t="n">
        <v>2</v>
      </c>
      <c r="AS5" t="inlineStr">
        <is>
          <t>Yes</t>
        </is>
      </c>
    </row>
    <row r="6">
      <c r="A6" t="inlineStr">
        <is>
          <t>Warframe</t>
        </is>
      </c>
      <c r="B6" t="inlineStr">
        <is>
          <t>Caliban Prime</t>
        </is>
      </c>
      <c r="C6" t="inlineStr">
        <is>
          <t>Caliban Prime</t>
        </is>
      </c>
      <c r="D6" t="inlineStr">
        <is>
          <t>Warframe</t>
        </is>
      </c>
      <c r="E6" t="inlineStr">
        <is>
          <t>Prime</t>
        </is>
      </c>
      <c r="G6" t="n">
        <v>1</v>
      </c>
      <c r="H6" t="inlineStr">
        <is>
          <t>Player trade (set)</t>
        </is>
      </c>
      <c r="I6" t="inlineStr">
        <is>
          <t>Yes</t>
        </is>
      </c>
      <c r="K6" t="inlineStr">
        <is>
          <t>Core</t>
        </is>
      </c>
      <c r="L6" t="n">
        <v>28</v>
      </c>
      <c r="M6" t="n">
        <v>30</v>
      </c>
      <c r="N6" t="n">
        <v>33</v>
      </c>
      <c r="O6" t="inlineStr">
        <is>
          <t>2026-10-05 UTC (WFM pull 02:52-04:00)</t>
        </is>
      </c>
      <c r="P6" t="inlineStr">
        <is>
          <t>OK</t>
        </is>
      </c>
      <c r="Q6" t="inlineStr">
        <is>
          <t>Helminth: Sentient Wrath</t>
        </is>
      </c>
      <c r="R6" t="inlineStr">
        <is>
          <t>Best permanent version (Prime replaces Normal)</t>
        </is>
      </c>
      <c r="S6" t="inlineStr">
        <is>
          <t>caliban_prime_set</t>
        </is>
      </c>
      <c r="T6" t="n">
        <v>86</v>
      </c>
      <c r="U6" t="n">
        <v>86</v>
      </c>
      <c r="V6" t="n">
        <v>30</v>
      </c>
      <c r="W6" t="n">
        <v>30</v>
      </c>
      <c r="X6" t="n">
        <v>30.4</v>
      </c>
      <c r="Y6" t="n">
        <v>19702</v>
      </c>
      <c r="Z6" t="n">
        <v>534</v>
      </c>
      <c r="AA6" t="n">
        <v>28</v>
      </c>
      <c r="AB6" t="n">
        <v>0</v>
      </c>
      <c r="AS6" t="inlineStr">
        <is>
          <t>Yes</t>
        </is>
      </c>
    </row>
    <row r="7">
      <c r="A7" t="inlineStr">
        <is>
          <t>Warframe</t>
        </is>
      </c>
      <c r="B7" t="inlineStr">
        <is>
          <t>Chroma Prime</t>
        </is>
      </c>
      <c r="C7" t="inlineStr">
        <is>
          <t>Chroma Prime</t>
        </is>
      </c>
      <c r="D7" t="inlineStr">
        <is>
          <t>Warframe</t>
        </is>
      </c>
      <c r="E7" t="inlineStr">
        <is>
          <t>Prime</t>
        </is>
      </c>
      <c r="G7" t="n">
        <v>1</v>
      </c>
      <c r="H7" t="inlineStr">
        <is>
          <t>Player trade (set)</t>
        </is>
      </c>
      <c r="I7" t="inlineStr">
        <is>
          <t>Yes</t>
        </is>
      </c>
      <c r="K7" t="inlineStr">
        <is>
          <t>Core</t>
        </is>
      </c>
      <c r="L7" t="n">
        <v>89</v>
      </c>
      <c r="M7" t="n">
        <v>89</v>
      </c>
      <c r="N7" t="n">
        <v>100</v>
      </c>
      <c r="O7" t="inlineStr">
        <is>
          <t>2026-10-05 UTC (WFM pull 02:52-04:00)</t>
        </is>
      </c>
      <c r="P7" t="inlineStr">
        <is>
          <t>OK</t>
        </is>
      </c>
      <c r="Q7" t="inlineStr">
        <is>
          <t>Helminth: Elemental Ward</t>
        </is>
      </c>
      <c r="R7" t="inlineStr">
        <is>
          <t>Best permanent version (Prime replaces Normal)</t>
        </is>
      </c>
      <c r="S7" t="inlineStr">
        <is>
          <t>chroma_prime_set</t>
        </is>
      </c>
      <c r="T7" t="n">
        <v>49</v>
      </c>
      <c r="U7" t="n">
        <v>49</v>
      </c>
      <c r="V7" t="n">
        <v>89</v>
      </c>
      <c r="W7" t="n">
        <v>89</v>
      </c>
      <c r="X7" t="n">
        <v>88.7</v>
      </c>
      <c r="Y7" t="n">
        <v>7769</v>
      </c>
      <c r="Z7" t="n">
        <v>201</v>
      </c>
      <c r="AA7" t="n">
        <v>69</v>
      </c>
      <c r="AB7" t="n">
        <v>20</v>
      </c>
      <c r="AS7" t="inlineStr">
        <is>
          <t>Yes</t>
        </is>
      </c>
    </row>
    <row r="8">
      <c r="A8" t="inlineStr">
        <is>
          <t>Warframe</t>
        </is>
      </c>
      <c r="B8" t="inlineStr">
        <is>
          <t>Citrine Prime</t>
        </is>
      </c>
      <c r="C8" t="inlineStr">
        <is>
          <t>Citrine Prime</t>
        </is>
      </c>
      <c r="D8" t="inlineStr">
        <is>
          <t>Warframe</t>
        </is>
      </c>
      <c r="E8" t="inlineStr">
        <is>
          <t>Prime</t>
        </is>
      </c>
      <c r="G8" t="n">
        <v>1</v>
      </c>
      <c r="H8" t="inlineStr">
        <is>
          <t>Player trade (set)</t>
        </is>
      </c>
      <c r="I8" t="inlineStr">
        <is>
          <t>Yes</t>
        </is>
      </c>
      <c r="K8" t="inlineStr">
        <is>
          <t>Core</t>
        </is>
      </c>
      <c r="L8" t="n">
        <v>91</v>
      </c>
      <c r="M8" t="n">
        <v>99</v>
      </c>
      <c r="N8" t="n">
        <v>143</v>
      </c>
      <c r="O8" t="inlineStr">
        <is>
          <t>2026-10-05 UTC (WFM pull 02:52-04:00)</t>
        </is>
      </c>
      <c r="P8" t="inlineStr">
        <is>
          <t>OK</t>
        </is>
      </c>
      <c r="Q8" t="inlineStr">
        <is>
          <t>Helminth: Fractured Blast</t>
        </is>
      </c>
      <c r="R8" t="inlineStr">
        <is>
          <t>Best permanent version (Prime replaces Normal)</t>
        </is>
      </c>
      <c r="S8" t="inlineStr">
        <is>
          <t>citrine_prime_set</t>
        </is>
      </c>
      <c r="T8" t="n">
        <v>26</v>
      </c>
      <c r="U8" t="n">
        <v>26</v>
      </c>
      <c r="V8" t="n">
        <v>130</v>
      </c>
      <c r="W8" t="n">
        <v>130</v>
      </c>
      <c r="X8" t="n">
        <v>125</v>
      </c>
      <c r="Y8" t="n">
        <v>13856</v>
      </c>
      <c r="Z8" t="n">
        <v>1593</v>
      </c>
      <c r="AA8" t="n">
        <v>100</v>
      </c>
      <c r="AB8" t="n">
        <v>-9</v>
      </c>
      <c r="AS8" t="inlineStr">
        <is>
          <t>Yes</t>
        </is>
      </c>
    </row>
    <row r="9">
      <c r="A9" t="inlineStr">
        <is>
          <t>Warframe</t>
        </is>
      </c>
      <c r="B9" t="inlineStr">
        <is>
          <t>Cyte-09</t>
        </is>
      </c>
      <c r="C9" t="inlineStr">
        <is>
          <t>Cyte-09</t>
        </is>
      </c>
      <c r="D9" t="inlineStr">
        <is>
          <t>Warframe</t>
        </is>
      </c>
      <c r="E9" t="inlineStr">
        <is>
          <t>Base (no Prime)</t>
        </is>
      </c>
      <c r="G9" t="n">
        <v>1</v>
      </c>
      <c r="H9" t="inlineStr">
        <is>
          <t>Already owned</t>
        </is>
      </c>
      <c r="I9" t="inlineStr">
        <is>
          <t>No</t>
        </is>
      </c>
      <c r="J9" t="inlineStr">
        <is>
          <t>YES</t>
        </is>
      </c>
      <c r="K9" t="inlineStr">
        <is>
          <t>Core</t>
        </is>
      </c>
      <c r="P9" t="inlineStr">
        <is>
          <t>FARMABLE / ACCOUNT-BOUND</t>
        </is>
      </c>
      <c r="Q9" t="inlineStr">
        <is>
          <t>Helminth: Evade</t>
        </is>
      </c>
      <c r="R9" t="inlineStr">
        <is>
          <t>No Prime exists in live data</t>
        </is>
      </c>
      <c r="AS9" t="inlineStr">
        <is>
          <t>No</t>
        </is>
      </c>
    </row>
    <row r="10">
      <c r="A10" t="inlineStr">
        <is>
          <t>Warframe</t>
        </is>
      </c>
      <c r="B10" t="inlineStr">
        <is>
          <t>Dagath</t>
        </is>
      </c>
      <c r="C10" t="inlineStr">
        <is>
          <t>Dagath</t>
        </is>
      </c>
      <c r="D10" t="inlineStr">
        <is>
          <t>Warframe</t>
        </is>
      </c>
      <c r="E10" t="inlineStr">
        <is>
          <t>Base (no Prime)</t>
        </is>
      </c>
      <c r="G10" t="n">
        <v>1</v>
      </c>
      <c r="H10" t="inlineStr">
        <is>
          <t>Farm / quest / vendor (account-bound)</t>
        </is>
      </c>
      <c r="I10" t="inlineStr">
        <is>
          <t>No</t>
        </is>
      </c>
      <c r="K10" t="inlineStr">
        <is>
          <t>Core</t>
        </is>
      </c>
      <c r="P10" t="inlineStr">
        <is>
          <t>FARMABLE / ACCOUNT-BOUND</t>
        </is>
      </c>
      <c r="Q10" t="inlineStr">
        <is>
          <t>Helminth: Wyrd Scythes</t>
        </is>
      </c>
      <c r="R10" t="inlineStr">
        <is>
          <t>No Prime exists in live data</t>
        </is>
      </c>
      <c r="AS10" t="inlineStr">
        <is>
          <t>No</t>
        </is>
      </c>
    </row>
    <row r="11">
      <c r="A11" t="inlineStr">
        <is>
          <t>Warframe</t>
        </is>
      </c>
      <c r="B11" t="inlineStr">
        <is>
          <t>Dante</t>
        </is>
      </c>
      <c r="C11" t="inlineStr">
        <is>
          <t>Dante</t>
        </is>
      </c>
      <c r="D11" t="inlineStr">
        <is>
          <t>Warframe</t>
        </is>
      </c>
      <c r="E11" t="inlineStr">
        <is>
          <t>Base (no Prime)</t>
        </is>
      </c>
      <c r="G11" t="n">
        <v>1</v>
      </c>
      <c r="H11" t="inlineStr">
        <is>
          <t>Farm / quest / vendor (account-bound)</t>
        </is>
      </c>
      <c r="I11" t="inlineStr">
        <is>
          <t>No</t>
        </is>
      </c>
      <c r="K11" t="inlineStr">
        <is>
          <t>Core</t>
        </is>
      </c>
      <c r="P11" t="inlineStr">
        <is>
          <t>FARMABLE / ACCOUNT-BOUND</t>
        </is>
      </c>
      <c r="Q11" t="inlineStr">
        <is>
          <t>Helminth: Dark Verse</t>
        </is>
      </c>
      <c r="R11" t="inlineStr">
        <is>
          <t>No Prime exists in live data</t>
        </is>
      </c>
      <c r="AS11" t="inlineStr">
        <is>
          <t>No</t>
        </is>
      </c>
    </row>
    <row r="12">
      <c r="A12" t="inlineStr">
        <is>
          <t>Warframe</t>
        </is>
      </c>
      <c r="B12" t="inlineStr">
        <is>
          <t>Ember Prime</t>
        </is>
      </c>
      <c r="C12" t="inlineStr">
        <is>
          <t>Ember Prime</t>
        </is>
      </c>
      <c r="D12" t="inlineStr">
        <is>
          <t>Warframe</t>
        </is>
      </c>
      <c r="E12" t="inlineStr">
        <is>
          <t>Prime</t>
        </is>
      </c>
      <c r="G12" t="n">
        <v>1</v>
      </c>
      <c r="H12" t="inlineStr">
        <is>
          <t>Player trade (set)</t>
        </is>
      </c>
      <c r="I12" t="inlineStr">
        <is>
          <t>Yes</t>
        </is>
      </c>
      <c r="K12" t="inlineStr">
        <is>
          <t>Core</t>
        </is>
      </c>
      <c r="L12" t="n">
        <v>64</v>
      </c>
      <c r="M12" t="n">
        <v>65</v>
      </c>
      <c r="N12" t="n">
        <v>72</v>
      </c>
      <c r="O12" t="inlineStr">
        <is>
          <t>2026-10-05 UTC (WFM pull 02:52-04:00)</t>
        </is>
      </c>
      <c r="P12" t="inlineStr">
        <is>
          <t>OK</t>
        </is>
      </c>
      <c r="Q12" t="inlineStr">
        <is>
          <t>Helminth: Fire Blast</t>
        </is>
      </c>
      <c r="R12" t="inlineStr">
        <is>
          <t>Best permanent version (Prime replaces Normal)</t>
        </is>
      </c>
      <c r="S12" t="inlineStr">
        <is>
          <t>ember_prime_set</t>
        </is>
      </c>
      <c r="T12" t="n">
        <v>73</v>
      </c>
      <c r="U12" t="n">
        <v>73</v>
      </c>
      <c r="V12" t="n">
        <v>65</v>
      </c>
      <c r="W12" t="n">
        <v>65</v>
      </c>
      <c r="X12" t="n">
        <v>66.09999999999999</v>
      </c>
      <c r="Y12" t="n">
        <v>6437</v>
      </c>
      <c r="Z12" t="n">
        <v>100</v>
      </c>
      <c r="AA12" t="n">
        <v>62</v>
      </c>
      <c r="AB12" t="n">
        <v>2</v>
      </c>
      <c r="AS12" t="inlineStr">
        <is>
          <t>Yes</t>
        </is>
      </c>
    </row>
    <row r="13">
      <c r="A13" t="inlineStr">
        <is>
          <t>Warframe</t>
        </is>
      </c>
      <c r="B13" t="inlineStr">
        <is>
          <t>Equinox Prime</t>
        </is>
      </c>
      <c r="C13" t="inlineStr">
        <is>
          <t>Equinox Prime</t>
        </is>
      </c>
      <c r="D13" t="inlineStr">
        <is>
          <t>Warframe</t>
        </is>
      </c>
      <c r="E13" t="inlineStr">
        <is>
          <t>Prime</t>
        </is>
      </c>
      <c r="G13" t="n">
        <v>1</v>
      </c>
      <c r="H13" t="inlineStr">
        <is>
          <t>Player trade (set)</t>
        </is>
      </c>
      <c r="I13" t="inlineStr">
        <is>
          <t>Yes</t>
        </is>
      </c>
      <c r="K13" t="inlineStr">
        <is>
          <t>Core</t>
        </is>
      </c>
      <c r="L13" t="n">
        <v>60</v>
      </c>
      <c r="M13" t="n">
        <v>64</v>
      </c>
      <c r="N13" t="n">
        <v>72</v>
      </c>
      <c r="O13" t="inlineStr">
        <is>
          <t>2026-10-05 UTC (WFM pull 02:52-04:00)</t>
        </is>
      </c>
      <c r="P13" t="inlineStr">
        <is>
          <t>OK</t>
        </is>
      </c>
      <c r="Q13" t="inlineStr">
        <is>
          <t>Helminth: Rest &amp; Rage</t>
        </is>
      </c>
      <c r="R13" t="inlineStr">
        <is>
          <t>Best permanent version (Prime replaces Normal)</t>
        </is>
      </c>
      <c r="S13" t="inlineStr">
        <is>
          <t>equinox_prime_set</t>
        </is>
      </c>
      <c r="T13" t="n">
        <v>53</v>
      </c>
      <c r="U13" t="n">
        <v>53</v>
      </c>
      <c r="V13" t="n">
        <v>65</v>
      </c>
      <c r="W13" t="n">
        <v>60</v>
      </c>
      <c r="X13" t="n">
        <v>60.5</v>
      </c>
      <c r="Y13" t="n">
        <v>5066</v>
      </c>
      <c r="Z13" t="n">
        <v>94</v>
      </c>
      <c r="AA13" t="n">
        <v>55</v>
      </c>
      <c r="AB13" t="n">
        <v>5</v>
      </c>
      <c r="AS13" t="inlineStr">
        <is>
          <t>Yes</t>
        </is>
      </c>
    </row>
    <row r="14">
      <c r="A14" t="inlineStr">
        <is>
          <t>Warframe</t>
        </is>
      </c>
      <c r="B14" t="inlineStr">
        <is>
          <t>Excalibur Umbra</t>
        </is>
      </c>
      <c r="C14" t="inlineStr">
        <is>
          <t>Excalibur Umbra</t>
        </is>
      </c>
      <c r="D14" t="inlineStr">
        <is>
          <t>Warframe</t>
        </is>
      </c>
      <c r="E14" t="inlineStr">
        <is>
          <t>Umbra</t>
        </is>
      </c>
      <c r="G14" t="n">
        <v>1</v>
      </c>
      <c r="H14" t="inlineStr">
        <is>
          <t>Quest: The Sacrifice (slot + reactor included)</t>
        </is>
      </c>
      <c r="I14" t="inlineStr">
        <is>
          <t>No</t>
        </is>
      </c>
      <c r="K14" t="inlineStr">
        <is>
          <t>Core</t>
        </is>
      </c>
      <c r="P14" t="inlineStr">
        <is>
          <t>FARMABLE / ACCOUNT-BOUND</t>
        </is>
      </c>
      <c r="Q14" t="inlineStr">
        <is>
          <t>Helminth: None</t>
        </is>
      </c>
      <c r="R14" t="inlineStr">
        <is>
          <t>Doctrine: Umbra replaces Excalibur</t>
        </is>
      </c>
      <c r="AS14" t="inlineStr">
        <is>
          <t>No</t>
        </is>
      </c>
    </row>
    <row r="15">
      <c r="A15" t="inlineStr">
        <is>
          <t>Warframe</t>
        </is>
      </c>
      <c r="B15" t="inlineStr">
        <is>
          <t>Follie</t>
        </is>
      </c>
      <c r="C15" t="inlineStr">
        <is>
          <t>Follie</t>
        </is>
      </c>
      <c r="D15" t="inlineStr">
        <is>
          <t>Warframe</t>
        </is>
      </c>
      <c r="E15" t="inlineStr">
        <is>
          <t>Base (no Prime)</t>
        </is>
      </c>
      <c r="G15" t="n">
        <v>1</v>
      </c>
      <c r="H15" t="inlineStr">
        <is>
          <t>Farm / quest / vendor (account-bound)</t>
        </is>
      </c>
      <c r="I15" t="inlineStr">
        <is>
          <t>No</t>
        </is>
      </c>
      <c r="K15" t="inlineStr">
        <is>
          <t>Core</t>
        </is>
      </c>
      <c r="P15" t="inlineStr">
        <is>
          <t>FARMABLE / ACCOUNT-BOUND</t>
        </is>
      </c>
      <c r="Q15" t="inlineStr">
        <is>
          <t>Helminth: Self Portrait</t>
        </is>
      </c>
      <c r="R15" t="inlineStr">
        <is>
          <t>No Prime exists in live data</t>
        </is>
      </c>
      <c r="AS15" t="inlineStr">
        <is>
          <t>No</t>
        </is>
      </c>
    </row>
    <row r="16">
      <c r="A16" t="inlineStr">
        <is>
          <t>Warframe</t>
        </is>
      </c>
      <c r="B16" t="inlineStr">
        <is>
          <t>Frost Prime</t>
        </is>
      </c>
      <c r="C16" t="inlineStr">
        <is>
          <t>Frost Prime</t>
        </is>
      </c>
      <c r="D16" t="inlineStr">
        <is>
          <t>Warframe</t>
        </is>
      </c>
      <c r="E16" t="inlineStr">
        <is>
          <t>Prime</t>
        </is>
      </c>
      <c r="G16" t="n">
        <v>1</v>
      </c>
      <c r="H16" t="inlineStr">
        <is>
          <t>Player trade (set)</t>
        </is>
      </c>
      <c r="I16" t="inlineStr">
        <is>
          <t>Yes</t>
        </is>
      </c>
      <c r="K16" t="inlineStr">
        <is>
          <t>Core</t>
        </is>
      </c>
      <c r="L16" t="n">
        <v>76</v>
      </c>
      <c r="M16" t="n">
        <v>77</v>
      </c>
      <c r="N16" t="n">
        <v>86</v>
      </c>
      <c r="O16" t="inlineStr">
        <is>
          <t>2026-10-05 UTC (WFM pull 02:52-04:00)</t>
        </is>
      </c>
      <c r="P16" t="inlineStr">
        <is>
          <t>OK</t>
        </is>
      </c>
      <c r="Q16" t="inlineStr">
        <is>
          <t>Helminth: Ice Wave</t>
        </is>
      </c>
      <c r="R16" t="inlineStr">
        <is>
          <t>Best permanent version (Prime replaces Normal)</t>
        </is>
      </c>
      <c r="S16" t="inlineStr">
        <is>
          <t>frost_prime_set</t>
        </is>
      </c>
      <c r="T16" t="n">
        <v>64</v>
      </c>
      <c r="U16" t="n">
        <v>64</v>
      </c>
      <c r="V16" t="n">
        <v>78</v>
      </c>
      <c r="W16" t="n">
        <v>79</v>
      </c>
      <c r="X16" t="n">
        <v>78.3</v>
      </c>
      <c r="Y16" t="n">
        <v>4196</v>
      </c>
      <c r="Z16" t="n">
        <v>99</v>
      </c>
      <c r="AA16" t="n">
        <v>70</v>
      </c>
      <c r="AB16" t="n">
        <v>6</v>
      </c>
      <c r="AS16" t="inlineStr">
        <is>
          <t>Yes</t>
        </is>
      </c>
    </row>
    <row r="17">
      <c r="A17" t="inlineStr">
        <is>
          <t>Warframe</t>
        </is>
      </c>
      <c r="B17" t="inlineStr">
        <is>
          <t>Gara Prime</t>
        </is>
      </c>
      <c r="C17" t="inlineStr">
        <is>
          <t>Gara Prime</t>
        </is>
      </c>
      <c r="D17" t="inlineStr">
        <is>
          <t>Warframe</t>
        </is>
      </c>
      <c r="E17" t="inlineStr">
        <is>
          <t>Prime</t>
        </is>
      </c>
      <c r="G17" t="n">
        <v>1</v>
      </c>
      <c r="H17" t="inlineStr">
        <is>
          <t>Player trade (set)</t>
        </is>
      </c>
      <c r="I17" t="inlineStr">
        <is>
          <t>Yes</t>
        </is>
      </c>
      <c r="K17" t="inlineStr">
        <is>
          <t>Core</t>
        </is>
      </c>
      <c r="L17" t="n">
        <v>68</v>
      </c>
      <c r="M17" t="n">
        <v>69</v>
      </c>
      <c r="N17" t="n">
        <v>76</v>
      </c>
      <c r="O17" t="inlineStr">
        <is>
          <t>2026-10-05 UTC (WFM pull 02:52-04:00)</t>
        </is>
      </c>
      <c r="P17" t="inlineStr">
        <is>
          <t>OK</t>
        </is>
      </c>
      <c r="Q17" t="inlineStr">
        <is>
          <t>Helminth: Spectrorage</t>
        </is>
      </c>
      <c r="R17" t="inlineStr">
        <is>
          <t>Best permanent version (Prime replaces Normal)</t>
        </is>
      </c>
      <c r="S17" t="inlineStr">
        <is>
          <t>gara_prime_set</t>
        </is>
      </c>
      <c r="T17" t="n">
        <v>67</v>
      </c>
      <c r="U17" t="n">
        <v>67</v>
      </c>
      <c r="V17" t="n">
        <v>69</v>
      </c>
      <c r="W17" t="n">
        <v>65</v>
      </c>
      <c r="X17" t="n">
        <v>66.3</v>
      </c>
      <c r="Y17" t="n">
        <v>9699</v>
      </c>
      <c r="Z17" t="n">
        <v>163</v>
      </c>
      <c r="AA17" t="n">
        <v>52</v>
      </c>
      <c r="AB17" t="n">
        <v>16</v>
      </c>
      <c r="AS17" t="inlineStr">
        <is>
          <t>Yes</t>
        </is>
      </c>
    </row>
    <row r="18">
      <c r="A18" t="inlineStr">
        <is>
          <t>Warframe</t>
        </is>
      </c>
      <c r="B18" t="inlineStr">
        <is>
          <t>Garuda Prime</t>
        </is>
      </c>
      <c r="C18" t="inlineStr">
        <is>
          <t>Garuda Prime</t>
        </is>
      </c>
      <c r="D18" t="inlineStr">
        <is>
          <t>Warframe</t>
        </is>
      </c>
      <c r="E18" t="inlineStr">
        <is>
          <t>Prime</t>
        </is>
      </c>
      <c r="G18" t="n">
        <v>1</v>
      </c>
      <c r="H18" t="inlineStr">
        <is>
          <t>Player trade (set)</t>
        </is>
      </c>
      <c r="I18" t="inlineStr">
        <is>
          <t>Yes</t>
        </is>
      </c>
      <c r="K18" t="inlineStr">
        <is>
          <t>Core</t>
        </is>
      </c>
      <c r="L18" t="n">
        <v>80</v>
      </c>
      <c r="M18" t="n">
        <v>80</v>
      </c>
      <c r="N18" t="n">
        <v>88</v>
      </c>
      <c r="O18" t="inlineStr">
        <is>
          <t>2026-10-05 UTC (WFM pull 02:52-04:00)</t>
        </is>
      </c>
      <c r="P18" t="inlineStr">
        <is>
          <t>OK</t>
        </is>
      </c>
      <c r="Q18" t="inlineStr">
        <is>
          <t>Helminth: Blood Altar</t>
        </is>
      </c>
      <c r="R18" t="inlineStr">
        <is>
          <t>Best permanent version (Prime replaces Normal)</t>
        </is>
      </c>
      <c r="S18" t="inlineStr">
        <is>
          <t>garuda_prime_set</t>
        </is>
      </c>
      <c r="T18" t="n">
        <v>46</v>
      </c>
      <c r="U18" t="n">
        <v>46</v>
      </c>
      <c r="V18" t="n">
        <v>80</v>
      </c>
      <c r="W18" t="n">
        <v>85</v>
      </c>
      <c r="X18" t="n">
        <v>83.5</v>
      </c>
      <c r="Y18" t="n">
        <v>7277</v>
      </c>
      <c r="Z18" t="n">
        <v>166</v>
      </c>
      <c r="AA18" t="n">
        <v>66</v>
      </c>
      <c r="AB18" t="n">
        <v>14</v>
      </c>
      <c r="AS18" t="inlineStr">
        <is>
          <t>Yes</t>
        </is>
      </c>
    </row>
    <row r="19">
      <c r="A19" t="inlineStr">
        <is>
          <t>Warframe</t>
        </is>
      </c>
      <c r="B19" t="inlineStr">
        <is>
          <t>Gauss Prime</t>
        </is>
      </c>
      <c r="C19" t="inlineStr">
        <is>
          <t>Gauss Prime</t>
        </is>
      </c>
      <c r="D19" t="inlineStr">
        <is>
          <t>Warframe</t>
        </is>
      </c>
      <c r="E19" t="inlineStr">
        <is>
          <t>Prime</t>
        </is>
      </c>
      <c r="G19" t="n">
        <v>1</v>
      </c>
      <c r="H19" t="inlineStr">
        <is>
          <t>Player trade (set)</t>
        </is>
      </c>
      <c r="I19" t="inlineStr">
        <is>
          <t>Yes</t>
        </is>
      </c>
      <c r="K19" t="inlineStr">
        <is>
          <t>Core</t>
        </is>
      </c>
      <c r="L19" t="n">
        <v>39</v>
      </c>
      <c r="M19" t="n">
        <v>50</v>
      </c>
      <c r="N19" t="n">
        <v>61</v>
      </c>
      <c r="O19" t="inlineStr">
        <is>
          <t>2026-10-05 UTC (WFM pull 02:52-04:00)</t>
        </is>
      </c>
      <c r="P19" t="inlineStr">
        <is>
          <t>OK</t>
        </is>
      </c>
      <c r="Q19" t="inlineStr">
        <is>
          <t>Helminth: Thermal Sunder</t>
        </is>
      </c>
      <c r="R19" t="inlineStr">
        <is>
          <t>Best permanent version (Prime replaces Normal)</t>
        </is>
      </c>
      <c r="S19" t="inlineStr">
        <is>
          <t>gauss_prime_set</t>
        </is>
      </c>
      <c r="T19" t="n">
        <v>82</v>
      </c>
      <c r="U19" t="n">
        <v>82</v>
      </c>
      <c r="V19" t="n">
        <v>55</v>
      </c>
      <c r="W19" t="n">
        <v>55</v>
      </c>
      <c r="X19" t="n">
        <v>53.5</v>
      </c>
      <c r="Y19" t="n">
        <v>18676</v>
      </c>
      <c r="Z19" t="n">
        <v>429</v>
      </c>
      <c r="AA19" t="n">
        <v>45</v>
      </c>
      <c r="AB19" t="n">
        <v>-6</v>
      </c>
      <c r="AS19" t="inlineStr">
        <is>
          <t>Yes</t>
        </is>
      </c>
    </row>
    <row r="20">
      <c r="A20" t="inlineStr">
        <is>
          <t>Warframe</t>
        </is>
      </c>
      <c r="B20" t="inlineStr">
        <is>
          <t>Grendel Prime</t>
        </is>
      </c>
      <c r="C20" t="inlineStr">
        <is>
          <t>Grendel Prime</t>
        </is>
      </c>
      <c r="D20" t="inlineStr">
        <is>
          <t>Warframe</t>
        </is>
      </c>
      <c r="E20" t="inlineStr">
        <is>
          <t>Prime</t>
        </is>
      </c>
      <c r="G20" t="n">
        <v>1</v>
      </c>
      <c r="H20" t="inlineStr">
        <is>
          <t>Player trade (set)</t>
        </is>
      </c>
      <c r="I20" t="inlineStr">
        <is>
          <t>Yes</t>
        </is>
      </c>
      <c r="K20" t="inlineStr">
        <is>
          <t>Core</t>
        </is>
      </c>
      <c r="L20" t="n">
        <v>64</v>
      </c>
      <c r="M20" t="n">
        <v>64</v>
      </c>
      <c r="N20" t="n">
        <v>72</v>
      </c>
      <c r="O20" t="inlineStr">
        <is>
          <t>2026-10-05 UTC (WFM pull 02:52-04:00)</t>
        </is>
      </c>
      <c r="P20" t="inlineStr">
        <is>
          <t>OK</t>
        </is>
      </c>
      <c r="Q20" t="inlineStr">
        <is>
          <t>Helminth: Nourish</t>
        </is>
      </c>
      <c r="R20" t="inlineStr">
        <is>
          <t>Best permanent version (Prime replaces Normal)</t>
        </is>
      </c>
      <c r="S20" t="inlineStr">
        <is>
          <t>grendel_prime_set</t>
        </is>
      </c>
      <c r="T20" t="n">
        <v>51</v>
      </c>
      <c r="U20" t="n">
        <v>51</v>
      </c>
      <c r="V20" t="n">
        <v>65</v>
      </c>
      <c r="W20" t="n">
        <v>64</v>
      </c>
      <c r="X20" t="n">
        <v>62.3</v>
      </c>
      <c r="Y20" t="n">
        <v>8062</v>
      </c>
      <c r="Z20" t="n">
        <v>232</v>
      </c>
      <c r="AA20" t="n">
        <v>50</v>
      </c>
      <c r="AB20" t="n">
        <v>14</v>
      </c>
      <c r="AS20" t="inlineStr">
        <is>
          <t>Yes</t>
        </is>
      </c>
    </row>
    <row r="21">
      <c r="A21" t="inlineStr">
        <is>
          <t>Warframe</t>
        </is>
      </c>
      <c r="B21" t="inlineStr">
        <is>
          <t>Gyre Prime</t>
        </is>
      </c>
      <c r="C21" t="inlineStr">
        <is>
          <t>Gyre Prime</t>
        </is>
      </c>
      <c r="D21" t="inlineStr">
        <is>
          <t>Warframe</t>
        </is>
      </c>
      <c r="E21" t="inlineStr">
        <is>
          <t>Prime</t>
        </is>
      </c>
      <c r="G21" t="n">
        <v>1</v>
      </c>
      <c r="H21" t="inlineStr">
        <is>
          <t>Player trade (set)</t>
        </is>
      </c>
      <c r="I21" t="inlineStr">
        <is>
          <t>Yes</t>
        </is>
      </c>
      <c r="K21" t="inlineStr">
        <is>
          <t>Core</t>
        </is>
      </c>
      <c r="L21" t="n">
        <v>24</v>
      </c>
      <c r="M21" t="n">
        <v>25</v>
      </c>
      <c r="N21" t="n">
        <v>33</v>
      </c>
      <c r="O21" t="inlineStr">
        <is>
          <t>2026-10-05 UTC (WFM pull 02:52-04:00)</t>
        </is>
      </c>
      <c r="P21" t="inlineStr">
        <is>
          <t>OK</t>
        </is>
      </c>
      <c r="Q21" t="inlineStr">
        <is>
          <t>Helminth: Coil Horizon</t>
        </is>
      </c>
      <c r="R21" t="inlineStr">
        <is>
          <t>Best permanent version (Prime replaces Normal)</t>
        </is>
      </c>
      <c r="S21" t="inlineStr">
        <is>
          <t>gyre_prime_set</t>
        </is>
      </c>
      <c r="T21" t="n">
        <v>75</v>
      </c>
      <c r="U21" t="n">
        <v>75</v>
      </c>
      <c r="V21" t="n">
        <v>30</v>
      </c>
      <c r="W21" t="n">
        <v>30</v>
      </c>
      <c r="X21" t="n">
        <v>29.5</v>
      </c>
      <c r="Y21" t="n">
        <v>16975</v>
      </c>
      <c r="Z21" t="n">
        <v>492</v>
      </c>
      <c r="AA21" t="n">
        <v>25</v>
      </c>
      <c r="AB21" t="n">
        <v>-1</v>
      </c>
      <c r="AS21" t="inlineStr">
        <is>
          <t>Yes</t>
        </is>
      </c>
    </row>
    <row r="22">
      <c r="A22" t="inlineStr">
        <is>
          <t>Warframe</t>
        </is>
      </c>
      <c r="B22" t="inlineStr">
        <is>
          <t>Harrow Prime</t>
        </is>
      </c>
      <c r="C22" t="inlineStr">
        <is>
          <t>Harrow Prime</t>
        </is>
      </c>
      <c r="D22" t="inlineStr">
        <is>
          <t>Warframe</t>
        </is>
      </c>
      <c r="E22" t="inlineStr">
        <is>
          <t>Prime</t>
        </is>
      </c>
      <c r="G22" t="n">
        <v>1</v>
      </c>
      <c r="H22" t="inlineStr">
        <is>
          <t>Player trade (set)</t>
        </is>
      </c>
      <c r="I22" t="inlineStr">
        <is>
          <t>Yes</t>
        </is>
      </c>
      <c r="K22" t="inlineStr">
        <is>
          <t>Core</t>
        </is>
      </c>
      <c r="L22" t="n">
        <v>64</v>
      </c>
      <c r="M22" t="n">
        <v>70</v>
      </c>
      <c r="N22" t="n">
        <v>77</v>
      </c>
      <c r="O22" t="inlineStr">
        <is>
          <t>2026-10-05 UTC (WFM pull 02:52-04:00)</t>
        </is>
      </c>
      <c r="P22" t="inlineStr">
        <is>
          <t>OK</t>
        </is>
      </c>
      <c r="Q22" t="inlineStr">
        <is>
          <t>Helminth: Condemn</t>
        </is>
      </c>
      <c r="R22" t="inlineStr">
        <is>
          <t>Best permanent version (Prime replaces Normal)</t>
        </is>
      </c>
      <c r="S22" t="inlineStr">
        <is>
          <t>harrow_prime_set</t>
        </is>
      </c>
      <c r="T22" t="n">
        <v>44</v>
      </c>
      <c r="U22" t="n">
        <v>44</v>
      </c>
      <c r="V22" t="n">
        <v>68</v>
      </c>
      <c r="W22" t="n">
        <v>67</v>
      </c>
      <c r="X22" t="n">
        <v>66.40000000000001</v>
      </c>
      <c r="Y22" t="n">
        <v>7693</v>
      </c>
      <c r="Z22" t="n">
        <v>184</v>
      </c>
      <c r="AA22" t="n">
        <v>50</v>
      </c>
      <c r="AB22" t="n">
        <v>14</v>
      </c>
      <c r="AS22" t="inlineStr">
        <is>
          <t>Yes</t>
        </is>
      </c>
    </row>
    <row r="23">
      <c r="A23" t="inlineStr">
        <is>
          <t>Warframe</t>
        </is>
      </c>
      <c r="B23" t="inlineStr">
        <is>
          <t>Hildryn Prime</t>
        </is>
      </c>
      <c r="C23" t="inlineStr">
        <is>
          <t>Hildryn Prime</t>
        </is>
      </c>
      <c r="D23" t="inlineStr">
        <is>
          <t>Warframe</t>
        </is>
      </c>
      <c r="E23" t="inlineStr">
        <is>
          <t>Prime</t>
        </is>
      </c>
      <c r="G23" t="n">
        <v>1</v>
      </c>
      <c r="H23" t="inlineStr">
        <is>
          <t>Player trade (set)</t>
        </is>
      </c>
      <c r="I23" t="inlineStr">
        <is>
          <t>Yes</t>
        </is>
      </c>
      <c r="K23" t="inlineStr">
        <is>
          <t>Core</t>
        </is>
      </c>
      <c r="L23" t="n">
        <v>67</v>
      </c>
      <c r="M23" t="n">
        <v>68</v>
      </c>
      <c r="N23" t="n">
        <v>77</v>
      </c>
      <c r="O23" t="inlineStr">
        <is>
          <t>2026-10-05 UTC (WFM pull 02:52-04:00)</t>
        </is>
      </c>
      <c r="P23" t="inlineStr">
        <is>
          <t>OK</t>
        </is>
      </c>
      <c r="Q23" t="inlineStr">
        <is>
          <t>Helminth: Pillage</t>
        </is>
      </c>
      <c r="R23" t="inlineStr">
        <is>
          <t>Best permanent version (Prime replaces Normal)</t>
        </is>
      </c>
      <c r="S23" t="inlineStr">
        <is>
          <t>hildryn_prime_set</t>
        </is>
      </c>
      <c r="T23" t="n">
        <v>80</v>
      </c>
      <c r="U23" t="n">
        <v>80</v>
      </c>
      <c r="V23" t="n">
        <v>70</v>
      </c>
      <c r="W23" t="n">
        <v>70</v>
      </c>
      <c r="X23" t="n">
        <v>68.3</v>
      </c>
      <c r="Y23" t="n">
        <v>15629</v>
      </c>
      <c r="Z23" t="n">
        <v>340</v>
      </c>
      <c r="AA23" t="n">
        <v>52</v>
      </c>
      <c r="AB23" t="n">
        <v>15</v>
      </c>
      <c r="AS23" t="inlineStr">
        <is>
          <t>Yes</t>
        </is>
      </c>
    </row>
    <row r="24">
      <c r="A24" t="inlineStr">
        <is>
          <t>Warframe</t>
        </is>
      </c>
      <c r="B24" t="inlineStr">
        <is>
          <t>Hydroid Prime</t>
        </is>
      </c>
      <c r="C24" t="inlineStr">
        <is>
          <t>Hydroid Prime</t>
        </is>
      </c>
      <c r="D24" t="inlineStr">
        <is>
          <t>Warframe</t>
        </is>
      </c>
      <c r="E24" t="inlineStr">
        <is>
          <t>Prime</t>
        </is>
      </c>
      <c r="G24" t="n">
        <v>1</v>
      </c>
      <c r="H24" t="inlineStr">
        <is>
          <t>Player trade (set)</t>
        </is>
      </c>
      <c r="I24" t="inlineStr">
        <is>
          <t>Yes</t>
        </is>
      </c>
      <c r="K24" t="inlineStr">
        <is>
          <t>Core</t>
        </is>
      </c>
      <c r="L24" t="n">
        <v>84</v>
      </c>
      <c r="M24" t="n">
        <v>85</v>
      </c>
      <c r="N24" t="n">
        <v>103</v>
      </c>
      <c r="O24" t="inlineStr">
        <is>
          <t>2026-10-05 UTC (WFM pull 02:52-04:00)</t>
        </is>
      </c>
      <c r="P24" t="inlineStr">
        <is>
          <t>OK</t>
        </is>
      </c>
      <c r="Q24" t="inlineStr">
        <is>
          <t>Helminth: Tempest Barrage</t>
        </is>
      </c>
      <c r="R24" t="inlineStr">
        <is>
          <t>Best permanent version (Prime replaces Normal)</t>
        </is>
      </c>
      <c r="S24" t="inlineStr">
        <is>
          <t>hydroid_prime_set</t>
        </is>
      </c>
      <c r="T24" t="n">
        <v>42</v>
      </c>
      <c r="U24" t="n">
        <v>42</v>
      </c>
      <c r="V24" t="n">
        <v>93</v>
      </c>
      <c r="W24" t="n">
        <v>94</v>
      </c>
      <c r="X24" t="n">
        <v>93.3</v>
      </c>
      <c r="Y24" t="n">
        <v>4979</v>
      </c>
      <c r="Z24" t="n">
        <v>104</v>
      </c>
      <c r="AA24" t="n">
        <v>85</v>
      </c>
      <c r="AB24" t="n">
        <v>-1</v>
      </c>
      <c r="AS24" t="inlineStr">
        <is>
          <t>Yes</t>
        </is>
      </c>
    </row>
    <row r="25">
      <c r="A25" t="inlineStr">
        <is>
          <t>Warframe</t>
        </is>
      </c>
      <c r="B25" t="inlineStr">
        <is>
          <t>Inaros Prime</t>
        </is>
      </c>
      <c r="C25" t="inlineStr">
        <is>
          <t>Inaros Prime</t>
        </is>
      </c>
      <c r="D25" t="inlineStr">
        <is>
          <t>Warframe</t>
        </is>
      </c>
      <c r="E25" t="inlineStr">
        <is>
          <t>Prime</t>
        </is>
      </c>
      <c r="G25" t="n">
        <v>1</v>
      </c>
      <c r="H25" t="inlineStr">
        <is>
          <t>Player trade (set)</t>
        </is>
      </c>
      <c r="I25" t="inlineStr">
        <is>
          <t>Yes</t>
        </is>
      </c>
      <c r="K25" t="inlineStr">
        <is>
          <t>Core</t>
        </is>
      </c>
      <c r="L25" t="n">
        <v>69</v>
      </c>
      <c r="M25" t="n">
        <v>70</v>
      </c>
      <c r="N25" t="n">
        <v>77</v>
      </c>
      <c r="O25" t="inlineStr">
        <is>
          <t>2026-10-05 UTC (WFM pull 02:52-04:00)</t>
        </is>
      </c>
      <c r="P25" t="inlineStr">
        <is>
          <t>OK</t>
        </is>
      </c>
      <c r="Q25" t="inlineStr">
        <is>
          <t>Helminth: Desiccation</t>
        </is>
      </c>
      <c r="R25" t="inlineStr">
        <is>
          <t>Best permanent version (Prime replaces Normal)</t>
        </is>
      </c>
      <c r="S25" t="inlineStr">
        <is>
          <t>inaros_prime_set</t>
        </is>
      </c>
      <c r="T25" t="n">
        <v>41</v>
      </c>
      <c r="U25" t="n">
        <v>41</v>
      </c>
      <c r="V25" t="n">
        <v>69</v>
      </c>
      <c r="W25" t="n">
        <v>69</v>
      </c>
      <c r="X25" t="n">
        <v>68.3</v>
      </c>
      <c r="Y25" t="n">
        <v>5338</v>
      </c>
      <c r="Z25" t="n">
        <v>114</v>
      </c>
      <c r="AA25" t="n">
        <v>50</v>
      </c>
      <c r="AB25" t="n">
        <v>19</v>
      </c>
      <c r="AS25" t="inlineStr">
        <is>
          <t>Yes</t>
        </is>
      </c>
    </row>
    <row r="26">
      <c r="A26" t="inlineStr">
        <is>
          <t>Warframe</t>
        </is>
      </c>
      <c r="B26" t="inlineStr">
        <is>
          <t>Ivara Prime</t>
        </is>
      </c>
      <c r="C26" t="inlineStr">
        <is>
          <t>Ivara Prime</t>
        </is>
      </c>
      <c r="D26" t="inlineStr">
        <is>
          <t>Warframe</t>
        </is>
      </c>
      <c r="E26" t="inlineStr">
        <is>
          <t>Prime</t>
        </is>
      </c>
      <c r="G26" t="n">
        <v>1</v>
      </c>
      <c r="H26" t="inlineStr">
        <is>
          <t>Player trade (set)</t>
        </is>
      </c>
      <c r="I26" t="inlineStr">
        <is>
          <t>Yes</t>
        </is>
      </c>
      <c r="K26" t="inlineStr">
        <is>
          <t>Core</t>
        </is>
      </c>
      <c r="L26" t="n">
        <v>59</v>
      </c>
      <c r="M26" t="n">
        <v>60</v>
      </c>
      <c r="N26" t="n">
        <v>71</v>
      </c>
      <c r="O26" t="inlineStr">
        <is>
          <t>2026-10-05 UTC (WFM pull 02:52-04:00)</t>
        </is>
      </c>
      <c r="P26" t="inlineStr">
        <is>
          <t>OK</t>
        </is>
      </c>
      <c r="Q26" t="inlineStr">
        <is>
          <t>Helminth: Quiver</t>
        </is>
      </c>
      <c r="R26" t="inlineStr">
        <is>
          <t>Best permanent version (Prime replaces Normal)</t>
        </is>
      </c>
      <c r="S26" t="inlineStr">
        <is>
          <t>ivara_prime_set</t>
        </is>
      </c>
      <c r="T26" t="n">
        <v>43</v>
      </c>
      <c r="U26" t="n">
        <v>43</v>
      </c>
      <c r="V26" t="n">
        <v>64.5</v>
      </c>
      <c r="W26" t="n">
        <v>68</v>
      </c>
      <c r="X26" t="n">
        <v>66.59999999999999</v>
      </c>
      <c r="Y26" t="n">
        <v>7036</v>
      </c>
      <c r="Z26" t="n">
        <v>293</v>
      </c>
      <c r="AA26" t="n">
        <v>50</v>
      </c>
      <c r="AB26" t="n">
        <v>9</v>
      </c>
      <c r="AS26" t="inlineStr">
        <is>
          <t>Yes</t>
        </is>
      </c>
    </row>
    <row r="27">
      <c r="A27" t="inlineStr">
        <is>
          <t>Warframe</t>
        </is>
      </c>
      <c r="B27" t="inlineStr">
        <is>
          <t>Jade</t>
        </is>
      </c>
      <c r="C27" t="inlineStr">
        <is>
          <t>Jade</t>
        </is>
      </c>
      <c r="D27" t="inlineStr">
        <is>
          <t>Warframe</t>
        </is>
      </c>
      <c r="E27" t="inlineStr">
        <is>
          <t>Base (no Prime)</t>
        </is>
      </c>
      <c r="G27" t="n">
        <v>1</v>
      </c>
      <c r="H27" t="inlineStr">
        <is>
          <t>Farm / quest / vendor (account-bound)</t>
        </is>
      </c>
      <c r="I27" t="inlineStr">
        <is>
          <t>No</t>
        </is>
      </c>
      <c r="K27" t="inlineStr">
        <is>
          <t>Core</t>
        </is>
      </c>
      <c r="P27" t="inlineStr">
        <is>
          <t>FARMABLE / ACCOUNT-BOUND</t>
        </is>
      </c>
      <c r="Q27" t="inlineStr">
        <is>
          <t>Helminth: Ophanim Eyes</t>
        </is>
      </c>
      <c r="R27" t="inlineStr">
        <is>
          <t>No Prime exists in live data</t>
        </is>
      </c>
      <c r="AS27" t="inlineStr">
        <is>
          <t>No</t>
        </is>
      </c>
    </row>
    <row r="28">
      <c r="A28" t="inlineStr">
        <is>
          <t>Warframe</t>
        </is>
      </c>
      <c r="B28" t="inlineStr">
        <is>
          <t>Khora Prime</t>
        </is>
      </c>
      <c r="C28" t="inlineStr">
        <is>
          <t>Khora Prime</t>
        </is>
      </c>
      <c r="D28" t="inlineStr">
        <is>
          <t>Warframe</t>
        </is>
      </c>
      <c r="E28" t="inlineStr">
        <is>
          <t>Prime</t>
        </is>
      </c>
      <c r="G28" t="n">
        <v>1</v>
      </c>
      <c r="H28" t="inlineStr">
        <is>
          <t>Player trade (set)</t>
        </is>
      </c>
      <c r="I28" t="inlineStr">
        <is>
          <t>Yes</t>
        </is>
      </c>
      <c r="K28" t="inlineStr">
        <is>
          <t>Core</t>
        </is>
      </c>
      <c r="L28" t="n">
        <v>79</v>
      </c>
      <c r="M28" t="n">
        <v>79</v>
      </c>
      <c r="N28" t="n">
        <v>88</v>
      </c>
      <c r="O28" t="inlineStr">
        <is>
          <t>2026-10-05 UTC (WFM pull 02:52-04:00)</t>
        </is>
      </c>
      <c r="P28" t="inlineStr">
        <is>
          <t>OK</t>
        </is>
      </c>
      <c r="Q28" t="inlineStr">
        <is>
          <t>Helminth: Ensnare</t>
        </is>
      </c>
      <c r="R28" t="inlineStr">
        <is>
          <t>Best permanent version (Prime replaces Normal)</t>
        </is>
      </c>
      <c r="S28" t="inlineStr">
        <is>
          <t>khora_prime_set</t>
        </is>
      </c>
      <c r="T28" t="n">
        <v>69</v>
      </c>
      <c r="U28" t="n">
        <v>69</v>
      </c>
      <c r="V28" t="n">
        <v>80</v>
      </c>
      <c r="W28" t="n">
        <v>80</v>
      </c>
      <c r="X28" t="n">
        <v>81.09999999999999</v>
      </c>
      <c r="Y28" t="n">
        <v>12624</v>
      </c>
      <c r="Z28" t="n">
        <v>273</v>
      </c>
      <c r="AA28" t="n">
        <v>75</v>
      </c>
      <c r="AB28" t="n">
        <v>4</v>
      </c>
      <c r="AS28" t="inlineStr">
        <is>
          <t>Yes</t>
        </is>
      </c>
    </row>
    <row r="29">
      <c r="A29" t="inlineStr">
        <is>
          <t>Warframe</t>
        </is>
      </c>
      <c r="B29" t="inlineStr">
        <is>
          <t>Koumei</t>
        </is>
      </c>
      <c r="C29" t="inlineStr">
        <is>
          <t>Koumei</t>
        </is>
      </c>
      <c r="D29" t="inlineStr">
        <is>
          <t>Warframe</t>
        </is>
      </c>
      <c r="E29" t="inlineStr">
        <is>
          <t>Base (no Prime)</t>
        </is>
      </c>
      <c r="G29" t="n">
        <v>1</v>
      </c>
      <c r="H29" t="inlineStr">
        <is>
          <t>Farm / quest / vendor (account-bound)</t>
        </is>
      </c>
      <c r="I29" t="inlineStr">
        <is>
          <t>No</t>
        </is>
      </c>
      <c r="K29" t="inlineStr">
        <is>
          <t>Core</t>
        </is>
      </c>
      <c r="P29" t="inlineStr">
        <is>
          <t>FARMABLE / ACCOUNT-BOUND</t>
        </is>
      </c>
      <c r="Q29" t="inlineStr">
        <is>
          <t>Helminth: Omamori</t>
        </is>
      </c>
      <c r="R29" t="inlineStr">
        <is>
          <t>No Prime exists in live data</t>
        </is>
      </c>
      <c r="AS29" t="inlineStr">
        <is>
          <t>No</t>
        </is>
      </c>
    </row>
    <row r="30">
      <c r="A30" t="inlineStr">
        <is>
          <t>Warframe</t>
        </is>
      </c>
      <c r="B30" t="inlineStr">
        <is>
          <t>Kullervo</t>
        </is>
      </c>
      <c r="C30" t="inlineStr">
        <is>
          <t>Kullervo</t>
        </is>
      </c>
      <c r="D30" t="inlineStr">
        <is>
          <t>Warframe</t>
        </is>
      </c>
      <c r="E30" t="inlineStr">
        <is>
          <t>Base (no Prime)</t>
        </is>
      </c>
      <c r="G30" t="n">
        <v>1</v>
      </c>
      <c r="H30" t="inlineStr">
        <is>
          <t>Farm / quest / vendor (account-bound)</t>
        </is>
      </c>
      <c r="I30" t="inlineStr">
        <is>
          <t>No</t>
        </is>
      </c>
      <c r="K30" t="inlineStr">
        <is>
          <t>Core</t>
        </is>
      </c>
      <c r="P30" t="inlineStr">
        <is>
          <t>FARMABLE / ACCOUNT-BOUND</t>
        </is>
      </c>
      <c r="Q30" t="inlineStr">
        <is>
          <t>Helminth: Wrathful Advance</t>
        </is>
      </c>
      <c r="R30" t="inlineStr">
        <is>
          <t>No Prime exists in live data</t>
        </is>
      </c>
      <c r="AS30" t="inlineStr">
        <is>
          <t>No</t>
        </is>
      </c>
    </row>
    <row r="31">
      <c r="A31" t="inlineStr">
        <is>
          <t>Warframe</t>
        </is>
      </c>
      <c r="B31" t="inlineStr">
        <is>
          <t>Lavos Prime</t>
        </is>
      </c>
      <c r="C31" t="inlineStr">
        <is>
          <t>Lavos Prime</t>
        </is>
      </c>
      <c r="D31" t="inlineStr">
        <is>
          <t>Warframe</t>
        </is>
      </c>
      <c r="E31" t="inlineStr">
        <is>
          <t>Prime</t>
        </is>
      </c>
      <c r="G31" t="n">
        <v>1</v>
      </c>
      <c r="H31" t="inlineStr">
        <is>
          <t>Player trade (set)</t>
        </is>
      </c>
      <c r="I31" t="inlineStr">
        <is>
          <t>Yes</t>
        </is>
      </c>
      <c r="K31" t="inlineStr">
        <is>
          <t>Core</t>
        </is>
      </c>
      <c r="L31" t="n">
        <v>18</v>
      </c>
      <c r="M31" t="n">
        <v>20</v>
      </c>
      <c r="N31" t="n">
        <v>22</v>
      </c>
      <c r="O31" t="inlineStr">
        <is>
          <t>2026-10-05 UTC (WFM pull 02:52-04:00)</t>
        </is>
      </c>
      <c r="P31" t="inlineStr">
        <is>
          <t>OK</t>
        </is>
      </c>
      <c r="Q31" t="inlineStr">
        <is>
          <t>Helminth: Vial Rush</t>
        </is>
      </c>
      <c r="R31" t="inlineStr">
        <is>
          <t>Best permanent version (Prime replaces Normal)</t>
        </is>
      </c>
      <c r="S31" t="inlineStr">
        <is>
          <t>lavos_prime_set</t>
        </is>
      </c>
      <c r="T31" t="n">
        <v>66</v>
      </c>
      <c r="U31" t="n">
        <v>66</v>
      </c>
      <c r="V31" t="n">
        <v>20</v>
      </c>
      <c r="W31" t="n">
        <v>20</v>
      </c>
      <c r="X31" t="n">
        <v>21.5</v>
      </c>
      <c r="Y31" t="n">
        <v>15084</v>
      </c>
      <c r="Z31" t="n">
        <v>465</v>
      </c>
      <c r="AA31" t="n">
        <v>21</v>
      </c>
      <c r="AB31" t="n">
        <v>-3</v>
      </c>
      <c r="AS31" t="inlineStr">
        <is>
          <t>Yes</t>
        </is>
      </c>
    </row>
    <row r="32">
      <c r="A32" t="inlineStr">
        <is>
          <t>Warframe</t>
        </is>
      </c>
      <c r="B32" t="inlineStr">
        <is>
          <t>Limbo Prime</t>
        </is>
      </c>
      <c r="C32" t="inlineStr">
        <is>
          <t>Limbo Prime</t>
        </is>
      </c>
      <c r="D32" t="inlineStr">
        <is>
          <t>Warframe</t>
        </is>
      </c>
      <c r="E32" t="inlineStr">
        <is>
          <t>Prime</t>
        </is>
      </c>
      <c r="G32" t="n">
        <v>1</v>
      </c>
      <c r="H32" t="inlineStr">
        <is>
          <t>Player trade (set)</t>
        </is>
      </c>
      <c r="I32" t="inlineStr">
        <is>
          <t>Yes</t>
        </is>
      </c>
      <c r="K32" t="inlineStr">
        <is>
          <t>Core</t>
        </is>
      </c>
      <c r="L32" t="n">
        <v>95</v>
      </c>
      <c r="M32" t="n">
        <v>98</v>
      </c>
      <c r="N32" t="n">
        <v>109</v>
      </c>
      <c r="O32" t="inlineStr">
        <is>
          <t>2026-10-05 UTC (WFM pull 02:52-04:00)</t>
        </is>
      </c>
      <c r="P32" t="inlineStr">
        <is>
          <t>OK</t>
        </is>
      </c>
      <c r="Q32" t="inlineStr">
        <is>
          <t>Helminth: Banish</t>
        </is>
      </c>
      <c r="R32" t="inlineStr">
        <is>
          <t>Best permanent version (Prime replaces Normal)</t>
        </is>
      </c>
      <c r="S32" t="inlineStr">
        <is>
          <t>limbo_prime_set</t>
        </is>
      </c>
      <c r="T32" t="n">
        <v>37</v>
      </c>
      <c r="U32" t="n">
        <v>37</v>
      </c>
      <c r="V32" t="n">
        <v>98</v>
      </c>
      <c r="W32" t="n">
        <v>98</v>
      </c>
      <c r="X32" t="n">
        <v>96.90000000000001</v>
      </c>
      <c r="Y32" t="n">
        <v>4732</v>
      </c>
      <c r="Z32" t="n">
        <v>123</v>
      </c>
      <c r="AA32" t="n">
        <v>88</v>
      </c>
      <c r="AB32" t="n">
        <v>7</v>
      </c>
      <c r="AS32" t="inlineStr">
        <is>
          <t>Yes</t>
        </is>
      </c>
    </row>
    <row r="33">
      <c r="A33" t="inlineStr">
        <is>
          <t>Warframe</t>
        </is>
      </c>
      <c r="B33" t="inlineStr">
        <is>
          <t>Loki Prime</t>
        </is>
      </c>
      <c r="C33" t="inlineStr">
        <is>
          <t>Loki Prime</t>
        </is>
      </c>
      <c r="D33" t="inlineStr">
        <is>
          <t>Warframe</t>
        </is>
      </c>
      <c r="E33" t="inlineStr">
        <is>
          <t>Prime</t>
        </is>
      </c>
      <c r="G33" t="n">
        <v>1</v>
      </c>
      <c r="H33" t="inlineStr">
        <is>
          <t>Player trade (set)</t>
        </is>
      </c>
      <c r="I33" t="inlineStr">
        <is>
          <t>Yes</t>
        </is>
      </c>
      <c r="K33" t="inlineStr">
        <is>
          <t>Core</t>
        </is>
      </c>
      <c r="L33" t="n">
        <v>76</v>
      </c>
      <c r="M33" t="n">
        <v>76</v>
      </c>
      <c r="N33" t="n">
        <v>86</v>
      </c>
      <c r="O33" t="inlineStr">
        <is>
          <t>2026-10-05 UTC (WFM pull 02:52-04:00)</t>
        </is>
      </c>
      <c r="P33" t="inlineStr">
        <is>
          <t>OK</t>
        </is>
      </c>
      <c r="Q33" t="inlineStr">
        <is>
          <t>Helminth: Decoy</t>
        </is>
      </c>
      <c r="R33" t="inlineStr">
        <is>
          <t>Best permanent version (Prime replaces Normal)</t>
        </is>
      </c>
      <c r="S33" t="inlineStr">
        <is>
          <t>loki_prime_set</t>
        </is>
      </c>
      <c r="T33" t="n">
        <v>35</v>
      </c>
      <c r="U33" t="n">
        <v>35</v>
      </c>
      <c r="V33" t="n">
        <v>78</v>
      </c>
      <c r="W33" t="n">
        <v>78</v>
      </c>
      <c r="X33" t="n">
        <v>78.3</v>
      </c>
      <c r="Y33" t="n">
        <v>3005</v>
      </c>
      <c r="Z33" t="n">
        <v>71</v>
      </c>
      <c r="AA33" t="n">
        <v>75</v>
      </c>
      <c r="AB33" t="n">
        <v>1</v>
      </c>
      <c r="AS33" t="inlineStr">
        <is>
          <t>Yes</t>
        </is>
      </c>
    </row>
    <row r="34">
      <c r="A34" t="inlineStr">
        <is>
          <t>Warframe</t>
        </is>
      </c>
      <c r="B34" t="inlineStr">
        <is>
          <t>Mag Prime</t>
        </is>
      </c>
      <c r="C34" t="inlineStr">
        <is>
          <t>Mag Prime</t>
        </is>
      </c>
      <c r="D34" t="inlineStr">
        <is>
          <t>Warframe</t>
        </is>
      </c>
      <c r="E34" t="inlineStr">
        <is>
          <t>Prime</t>
        </is>
      </c>
      <c r="G34" t="n">
        <v>1</v>
      </c>
      <c r="H34" t="inlineStr">
        <is>
          <t>Player trade (set)</t>
        </is>
      </c>
      <c r="I34" t="inlineStr">
        <is>
          <t>Yes</t>
        </is>
      </c>
      <c r="K34" t="inlineStr">
        <is>
          <t>Core</t>
        </is>
      </c>
      <c r="L34" t="n">
        <v>73</v>
      </c>
      <c r="M34" t="n">
        <v>73</v>
      </c>
      <c r="N34" t="n">
        <v>82</v>
      </c>
      <c r="O34" t="inlineStr">
        <is>
          <t>2026-10-05 UTC (WFM pull 02:52-04:00)</t>
        </is>
      </c>
      <c r="P34" t="inlineStr">
        <is>
          <t>OK</t>
        </is>
      </c>
      <c r="Q34" t="inlineStr">
        <is>
          <t>Helminth: Pull</t>
        </is>
      </c>
      <c r="R34" t="inlineStr">
        <is>
          <t>Best permanent version (Prime replaces Normal)</t>
        </is>
      </c>
      <c r="S34" t="inlineStr">
        <is>
          <t>mag_prime_set</t>
        </is>
      </c>
      <c r="T34" t="n">
        <v>58</v>
      </c>
      <c r="U34" t="n">
        <v>58</v>
      </c>
      <c r="V34" t="n">
        <v>74</v>
      </c>
      <c r="W34" t="n">
        <v>74</v>
      </c>
      <c r="X34" t="n">
        <v>74</v>
      </c>
      <c r="Y34" t="n">
        <v>4690</v>
      </c>
      <c r="Z34" t="n">
        <v>105</v>
      </c>
      <c r="AA34" t="n">
        <v>65</v>
      </c>
      <c r="AB34" t="n">
        <v>8</v>
      </c>
      <c r="AS34" t="inlineStr">
        <is>
          <t>Yes</t>
        </is>
      </c>
    </row>
    <row r="35">
      <c r="A35" t="inlineStr">
        <is>
          <t>Warframe</t>
        </is>
      </c>
      <c r="B35" t="inlineStr">
        <is>
          <t>Mesa Prime</t>
        </is>
      </c>
      <c r="C35" t="inlineStr">
        <is>
          <t>Mesa Prime</t>
        </is>
      </c>
      <c r="D35" t="inlineStr">
        <is>
          <t>Warframe</t>
        </is>
      </c>
      <c r="E35" t="inlineStr">
        <is>
          <t>Prime</t>
        </is>
      </c>
      <c r="G35" t="n">
        <v>1</v>
      </c>
      <c r="H35" t="inlineStr">
        <is>
          <t>Player trade (set)</t>
        </is>
      </c>
      <c r="I35" t="inlineStr">
        <is>
          <t>Yes</t>
        </is>
      </c>
      <c r="K35" t="inlineStr">
        <is>
          <t>Core</t>
        </is>
      </c>
      <c r="L35" t="n">
        <v>63</v>
      </c>
      <c r="M35" t="n">
        <v>65</v>
      </c>
      <c r="N35" t="n">
        <v>76</v>
      </c>
      <c r="O35" t="inlineStr">
        <is>
          <t>2026-10-05 UTC (WFM pull 02:52-04:00)</t>
        </is>
      </c>
      <c r="P35" t="inlineStr">
        <is>
          <t>OK</t>
        </is>
      </c>
      <c r="Q35" t="inlineStr">
        <is>
          <t>Helminth: Shooting Gallery</t>
        </is>
      </c>
      <c r="R35" t="inlineStr">
        <is>
          <t>Best permanent version (Prime replaces Normal)</t>
        </is>
      </c>
      <c r="S35" t="inlineStr">
        <is>
          <t>mesa_prime_set</t>
        </is>
      </c>
      <c r="T35" t="n">
        <v>82</v>
      </c>
      <c r="U35" t="n">
        <v>82</v>
      </c>
      <c r="V35" t="n">
        <v>69</v>
      </c>
      <c r="W35" t="n">
        <v>69</v>
      </c>
      <c r="X35" t="n">
        <v>68.09999999999999</v>
      </c>
      <c r="Y35" t="n">
        <v>12355</v>
      </c>
      <c r="Z35" t="n">
        <v>306</v>
      </c>
      <c r="AA35" t="n">
        <v>60</v>
      </c>
      <c r="AB35" t="n">
        <v>3</v>
      </c>
      <c r="AS35" t="inlineStr">
        <is>
          <t>Yes</t>
        </is>
      </c>
    </row>
    <row r="36">
      <c r="A36" t="inlineStr">
        <is>
          <t>Warframe</t>
        </is>
      </c>
      <c r="B36" t="inlineStr">
        <is>
          <t>Mirage Prime</t>
        </is>
      </c>
      <c r="C36" t="inlineStr">
        <is>
          <t>Mirage Prime</t>
        </is>
      </c>
      <c r="D36" t="inlineStr">
        <is>
          <t>Warframe</t>
        </is>
      </c>
      <c r="E36" t="inlineStr">
        <is>
          <t>Prime</t>
        </is>
      </c>
      <c r="G36" t="n">
        <v>1</v>
      </c>
      <c r="H36" t="inlineStr">
        <is>
          <t>Player trade (set)</t>
        </is>
      </c>
      <c r="I36" t="inlineStr">
        <is>
          <t>Yes</t>
        </is>
      </c>
      <c r="K36" t="inlineStr">
        <is>
          <t>Core</t>
        </is>
      </c>
      <c r="L36" t="n">
        <v>55</v>
      </c>
      <c r="M36" t="n">
        <v>58</v>
      </c>
      <c r="N36" t="n">
        <v>66</v>
      </c>
      <c r="O36" t="inlineStr">
        <is>
          <t>2026-10-05 UTC (WFM pull 02:52-04:00)</t>
        </is>
      </c>
      <c r="P36" t="inlineStr">
        <is>
          <t>OK</t>
        </is>
      </c>
      <c r="Q36" t="inlineStr">
        <is>
          <t>Helminth: Eclipse</t>
        </is>
      </c>
      <c r="R36" t="inlineStr">
        <is>
          <t>Best permanent version (Prime replaces Normal)</t>
        </is>
      </c>
      <c r="S36" t="inlineStr">
        <is>
          <t>mirage_prime_set</t>
        </is>
      </c>
      <c r="T36" t="n">
        <v>117</v>
      </c>
      <c r="U36" t="n">
        <v>117</v>
      </c>
      <c r="V36" t="n">
        <v>60</v>
      </c>
      <c r="W36" t="n">
        <v>70</v>
      </c>
      <c r="X36" t="n">
        <v>72</v>
      </c>
      <c r="Y36" t="n">
        <v>11222</v>
      </c>
      <c r="Z36" t="n">
        <v>264</v>
      </c>
      <c r="AA36" t="n">
        <v>55</v>
      </c>
      <c r="AB36" t="n">
        <v>0</v>
      </c>
      <c r="AS36" t="inlineStr">
        <is>
          <t>Yes</t>
        </is>
      </c>
    </row>
    <row r="37">
      <c r="A37" t="inlineStr">
        <is>
          <t>Warframe</t>
        </is>
      </c>
      <c r="B37" t="inlineStr">
        <is>
          <t>Narin</t>
        </is>
      </c>
      <c r="C37" t="inlineStr">
        <is>
          <t>Narin</t>
        </is>
      </c>
      <c r="D37" t="inlineStr">
        <is>
          <t>Warframe</t>
        </is>
      </c>
      <c r="E37" t="inlineStr">
        <is>
          <t>Base (no Prime)</t>
        </is>
      </c>
      <c r="G37" t="n">
        <v>1</v>
      </c>
      <c r="H37" t="inlineStr">
        <is>
          <t>Farm / quest / vendor (account-bound)</t>
        </is>
      </c>
      <c r="I37" t="inlineStr">
        <is>
          <t>No</t>
        </is>
      </c>
      <c r="K37" t="inlineStr">
        <is>
          <t>Core</t>
        </is>
      </c>
      <c r="P37" t="inlineStr">
        <is>
          <t>FARMABLE / ACCOUNT-BOUND</t>
        </is>
      </c>
      <c r="Q37" t="inlineStr">
        <is>
          <t>Helminth: Neote</t>
        </is>
      </c>
      <c r="R37" t="inlineStr">
        <is>
          <t>No Prime exists in live data</t>
        </is>
      </c>
      <c r="AS37" t="inlineStr">
        <is>
          <t>No</t>
        </is>
      </c>
    </row>
    <row r="38">
      <c r="A38" t="inlineStr">
        <is>
          <t>Warframe</t>
        </is>
      </c>
      <c r="B38" t="inlineStr">
        <is>
          <t>Nekros Prime</t>
        </is>
      </c>
      <c r="C38" t="inlineStr">
        <is>
          <t>Nekros Prime</t>
        </is>
      </c>
      <c r="D38" t="inlineStr">
        <is>
          <t>Warframe</t>
        </is>
      </c>
      <c r="E38" t="inlineStr">
        <is>
          <t>Prime</t>
        </is>
      </c>
      <c r="G38" t="n">
        <v>1</v>
      </c>
      <c r="H38" t="inlineStr">
        <is>
          <t>Player trade (set)</t>
        </is>
      </c>
      <c r="I38" t="inlineStr">
        <is>
          <t>Yes</t>
        </is>
      </c>
      <c r="K38" t="inlineStr">
        <is>
          <t>Core</t>
        </is>
      </c>
      <c r="L38" t="n">
        <v>94</v>
      </c>
      <c r="M38" t="n">
        <v>95</v>
      </c>
      <c r="N38" t="n">
        <v>105</v>
      </c>
      <c r="O38" t="inlineStr">
        <is>
          <t>2026-10-05 UTC (WFM pull 02:52-04:00)</t>
        </is>
      </c>
      <c r="P38" t="inlineStr">
        <is>
          <t>OK</t>
        </is>
      </c>
      <c r="Q38" t="inlineStr">
        <is>
          <t>Helminth: Terrify</t>
        </is>
      </c>
      <c r="R38" t="inlineStr">
        <is>
          <t>Best permanent version (Prime replaces Normal)</t>
        </is>
      </c>
      <c r="S38" t="inlineStr">
        <is>
          <t>nekros_prime_set</t>
        </is>
      </c>
      <c r="T38" t="n">
        <v>39</v>
      </c>
      <c r="U38" t="n">
        <v>39</v>
      </c>
      <c r="V38" t="n">
        <v>95</v>
      </c>
      <c r="W38" t="n">
        <v>95</v>
      </c>
      <c r="X38" t="n">
        <v>95.2</v>
      </c>
      <c r="Y38" t="n">
        <v>7430</v>
      </c>
      <c r="Z38" t="n">
        <v>173</v>
      </c>
      <c r="AA38" t="n">
        <v>85</v>
      </c>
      <c r="AB38" t="n">
        <v>9</v>
      </c>
      <c r="AS38" t="inlineStr">
        <is>
          <t>Yes</t>
        </is>
      </c>
    </row>
    <row r="39">
      <c r="A39" t="inlineStr">
        <is>
          <t>Warframe</t>
        </is>
      </c>
      <c r="B39" t="inlineStr">
        <is>
          <t>Nezha Prime</t>
        </is>
      </c>
      <c r="C39" t="inlineStr">
        <is>
          <t>Nezha Prime</t>
        </is>
      </c>
      <c r="D39" t="inlineStr">
        <is>
          <t>Warframe</t>
        </is>
      </c>
      <c r="E39" t="inlineStr">
        <is>
          <t>Prime</t>
        </is>
      </c>
      <c r="G39" t="n">
        <v>1</v>
      </c>
      <c r="H39" t="inlineStr">
        <is>
          <t>Player trade (set)</t>
        </is>
      </c>
      <c r="I39" t="inlineStr">
        <is>
          <t>Yes</t>
        </is>
      </c>
      <c r="K39" t="inlineStr">
        <is>
          <t>Core</t>
        </is>
      </c>
      <c r="L39" t="n">
        <v>70</v>
      </c>
      <c r="M39" t="n">
        <v>70</v>
      </c>
      <c r="N39" t="n">
        <v>83</v>
      </c>
      <c r="O39" t="inlineStr">
        <is>
          <t>2026-10-05 UTC (WFM pull 02:52-04:00)</t>
        </is>
      </c>
      <c r="P39" t="inlineStr">
        <is>
          <t>OK</t>
        </is>
      </c>
      <c r="Q39" t="inlineStr">
        <is>
          <t>Helminth: Fire Walker</t>
        </is>
      </c>
      <c r="R39" t="inlineStr">
        <is>
          <t>Best permanent version (Prime replaces Normal)</t>
        </is>
      </c>
      <c r="S39" t="inlineStr">
        <is>
          <t>nezha_prime_set</t>
        </is>
      </c>
      <c r="T39" t="n">
        <v>40</v>
      </c>
      <c r="U39" t="n">
        <v>40</v>
      </c>
      <c r="V39" t="n">
        <v>70</v>
      </c>
      <c r="W39" t="n">
        <v>70</v>
      </c>
      <c r="X39" t="n">
        <v>70.8</v>
      </c>
      <c r="Y39" t="n">
        <v>5957</v>
      </c>
      <c r="Z39" t="n">
        <v>107</v>
      </c>
      <c r="AA39" t="n">
        <v>60</v>
      </c>
      <c r="AB39" t="n">
        <v>10</v>
      </c>
      <c r="AS39" t="inlineStr">
        <is>
          <t>Yes</t>
        </is>
      </c>
    </row>
    <row r="40">
      <c r="A40" t="inlineStr">
        <is>
          <t>Warframe</t>
        </is>
      </c>
      <c r="B40" t="inlineStr">
        <is>
          <t>Nidus Prime</t>
        </is>
      </c>
      <c r="C40" t="inlineStr">
        <is>
          <t>Nidus Prime</t>
        </is>
      </c>
      <c r="D40" t="inlineStr">
        <is>
          <t>Warframe</t>
        </is>
      </c>
      <c r="E40" t="inlineStr">
        <is>
          <t>Prime</t>
        </is>
      </c>
      <c r="G40" t="n">
        <v>1</v>
      </c>
      <c r="H40" t="inlineStr">
        <is>
          <t>Player trade (set)</t>
        </is>
      </c>
      <c r="I40" t="inlineStr">
        <is>
          <t>Yes</t>
        </is>
      </c>
      <c r="K40" t="inlineStr">
        <is>
          <t>Core</t>
        </is>
      </c>
      <c r="L40" t="n">
        <v>88</v>
      </c>
      <c r="M40" t="n">
        <v>89</v>
      </c>
      <c r="N40" t="n">
        <v>100</v>
      </c>
      <c r="O40" t="inlineStr">
        <is>
          <t>2026-10-05 UTC (WFM pull 02:52-04:00)</t>
        </is>
      </c>
      <c r="P40" t="inlineStr">
        <is>
          <t>OK</t>
        </is>
      </c>
      <c r="Q40" t="inlineStr">
        <is>
          <t>Helminth: Larva</t>
        </is>
      </c>
      <c r="R40" t="inlineStr">
        <is>
          <t>Best permanent version (Prime replaces Normal)</t>
        </is>
      </c>
      <c r="S40" t="inlineStr">
        <is>
          <t>nidus_prime_set</t>
        </is>
      </c>
      <c r="T40" t="n">
        <v>40</v>
      </c>
      <c r="U40" t="n">
        <v>40</v>
      </c>
      <c r="V40" t="n">
        <v>90</v>
      </c>
      <c r="W40" t="n">
        <v>90</v>
      </c>
      <c r="X40" t="n">
        <v>89.40000000000001</v>
      </c>
      <c r="Y40" t="n">
        <v>9963</v>
      </c>
      <c r="Z40" t="n">
        <v>200</v>
      </c>
      <c r="AA40" t="n">
        <v>75</v>
      </c>
      <c r="AB40" t="n">
        <v>13</v>
      </c>
      <c r="AS40" t="inlineStr">
        <is>
          <t>Yes</t>
        </is>
      </c>
    </row>
    <row r="41">
      <c r="A41" t="inlineStr">
        <is>
          <t>Warframe</t>
        </is>
      </c>
      <c r="B41" t="inlineStr">
        <is>
          <t>Nokko</t>
        </is>
      </c>
      <c r="C41" t="inlineStr">
        <is>
          <t>Nokko</t>
        </is>
      </c>
      <c r="D41" t="inlineStr">
        <is>
          <t>Warframe</t>
        </is>
      </c>
      <c r="E41" t="inlineStr">
        <is>
          <t>Base (no Prime)</t>
        </is>
      </c>
      <c r="G41" t="n">
        <v>1</v>
      </c>
      <c r="H41" t="inlineStr">
        <is>
          <t>Farm / quest / vendor (account-bound)</t>
        </is>
      </c>
      <c r="I41" t="inlineStr">
        <is>
          <t>No</t>
        </is>
      </c>
      <c r="K41" t="inlineStr">
        <is>
          <t>Core</t>
        </is>
      </c>
      <c r="P41" t="inlineStr">
        <is>
          <t>FARMABLE / ACCOUNT-BOUND</t>
        </is>
      </c>
      <c r="Q41" t="inlineStr">
        <is>
          <t>Helminth: Brightbonnet</t>
        </is>
      </c>
      <c r="R41" t="inlineStr">
        <is>
          <t>No Prime exists in live data</t>
        </is>
      </c>
      <c r="AS41" t="inlineStr">
        <is>
          <t>No</t>
        </is>
      </c>
    </row>
    <row r="42">
      <c r="A42" t="inlineStr">
        <is>
          <t>Warframe</t>
        </is>
      </c>
      <c r="B42" t="inlineStr">
        <is>
          <t>Nova Prime</t>
        </is>
      </c>
      <c r="C42" t="inlineStr">
        <is>
          <t>Nova Prime</t>
        </is>
      </c>
      <c r="D42" t="inlineStr">
        <is>
          <t>Warframe</t>
        </is>
      </c>
      <c r="E42" t="inlineStr">
        <is>
          <t>Prime</t>
        </is>
      </c>
      <c r="G42" t="n">
        <v>1</v>
      </c>
      <c r="H42" t="inlineStr">
        <is>
          <t>Player trade (set)</t>
        </is>
      </c>
      <c r="I42" t="inlineStr">
        <is>
          <t>Yes</t>
        </is>
      </c>
      <c r="K42" t="inlineStr">
        <is>
          <t>Core</t>
        </is>
      </c>
      <c r="L42" t="n">
        <v>72</v>
      </c>
      <c r="M42" t="n">
        <v>72</v>
      </c>
      <c r="N42" t="n">
        <v>82</v>
      </c>
      <c r="O42" t="inlineStr">
        <is>
          <t>2026-10-05 UTC (WFM pull 02:52-04:00)</t>
        </is>
      </c>
      <c r="P42" t="inlineStr">
        <is>
          <t>OK</t>
        </is>
      </c>
      <c r="Q42" t="inlineStr">
        <is>
          <t>Helminth: Null Star</t>
        </is>
      </c>
      <c r="R42" t="inlineStr">
        <is>
          <t>Best permanent version (Prime replaces Normal)</t>
        </is>
      </c>
      <c r="S42" t="inlineStr">
        <is>
          <t>nova_prime_set</t>
        </is>
      </c>
      <c r="T42" t="n">
        <v>87</v>
      </c>
      <c r="U42" t="n">
        <v>87</v>
      </c>
      <c r="V42" t="n">
        <v>74</v>
      </c>
      <c r="W42" t="n">
        <v>74</v>
      </c>
      <c r="X42" t="n">
        <v>72.90000000000001</v>
      </c>
      <c r="Y42" t="n">
        <v>10023</v>
      </c>
      <c r="Z42" t="n">
        <v>187</v>
      </c>
      <c r="AA42" t="n">
        <v>70</v>
      </c>
      <c r="AB42" t="n">
        <v>2</v>
      </c>
      <c r="AS42" t="inlineStr">
        <is>
          <t>Yes</t>
        </is>
      </c>
    </row>
    <row r="43">
      <c r="A43" t="inlineStr">
        <is>
          <t>Warframe</t>
        </is>
      </c>
      <c r="B43" t="inlineStr">
        <is>
          <t>Nyx Prime</t>
        </is>
      </c>
      <c r="C43" t="inlineStr">
        <is>
          <t>Nyx Prime</t>
        </is>
      </c>
      <c r="D43" t="inlineStr">
        <is>
          <t>Warframe</t>
        </is>
      </c>
      <c r="E43" t="inlineStr">
        <is>
          <t>Prime</t>
        </is>
      </c>
      <c r="G43" t="n">
        <v>1</v>
      </c>
      <c r="H43" t="inlineStr">
        <is>
          <t>Player trade (set)</t>
        </is>
      </c>
      <c r="I43" t="inlineStr">
        <is>
          <t>Yes</t>
        </is>
      </c>
      <c r="K43" t="inlineStr">
        <is>
          <t>Core</t>
        </is>
      </c>
      <c r="L43" t="n">
        <v>55</v>
      </c>
      <c r="M43" t="n">
        <v>59</v>
      </c>
      <c r="N43" t="n">
        <v>65</v>
      </c>
      <c r="O43" t="inlineStr">
        <is>
          <t>2026-10-05 UTC (WFM pull 02:52-04:00)</t>
        </is>
      </c>
      <c r="P43" t="inlineStr">
        <is>
          <t>OK</t>
        </is>
      </c>
      <c r="Q43" t="inlineStr">
        <is>
          <t>Helminth: Mind Control</t>
        </is>
      </c>
      <c r="R43" t="inlineStr">
        <is>
          <t>Best permanent version (Prime replaces Normal)</t>
        </is>
      </c>
      <c r="S43" t="inlineStr">
        <is>
          <t>nyx_prime_set</t>
        </is>
      </c>
      <c r="T43" t="n">
        <v>79</v>
      </c>
      <c r="U43" t="n">
        <v>79</v>
      </c>
      <c r="V43" t="n">
        <v>59</v>
      </c>
      <c r="W43" t="n">
        <v>59</v>
      </c>
      <c r="X43" t="n">
        <v>58.3</v>
      </c>
      <c r="Y43" t="n">
        <v>5881</v>
      </c>
      <c r="Z43" t="n">
        <v>106</v>
      </c>
      <c r="AA43" t="n">
        <v>50</v>
      </c>
      <c r="AB43" t="n">
        <v>5</v>
      </c>
      <c r="AS43" t="inlineStr">
        <is>
          <t>Yes</t>
        </is>
      </c>
    </row>
    <row r="44">
      <c r="A44" t="inlineStr">
        <is>
          <t>Warframe</t>
        </is>
      </c>
      <c r="B44" t="inlineStr">
        <is>
          <t>Oberon Prime</t>
        </is>
      </c>
      <c r="C44" t="inlineStr">
        <is>
          <t>Oberon Prime</t>
        </is>
      </c>
      <c r="D44" t="inlineStr">
        <is>
          <t>Warframe</t>
        </is>
      </c>
      <c r="E44" t="inlineStr">
        <is>
          <t>Prime</t>
        </is>
      </c>
      <c r="G44" t="n">
        <v>1</v>
      </c>
      <c r="H44" t="inlineStr">
        <is>
          <t>Player trade (set)</t>
        </is>
      </c>
      <c r="I44" t="inlineStr">
        <is>
          <t>Yes</t>
        </is>
      </c>
      <c r="K44" t="inlineStr">
        <is>
          <t>Core</t>
        </is>
      </c>
      <c r="L44" t="n">
        <v>80</v>
      </c>
      <c r="M44" t="n">
        <v>84</v>
      </c>
      <c r="N44" t="n">
        <v>94</v>
      </c>
      <c r="O44" t="inlineStr">
        <is>
          <t>2026-10-05 UTC (WFM pull 02:52-04:00)</t>
        </is>
      </c>
      <c r="P44" t="inlineStr">
        <is>
          <t>OK</t>
        </is>
      </c>
      <c r="Q44" t="inlineStr">
        <is>
          <t>Helminth: Smite</t>
        </is>
      </c>
      <c r="R44" t="inlineStr">
        <is>
          <t>Best permanent version (Prime replaces Normal)</t>
        </is>
      </c>
      <c r="S44" t="inlineStr">
        <is>
          <t>oberon_prime_set</t>
        </is>
      </c>
      <c r="T44" t="n">
        <v>39</v>
      </c>
      <c r="U44" t="n">
        <v>39</v>
      </c>
      <c r="V44" t="n">
        <v>83.5</v>
      </c>
      <c r="W44" t="n">
        <v>82</v>
      </c>
      <c r="X44" t="n">
        <v>82</v>
      </c>
      <c r="Y44" t="n">
        <v>4319</v>
      </c>
      <c r="Z44" t="n">
        <v>90</v>
      </c>
      <c r="AA44" t="n">
        <v>66</v>
      </c>
      <c r="AB44" t="n">
        <v>14</v>
      </c>
      <c r="AS44" t="inlineStr">
        <is>
          <t>Yes</t>
        </is>
      </c>
    </row>
    <row r="45">
      <c r="A45" t="inlineStr">
        <is>
          <t>Warframe</t>
        </is>
      </c>
      <c r="B45" t="inlineStr">
        <is>
          <t>Octavia Prime</t>
        </is>
      </c>
      <c r="C45" t="inlineStr">
        <is>
          <t>Octavia Prime</t>
        </is>
      </c>
      <c r="D45" t="inlineStr">
        <is>
          <t>Warframe</t>
        </is>
      </c>
      <c r="E45" t="inlineStr">
        <is>
          <t>Prime</t>
        </is>
      </c>
      <c r="G45" t="n">
        <v>1</v>
      </c>
      <c r="H45" t="inlineStr">
        <is>
          <t>Player trade (set)</t>
        </is>
      </c>
      <c r="I45" t="inlineStr">
        <is>
          <t>Yes</t>
        </is>
      </c>
      <c r="K45" t="inlineStr">
        <is>
          <t>Core</t>
        </is>
      </c>
      <c r="L45" t="n">
        <v>80</v>
      </c>
      <c r="M45" t="n">
        <v>80</v>
      </c>
      <c r="N45" t="n">
        <v>92</v>
      </c>
      <c r="O45" t="inlineStr">
        <is>
          <t>2026-10-05 UTC (WFM pull 02:52-04:00)</t>
        </is>
      </c>
      <c r="P45" t="inlineStr">
        <is>
          <t>OK</t>
        </is>
      </c>
      <c r="Q45" t="inlineStr">
        <is>
          <t>Helminth: Resonator</t>
        </is>
      </c>
      <c r="R45" t="inlineStr">
        <is>
          <t>Best permanent version (Prime replaces Normal)</t>
        </is>
      </c>
      <c r="S45" t="inlineStr">
        <is>
          <t>octavia_prime_set</t>
        </is>
      </c>
      <c r="T45" t="n">
        <v>50</v>
      </c>
      <c r="U45" t="n">
        <v>50</v>
      </c>
      <c r="V45" t="n">
        <v>83</v>
      </c>
      <c r="W45" t="n">
        <v>83</v>
      </c>
      <c r="X45" t="n">
        <v>82.8</v>
      </c>
      <c r="Y45" t="n">
        <v>6937</v>
      </c>
      <c r="Z45" t="n">
        <v>185</v>
      </c>
      <c r="AA45" t="n">
        <v>70</v>
      </c>
      <c r="AB45" t="n">
        <v>10</v>
      </c>
      <c r="AS45" t="inlineStr">
        <is>
          <t>Yes</t>
        </is>
      </c>
    </row>
    <row r="46">
      <c r="A46" t="inlineStr">
        <is>
          <t>Warframe</t>
        </is>
      </c>
      <c r="B46" t="inlineStr">
        <is>
          <t>Oraxia</t>
        </is>
      </c>
      <c r="C46" t="inlineStr">
        <is>
          <t>Oraxia</t>
        </is>
      </c>
      <c r="D46" t="inlineStr">
        <is>
          <t>Warframe</t>
        </is>
      </c>
      <c r="E46" t="inlineStr">
        <is>
          <t>Base (no Prime)</t>
        </is>
      </c>
      <c r="G46" t="n">
        <v>1</v>
      </c>
      <c r="H46" t="inlineStr">
        <is>
          <t>Farm / quest / vendor (account-bound)</t>
        </is>
      </c>
      <c r="I46" t="inlineStr">
        <is>
          <t>No</t>
        </is>
      </c>
      <c r="K46" t="inlineStr">
        <is>
          <t>Core</t>
        </is>
      </c>
      <c r="P46" t="inlineStr">
        <is>
          <t>FARMABLE / ACCOUNT-BOUND</t>
        </is>
      </c>
      <c r="Q46" t="inlineStr">
        <is>
          <t>Helminth: Webbed Embrace</t>
        </is>
      </c>
      <c r="R46" t="inlineStr">
        <is>
          <t>No Prime exists in live data</t>
        </is>
      </c>
      <c r="AS46" t="inlineStr">
        <is>
          <t>No</t>
        </is>
      </c>
    </row>
    <row r="47">
      <c r="A47" t="inlineStr">
        <is>
          <t>Warframe</t>
        </is>
      </c>
      <c r="B47" t="inlineStr">
        <is>
          <t>Protea Prime</t>
        </is>
      </c>
      <c r="C47" t="inlineStr">
        <is>
          <t>Protea Prime</t>
        </is>
      </c>
      <c r="D47" t="inlineStr">
        <is>
          <t>Warframe</t>
        </is>
      </c>
      <c r="E47" t="inlineStr">
        <is>
          <t>Prime</t>
        </is>
      </c>
      <c r="G47" t="n">
        <v>1</v>
      </c>
      <c r="H47" t="inlineStr">
        <is>
          <t>Player trade (set)</t>
        </is>
      </c>
      <c r="I47" t="inlineStr">
        <is>
          <t>Yes</t>
        </is>
      </c>
      <c r="K47" t="inlineStr">
        <is>
          <t>Core</t>
        </is>
      </c>
      <c r="L47" t="n">
        <v>35</v>
      </c>
      <c r="M47" t="n">
        <v>36</v>
      </c>
      <c r="N47" t="n">
        <v>44</v>
      </c>
      <c r="O47" t="inlineStr">
        <is>
          <t>2026-10-05 UTC (WFM pull 02:52-04:00)</t>
        </is>
      </c>
      <c r="P47" t="inlineStr">
        <is>
          <t>OK</t>
        </is>
      </c>
      <c r="Q47" t="inlineStr">
        <is>
          <t>Helminth: Dispensary</t>
        </is>
      </c>
      <c r="R47" t="inlineStr">
        <is>
          <t>Best permanent version (Prime replaces Normal)</t>
        </is>
      </c>
      <c r="S47" t="inlineStr">
        <is>
          <t>protea_prime_set</t>
        </is>
      </c>
      <c r="T47" t="n">
        <v>74</v>
      </c>
      <c r="U47" t="n">
        <v>74</v>
      </c>
      <c r="V47" t="n">
        <v>40</v>
      </c>
      <c r="W47" t="n">
        <v>40</v>
      </c>
      <c r="X47" t="n">
        <v>39.4</v>
      </c>
      <c r="Y47" t="n">
        <v>10666</v>
      </c>
      <c r="Z47" t="n">
        <v>386</v>
      </c>
      <c r="AA47" t="n">
        <v>30</v>
      </c>
      <c r="AB47" t="n">
        <v>5</v>
      </c>
      <c r="AS47" t="inlineStr">
        <is>
          <t>Yes</t>
        </is>
      </c>
    </row>
    <row r="48">
      <c r="A48" t="inlineStr">
        <is>
          <t>Warframe</t>
        </is>
      </c>
      <c r="B48" t="inlineStr">
        <is>
          <t>Qorvex</t>
        </is>
      </c>
      <c r="C48" t="inlineStr">
        <is>
          <t>Qorvex</t>
        </is>
      </c>
      <c r="D48" t="inlineStr">
        <is>
          <t>Warframe</t>
        </is>
      </c>
      <c r="E48" t="inlineStr">
        <is>
          <t>Base (no Prime)</t>
        </is>
      </c>
      <c r="G48" t="n">
        <v>1</v>
      </c>
      <c r="H48" t="inlineStr">
        <is>
          <t>Farm / quest / vendor (account-bound)</t>
        </is>
      </c>
      <c r="I48" t="inlineStr">
        <is>
          <t>No</t>
        </is>
      </c>
      <c r="K48" t="inlineStr">
        <is>
          <t>Core</t>
        </is>
      </c>
      <c r="P48" t="inlineStr">
        <is>
          <t>FARMABLE / ACCOUNT-BOUND</t>
        </is>
      </c>
      <c r="Q48" t="inlineStr">
        <is>
          <t>Helminth: Chyrinka Pillar</t>
        </is>
      </c>
      <c r="R48" t="inlineStr">
        <is>
          <t>No Prime exists in live data</t>
        </is>
      </c>
      <c r="AS48" t="inlineStr">
        <is>
          <t>No</t>
        </is>
      </c>
    </row>
    <row r="49">
      <c r="A49" t="inlineStr">
        <is>
          <t>Warframe</t>
        </is>
      </c>
      <c r="B49" t="inlineStr">
        <is>
          <t>Revenant Prime</t>
        </is>
      </c>
      <c r="C49" t="inlineStr">
        <is>
          <t>Revenant Prime</t>
        </is>
      </c>
      <c r="D49" t="inlineStr">
        <is>
          <t>Warframe</t>
        </is>
      </c>
      <c r="E49" t="inlineStr">
        <is>
          <t>Prime</t>
        </is>
      </c>
      <c r="G49" t="n">
        <v>1</v>
      </c>
      <c r="H49" t="inlineStr">
        <is>
          <t>Player trade (set)</t>
        </is>
      </c>
      <c r="I49" t="inlineStr">
        <is>
          <t>Yes</t>
        </is>
      </c>
      <c r="K49" t="inlineStr">
        <is>
          <t>Core</t>
        </is>
      </c>
      <c r="L49" t="n">
        <v>50</v>
      </c>
      <c r="M49" t="n">
        <v>54</v>
      </c>
      <c r="N49" t="n">
        <v>61</v>
      </c>
      <c r="O49" t="inlineStr">
        <is>
          <t>2026-10-05 UTC (WFM pull 02:52-04:00)</t>
        </is>
      </c>
      <c r="P49" t="inlineStr">
        <is>
          <t>OK</t>
        </is>
      </c>
      <c r="Q49" t="inlineStr">
        <is>
          <t>Helminth: Reave</t>
        </is>
      </c>
      <c r="R49" t="inlineStr">
        <is>
          <t>Best permanent version (Prime replaces Normal)</t>
        </is>
      </c>
      <c r="S49" t="inlineStr">
        <is>
          <t>revenant_prime_set</t>
        </is>
      </c>
      <c r="T49" t="n">
        <v>91</v>
      </c>
      <c r="U49" t="n">
        <v>91</v>
      </c>
      <c r="V49" t="n">
        <v>55</v>
      </c>
      <c r="W49" t="n">
        <v>59</v>
      </c>
      <c r="X49" t="n">
        <v>57.6</v>
      </c>
      <c r="Y49" t="n">
        <v>14326</v>
      </c>
      <c r="Z49" t="n">
        <v>333</v>
      </c>
      <c r="AA49" t="n">
        <v>46</v>
      </c>
      <c r="AB49" t="n">
        <v>4</v>
      </c>
      <c r="AS49" t="inlineStr">
        <is>
          <t>Yes</t>
        </is>
      </c>
    </row>
    <row r="50">
      <c r="A50" t="inlineStr">
        <is>
          <t>Warframe</t>
        </is>
      </c>
      <c r="B50" t="inlineStr">
        <is>
          <t>Rhino Prime</t>
        </is>
      </c>
      <c r="C50" t="inlineStr">
        <is>
          <t>Rhino Prime</t>
        </is>
      </c>
      <c r="D50" t="inlineStr">
        <is>
          <t>Warframe</t>
        </is>
      </c>
      <c r="E50" t="inlineStr">
        <is>
          <t>Prime</t>
        </is>
      </c>
      <c r="G50" t="n">
        <v>1</v>
      </c>
      <c r="H50" t="inlineStr">
        <is>
          <t>Player trade (set)</t>
        </is>
      </c>
      <c r="I50" t="inlineStr">
        <is>
          <t>Yes</t>
        </is>
      </c>
      <c r="K50" t="inlineStr">
        <is>
          <t>Core</t>
        </is>
      </c>
      <c r="L50" t="n">
        <v>55</v>
      </c>
      <c r="M50" t="n">
        <v>58</v>
      </c>
      <c r="N50" t="n">
        <v>66</v>
      </c>
      <c r="O50" t="inlineStr">
        <is>
          <t>2026-10-05 UTC (WFM pull 02:52-04:00)</t>
        </is>
      </c>
      <c r="P50" t="inlineStr">
        <is>
          <t>OK</t>
        </is>
      </c>
      <c r="Q50" t="inlineStr">
        <is>
          <t>Helminth: Roar</t>
        </is>
      </c>
      <c r="R50" t="inlineStr">
        <is>
          <t>Best permanent version (Prime replaces Normal)</t>
        </is>
      </c>
      <c r="S50" t="inlineStr">
        <is>
          <t>rhino_prime_set</t>
        </is>
      </c>
      <c r="T50" t="n">
        <v>69</v>
      </c>
      <c r="U50" t="n">
        <v>69</v>
      </c>
      <c r="V50" t="n">
        <v>60</v>
      </c>
      <c r="W50" t="n">
        <v>60</v>
      </c>
      <c r="X50" t="n">
        <v>59.1</v>
      </c>
      <c r="Y50" t="n">
        <v>5912</v>
      </c>
      <c r="Z50" t="n">
        <v>107</v>
      </c>
      <c r="AA50" t="n">
        <v>50</v>
      </c>
      <c r="AB50" t="n">
        <v>5</v>
      </c>
      <c r="AS50" t="inlineStr">
        <is>
          <t>Yes</t>
        </is>
      </c>
    </row>
    <row r="51">
      <c r="A51" t="inlineStr">
        <is>
          <t>Warframe</t>
        </is>
      </c>
      <c r="B51" t="inlineStr">
        <is>
          <t>Saryn Prime</t>
        </is>
      </c>
      <c r="C51" t="inlineStr">
        <is>
          <t>Saryn Prime</t>
        </is>
      </c>
      <c r="D51" t="inlineStr">
        <is>
          <t>Warframe</t>
        </is>
      </c>
      <c r="E51" t="inlineStr">
        <is>
          <t>Prime</t>
        </is>
      </c>
      <c r="G51" t="n">
        <v>1</v>
      </c>
      <c r="H51" t="inlineStr">
        <is>
          <t>Player trade (set)</t>
        </is>
      </c>
      <c r="I51" t="inlineStr">
        <is>
          <t>Yes</t>
        </is>
      </c>
      <c r="K51" t="inlineStr">
        <is>
          <t>Core</t>
        </is>
      </c>
      <c r="L51" t="n">
        <v>77</v>
      </c>
      <c r="M51" t="n">
        <v>77</v>
      </c>
      <c r="N51" t="n">
        <v>87</v>
      </c>
      <c r="O51" t="inlineStr">
        <is>
          <t>2026-10-05 UTC (WFM pull 02:52-04:00)</t>
        </is>
      </c>
      <c r="P51" t="inlineStr">
        <is>
          <t>OK</t>
        </is>
      </c>
      <c r="Q51" t="inlineStr">
        <is>
          <t>Helminth: Molt</t>
        </is>
      </c>
      <c r="R51" t="inlineStr">
        <is>
          <t>Best permanent version (Prime replaces Normal)</t>
        </is>
      </c>
      <c r="S51" t="inlineStr">
        <is>
          <t>saryn_prime_set</t>
        </is>
      </c>
      <c r="T51" t="n">
        <v>83</v>
      </c>
      <c r="U51" t="n">
        <v>83</v>
      </c>
      <c r="V51" t="n">
        <v>79</v>
      </c>
      <c r="W51" t="n">
        <v>79</v>
      </c>
      <c r="X51" t="n">
        <v>78.40000000000001</v>
      </c>
      <c r="Y51" t="n">
        <v>8084</v>
      </c>
      <c r="Z51" t="n">
        <v>271</v>
      </c>
      <c r="AA51" t="n">
        <v>70</v>
      </c>
      <c r="AB51" t="n">
        <v>7</v>
      </c>
      <c r="AS51" t="inlineStr">
        <is>
          <t>Yes</t>
        </is>
      </c>
    </row>
    <row r="52">
      <c r="A52" t="inlineStr">
        <is>
          <t>Warframe</t>
        </is>
      </c>
      <c r="B52" t="inlineStr">
        <is>
          <t>Sevagoth Prime</t>
        </is>
      </c>
      <c r="C52" t="inlineStr">
        <is>
          <t>Sevagoth Prime</t>
        </is>
      </c>
      <c r="D52" t="inlineStr">
        <is>
          <t>Warframe</t>
        </is>
      </c>
      <c r="E52" t="inlineStr">
        <is>
          <t>Prime</t>
        </is>
      </c>
      <c r="G52" t="n">
        <v>1</v>
      </c>
      <c r="H52" t="inlineStr">
        <is>
          <t>Player trade (set)</t>
        </is>
      </c>
      <c r="I52" t="inlineStr">
        <is>
          <t>Yes</t>
        </is>
      </c>
      <c r="K52" t="inlineStr">
        <is>
          <t>Core</t>
        </is>
      </c>
      <c r="L52" t="n">
        <v>37</v>
      </c>
      <c r="M52" t="n">
        <v>38</v>
      </c>
      <c r="N52" t="n">
        <v>43</v>
      </c>
      <c r="O52" t="inlineStr">
        <is>
          <t>2026-10-05 UTC (WFM pull 02:52-04:00)</t>
        </is>
      </c>
      <c r="P52" t="inlineStr">
        <is>
          <t>OK</t>
        </is>
      </c>
      <c r="Q52" t="inlineStr">
        <is>
          <t>Helminth: Gloom</t>
        </is>
      </c>
      <c r="R52" t="inlineStr">
        <is>
          <t>Best permanent version (Prime replaces Normal)</t>
        </is>
      </c>
      <c r="S52" t="inlineStr">
        <is>
          <t>sevagoth_prime_set</t>
        </is>
      </c>
      <c r="T52" t="n">
        <v>81</v>
      </c>
      <c r="U52" t="n">
        <v>81</v>
      </c>
      <c r="V52" t="n">
        <v>39</v>
      </c>
      <c r="W52" t="n">
        <v>35</v>
      </c>
      <c r="X52" t="n">
        <v>35.8</v>
      </c>
      <c r="Y52" t="n">
        <v>13225</v>
      </c>
      <c r="Z52" t="n">
        <v>361</v>
      </c>
      <c r="AA52" t="n">
        <v>30</v>
      </c>
      <c r="AB52" t="n">
        <v>7</v>
      </c>
      <c r="AS52" t="inlineStr">
        <is>
          <t>Yes</t>
        </is>
      </c>
    </row>
    <row r="53">
      <c r="A53" t="inlineStr">
        <is>
          <t>Warframe</t>
        </is>
      </c>
      <c r="B53" t="inlineStr">
        <is>
          <t>Sirius &amp; Orion</t>
        </is>
      </c>
      <c r="C53" t="inlineStr">
        <is>
          <t>Sirius &amp; Orion</t>
        </is>
      </c>
      <c r="D53" t="inlineStr">
        <is>
          <t>Warframe</t>
        </is>
      </c>
      <c r="E53" t="inlineStr">
        <is>
          <t>Base (no Prime)</t>
        </is>
      </c>
      <c r="G53" t="n">
        <v>1</v>
      </c>
      <c r="H53" t="inlineStr">
        <is>
          <t>Farm / quest / vendor (account-bound)</t>
        </is>
      </c>
      <c r="I53" t="inlineStr">
        <is>
          <t>No</t>
        </is>
      </c>
      <c r="K53" t="inlineStr">
        <is>
          <t>Core</t>
        </is>
      </c>
      <c r="P53" t="inlineStr">
        <is>
          <t>FARMABLE / ACCOUNT-BOUND</t>
        </is>
      </c>
      <c r="Q53" t="inlineStr">
        <is>
          <t>Helminth: None</t>
        </is>
      </c>
      <c r="R53" t="inlineStr">
        <is>
          <t>No Prime exists in live data</t>
        </is>
      </c>
      <c r="AS53" t="inlineStr">
        <is>
          <t>No</t>
        </is>
      </c>
    </row>
    <row r="54">
      <c r="A54" t="inlineStr">
        <is>
          <t>Warframe</t>
        </is>
      </c>
      <c r="B54" t="inlineStr">
        <is>
          <t>Styanax Prime</t>
        </is>
      </c>
      <c r="C54" t="inlineStr">
        <is>
          <t>Styanax Prime</t>
        </is>
      </c>
      <c r="D54" t="inlineStr">
        <is>
          <t>Warframe</t>
        </is>
      </c>
      <c r="E54" t="inlineStr">
        <is>
          <t>Prime</t>
        </is>
      </c>
      <c r="G54" t="n">
        <v>1</v>
      </c>
      <c r="H54" t="inlineStr">
        <is>
          <t>Player trade (set)</t>
        </is>
      </c>
      <c r="I54" t="inlineStr">
        <is>
          <t>Yes</t>
        </is>
      </c>
      <c r="K54" t="inlineStr">
        <is>
          <t>Core</t>
        </is>
      </c>
      <c r="L54" t="n">
        <v>34</v>
      </c>
      <c r="M54" t="n">
        <v>37</v>
      </c>
      <c r="N54" t="n">
        <v>44</v>
      </c>
      <c r="O54" t="inlineStr">
        <is>
          <t>2026-10-05 UTC (WFM pull 02:52-04:00)</t>
        </is>
      </c>
      <c r="P54" t="inlineStr">
        <is>
          <t>OK</t>
        </is>
      </c>
      <c r="Q54" t="inlineStr">
        <is>
          <t>Helminth: Tharros Strike</t>
        </is>
      </c>
      <c r="R54" t="inlineStr">
        <is>
          <t>Best permanent version (Prime replaces Normal)</t>
        </is>
      </c>
      <c r="S54" t="inlineStr">
        <is>
          <t>styanax_prime_set</t>
        </is>
      </c>
      <c r="T54" t="n">
        <v>48</v>
      </c>
      <c r="U54" t="n">
        <v>48</v>
      </c>
      <c r="V54" t="n">
        <v>40</v>
      </c>
      <c r="W54" t="n">
        <v>45</v>
      </c>
      <c r="X54" t="n">
        <v>48.8</v>
      </c>
      <c r="Y54" t="n">
        <v>31921</v>
      </c>
      <c r="Z54" t="n">
        <v>706</v>
      </c>
      <c r="AA54" t="n">
        <v>29</v>
      </c>
      <c r="AB54" t="n">
        <v>5</v>
      </c>
      <c r="AS54" t="inlineStr">
        <is>
          <t>Yes</t>
        </is>
      </c>
    </row>
    <row r="55">
      <c r="A55" t="inlineStr">
        <is>
          <t>Warframe</t>
        </is>
      </c>
      <c r="B55" t="inlineStr">
        <is>
          <t>Temple</t>
        </is>
      </c>
      <c r="C55" t="inlineStr">
        <is>
          <t>Temple</t>
        </is>
      </c>
      <c r="D55" t="inlineStr">
        <is>
          <t>Warframe</t>
        </is>
      </c>
      <c r="E55" t="inlineStr">
        <is>
          <t>Base (no Prime)</t>
        </is>
      </c>
      <c r="G55" t="n">
        <v>1</v>
      </c>
      <c r="H55" t="inlineStr">
        <is>
          <t>Farm / quest / vendor (account-bound)</t>
        </is>
      </c>
      <c r="I55" t="inlineStr">
        <is>
          <t>No</t>
        </is>
      </c>
      <c r="K55" t="inlineStr">
        <is>
          <t>Core</t>
        </is>
      </c>
      <c r="P55" t="inlineStr">
        <is>
          <t>FARMABLE / ACCOUNT-BOUND</t>
        </is>
      </c>
      <c r="Q55" t="inlineStr">
        <is>
          <t>Helminth: Pyrotechnics</t>
        </is>
      </c>
      <c r="R55" t="inlineStr">
        <is>
          <t>No Prime exists in live data</t>
        </is>
      </c>
      <c r="AS55" t="inlineStr">
        <is>
          <t>No</t>
        </is>
      </c>
    </row>
    <row r="56">
      <c r="A56" t="inlineStr">
        <is>
          <t>Warframe</t>
        </is>
      </c>
      <c r="B56" t="inlineStr">
        <is>
          <t>Titania Prime</t>
        </is>
      </c>
      <c r="C56" t="inlineStr">
        <is>
          <t>Titania Prime</t>
        </is>
      </c>
      <c r="D56" t="inlineStr">
        <is>
          <t>Warframe</t>
        </is>
      </c>
      <c r="E56" t="inlineStr">
        <is>
          <t>Prime</t>
        </is>
      </c>
      <c r="G56" t="n">
        <v>1</v>
      </c>
      <c r="H56" t="inlineStr">
        <is>
          <t>Player trade (set)</t>
        </is>
      </c>
      <c r="I56" t="inlineStr">
        <is>
          <t>Yes</t>
        </is>
      </c>
      <c r="K56" t="inlineStr">
        <is>
          <t>Core</t>
        </is>
      </c>
      <c r="L56" t="n">
        <v>68</v>
      </c>
      <c r="M56" t="n">
        <v>70</v>
      </c>
      <c r="N56" t="n">
        <v>77</v>
      </c>
      <c r="O56" t="inlineStr">
        <is>
          <t>2026-10-05 UTC (WFM pull 02:52-04:00)</t>
        </is>
      </c>
      <c r="P56" t="inlineStr">
        <is>
          <t>OK</t>
        </is>
      </c>
      <c r="Q56" t="inlineStr">
        <is>
          <t>Helminth: Spellbind</t>
        </is>
      </c>
      <c r="R56" t="inlineStr">
        <is>
          <t>Best permanent version (Prime replaces Normal)</t>
        </is>
      </c>
      <c r="S56" t="inlineStr">
        <is>
          <t>titania_prime_set</t>
        </is>
      </c>
      <c r="T56" t="n">
        <v>75</v>
      </c>
      <c r="U56" t="n">
        <v>75</v>
      </c>
      <c r="V56" t="n">
        <v>70</v>
      </c>
      <c r="W56" t="n">
        <v>65</v>
      </c>
      <c r="X56" t="n">
        <v>66.8</v>
      </c>
      <c r="Y56" t="n">
        <v>15980</v>
      </c>
      <c r="Z56" t="n">
        <v>304</v>
      </c>
      <c r="AA56" t="n">
        <v>60</v>
      </c>
      <c r="AB56" t="n">
        <v>8</v>
      </c>
      <c r="AS56" t="inlineStr">
        <is>
          <t>Yes</t>
        </is>
      </c>
    </row>
    <row r="57">
      <c r="A57" t="inlineStr">
        <is>
          <t>Warframe</t>
        </is>
      </c>
      <c r="B57" t="inlineStr">
        <is>
          <t>Trinity Prime</t>
        </is>
      </c>
      <c r="C57" t="inlineStr">
        <is>
          <t>Trinity Prime</t>
        </is>
      </c>
      <c r="D57" t="inlineStr">
        <is>
          <t>Warframe</t>
        </is>
      </c>
      <c r="E57" t="inlineStr">
        <is>
          <t>Prime</t>
        </is>
      </c>
      <c r="G57" t="n">
        <v>1</v>
      </c>
      <c r="H57" t="inlineStr">
        <is>
          <t>Player trade (set)</t>
        </is>
      </c>
      <c r="I57" t="inlineStr">
        <is>
          <t>Yes</t>
        </is>
      </c>
      <c r="K57" t="inlineStr">
        <is>
          <t>Core</t>
        </is>
      </c>
      <c r="L57" t="n">
        <v>53</v>
      </c>
      <c r="M57" t="n">
        <v>55</v>
      </c>
      <c r="N57" t="n">
        <v>64</v>
      </c>
      <c r="O57" t="inlineStr">
        <is>
          <t>2026-10-05 UTC (WFM pull 02:52-04:00)</t>
        </is>
      </c>
      <c r="P57" t="inlineStr">
        <is>
          <t>OK</t>
        </is>
      </c>
      <c r="Q57" t="inlineStr">
        <is>
          <t>Helminth: Well of Life</t>
        </is>
      </c>
      <c r="R57" t="inlineStr">
        <is>
          <t>Best permanent version (Prime replaces Normal)</t>
        </is>
      </c>
      <c r="S57" t="inlineStr">
        <is>
          <t>trinity_prime_set</t>
        </is>
      </c>
      <c r="T57" t="n">
        <v>49</v>
      </c>
      <c r="U57" t="n">
        <v>49</v>
      </c>
      <c r="V57" t="n">
        <v>55</v>
      </c>
      <c r="W57" t="n">
        <v>54</v>
      </c>
      <c r="X57" t="n">
        <v>52.7</v>
      </c>
      <c r="Y57" t="n">
        <v>4515</v>
      </c>
      <c r="Z57" t="n">
        <v>128</v>
      </c>
      <c r="AA57" t="n">
        <v>46</v>
      </c>
      <c r="AB57" t="n">
        <v>7</v>
      </c>
      <c r="AS57" t="inlineStr">
        <is>
          <t>Yes</t>
        </is>
      </c>
    </row>
    <row r="58">
      <c r="A58" t="inlineStr">
        <is>
          <t>Warframe</t>
        </is>
      </c>
      <c r="B58" t="inlineStr">
        <is>
          <t>Uriel</t>
        </is>
      </c>
      <c r="C58" t="inlineStr">
        <is>
          <t>Uriel</t>
        </is>
      </c>
      <c r="D58" t="inlineStr">
        <is>
          <t>Warframe</t>
        </is>
      </c>
      <c r="E58" t="inlineStr">
        <is>
          <t>Base (no Prime)</t>
        </is>
      </c>
      <c r="G58" t="n">
        <v>1</v>
      </c>
      <c r="H58" t="inlineStr">
        <is>
          <t>Farm / quest / vendor (account-bound)</t>
        </is>
      </c>
      <c r="I58" t="inlineStr">
        <is>
          <t>No</t>
        </is>
      </c>
      <c r="K58" t="inlineStr">
        <is>
          <t>Core</t>
        </is>
      </c>
      <c r="P58" t="inlineStr">
        <is>
          <t>FARMABLE / ACCOUNT-BOUND</t>
        </is>
      </c>
      <c r="Q58" t="inlineStr">
        <is>
          <t>Helminth: Remedium</t>
        </is>
      </c>
      <c r="R58" t="inlineStr">
        <is>
          <t>No Prime exists in live data</t>
        </is>
      </c>
      <c r="AS58" t="inlineStr">
        <is>
          <t>No</t>
        </is>
      </c>
    </row>
    <row r="59">
      <c r="A59" t="inlineStr">
        <is>
          <t>Warframe</t>
        </is>
      </c>
      <c r="B59" t="inlineStr">
        <is>
          <t>Valkyr Prime</t>
        </is>
      </c>
      <c r="C59" t="inlineStr">
        <is>
          <t>Valkyr Prime</t>
        </is>
      </c>
      <c r="D59" t="inlineStr">
        <is>
          <t>Warframe</t>
        </is>
      </c>
      <c r="E59" t="inlineStr">
        <is>
          <t>Prime</t>
        </is>
      </c>
      <c r="G59" t="n">
        <v>1</v>
      </c>
      <c r="H59" t="inlineStr">
        <is>
          <t>Player trade (set)</t>
        </is>
      </c>
      <c r="I59" t="inlineStr">
        <is>
          <t>Yes</t>
        </is>
      </c>
      <c r="K59" t="inlineStr">
        <is>
          <t>Core</t>
        </is>
      </c>
      <c r="L59" t="n">
        <v>69</v>
      </c>
      <c r="M59" t="n">
        <v>70</v>
      </c>
      <c r="N59" t="n">
        <v>77</v>
      </c>
      <c r="O59" t="inlineStr">
        <is>
          <t>2026-10-05 UTC (WFM pull 02:52-04:00)</t>
        </is>
      </c>
      <c r="P59" t="inlineStr">
        <is>
          <t>OK</t>
        </is>
      </c>
      <c r="Q59" t="inlineStr">
        <is>
          <t>Helminth: Warcry</t>
        </is>
      </c>
      <c r="R59" t="inlineStr">
        <is>
          <t>Best permanent version (Prime replaces Normal)</t>
        </is>
      </c>
      <c r="S59" t="inlineStr">
        <is>
          <t>valkyr_prime_set</t>
        </is>
      </c>
      <c r="T59" t="n">
        <v>88</v>
      </c>
      <c r="U59" t="n">
        <v>88</v>
      </c>
      <c r="V59" t="n">
        <v>70</v>
      </c>
      <c r="W59" t="n">
        <v>70</v>
      </c>
      <c r="X59" t="n">
        <v>70.90000000000001</v>
      </c>
      <c r="Y59" t="n">
        <v>8840</v>
      </c>
      <c r="Z59" t="n">
        <v>174</v>
      </c>
      <c r="AA59" t="n">
        <v>60</v>
      </c>
      <c r="AB59" t="n">
        <v>9</v>
      </c>
      <c r="AS59" t="inlineStr">
        <is>
          <t>Yes</t>
        </is>
      </c>
    </row>
    <row r="60">
      <c r="A60" t="inlineStr">
        <is>
          <t>Warframe</t>
        </is>
      </c>
      <c r="B60" t="inlineStr">
        <is>
          <t>Vauban Prime</t>
        </is>
      </c>
      <c r="C60" t="inlineStr">
        <is>
          <t>Vauban Prime</t>
        </is>
      </c>
      <c r="D60" t="inlineStr">
        <is>
          <t>Warframe</t>
        </is>
      </c>
      <c r="E60" t="inlineStr">
        <is>
          <t>Prime</t>
        </is>
      </c>
      <c r="G60" t="n">
        <v>1</v>
      </c>
      <c r="H60" t="inlineStr">
        <is>
          <t>Player trade (set)</t>
        </is>
      </c>
      <c r="I60" t="inlineStr">
        <is>
          <t>Yes</t>
        </is>
      </c>
      <c r="K60" t="inlineStr">
        <is>
          <t>Core</t>
        </is>
      </c>
      <c r="L60" t="n">
        <v>115</v>
      </c>
      <c r="M60" t="n">
        <v>115</v>
      </c>
      <c r="N60" t="n">
        <v>131</v>
      </c>
      <c r="O60" t="inlineStr">
        <is>
          <t>2026-10-05 UTC (WFM pull 02:52-04:00)</t>
        </is>
      </c>
      <c r="P60" t="inlineStr">
        <is>
          <t>OK</t>
        </is>
      </c>
      <c r="Q60" t="inlineStr">
        <is>
          <t>Helminth: Tesla Nervos</t>
        </is>
      </c>
      <c r="R60" t="inlineStr">
        <is>
          <t>Best permanent version (Prime replaces Normal)</t>
        </is>
      </c>
      <c r="S60" t="inlineStr">
        <is>
          <t>vauban_prime_set</t>
        </is>
      </c>
      <c r="T60" t="n">
        <v>40</v>
      </c>
      <c r="U60" t="n">
        <v>40</v>
      </c>
      <c r="V60" t="n">
        <v>118</v>
      </c>
      <c r="W60" t="n">
        <v>117</v>
      </c>
      <c r="X60" t="n">
        <v>116.3</v>
      </c>
      <c r="Y60" t="n">
        <v>7167</v>
      </c>
      <c r="Z60" t="n">
        <v>125</v>
      </c>
      <c r="AA60" t="n">
        <v>96</v>
      </c>
      <c r="AB60" t="n">
        <v>19</v>
      </c>
      <c r="AS60" t="inlineStr">
        <is>
          <t>Yes</t>
        </is>
      </c>
    </row>
    <row r="61">
      <c r="A61" t="inlineStr">
        <is>
          <t>Warframe</t>
        </is>
      </c>
      <c r="B61" t="inlineStr">
        <is>
          <t>Volt Prime</t>
        </is>
      </c>
      <c r="C61" t="inlineStr">
        <is>
          <t>Volt Prime</t>
        </is>
      </c>
      <c r="D61" t="inlineStr">
        <is>
          <t>Warframe</t>
        </is>
      </c>
      <c r="E61" t="inlineStr">
        <is>
          <t>Prime</t>
        </is>
      </c>
      <c r="G61" t="n">
        <v>1</v>
      </c>
      <c r="H61" t="inlineStr">
        <is>
          <t>Player trade (set)</t>
        </is>
      </c>
      <c r="I61" t="inlineStr">
        <is>
          <t>Yes</t>
        </is>
      </c>
      <c r="K61" t="inlineStr">
        <is>
          <t>Core</t>
        </is>
      </c>
      <c r="L61" t="n">
        <v>60</v>
      </c>
      <c r="M61" t="n">
        <v>65</v>
      </c>
      <c r="N61" t="n">
        <v>77</v>
      </c>
      <c r="O61" t="inlineStr">
        <is>
          <t>2026-10-05 UTC (WFM pull 02:52-04:00)</t>
        </is>
      </c>
      <c r="P61" t="inlineStr">
        <is>
          <t>OK</t>
        </is>
      </c>
      <c r="Q61" t="inlineStr">
        <is>
          <t>Helminth: Shock</t>
        </is>
      </c>
      <c r="R61" t="inlineStr">
        <is>
          <t>Best permanent version (Prime replaces Normal)</t>
        </is>
      </c>
      <c r="S61" t="inlineStr">
        <is>
          <t>volt_prime_set</t>
        </is>
      </c>
      <c r="T61" t="n">
        <v>92</v>
      </c>
      <c r="U61" t="n">
        <v>92</v>
      </c>
      <c r="V61" t="n">
        <v>70</v>
      </c>
      <c r="W61" t="n">
        <v>68.5</v>
      </c>
      <c r="X61" t="n">
        <v>67.8</v>
      </c>
      <c r="Y61" t="n">
        <v>14452</v>
      </c>
      <c r="Z61" t="n">
        <v>222</v>
      </c>
      <c r="AA61" t="n">
        <v>57</v>
      </c>
      <c r="AB61" t="n">
        <v>3</v>
      </c>
      <c r="AS61" t="inlineStr">
        <is>
          <t>Yes</t>
        </is>
      </c>
    </row>
    <row r="62">
      <c r="A62" t="inlineStr">
        <is>
          <t>Warframe</t>
        </is>
      </c>
      <c r="B62" t="inlineStr">
        <is>
          <t>Voruna Prime</t>
        </is>
      </c>
      <c r="C62" t="inlineStr">
        <is>
          <t>Voruna Prime</t>
        </is>
      </c>
      <c r="D62" t="inlineStr">
        <is>
          <t>Warframe</t>
        </is>
      </c>
      <c r="E62" t="inlineStr">
        <is>
          <t>Prime</t>
        </is>
      </c>
      <c r="G62" t="n">
        <v>1</v>
      </c>
      <c r="H62" t="inlineStr">
        <is>
          <t>Player trade (set)</t>
        </is>
      </c>
      <c r="I62" t="inlineStr">
        <is>
          <t>Yes</t>
        </is>
      </c>
      <c r="K62" t="inlineStr">
        <is>
          <t>Core</t>
        </is>
      </c>
      <c r="L62" t="n">
        <v>38</v>
      </c>
      <c r="M62" t="n">
        <v>39</v>
      </c>
      <c r="N62" t="n">
        <v>44</v>
      </c>
      <c r="O62" t="inlineStr">
        <is>
          <t>2026-10-05 UTC (WFM pull 02:52-04:00)</t>
        </is>
      </c>
      <c r="P62" t="inlineStr">
        <is>
          <t>OK</t>
        </is>
      </c>
      <c r="Q62" t="inlineStr">
        <is>
          <t>Helminth: Lycath's Hunt</t>
        </is>
      </c>
      <c r="R62" t="inlineStr">
        <is>
          <t>Best permanent version (Prime replaces Normal)</t>
        </is>
      </c>
      <c r="S62" t="inlineStr">
        <is>
          <t>voruna_prime_set</t>
        </is>
      </c>
      <c r="T62" t="n">
        <v>74</v>
      </c>
      <c r="U62" t="n">
        <v>74</v>
      </c>
      <c r="V62" t="n">
        <v>40</v>
      </c>
      <c r="W62" t="n">
        <v>44</v>
      </c>
      <c r="X62" t="n">
        <v>43.4</v>
      </c>
      <c r="Y62" t="n">
        <v>25545</v>
      </c>
      <c r="Z62" t="n">
        <v>572</v>
      </c>
      <c r="AA62" t="n">
        <v>31</v>
      </c>
      <c r="AB62" t="n">
        <v>7</v>
      </c>
      <c r="AS62" t="inlineStr">
        <is>
          <t>Yes</t>
        </is>
      </c>
    </row>
    <row r="63">
      <c r="A63" t="inlineStr">
        <is>
          <t>Warframe</t>
        </is>
      </c>
      <c r="B63" t="inlineStr">
        <is>
          <t>Wisp Prime</t>
        </is>
      </c>
      <c r="C63" t="inlineStr">
        <is>
          <t>Wisp Prime</t>
        </is>
      </c>
      <c r="D63" t="inlineStr">
        <is>
          <t>Warframe</t>
        </is>
      </c>
      <c r="E63" t="inlineStr">
        <is>
          <t>Prime</t>
        </is>
      </c>
      <c r="G63" t="n">
        <v>1</v>
      </c>
      <c r="H63" t="inlineStr">
        <is>
          <t>Player trade (set)</t>
        </is>
      </c>
      <c r="I63" t="inlineStr">
        <is>
          <t>Yes</t>
        </is>
      </c>
      <c r="K63" t="inlineStr">
        <is>
          <t>Core</t>
        </is>
      </c>
      <c r="L63" t="n">
        <v>65</v>
      </c>
      <c r="M63" t="n">
        <v>69</v>
      </c>
      <c r="N63" t="n">
        <v>77</v>
      </c>
      <c r="O63" t="inlineStr">
        <is>
          <t>2026-10-05 UTC (WFM pull 02:52-04:00)</t>
        </is>
      </c>
      <c r="P63" t="inlineStr">
        <is>
          <t>OK</t>
        </is>
      </c>
      <c r="Q63" t="inlineStr">
        <is>
          <t>Helminth: Breach Surge</t>
        </is>
      </c>
      <c r="R63" t="inlineStr">
        <is>
          <t>Best permanent version (Prime replaces Normal)</t>
        </is>
      </c>
      <c r="S63" t="inlineStr">
        <is>
          <t>wisp_prime_set</t>
        </is>
      </c>
      <c r="T63" t="n">
        <v>89</v>
      </c>
      <c r="U63" t="n">
        <v>89</v>
      </c>
      <c r="V63" t="n">
        <v>70</v>
      </c>
      <c r="W63" t="n">
        <v>70</v>
      </c>
      <c r="X63" t="n">
        <v>70.3</v>
      </c>
      <c r="Y63" t="n">
        <v>17746</v>
      </c>
      <c r="Z63" t="n">
        <v>407</v>
      </c>
      <c r="AA63" t="n">
        <v>56</v>
      </c>
      <c r="AB63" t="n">
        <v>9</v>
      </c>
      <c r="AS63" t="inlineStr">
        <is>
          <t>Yes</t>
        </is>
      </c>
    </row>
    <row r="64">
      <c r="A64" t="inlineStr">
        <is>
          <t>Warframe</t>
        </is>
      </c>
      <c r="B64" t="inlineStr">
        <is>
          <t>Wukong Prime</t>
        </is>
      </c>
      <c r="C64" t="inlineStr">
        <is>
          <t>Wukong Prime</t>
        </is>
      </c>
      <c r="D64" t="inlineStr">
        <is>
          <t>Warframe</t>
        </is>
      </c>
      <c r="E64" t="inlineStr">
        <is>
          <t>Prime</t>
        </is>
      </c>
      <c r="G64" t="n">
        <v>1</v>
      </c>
      <c r="H64" t="inlineStr">
        <is>
          <t>Player trade (set)</t>
        </is>
      </c>
      <c r="I64" t="inlineStr">
        <is>
          <t>Yes</t>
        </is>
      </c>
      <c r="K64" t="inlineStr">
        <is>
          <t>Core</t>
        </is>
      </c>
      <c r="L64" t="n">
        <v>69</v>
      </c>
      <c r="M64" t="n">
        <v>78</v>
      </c>
      <c r="N64" t="n">
        <v>87</v>
      </c>
      <c r="O64" t="inlineStr">
        <is>
          <t>2026-10-05 UTC (WFM pull 02:52-04:00)</t>
        </is>
      </c>
      <c r="P64" t="inlineStr">
        <is>
          <t>OK</t>
        </is>
      </c>
      <c r="Q64" t="inlineStr">
        <is>
          <t>Helminth: Defy</t>
        </is>
      </c>
      <c r="R64" t="inlineStr">
        <is>
          <t>Best permanent version (Prime replaces Normal)</t>
        </is>
      </c>
      <c r="S64" t="inlineStr">
        <is>
          <t>wukong_prime_set</t>
        </is>
      </c>
      <c r="T64" t="n">
        <v>61</v>
      </c>
      <c r="U64" t="n">
        <v>61</v>
      </c>
      <c r="V64" t="n">
        <v>75</v>
      </c>
      <c r="W64" t="n">
        <v>73</v>
      </c>
      <c r="X64" t="n">
        <v>71.40000000000001</v>
      </c>
      <c r="Y64" t="n">
        <v>12854</v>
      </c>
      <c r="Z64" t="n">
        <v>231</v>
      </c>
      <c r="AA64" t="n">
        <v>70</v>
      </c>
      <c r="AB64" t="n">
        <v>-1</v>
      </c>
      <c r="AS64" t="inlineStr">
        <is>
          <t>Yes</t>
        </is>
      </c>
    </row>
    <row r="65">
      <c r="A65" t="inlineStr">
        <is>
          <t>Warframe</t>
        </is>
      </c>
      <c r="B65" t="inlineStr">
        <is>
          <t>Xaku Prime</t>
        </is>
      </c>
      <c r="C65" t="inlineStr">
        <is>
          <t>Xaku Prime</t>
        </is>
      </c>
      <c r="D65" t="inlineStr">
        <is>
          <t>Warframe</t>
        </is>
      </c>
      <c r="E65" t="inlineStr">
        <is>
          <t>Prime</t>
        </is>
      </c>
      <c r="G65" t="n">
        <v>1</v>
      </c>
      <c r="H65" t="inlineStr">
        <is>
          <t>Player trade (set)</t>
        </is>
      </c>
      <c r="I65" t="inlineStr">
        <is>
          <t>Yes</t>
        </is>
      </c>
      <c r="K65" t="inlineStr">
        <is>
          <t>Core</t>
        </is>
      </c>
      <c r="L65" t="n">
        <v>21</v>
      </c>
      <c r="M65" t="n">
        <v>24</v>
      </c>
      <c r="N65" t="n">
        <v>31</v>
      </c>
      <c r="O65" t="inlineStr">
        <is>
          <t>2026-10-05 UTC (WFM pull 02:52-04:00)</t>
        </is>
      </c>
      <c r="P65" t="inlineStr">
        <is>
          <t>OK</t>
        </is>
      </c>
      <c r="Q65" t="inlineStr">
        <is>
          <t>Helminth: Xata's Whisper</t>
        </is>
      </c>
      <c r="R65" t="inlineStr">
        <is>
          <t>Best permanent version (Prime replaces Normal)</t>
        </is>
      </c>
      <c r="S65" t="inlineStr">
        <is>
          <t>xaku_prime_set</t>
        </is>
      </c>
      <c r="T65" t="n">
        <v>93</v>
      </c>
      <c r="U65" t="n">
        <v>93</v>
      </c>
      <c r="V65" t="n">
        <v>25</v>
      </c>
      <c r="W65" t="n">
        <v>25</v>
      </c>
      <c r="X65" t="n">
        <v>24.9</v>
      </c>
      <c r="Y65" t="n">
        <v>24691</v>
      </c>
      <c r="Z65" t="n">
        <v>604</v>
      </c>
      <c r="AA65" t="n">
        <v>25</v>
      </c>
      <c r="AB65" t="n">
        <v>-4</v>
      </c>
      <c r="AS65" t="inlineStr">
        <is>
          <t>Yes</t>
        </is>
      </c>
    </row>
    <row r="66">
      <c r="A66" t="inlineStr">
        <is>
          <t>Warframe</t>
        </is>
      </c>
      <c r="B66" t="inlineStr">
        <is>
          <t>Yareli Prime</t>
        </is>
      </c>
      <c r="C66" t="inlineStr">
        <is>
          <t>Yareli Prime</t>
        </is>
      </c>
      <c r="D66" t="inlineStr">
        <is>
          <t>Warframe</t>
        </is>
      </c>
      <c r="E66" t="inlineStr">
        <is>
          <t>Prime</t>
        </is>
      </c>
      <c r="G66" t="n">
        <v>1</v>
      </c>
      <c r="H66" t="inlineStr">
        <is>
          <t>Player trade (set)</t>
        </is>
      </c>
      <c r="I66" t="inlineStr">
        <is>
          <t>Yes</t>
        </is>
      </c>
      <c r="K66" t="inlineStr">
        <is>
          <t>Core</t>
        </is>
      </c>
      <c r="L66" t="n">
        <v>23</v>
      </c>
      <c r="M66" t="n">
        <v>25</v>
      </c>
      <c r="N66" t="n">
        <v>28</v>
      </c>
      <c r="O66" t="inlineStr">
        <is>
          <t>2026-10-05 UTC (WFM pull 02:52-04:00)</t>
        </is>
      </c>
      <c r="P66" t="inlineStr">
        <is>
          <t>OK</t>
        </is>
      </c>
      <c r="Q66" t="inlineStr">
        <is>
          <t>Helminth: Aquablades</t>
        </is>
      </c>
      <c r="R66" t="inlineStr">
        <is>
          <t>Best permanent version (Prime replaces Normal)</t>
        </is>
      </c>
      <c r="S66" t="inlineStr">
        <is>
          <t>yareli_prime_set</t>
        </is>
      </c>
      <c r="T66" t="n">
        <v>85</v>
      </c>
      <c r="U66" t="n">
        <v>85</v>
      </c>
      <c r="V66" t="n">
        <v>25</v>
      </c>
      <c r="W66" t="n">
        <v>28</v>
      </c>
      <c r="X66" t="n">
        <v>27.5</v>
      </c>
      <c r="Y66" t="n">
        <v>17735</v>
      </c>
      <c r="Z66" t="n">
        <v>471</v>
      </c>
      <c r="AA66" t="n">
        <v>26</v>
      </c>
      <c r="AB66" t="n">
        <v>-3</v>
      </c>
      <c r="AS66" t="inlineStr">
        <is>
          <t>Yes</t>
        </is>
      </c>
    </row>
    <row r="67">
      <c r="A67" t="inlineStr">
        <is>
          <t>Warframe</t>
        </is>
      </c>
      <c r="B67" t="inlineStr">
        <is>
          <t>Zephyr Prime</t>
        </is>
      </c>
      <c r="C67" t="inlineStr">
        <is>
          <t>Zephyr Prime</t>
        </is>
      </c>
      <c r="D67" t="inlineStr">
        <is>
          <t>Warframe</t>
        </is>
      </c>
      <c r="E67" t="inlineStr">
        <is>
          <t>Prime</t>
        </is>
      </c>
      <c r="G67" t="n">
        <v>1</v>
      </c>
      <c r="H67" t="inlineStr">
        <is>
          <t>Player trade (set)</t>
        </is>
      </c>
      <c r="I67" t="inlineStr">
        <is>
          <t>Yes</t>
        </is>
      </c>
      <c r="K67" t="inlineStr">
        <is>
          <t>Core</t>
        </is>
      </c>
      <c r="L67" t="n">
        <v>75</v>
      </c>
      <c r="M67" t="n">
        <v>75</v>
      </c>
      <c r="N67" t="n">
        <v>87</v>
      </c>
      <c r="O67" t="inlineStr">
        <is>
          <t>2026-10-05 UTC (WFM pull 02:52-04:00)</t>
        </is>
      </c>
      <c r="P67" t="inlineStr">
        <is>
          <t>OK</t>
        </is>
      </c>
      <c r="Q67" t="inlineStr">
        <is>
          <t>Helminth: Airburst</t>
        </is>
      </c>
      <c r="R67" t="inlineStr">
        <is>
          <t>Best permanent version (Prime replaces Normal)</t>
        </is>
      </c>
      <c r="S67" t="inlineStr">
        <is>
          <t>zephyr_prime_set</t>
        </is>
      </c>
      <c r="T67" t="n">
        <v>44</v>
      </c>
      <c r="U67" t="n">
        <v>44</v>
      </c>
      <c r="V67" t="n">
        <v>76</v>
      </c>
      <c r="W67" t="n">
        <v>77</v>
      </c>
      <c r="X67" t="n">
        <v>76.8</v>
      </c>
      <c r="Y67" t="n">
        <v>5102</v>
      </c>
      <c r="Z67" t="n">
        <v>130</v>
      </c>
      <c r="AA67" t="n">
        <v>65</v>
      </c>
      <c r="AB67" t="n">
        <v>10</v>
      </c>
      <c r="AS67" t="inlineStr">
        <is>
          <t>Yes</t>
        </is>
      </c>
    </row>
    <row r="68">
      <c r="A68" t="inlineStr">
        <is>
          <t>Weapon</t>
        </is>
      </c>
      <c r="B68" t="inlineStr">
        <is>
          <t>Vectis Prime</t>
        </is>
      </c>
      <c r="C68" t="inlineStr">
        <is>
          <t>Ash Prime</t>
        </is>
      </c>
      <c r="D68" t="inlineStr">
        <is>
          <t>Primary</t>
        </is>
      </c>
      <c r="E68" t="inlineStr">
        <is>
          <t>Prime</t>
        </is>
      </c>
      <c r="G68" t="n">
        <v>1</v>
      </c>
      <c r="H68" t="inlineStr">
        <is>
          <t>Player trade</t>
        </is>
      </c>
      <c r="I68" t="inlineStr">
        <is>
          <t>Yes</t>
        </is>
      </c>
      <c r="K68" t="inlineStr">
        <is>
          <t>Core</t>
        </is>
      </c>
      <c r="L68" t="n">
        <v>134</v>
      </c>
      <c r="M68" t="n">
        <v>140</v>
      </c>
      <c r="N68" t="n">
        <v>154</v>
      </c>
      <c r="O68" t="inlineStr">
        <is>
          <t>2026-10-05 UTC (WFM pull 02:52-04:00)</t>
        </is>
      </c>
      <c r="P68" t="inlineStr">
        <is>
          <t>OK</t>
        </is>
      </c>
      <c r="R68" t="inlineStr">
        <is>
          <t>Unchanged from v3 allocation</t>
        </is>
      </c>
      <c r="S68" t="inlineStr">
        <is>
          <t>vectis_prime_set</t>
        </is>
      </c>
      <c r="T68" t="n">
        <v>25</v>
      </c>
      <c r="U68" t="n">
        <v>25</v>
      </c>
      <c r="V68" t="n">
        <v>140</v>
      </c>
      <c r="W68" t="n">
        <v>140</v>
      </c>
      <c r="X68" t="n">
        <v>139.5</v>
      </c>
      <c r="Y68" t="n">
        <v>2050</v>
      </c>
      <c r="Z68" t="n">
        <v>49</v>
      </c>
      <c r="AA68" t="n">
        <v>120</v>
      </c>
      <c r="AB68" t="n">
        <v>14</v>
      </c>
      <c r="AC68" t="inlineStr">
        <is>
          <t>Non-signature</t>
        </is>
      </c>
      <c r="AE68" t="inlineStr">
        <is>
          <t>Yes (Genesis)</t>
        </is>
      </c>
      <c r="AF68" t="inlineStr">
        <is>
          <t>Incarnon Genesis (farm: Steel Path Circuit)</t>
        </is>
      </c>
      <c r="AL68" t="inlineStr">
        <is>
          <t>Yes</t>
        </is>
      </c>
      <c r="AM68" t="n">
        <v>4</v>
      </c>
      <c r="AS68" t="inlineStr">
        <is>
          <t>Yes</t>
        </is>
      </c>
    </row>
    <row r="69">
      <c r="A69" t="inlineStr">
        <is>
          <t>Weapon</t>
        </is>
      </c>
      <c r="B69" t="inlineStr">
        <is>
          <t>Innodem</t>
        </is>
      </c>
      <c r="C69" t="inlineStr">
        <is>
          <t>Ash Prime</t>
        </is>
      </c>
      <c r="D69" t="inlineStr">
        <is>
          <t>Melee</t>
        </is>
      </c>
      <c r="E69" t="inlineStr">
        <is>
          <t>Standard</t>
        </is>
      </c>
      <c r="G69" t="n">
        <v>1</v>
      </c>
      <c r="H69" t="inlineStr">
        <is>
          <t>Player trade (blueprint; craft resources farmable)</t>
        </is>
      </c>
      <c r="I69" t="inlineStr">
        <is>
          <t>Yes</t>
        </is>
      </c>
      <c r="K69" t="inlineStr">
        <is>
          <t>Core</t>
        </is>
      </c>
      <c r="L69" t="n">
        <v>6</v>
      </c>
      <c r="M69" t="n">
        <v>7</v>
      </c>
      <c r="N69" t="n">
        <v>16</v>
      </c>
      <c r="O69" t="inlineStr">
        <is>
          <t>2026-10-05 UTC (WFM pull 02:52-04:00)</t>
        </is>
      </c>
      <c r="P69" t="inlineStr">
        <is>
          <t>OK</t>
        </is>
      </c>
      <c r="R69" t="inlineStr">
        <is>
          <t>Unchanged from v3 allocation</t>
        </is>
      </c>
      <c r="S69" t="inlineStr">
        <is>
          <t>innodem_blueprint</t>
        </is>
      </c>
      <c r="T69" t="n">
        <v>5</v>
      </c>
      <c r="U69" t="n">
        <v>5</v>
      </c>
      <c r="V69" t="n">
        <v>8</v>
      </c>
      <c r="W69" t="n">
        <v>7.5</v>
      </c>
      <c r="X69" t="n">
        <v>7.6</v>
      </c>
      <c r="Y69" t="n">
        <v>83</v>
      </c>
      <c r="Z69" t="n">
        <v>1</v>
      </c>
      <c r="AC69" t="inlineStr">
        <is>
          <t>Non-signature</t>
        </is>
      </c>
      <c r="AE69" t="inlineStr">
        <is>
          <t>Yes (innate)</t>
        </is>
      </c>
      <c r="AL69" t="inlineStr">
        <is>
          <t>Yes</t>
        </is>
      </c>
      <c r="AM69" t="n">
        <v>4</v>
      </c>
      <c r="AS69" t="inlineStr">
        <is>
          <t>Yes</t>
        </is>
      </c>
    </row>
    <row r="70">
      <c r="A70" t="inlineStr">
        <is>
          <t>Weapon</t>
        </is>
      </c>
      <c r="B70" t="inlineStr">
        <is>
          <t>Atomos</t>
        </is>
      </c>
      <c r="C70" t="inlineStr">
        <is>
          <t>Atlas Prime</t>
        </is>
      </c>
      <c r="D70" t="inlineStr">
        <is>
          <t>Secondary</t>
        </is>
      </c>
      <c r="E70" t="inlineStr">
        <is>
          <t>Standard</t>
        </is>
      </c>
      <c r="G70" t="n">
        <v>1</v>
      </c>
      <c r="H70" t="inlineStr">
        <is>
          <t>Farm / vendor / Dojo / quest</t>
        </is>
      </c>
      <c r="I70" t="inlineStr">
        <is>
          <t>No</t>
        </is>
      </c>
      <c r="K70" t="inlineStr">
        <is>
          <t>Core</t>
        </is>
      </c>
      <c r="P70" t="inlineStr">
        <is>
          <t>FARMABLE / ACCOUNT-BOUND</t>
        </is>
      </c>
      <c r="R70" t="inlineStr">
        <is>
          <t>Unchanged from v3 allocation</t>
        </is>
      </c>
      <c r="AC70" t="inlineStr">
        <is>
          <t>Non-signature</t>
        </is>
      </c>
      <c r="AE70" t="inlineStr">
        <is>
          <t>Yes (Genesis)</t>
        </is>
      </c>
      <c r="AF70" t="inlineStr">
        <is>
          <t>Incarnon Genesis (farm: Steel Path Circuit)</t>
        </is>
      </c>
      <c r="AL70" t="inlineStr">
        <is>
          <t>Yes</t>
        </is>
      </c>
      <c r="AM70" t="n">
        <v>4</v>
      </c>
      <c r="AS70" t="inlineStr">
        <is>
          <t>No</t>
        </is>
      </c>
    </row>
    <row r="71">
      <c r="A71" t="inlineStr">
        <is>
          <t>Weapon</t>
        </is>
      </c>
      <c r="B71" t="inlineStr">
        <is>
          <t>Tekko Prime</t>
        </is>
      </c>
      <c r="C71" t="inlineStr">
        <is>
          <t>Atlas Prime</t>
        </is>
      </c>
      <c r="D71" t="inlineStr">
        <is>
          <t>Melee</t>
        </is>
      </c>
      <c r="E71" t="inlineStr">
        <is>
          <t>Prime</t>
        </is>
      </c>
      <c r="G71" t="n">
        <v>1</v>
      </c>
      <c r="H71" t="inlineStr">
        <is>
          <t>Player trade</t>
        </is>
      </c>
      <c r="I71" t="inlineStr">
        <is>
          <t>Yes</t>
        </is>
      </c>
      <c r="K71" t="inlineStr">
        <is>
          <t>Core</t>
        </is>
      </c>
      <c r="L71" t="n">
        <v>70</v>
      </c>
      <c r="M71" t="n">
        <v>75</v>
      </c>
      <c r="N71" t="n">
        <v>86</v>
      </c>
      <c r="O71" t="inlineStr">
        <is>
          <t>2026-10-05 UTC (WFM pull 02:52-04:00)</t>
        </is>
      </c>
      <c r="P71" t="inlineStr">
        <is>
          <t>OK</t>
        </is>
      </c>
      <c r="R71" t="inlineStr">
        <is>
          <t>Unchanged from v3 allocation</t>
        </is>
      </c>
      <c r="S71" t="inlineStr">
        <is>
          <t>tekko_prime_set</t>
        </is>
      </c>
      <c r="T71" t="n">
        <v>24</v>
      </c>
      <c r="U71" t="n">
        <v>24</v>
      </c>
      <c r="V71" t="n">
        <v>75</v>
      </c>
      <c r="W71" t="n">
        <v>75</v>
      </c>
      <c r="X71" t="n">
        <v>74.2</v>
      </c>
      <c r="Y71" t="n">
        <v>1362</v>
      </c>
      <c r="Z71" t="n">
        <v>33</v>
      </c>
      <c r="AA71" t="n">
        <v>70</v>
      </c>
      <c r="AB71" t="n">
        <v>0</v>
      </c>
      <c r="AC71" t="inlineStr">
        <is>
          <t>Signature - Atlas Prime</t>
        </is>
      </c>
      <c r="AD71" t="inlineStr">
        <is>
          <t>+6% Status Chance</t>
        </is>
      </c>
      <c r="AE71" t="inlineStr">
        <is>
          <t>No</t>
        </is>
      </c>
      <c r="AL71" t="inlineStr">
        <is>
          <t>Yes</t>
        </is>
      </c>
      <c r="AM71" t="n">
        <v>3</v>
      </c>
      <c r="AS71" t="inlineStr">
        <is>
          <t>Yes</t>
        </is>
      </c>
    </row>
    <row r="72">
      <c r="A72" t="inlineStr">
        <is>
          <t>Weapon</t>
        </is>
      </c>
      <c r="B72" t="inlineStr">
        <is>
          <t>Latron Prime</t>
        </is>
      </c>
      <c r="C72" t="inlineStr">
        <is>
          <t>Banshee Prime</t>
        </is>
      </c>
      <c r="D72" t="inlineStr">
        <is>
          <t>Primary</t>
        </is>
      </c>
      <c r="E72" t="inlineStr">
        <is>
          <t>Prime</t>
        </is>
      </c>
      <c r="G72" t="n">
        <v>1</v>
      </c>
      <c r="H72" t="inlineStr">
        <is>
          <t>Player trade</t>
        </is>
      </c>
      <c r="I72" t="inlineStr">
        <is>
          <t>Yes</t>
        </is>
      </c>
      <c r="K72" t="inlineStr">
        <is>
          <t>Core</t>
        </is>
      </c>
      <c r="L72" t="n">
        <v>74</v>
      </c>
      <c r="M72" t="n">
        <v>75</v>
      </c>
      <c r="N72" t="n">
        <v>83</v>
      </c>
      <c r="O72" t="inlineStr">
        <is>
          <t>2026-10-05 UTC (WFM pull 02:52-04:00)</t>
        </is>
      </c>
      <c r="P72" t="inlineStr">
        <is>
          <t>OK</t>
        </is>
      </c>
      <c r="R72" t="inlineStr">
        <is>
          <t>Unchanged from v3 allocation</t>
        </is>
      </c>
      <c r="S72" t="inlineStr">
        <is>
          <t>latron_prime_set</t>
        </is>
      </c>
      <c r="T72" t="n">
        <v>42</v>
      </c>
      <c r="U72" t="n">
        <v>42</v>
      </c>
      <c r="V72" t="n">
        <v>75</v>
      </c>
      <c r="W72" t="n">
        <v>75</v>
      </c>
      <c r="X72" t="n">
        <v>74.59999999999999</v>
      </c>
      <c r="Y72" t="n">
        <v>4917</v>
      </c>
      <c r="Z72" t="n">
        <v>69</v>
      </c>
      <c r="AA72" t="n">
        <v>65</v>
      </c>
      <c r="AB72" t="n">
        <v>9</v>
      </c>
      <c r="AC72" t="inlineStr">
        <is>
          <t>Non-signature</t>
        </is>
      </c>
      <c r="AE72" t="inlineStr">
        <is>
          <t>Yes (Genesis)</t>
        </is>
      </c>
      <c r="AF72" t="inlineStr">
        <is>
          <t>Incarnon Genesis (farm: Steel Path Circuit)</t>
        </is>
      </c>
      <c r="AL72" t="inlineStr">
        <is>
          <t>Yes</t>
        </is>
      </c>
      <c r="AM72" t="n">
        <v>4</v>
      </c>
      <c r="AS72" t="inlineStr">
        <is>
          <t>Yes</t>
        </is>
      </c>
    </row>
    <row r="73">
      <c r="A73" t="inlineStr">
        <is>
          <t>Weapon</t>
        </is>
      </c>
      <c r="B73" t="inlineStr">
        <is>
          <t>Euphona Prime</t>
        </is>
      </c>
      <c r="C73" t="inlineStr">
        <is>
          <t>Banshee Prime</t>
        </is>
      </c>
      <c r="D73" t="inlineStr">
        <is>
          <t>Secondary</t>
        </is>
      </c>
      <c r="E73" t="inlineStr">
        <is>
          <t>Prime</t>
        </is>
      </c>
      <c r="G73" t="n">
        <v>1</v>
      </c>
      <c r="H73" t="inlineStr">
        <is>
          <t>Player trade</t>
        </is>
      </c>
      <c r="I73" t="inlineStr">
        <is>
          <t>Yes</t>
        </is>
      </c>
      <c r="K73" t="inlineStr">
        <is>
          <t>Core</t>
        </is>
      </c>
      <c r="L73" t="n">
        <v>30</v>
      </c>
      <c r="M73" t="n">
        <v>35</v>
      </c>
      <c r="N73" t="n">
        <v>39</v>
      </c>
      <c r="O73" t="inlineStr">
        <is>
          <t>2026-10-05 UTC (WFM pull 02:52-04:00)</t>
        </is>
      </c>
      <c r="P73" t="inlineStr">
        <is>
          <t>OK</t>
        </is>
      </c>
      <c r="R73" t="inlineStr">
        <is>
          <t>Unchanged from v3 allocation</t>
        </is>
      </c>
      <c r="S73" t="inlineStr">
        <is>
          <t>euphona_prime_set</t>
        </is>
      </c>
      <c r="T73" t="n">
        <v>53</v>
      </c>
      <c r="U73" t="n">
        <v>53</v>
      </c>
      <c r="V73" t="n">
        <v>35</v>
      </c>
      <c r="W73" t="n">
        <v>45</v>
      </c>
      <c r="X73" t="n">
        <v>44.6</v>
      </c>
      <c r="Y73" t="n">
        <v>2510</v>
      </c>
      <c r="Z73" t="n">
        <v>55</v>
      </c>
      <c r="AA73" t="n">
        <v>17</v>
      </c>
      <c r="AB73" t="n">
        <v>13</v>
      </c>
      <c r="AC73" t="inlineStr">
        <is>
          <t>Signature - Banshee Prime</t>
        </is>
      </c>
      <c r="AD73" t="inlineStr">
        <is>
          <t>Signature, bonus not implemented</t>
        </is>
      </c>
      <c r="AE73" t="inlineStr">
        <is>
          <t>No</t>
        </is>
      </c>
      <c r="AL73" t="inlineStr">
        <is>
          <t>Yes</t>
        </is>
      </c>
      <c r="AM73" t="n">
        <v>3</v>
      </c>
      <c r="AS73" t="inlineStr">
        <is>
          <t>Yes</t>
        </is>
      </c>
    </row>
    <row r="74">
      <c r="A74" t="inlineStr">
        <is>
          <t>Weapon</t>
        </is>
      </c>
      <c r="B74" t="inlineStr">
        <is>
          <t>Kogake Prime</t>
        </is>
      </c>
      <c r="C74" t="inlineStr">
        <is>
          <t>Banshee Prime</t>
        </is>
      </c>
      <c r="D74" t="inlineStr">
        <is>
          <t>Melee</t>
        </is>
      </c>
      <c r="E74" t="inlineStr">
        <is>
          <t>Prime</t>
        </is>
      </c>
      <c r="G74" t="n">
        <v>1</v>
      </c>
      <c r="H74" t="inlineStr">
        <is>
          <t>Player trade</t>
        </is>
      </c>
      <c r="I74" t="inlineStr">
        <is>
          <t>Yes</t>
        </is>
      </c>
      <c r="K74" t="inlineStr">
        <is>
          <t>Core</t>
        </is>
      </c>
      <c r="L74" t="n">
        <v>58</v>
      </c>
      <c r="M74" t="n">
        <v>59</v>
      </c>
      <c r="N74" t="n">
        <v>66</v>
      </c>
      <c r="O74" t="inlineStr">
        <is>
          <t>2026-10-05 UTC (WFM pull 02:52-04:00)</t>
        </is>
      </c>
      <c r="P74" t="inlineStr">
        <is>
          <t>OK</t>
        </is>
      </c>
      <c r="R74" t="inlineStr">
        <is>
          <t>Unchanged from v3 allocation</t>
        </is>
      </c>
      <c r="S74" t="inlineStr">
        <is>
          <t>kogake_prime_set</t>
        </is>
      </c>
      <c r="T74" t="n">
        <v>49</v>
      </c>
      <c r="U74" t="n">
        <v>49</v>
      </c>
      <c r="V74" t="n">
        <v>60</v>
      </c>
      <c r="W74" t="n">
        <v>74</v>
      </c>
      <c r="X74" t="n">
        <v>76.8</v>
      </c>
      <c r="Y74" t="n">
        <v>1955</v>
      </c>
      <c r="Z74" t="n">
        <v>59</v>
      </c>
      <c r="AA74" t="n">
        <v>45</v>
      </c>
      <c r="AB74" t="n">
        <v>13</v>
      </c>
      <c r="AC74" t="inlineStr">
        <is>
          <t>Non-signature</t>
        </is>
      </c>
      <c r="AE74" t="inlineStr">
        <is>
          <t>No</t>
        </is>
      </c>
      <c r="AL74" t="inlineStr">
        <is>
          <t>Yes</t>
        </is>
      </c>
      <c r="AM74" t="n">
        <v>3</v>
      </c>
      <c r="AS74" t="inlineStr">
        <is>
          <t>Yes</t>
        </is>
      </c>
    </row>
    <row r="75">
      <c r="A75" t="inlineStr">
        <is>
          <t>Weapon</t>
        </is>
      </c>
      <c r="B75" t="inlineStr">
        <is>
          <t>Paris Prime</t>
        </is>
      </c>
      <c r="C75" t="inlineStr">
        <is>
          <t>Baruuk Prime</t>
        </is>
      </c>
      <c r="D75" t="inlineStr">
        <is>
          <t>Primary</t>
        </is>
      </c>
      <c r="E75" t="inlineStr">
        <is>
          <t>Prime</t>
        </is>
      </c>
      <c r="G75" t="n">
        <v>1</v>
      </c>
      <c r="H75" t="inlineStr">
        <is>
          <t>Player trade</t>
        </is>
      </c>
      <c r="I75" t="inlineStr">
        <is>
          <t>Yes</t>
        </is>
      </c>
      <c r="K75" t="inlineStr">
        <is>
          <t>Core</t>
        </is>
      </c>
      <c r="L75" t="n">
        <v>8</v>
      </c>
      <c r="M75" t="n">
        <v>9</v>
      </c>
      <c r="N75" t="n">
        <v>10</v>
      </c>
      <c r="O75" t="inlineStr">
        <is>
          <t>2026-10-05 UTC (WFM pull 02:52-04:00)</t>
        </is>
      </c>
      <c r="P75" t="inlineStr">
        <is>
          <t>OK</t>
        </is>
      </c>
      <c r="Q75" t="inlineStr">
        <is>
          <t>v3: OPEN</t>
        </is>
      </c>
      <c r="R75" t="inlineStr">
        <is>
          <t>Afentis is Styanax signature. Paris Prime Incarnon: high-end bow, unallocated, Genesis farmable. Tier D/E.</t>
        </is>
      </c>
      <c r="S75" t="inlineStr">
        <is>
          <t>paris_prime_set</t>
        </is>
      </c>
      <c r="T75" t="n">
        <v>25</v>
      </c>
      <c r="U75" t="n">
        <v>25</v>
      </c>
      <c r="V75" t="n">
        <v>9</v>
      </c>
      <c r="W75" t="n">
        <v>9</v>
      </c>
      <c r="X75" t="n">
        <v>8.6</v>
      </c>
      <c r="Y75" t="n">
        <v>4571</v>
      </c>
      <c r="Z75" t="n">
        <v>169</v>
      </c>
      <c r="AA75" t="n">
        <v>7</v>
      </c>
      <c r="AB75" t="n">
        <v>1</v>
      </c>
      <c r="AC75" t="inlineStr">
        <is>
          <t>Non-signature</t>
        </is>
      </c>
      <c r="AE75" t="inlineStr">
        <is>
          <t>Yes (Genesis)</t>
        </is>
      </c>
      <c r="AF75" t="inlineStr">
        <is>
          <t>Incarnon Genesis (farm: Steel Path Circuit)</t>
        </is>
      </c>
      <c r="AL75" t="inlineStr">
        <is>
          <t>Yes</t>
        </is>
      </c>
      <c r="AM75" t="n">
        <v>4</v>
      </c>
      <c r="AS75" t="inlineStr">
        <is>
          <t>Yes</t>
        </is>
      </c>
    </row>
    <row r="76">
      <c r="A76" t="inlineStr">
        <is>
          <t>Exalted / Intrinsic</t>
        </is>
      </c>
      <c r="B76" t="inlineStr">
        <is>
          <t>Desert Wind Prime</t>
        </is>
      </c>
      <c r="C76" t="inlineStr">
        <is>
          <t>Baruuk Prime</t>
        </is>
      </c>
      <c r="D76" t="inlineStr">
        <is>
          <t>Melee</t>
        </is>
      </c>
      <c r="G76" t="n">
        <v>1</v>
      </c>
      <c r="H76" t="inlineStr">
        <is>
          <t>Comes with frame</t>
        </is>
      </c>
      <c r="I76" t="inlineStr">
        <is>
          <t>No</t>
        </is>
      </c>
      <c r="P76" t="inlineStr">
        <is>
          <t>INCLUDED WITH FRAME</t>
        </is>
      </c>
      <c r="R76" t="inlineStr">
        <is>
          <t>Unchanged from v3 allocation</t>
        </is>
      </c>
      <c r="AC76" t="inlineStr">
        <is>
          <t>Exalted/Intrinsic</t>
        </is>
      </c>
      <c r="AL76" t="inlineStr">
        <is>
          <t>No (frame Reactor)</t>
        </is>
      </c>
      <c r="AS76" t="inlineStr">
        <is>
          <t>No</t>
        </is>
      </c>
    </row>
    <row r="77">
      <c r="A77" t="inlineStr">
        <is>
          <t>Weapon</t>
        </is>
      </c>
      <c r="B77" t="inlineStr">
        <is>
          <t>Vadarya Prime</t>
        </is>
      </c>
      <c r="C77" t="inlineStr">
        <is>
          <t>Caliban Prime</t>
        </is>
      </c>
      <c r="D77" t="inlineStr">
        <is>
          <t>Primary</t>
        </is>
      </c>
      <c r="E77" t="inlineStr">
        <is>
          <t>Prime</t>
        </is>
      </c>
      <c r="G77" t="n">
        <v>1</v>
      </c>
      <c r="H77" t="inlineStr">
        <is>
          <t>Player trade</t>
        </is>
      </c>
      <c r="I77" t="inlineStr">
        <is>
          <t>Yes</t>
        </is>
      </c>
      <c r="K77" t="inlineStr">
        <is>
          <t>Core</t>
        </is>
      </c>
      <c r="L77" t="n">
        <v>14</v>
      </c>
      <c r="M77" t="n">
        <v>15</v>
      </c>
      <c r="N77" t="n">
        <v>17</v>
      </c>
      <c r="O77" t="inlineStr">
        <is>
          <t>2026-10-05 UTC (WFM pull 02:52-04:00)</t>
        </is>
      </c>
      <c r="P77" t="inlineStr">
        <is>
          <t>OK</t>
        </is>
      </c>
      <c r="R77" t="inlineStr">
        <is>
          <t>Unchanged from v3 allocation</t>
        </is>
      </c>
      <c r="S77" t="inlineStr">
        <is>
          <t>vadarya_prime_set</t>
        </is>
      </c>
      <c r="T77" t="n">
        <v>37</v>
      </c>
      <c r="U77" t="n">
        <v>37</v>
      </c>
      <c r="V77" t="n">
        <v>14</v>
      </c>
      <c r="W77" t="n">
        <v>15</v>
      </c>
      <c r="X77" t="n">
        <v>15</v>
      </c>
      <c r="Y77" t="n">
        <v>9757</v>
      </c>
      <c r="Z77" t="n">
        <v>261</v>
      </c>
      <c r="AA77" t="n">
        <v>13</v>
      </c>
      <c r="AB77" t="n">
        <v>1</v>
      </c>
      <c r="AC77" t="inlineStr">
        <is>
          <t>Signature - Caliban Prime</t>
        </is>
      </c>
      <c r="AD77" t="inlineStr">
        <is>
          <t>Signature, bonus not implemented</t>
        </is>
      </c>
      <c r="AE77" t="inlineStr">
        <is>
          <t>No</t>
        </is>
      </c>
      <c r="AL77" t="inlineStr">
        <is>
          <t>Yes</t>
        </is>
      </c>
      <c r="AM77" t="n">
        <v>3</v>
      </c>
      <c r="AS77" t="inlineStr">
        <is>
          <t>Yes</t>
        </is>
      </c>
    </row>
    <row r="78">
      <c r="A78" t="inlineStr">
        <is>
          <t>Weapon</t>
        </is>
      </c>
      <c r="B78" t="inlineStr">
        <is>
          <t>Venato Prime</t>
        </is>
      </c>
      <c r="C78" t="inlineStr">
        <is>
          <t>Caliban Prime</t>
        </is>
      </c>
      <c r="D78" t="inlineStr">
        <is>
          <t>Melee</t>
        </is>
      </c>
      <c r="E78" t="inlineStr">
        <is>
          <t>Prime</t>
        </is>
      </c>
      <c r="G78" t="n">
        <v>1</v>
      </c>
      <c r="H78" t="inlineStr">
        <is>
          <t>Player trade</t>
        </is>
      </c>
      <c r="I78" t="inlineStr">
        <is>
          <t>Yes</t>
        </is>
      </c>
      <c r="K78" t="inlineStr">
        <is>
          <t>Core</t>
        </is>
      </c>
      <c r="L78" t="n">
        <v>10</v>
      </c>
      <c r="M78" t="n">
        <v>11</v>
      </c>
      <c r="N78" t="n">
        <v>16</v>
      </c>
      <c r="O78" t="inlineStr">
        <is>
          <t>2026-10-05 UTC (WFM pull 02:52-04:00)</t>
        </is>
      </c>
      <c r="P78" t="inlineStr">
        <is>
          <t>OK</t>
        </is>
      </c>
      <c r="R78" t="inlineStr">
        <is>
          <t>Unchanged from v3 allocation</t>
        </is>
      </c>
      <c r="S78" t="inlineStr">
        <is>
          <t>venato_prime_set</t>
        </is>
      </c>
      <c r="T78" t="n">
        <v>35</v>
      </c>
      <c r="U78" t="n">
        <v>35</v>
      </c>
      <c r="V78" t="n">
        <v>10</v>
      </c>
      <c r="W78" t="n">
        <v>12</v>
      </c>
      <c r="X78" t="n">
        <v>12.4</v>
      </c>
      <c r="Y78" t="n">
        <v>5244</v>
      </c>
      <c r="Z78" t="n">
        <v>109</v>
      </c>
      <c r="AA78" t="n">
        <v>10</v>
      </c>
      <c r="AB78" t="n">
        <v>0</v>
      </c>
      <c r="AC78" t="inlineStr">
        <is>
          <t>Signature - Caliban Prime</t>
        </is>
      </c>
      <c r="AD78" t="inlineStr">
        <is>
          <t>+50% Melee Combo Counter Chance</t>
        </is>
      </c>
      <c r="AE78" t="inlineStr">
        <is>
          <t>No</t>
        </is>
      </c>
      <c r="AL78" t="inlineStr">
        <is>
          <t>Yes</t>
        </is>
      </c>
      <c r="AM78" t="n">
        <v>3</v>
      </c>
      <c r="AS78" t="inlineStr">
        <is>
          <t>Yes</t>
        </is>
      </c>
    </row>
    <row r="79">
      <c r="A79" t="inlineStr">
        <is>
          <t>Weapon</t>
        </is>
      </c>
      <c r="B79" t="inlineStr">
        <is>
          <t>Opticor Vandal</t>
        </is>
      </c>
      <c r="C79" t="inlineStr">
        <is>
          <t>Chroma Prime</t>
        </is>
      </c>
      <c r="D79" t="inlineStr">
        <is>
          <t>Primary</t>
        </is>
      </c>
      <c r="E79" t="inlineStr">
        <is>
          <t>Vandal/Wraith/Prisma</t>
        </is>
      </c>
      <c r="G79" t="n">
        <v>1</v>
      </c>
      <c r="H79" t="inlineStr">
        <is>
          <t>Player trade</t>
        </is>
      </c>
      <c r="I79" t="inlineStr">
        <is>
          <t>Yes</t>
        </is>
      </c>
      <c r="K79" t="inlineStr">
        <is>
          <t>Core</t>
        </is>
      </c>
      <c r="L79" t="n">
        <v>74</v>
      </c>
      <c r="M79" t="n">
        <v>74</v>
      </c>
      <c r="N79" t="n">
        <v>111</v>
      </c>
      <c r="O79" t="inlineStr">
        <is>
          <t>2026-10-05 UTC (WFM pull 02:52-04:00)</t>
        </is>
      </c>
      <c r="P79" t="inlineStr">
        <is>
          <t>OK</t>
        </is>
      </c>
      <c r="R79" t="inlineStr">
        <is>
          <t>Unchanged from v3 allocation</t>
        </is>
      </c>
      <c r="S79" t="inlineStr">
        <is>
          <t>opticor_vandal</t>
        </is>
      </c>
      <c r="T79" t="n">
        <v>9</v>
      </c>
      <c r="U79" t="n">
        <v>9</v>
      </c>
      <c r="V79" t="n">
        <v>42</v>
      </c>
      <c r="W79" t="n">
        <v>47.5</v>
      </c>
      <c r="X79" t="n">
        <v>54.1</v>
      </c>
      <c r="Y79" t="n">
        <v>428</v>
      </c>
      <c r="Z79" t="n">
        <v>7</v>
      </c>
      <c r="AC79" t="inlineStr">
        <is>
          <t>Non-signature</t>
        </is>
      </c>
      <c r="AE79" t="inlineStr">
        <is>
          <t>No</t>
        </is>
      </c>
      <c r="AL79" t="inlineStr">
        <is>
          <t>Yes</t>
        </is>
      </c>
      <c r="AM79" t="n">
        <v>3</v>
      </c>
      <c r="AS79" t="inlineStr">
        <is>
          <t>Yes</t>
        </is>
      </c>
    </row>
    <row r="80">
      <c r="A80" t="inlineStr">
        <is>
          <t>Weapon</t>
        </is>
      </c>
      <c r="B80" t="inlineStr">
        <is>
          <t>Lato Vandal</t>
        </is>
      </c>
      <c r="C80" t="inlineStr">
        <is>
          <t>Chroma Prime</t>
        </is>
      </c>
      <c r="D80" t="inlineStr">
        <is>
          <t>Secondary</t>
        </is>
      </c>
      <c r="E80" t="inlineStr">
        <is>
          <t>Vandal/Wraith/Prisma</t>
        </is>
      </c>
      <c r="G80" t="n">
        <v>1</v>
      </c>
      <c r="H80" t="inlineStr">
        <is>
          <t>Player trade</t>
        </is>
      </c>
      <c r="I80" t="inlineStr">
        <is>
          <t>Yes</t>
        </is>
      </c>
      <c r="K80" t="inlineStr">
        <is>
          <t>Core</t>
        </is>
      </c>
      <c r="L80" t="n">
        <v>10</v>
      </c>
      <c r="M80" t="n">
        <v>11</v>
      </c>
      <c r="N80" t="n">
        <v>17</v>
      </c>
      <c r="O80" t="inlineStr">
        <is>
          <t>2026-10-05 UTC (WFM pull 02:52-04:00)</t>
        </is>
      </c>
      <c r="P80" t="inlineStr">
        <is>
          <t>OK</t>
        </is>
      </c>
      <c r="R80" t="inlineStr">
        <is>
          <t>Unchanged from v3 allocation</t>
        </is>
      </c>
      <c r="S80" t="inlineStr">
        <is>
          <t>lato_vandal_set</t>
        </is>
      </c>
      <c r="T80" t="n">
        <v>27</v>
      </c>
      <c r="U80" t="n">
        <v>27</v>
      </c>
      <c r="V80" t="n">
        <v>15</v>
      </c>
      <c r="W80" t="n">
        <v>15</v>
      </c>
      <c r="X80" t="n">
        <v>15.4</v>
      </c>
      <c r="Y80" t="n">
        <v>3919</v>
      </c>
      <c r="Z80" t="n">
        <v>94</v>
      </c>
      <c r="AA80" t="n">
        <v>5</v>
      </c>
      <c r="AB80" t="n">
        <v>5</v>
      </c>
      <c r="AC80" t="inlineStr">
        <is>
          <t>Non-signature</t>
        </is>
      </c>
      <c r="AE80" t="inlineStr">
        <is>
          <t>Yes (Genesis)</t>
        </is>
      </c>
      <c r="AF80" t="inlineStr">
        <is>
          <t>Incarnon Genesis (farm: Steel Path Circuit)</t>
        </is>
      </c>
      <c r="AL80" t="inlineStr">
        <is>
          <t>Yes</t>
        </is>
      </c>
      <c r="AM80" t="n">
        <v>4</v>
      </c>
      <c r="AS80" t="inlineStr">
        <is>
          <t>Yes</t>
        </is>
      </c>
    </row>
    <row r="81">
      <c r="A81" t="inlineStr">
        <is>
          <t>Weapon</t>
        </is>
      </c>
      <c r="B81" t="inlineStr">
        <is>
          <t>Gram Prime</t>
        </is>
      </c>
      <c r="C81" t="inlineStr">
        <is>
          <t>Chroma Prime</t>
        </is>
      </c>
      <c r="D81" t="inlineStr">
        <is>
          <t>Melee</t>
        </is>
      </c>
      <c r="E81" t="inlineStr">
        <is>
          <t>Prime</t>
        </is>
      </c>
      <c r="G81" t="n">
        <v>1</v>
      </c>
      <c r="H81" t="inlineStr">
        <is>
          <t>Player trade</t>
        </is>
      </c>
      <c r="I81" t="inlineStr">
        <is>
          <t>Yes</t>
        </is>
      </c>
      <c r="K81" t="inlineStr">
        <is>
          <t>Core</t>
        </is>
      </c>
      <c r="L81" t="n">
        <v>34</v>
      </c>
      <c r="M81" t="n">
        <v>38</v>
      </c>
      <c r="N81" t="n">
        <v>44</v>
      </c>
      <c r="O81" t="inlineStr">
        <is>
          <t>2026-10-05 UTC (WFM pull 02:52-04:00)</t>
        </is>
      </c>
      <c r="P81" t="inlineStr">
        <is>
          <t>OK</t>
        </is>
      </c>
      <c r="R81" t="inlineStr">
        <is>
          <t>Unchanged from v3 allocation</t>
        </is>
      </c>
      <c r="S81" t="inlineStr">
        <is>
          <t>gram_prime_set</t>
        </is>
      </c>
      <c r="T81" t="n">
        <v>20</v>
      </c>
      <c r="U81" t="n">
        <v>20</v>
      </c>
      <c r="V81" t="n">
        <v>39</v>
      </c>
      <c r="W81" t="n">
        <v>39</v>
      </c>
      <c r="X81" t="n">
        <v>38.2</v>
      </c>
      <c r="Y81" t="n">
        <v>1904</v>
      </c>
      <c r="Z81" t="n">
        <v>39</v>
      </c>
      <c r="AA81" t="n">
        <v>20</v>
      </c>
      <c r="AB81" t="n">
        <v>14</v>
      </c>
      <c r="AC81" t="inlineStr">
        <is>
          <t>Non-signature</t>
        </is>
      </c>
      <c r="AE81" t="inlineStr">
        <is>
          <t>No</t>
        </is>
      </c>
      <c r="AL81" t="inlineStr">
        <is>
          <t>Yes</t>
        </is>
      </c>
      <c r="AM81" t="n">
        <v>3</v>
      </c>
      <c r="AS81" t="inlineStr">
        <is>
          <t>Yes</t>
        </is>
      </c>
    </row>
    <row r="82">
      <c r="A82" t="inlineStr">
        <is>
          <t>Weapon</t>
        </is>
      </c>
      <c r="B82" t="inlineStr">
        <is>
          <t>Steflos Prime</t>
        </is>
      </c>
      <c r="C82" t="inlineStr">
        <is>
          <t>Citrine Prime</t>
        </is>
      </c>
      <c r="D82" t="inlineStr">
        <is>
          <t>Primary</t>
        </is>
      </c>
      <c r="E82" t="inlineStr">
        <is>
          <t>Prime</t>
        </is>
      </c>
      <c r="G82" t="n">
        <v>1</v>
      </c>
      <c r="H82" t="inlineStr">
        <is>
          <t>Player trade</t>
        </is>
      </c>
      <c r="I82" t="inlineStr">
        <is>
          <t>Yes</t>
        </is>
      </c>
      <c r="K82" t="inlineStr">
        <is>
          <t>Core</t>
        </is>
      </c>
      <c r="L82" t="n">
        <v>70</v>
      </c>
      <c r="M82" t="n">
        <v>74</v>
      </c>
      <c r="N82" t="n">
        <v>97</v>
      </c>
      <c r="O82" t="inlineStr">
        <is>
          <t>2026-10-05 UTC (WFM pull 02:52-04:00)</t>
        </is>
      </c>
      <c r="P82" t="inlineStr">
        <is>
          <t>OK</t>
        </is>
      </c>
      <c r="R82" t="inlineStr">
        <is>
          <t>Unchanged from v3 allocation</t>
        </is>
      </c>
      <c r="S82" t="inlineStr">
        <is>
          <t>steflos_prime_set</t>
        </is>
      </c>
      <c r="T82" t="n">
        <v>18</v>
      </c>
      <c r="U82" t="n">
        <v>18</v>
      </c>
      <c r="V82" t="n">
        <v>88</v>
      </c>
      <c r="W82" t="n">
        <v>88</v>
      </c>
      <c r="X82" t="n">
        <v>93.5</v>
      </c>
      <c r="Y82" t="n">
        <v>3845</v>
      </c>
      <c r="Z82" t="n">
        <v>486</v>
      </c>
      <c r="AA82" t="n">
        <v>55</v>
      </c>
      <c r="AB82" t="n">
        <v>15</v>
      </c>
      <c r="AC82" t="inlineStr">
        <is>
          <t>Signature - Citrine Prime</t>
        </is>
      </c>
      <c r="AD82" t="inlineStr">
        <is>
          <t>+40% Projectile Speed</t>
        </is>
      </c>
      <c r="AE82" t="inlineStr">
        <is>
          <t>No</t>
        </is>
      </c>
      <c r="AL82" t="inlineStr">
        <is>
          <t>Yes</t>
        </is>
      </c>
      <c r="AM82" t="n">
        <v>3</v>
      </c>
      <c r="AS82" t="inlineStr">
        <is>
          <t>Yes</t>
        </is>
      </c>
    </row>
    <row r="83">
      <c r="A83" t="inlineStr">
        <is>
          <t>Weapon</t>
        </is>
      </c>
      <c r="B83" t="inlineStr">
        <is>
          <t>Catabolyst</t>
        </is>
      </c>
      <c r="C83" t="inlineStr">
        <is>
          <t>Citrine Prime</t>
        </is>
      </c>
      <c r="D83" t="inlineStr">
        <is>
          <t>Secondary</t>
        </is>
      </c>
      <c r="E83" t="inlineStr">
        <is>
          <t>Standard</t>
        </is>
      </c>
      <c r="G83" t="n">
        <v>1</v>
      </c>
      <c r="H83" t="inlineStr">
        <is>
          <t>Farm / vendor / Dojo / quest</t>
        </is>
      </c>
      <c r="I83" t="inlineStr">
        <is>
          <t>No</t>
        </is>
      </c>
      <c r="K83" t="inlineStr">
        <is>
          <t>Core</t>
        </is>
      </c>
      <c r="P83" t="inlineStr">
        <is>
          <t>FARMABLE / ACCOUNT-BOUND</t>
        </is>
      </c>
      <c r="Q83" t="inlineStr">
        <is>
          <t>Coda Catabolyst live (U38.5) - doctrine: no automatic Coda/adversary substitution; optional upgrade</t>
        </is>
      </c>
      <c r="R83" t="inlineStr">
        <is>
          <t>Unchanged from v3 allocation</t>
        </is>
      </c>
      <c r="AC83" t="inlineStr">
        <is>
          <t>Non-signature</t>
        </is>
      </c>
      <c r="AE83" t="inlineStr">
        <is>
          <t>No</t>
        </is>
      </c>
      <c r="AL83" t="inlineStr">
        <is>
          <t>Yes</t>
        </is>
      </c>
      <c r="AM83" t="n">
        <v>3</v>
      </c>
      <c r="AS83" t="inlineStr">
        <is>
          <t>No</t>
        </is>
      </c>
    </row>
    <row r="84">
      <c r="A84" t="inlineStr">
        <is>
          <t>Weapon</t>
        </is>
      </c>
      <c r="B84" t="inlineStr">
        <is>
          <t>Corufell Prime</t>
        </is>
      </c>
      <c r="C84" t="inlineStr">
        <is>
          <t>Citrine Prime</t>
        </is>
      </c>
      <c r="D84" t="inlineStr">
        <is>
          <t>Melee</t>
        </is>
      </c>
      <c r="E84" t="inlineStr">
        <is>
          <t>Prime</t>
        </is>
      </c>
      <c r="G84" t="n">
        <v>1</v>
      </c>
      <c r="H84" t="inlineStr">
        <is>
          <t>Player trade</t>
        </is>
      </c>
      <c r="I84" t="inlineStr">
        <is>
          <t>Yes</t>
        </is>
      </c>
      <c r="K84" t="inlineStr">
        <is>
          <t>Core</t>
        </is>
      </c>
      <c r="L84" t="n">
        <v>60</v>
      </c>
      <c r="M84" t="n">
        <v>60</v>
      </c>
      <c r="N84" t="n">
        <v>88</v>
      </c>
      <c r="O84" t="inlineStr">
        <is>
          <t>2026-10-05 UTC (WFM pull 02:52-04:00)</t>
        </is>
      </c>
      <c r="P84" t="inlineStr">
        <is>
          <t>OK</t>
        </is>
      </c>
      <c r="R84" t="inlineStr">
        <is>
          <t>Unchanged from v3 allocation</t>
        </is>
      </c>
      <c r="S84" t="inlineStr">
        <is>
          <t>corufell_prime_set</t>
        </is>
      </c>
      <c r="T84" t="n">
        <v>20</v>
      </c>
      <c r="U84" t="n">
        <v>20</v>
      </c>
      <c r="V84" t="n">
        <v>80</v>
      </c>
      <c r="W84" t="n">
        <v>80</v>
      </c>
      <c r="X84" t="n">
        <v>86.59999999999999</v>
      </c>
      <c r="Y84" t="n">
        <v>4353</v>
      </c>
      <c r="Z84" t="n">
        <v>543</v>
      </c>
      <c r="AA84" t="n">
        <v>51</v>
      </c>
      <c r="AB84" t="n">
        <v>9</v>
      </c>
      <c r="AC84" t="inlineStr">
        <is>
          <t>Signature - Citrine Prime</t>
        </is>
      </c>
      <c r="AD84" t="inlineStr">
        <is>
          <t>+20% Heavy Attack Wind Up Speed</t>
        </is>
      </c>
      <c r="AE84" t="inlineStr">
        <is>
          <t>No</t>
        </is>
      </c>
      <c r="AL84" t="inlineStr">
        <is>
          <t>Yes</t>
        </is>
      </c>
      <c r="AM84" t="n">
        <v>3</v>
      </c>
      <c r="AS84" t="inlineStr">
        <is>
          <t>Yes</t>
        </is>
      </c>
    </row>
    <row r="85">
      <c r="A85" t="inlineStr">
        <is>
          <t>Exalted / Intrinsic</t>
        </is>
      </c>
      <c r="B85" t="inlineStr">
        <is>
          <t>Neutralizer</t>
        </is>
      </c>
      <c r="C85" t="inlineStr">
        <is>
          <t>Cyte-09</t>
        </is>
      </c>
      <c r="D85" t="inlineStr">
        <is>
          <t>Primary</t>
        </is>
      </c>
      <c r="G85" t="n">
        <v>1</v>
      </c>
      <c r="H85" t="inlineStr">
        <is>
          <t>Comes with frame</t>
        </is>
      </c>
      <c r="I85" t="inlineStr">
        <is>
          <t>No</t>
        </is>
      </c>
      <c r="P85" t="inlineStr">
        <is>
          <t>INCLUDED WITH FRAME</t>
        </is>
      </c>
      <c r="R85" t="inlineStr">
        <is>
          <t>Unchanged from v3 allocation</t>
        </is>
      </c>
      <c r="AC85" t="inlineStr">
        <is>
          <t>Exalted/Intrinsic</t>
        </is>
      </c>
      <c r="AL85" t="inlineStr">
        <is>
          <t>No (frame Reactor)</t>
        </is>
      </c>
      <c r="AS85" t="inlineStr">
        <is>
          <t>No</t>
        </is>
      </c>
    </row>
    <row r="86">
      <c r="A86" t="inlineStr">
        <is>
          <t>Weapon</t>
        </is>
      </c>
      <c r="B86" t="inlineStr">
        <is>
          <t>Lex Prime</t>
        </is>
      </c>
      <c r="C86" t="inlineStr">
        <is>
          <t>Cyte-09</t>
        </is>
      </c>
      <c r="D86" t="inlineStr">
        <is>
          <t>Secondary</t>
        </is>
      </c>
      <c r="E86" t="inlineStr">
        <is>
          <t>Prime</t>
        </is>
      </c>
      <c r="G86" t="n">
        <v>1</v>
      </c>
      <c r="H86" t="inlineStr">
        <is>
          <t>Player trade</t>
        </is>
      </c>
      <c r="I86" t="inlineStr">
        <is>
          <t>Yes</t>
        </is>
      </c>
      <c r="K86" t="inlineStr">
        <is>
          <t>Core</t>
        </is>
      </c>
      <c r="L86" t="n">
        <v>5</v>
      </c>
      <c r="M86" t="n">
        <v>7</v>
      </c>
      <c r="N86" t="n">
        <v>9</v>
      </c>
      <c r="O86" t="inlineStr">
        <is>
          <t>2026-10-05 UTC (WFM pull 02:52-04:00)</t>
        </is>
      </c>
      <c r="P86" t="inlineStr">
        <is>
          <t>OK</t>
        </is>
      </c>
      <c r="R86" t="inlineStr">
        <is>
          <t>Unchanged from v3 allocation</t>
        </is>
      </c>
      <c r="S86" t="inlineStr">
        <is>
          <t>lex_prime_set</t>
        </is>
      </c>
      <c r="T86" t="n">
        <v>34</v>
      </c>
      <c r="U86" t="n">
        <v>34</v>
      </c>
      <c r="V86" t="n">
        <v>8</v>
      </c>
      <c r="W86" t="n">
        <v>7</v>
      </c>
      <c r="X86" t="n">
        <v>7</v>
      </c>
      <c r="Y86" t="n">
        <v>4469</v>
      </c>
      <c r="Z86" t="n">
        <v>133</v>
      </c>
      <c r="AC86" t="inlineStr">
        <is>
          <t>Non-signature</t>
        </is>
      </c>
      <c r="AE86" t="inlineStr">
        <is>
          <t>Yes (Genesis)</t>
        </is>
      </c>
      <c r="AF86" t="inlineStr">
        <is>
          <t>Incarnon Genesis (farm: Steel Path Circuit)</t>
        </is>
      </c>
      <c r="AL86" t="inlineStr">
        <is>
          <t>Yes</t>
        </is>
      </c>
      <c r="AM86" t="n">
        <v>4</v>
      </c>
      <c r="AS86" t="inlineStr">
        <is>
          <t>Yes</t>
        </is>
      </c>
    </row>
    <row r="87">
      <c r="A87" t="inlineStr">
        <is>
          <t>Weapon</t>
        </is>
      </c>
      <c r="B87" t="inlineStr">
        <is>
          <t>Rakta Dark Dagger</t>
        </is>
      </c>
      <c r="C87" t="inlineStr">
        <is>
          <t>Cyte-09</t>
        </is>
      </c>
      <c r="D87" t="inlineStr">
        <is>
          <t>Melee</t>
        </is>
      </c>
      <c r="E87" t="inlineStr">
        <is>
          <t>Standard</t>
        </is>
      </c>
      <c r="G87" t="n">
        <v>1</v>
      </c>
      <c r="H87" t="inlineStr">
        <is>
          <t>Player trade</t>
        </is>
      </c>
      <c r="I87" t="inlineStr">
        <is>
          <t>Yes</t>
        </is>
      </c>
      <c r="K87" t="inlineStr">
        <is>
          <t>Core</t>
        </is>
      </c>
      <c r="L87" t="n">
        <v>15</v>
      </c>
      <c r="M87" t="n">
        <v>20</v>
      </c>
      <c r="N87" t="n">
        <v>29</v>
      </c>
      <c r="O87" t="inlineStr">
        <is>
          <t>2026-10-05 UTC (WFM pull 02:52-04:00)</t>
        </is>
      </c>
      <c r="P87" t="inlineStr">
        <is>
          <t>OK</t>
        </is>
      </c>
      <c r="R87" t="inlineStr">
        <is>
          <t>Unchanged from v3 allocation</t>
        </is>
      </c>
      <c r="S87" t="inlineStr">
        <is>
          <t>rakta_dark_dagger</t>
        </is>
      </c>
      <c r="T87" t="n">
        <v>147</v>
      </c>
      <c r="U87" t="n">
        <v>2</v>
      </c>
      <c r="V87" t="n">
        <v>26</v>
      </c>
      <c r="W87" t="n">
        <v>27</v>
      </c>
      <c r="X87" t="n">
        <v>26.6</v>
      </c>
      <c r="Y87" t="n">
        <v>1927</v>
      </c>
      <c r="Z87" t="n">
        <v>58</v>
      </c>
      <c r="AA87" t="n">
        <v>22</v>
      </c>
      <c r="AB87" t="n">
        <v>-7</v>
      </c>
      <c r="AC87" t="inlineStr">
        <is>
          <t>Non-signature</t>
        </is>
      </c>
      <c r="AE87" t="inlineStr">
        <is>
          <t>No</t>
        </is>
      </c>
      <c r="AL87" t="inlineStr">
        <is>
          <t>Yes</t>
        </is>
      </c>
      <c r="AM87" t="n">
        <v>3</v>
      </c>
      <c r="AS87" t="inlineStr">
        <is>
          <t>Yes</t>
        </is>
      </c>
    </row>
    <row r="88">
      <c r="A88" t="inlineStr">
        <is>
          <t>Weapon</t>
        </is>
      </c>
      <c r="B88" t="inlineStr">
        <is>
          <t>Cinta</t>
        </is>
      </c>
      <c r="C88" t="inlineStr">
        <is>
          <t>Dagath</t>
        </is>
      </c>
      <c r="D88" t="inlineStr">
        <is>
          <t>Primary</t>
        </is>
      </c>
      <c r="E88" t="inlineStr">
        <is>
          <t>Standard</t>
        </is>
      </c>
      <c r="G88" t="n">
        <v>1</v>
      </c>
      <c r="H88" t="inlineStr">
        <is>
          <t>Player trade</t>
        </is>
      </c>
      <c r="I88" t="inlineStr">
        <is>
          <t>Yes</t>
        </is>
      </c>
      <c r="K88" t="inlineStr">
        <is>
          <t>Core</t>
        </is>
      </c>
      <c r="L88" t="n">
        <v>85</v>
      </c>
      <c r="M88" t="n">
        <v>100</v>
      </c>
      <c r="N88" t="n">
        <v>111</v>
      </c>
      <c r="O88" t="inlineStr">
        <is>
          <t>2026-10-05 UTC (WFM pull 02:52-04:00)</t>
        </is>
      </c>
      <c r="P88" t="inlineStr">
        <is>
          <t>OK</t>
        </is>
      </c>
      <c r="R88" t="inlineStr">
        <is>
          <t>Unchanged from v3 allocation</t>
        </is>
      </c>
      <c r="S88" t="inlineStr">
        <is>
          <t>cinta_set</t>
        </is>
      </c>
      <c r="T88" t="n">
        <v>9</v>
      </c>
      <c r="U88" t="n">
        <v>9</v>
      </c>
      <c r="V88" t="n">
        <v>80</v>
      </c>
      <c r="W88" t="n">
        <v>75</v>
      </c>
      <c r="X88" t="n">
        <v>76.3</v>
      </c>
      <c r="Y88" t="n">
        <v>1744</v>
      </c>
      <c r="Z88" t="n">
        <v>46</v>
      </c>
      <c r="AA88" t="n">
        <v>61</v>
      </c>
      <c r="AB88" t="n">
        <v>24</v>
      </c>
      <c r="AC88" t="inlineStr">
        <is>
          <t>Non-signature</t>
        </is>
      </c>
      <c r="AE88" t="inlineStr">
        <is>
          <t>No</t>
        </is>
      </c>
      <c r="AL88" t="inlineStr">
        <is>
          <t>Yes</t>
        </is>
      </c>
      <c r="AM88" t="n">
        <v>3</v>
      </c>
      <c r="AS88" t="inlineStr">
        <is>
          <t>Yes</t>
        </is>
      </c>
    </row>
    <row r="89">
      <c r="A89" t="inlineStr">
        <is>
          <t>Weapon</t>
        </is>
      </c>
      <c r="B89" t="inlineStr">
        <is>
          <t>Zylok Prime</t>
        </is>
      </c>
      <c r="C89" t="inlineStr">
        <is>
          <t>Dagath</t>
        </is>
      </c>
      <c r="D89" t="inlineStr">
        <is>
          <t>Secondary</t>
        </is>
      </c>
      <c r="E89" t="inlineStr">
        <is>
          <t>Prime</t>
        </is>
      </c>
      <c r="G89" t="n">
        <v>1</v>
      </c>
      <c r="H89" t="inlineStr">
        <is>
          <t>Player trade</t>
        </is>
      </c>
      <c r="I89" t="inlineStr">
        <is>
          <t>Yes</t>
        </is>
      </c>
      <c r="K89" t="inlineStr">
        <is>
          <t>Core</t>
        </is>
      </c>
      <c r="L89" t="n">
        <v>24</v>
      </c>
      <c r="M89" t="n">
        <v>25</v>
      </c>
      <c r="N89" t="n">
        <v>32</v>
      </c>
      <c r="O89" t="inlineStr">
        <is>
          <t>2026-10-05 UTC (WFM pull 02:52-04:00)</t>
        </is>
      </c>
      <c r="P89" t="inlineStr">
        <is>
          <t>OK</t>
        </is>
      </c>
      <c r="R89" t="inlineStr">
        <is>
          <t>Unchanged from v3 allocation</t>
        </is>
      </c>
      <c r="S89" t="inlineStr">
        <is>
          <t>zylok_prime_set</t>
        </is>
      </c>
      <c r="T89" t="n">
        <v>30</v>
      </c>
      <c r="U89" t="n">
        <v>30</v>
      </c>
      <c r="V89" t="n">
        <v>25</v>
      </c>
      <c r="W89" t="n">
        <v>25</v>
      </c>
      <c r="X89" t="n">
        <v>24.8</v>
      </c>
      <c r="Y89" t="n">
        <v>2562</v>
      </c>
      <c r="Z89" t="n">
        <v>45</v>
      </c>
      <c r="AC89" t="inlineStr">
        <is>
          <t>Non-signature</t>
        </is>
      </c>
      <c r="AE89" t="inlineStr">
        <is>
          <t>Yes (Genesis)</t>
        </is>
      </c>
      <c r="AF89" t="inlineStr">
        <is>
          <t>Incarnon Genesis (farm: Steel Path Circuit)</t>
        </is>
      </c>
      <c r="AL89" t="inlineStr">
        <is>
          <t>Yes</t>
        </is>
      </c>
      <c r="AM89" t="n">
        <v>4</v>
      </c>
      <c r="AS89" t="inlineStr">
        <is>
          <t>Yes</t>
        </is>
      </c>
    </row>
    <row r="90">
      <c r="A90" t="inlineStr">
        <is>
          <t>Weapon</t>
        </is>
      </c>
      <c r="B90" t="inlineStr">
        <is>
          <t>Dorrclave</t>
        </is>
      </c>
      <c r="C90" t="inlineStr">
        <is>
          <t>Dagath</t>
        </is>
      </c>
      <c r="D90" t="inlineStr">
        <is>
          <t>Melee</t>
        </is>
      </c>
      <c r="E90" t="inlineStr">
        <is>
          <t>Standard</t>
        </is>
      </c>
      <c r="G90" t="n">
        <v>1</v>
      </c>
      <c r="H90" t="inlineStr">
        <is>
          <t>Farm / vendor / Dojo / quest</t>
        </is>
      </c>
      <c r="I90" t="inlineStr">
        <is>
          <t>No</t>
        </is>
      </c>
      <c r="K90" t="inlineStr">
        <is>
          <t>Core</t>
        </is>
      </c>
      <c r="P90" t="inlineStr">
        <is>
          <t>FARMABLE / ACCOUNT-BOUND</t>
        </is>
      </c>
      <c r="R90" t="inlineStr">
        <is>
          <t>Unchanged from v3 allocation</t>
        </is>
      </c>
      <c r="AC90" t="inlineStr">
        <is>
          <t>Signature - Dagath</t>
        </is>
      </c>
      <c r="AD90" t="inlineStr">
        <is>
          <t>Heals 6 HP per active status on strike</t>
        </is>
      </c>
      <c r="AE90" t="inlineStr">
        <is>
          <t>No</t>
        </is>
      </c>
      <c r="AL90" t="inlineStr">
        <is>
          <t>Yes</t>
        </is>
      </c>
      <c r="AM90" t="n">
        <v>3</v>
      </c>
      <c r="AS90" t="inlineStr">
        <is>
          <t>No</t>
        </is>
      </c>
    </row>
    <row r="91">
      <c r="A91" t="inlineStr">
        <is>
          <t>Weapon</t>
        </is>
      </c>
      <c r="B91" t="inlineStr">
        <is>
          <t>Phenmor</t>
        </is>
      </c>
      <c r="C91" t="inlineStr">
        <is>
          <t>Dante</t>
        </is>
      </c>
      <c r="D91" t="inlineStr">
        <is>
          <t>Primary</t>
        </is>
      </c>
      <c r="E91" t="inlineStr">
        <is>
          <t>Standard</t>
        </is>
      </c>
      <c r="G91" t="n">
        <v>1</v>
      </c>
      <c r="H91" t="inlineStr">
        <is>
          <t>Player trade (blueprint; craft resources farmable)</t>
        </is>
      </c>
      <c r="I91" t="inlineStr">
        <is>
          <t>Yes</t>
        </is>
      </c>
      <c r="K91" t="inlineStr">
        <is>
          <t>Core</t>
        </is>
      </c>
      <c r="L91" t="n">
        <v>6</v>
      </c>
      <c r="M91" t="n">
        <v>7</v>
      </c>
      <c r="N91" t="n">
        <v>9</v>
      </c>
      <c r="O91" t="inlineStr">
        <is>
          <t>2026-10-05 UTC (WFM pull 02:52-04:00)</t>
        </is>
      </c>
      <c r="P91" t="inlineStr">
        <is>
          <t>OK</t>
        </is>
      </c>
      <c r="Q91" t="inlineStr">
        <is>
          <t>v3: Ruvox</t>
        </is>
      </c>
      <c r="R91" t="inlineStr">
        <is>
          <t>Ruvox is a MELEE (Fist), not a Primary. Phenmor: Entrati/Albrecht innate Incarnon rifle, Whispers-era fit (D).</t>
        </is>
      </c>
      <c r="S91" t="inlineStr">
        <is>
          <t>phenmor_blueprint</t>
        </is>
      </c>
      <c r="T91" t="n">
        <v>7</v>
      </c>
      <c r="U91" t="n">
        <v>7</v>
      </c>
      <c r="V91" t="n">
        <v>8</v>
      </c>
      <c r="W91" t="n">
        <v>8</v>
      </c>
      <c r="X91" t="n">
        <v>8.1</v>
      </c>
      <c r="Y91" t="n">
        <v>340</v>
      </c>
      <c r="Z91" t="n">
        <v>3</v>
      </c>
      <c r="AC91" t="inlineStr">
        <is>
          <t>Non-signature</t>
        </is>
      </c>
      <c r="AE91" t="inlineStr">
        <is>
          <t>Yes (innate)</t>
        </is>
      </c>
      <c r="AL91" t="inlineStr">
        <is>
          <t>Yes</t>
        </is>
      </c>
      <c r="AM91" t="n">
        <v>4</v>
      </c>
      <c r="AS91" t="inlineStr">
        <is>
          <t>Yes</t>
        </is>
      </c>
    </row>
    <row r="92">
      <c r="A92" t="inlineStr">
        <is>
          <t>Weapon</t>
        </is>
      </c>
      <c r="B92" t="inlineStr">
        <is>
          <t>Onos</t>
        </is>
      </c>
      <c r="C92" t="inlineStr">
        <is>
          <t>Dante</t>
        </is>
      </c>
      <c r="D92" t="inlineStr">
        <is>
          <t>Secondary</t>
        </is>
      </c>
      <c r="E92" t="inlineStr">
        <is>
          <t>Standard</t>
        </is>
      </c>
      <c r="G92" t="n">
        <v>1</v>
      </c>
      <c r="H92" t="inlineStr">
        <is>
          <t>Farm / vendor / Dojo / quest</t>
        </is>
      </c>
      <c r="I92" t="inlineStr">
        <is>
          <t>No</t>
        </is>
      </c>
      <c r="K92" t="inlineStr">
        <is>
          <t>Core</t>
        </is>
      </c>
      <c r="P92" t="inlineStr">
        <is>
          <t>FARMABLE / ACCOUNT-BOUND</t>
        </is>
      </c>
      <c r="R92" t="inlineStr">
        <is>
          <t>Unchanged from v3 allocation</t>
        </is>
      </c>
      <c r="AC92" t="inlineStr">
        <is>
          <t>Non-signature</t>
        </is>
      </c>
      <c r="AE92" t="inlineStr">
        <is>
          <t>Yes (innate)</t>
        </is>
      </c>
      <c r="AL92" t="inlineStr">
        <is>
          <t>Yes</t>
        </is>
      </c>
      <c r="AM92" t="n">
        <v>4</v>
      </c>
      <c r="AS92" t="inlineStr">
        <is>
          <t>No</t>
        </is>
      </c>
    </row>
    <row r="93">
      <c r="A93" t="inlineStr">
        <is>
          <t>Weapon</t>
        </is>
      </c>
      <c r="B93" t="inlineStr">
        <is>
          <t>Ruvox</t>
        </is>
      </c>
      <c r="C93" t="inlineStr">
        <is>
          <t>Dante</t>
        </is>
      </c>
      <c r="D93" t="inlineStr">
        <is>
          <t>Melee</t>
        </is>
      </c>
      <c r="E93" t="inlineStr">
        <is>
          <t>Standard</t>
        </is>
      </c>
      <c r="G93" t="n">
        <v>1</v>
      </c>
      <c r="H93" t="inlineStr">
        <is>
          <t>Farm / vendor / Dojo / quest</t>
        </is>
      </c>
      <c r="I93" t="inlineStr">
        <is>
          <t>No</t>
        </is>
      </c>
      <c r="K93" t="inlineStr">
        <is>
          <t>Core</t>
        </is>
      </c>
      <c r="P93" t="inlineStr">
        <is>
          <t>FARMABLE / ACCOUNT-BOUND</t>
        </is>
      </c>
      <c r="Q93" t="inlineStr">
        <is>
          <t>v3: Ekhein</t>
        </is>
      </c>
      <c r="R93" t="inlineStr">
        <is>
          <t>Ruvox is Dante signature melee (A/B claim, innate Incarnon). Ekhein released to pool.</t>
        </is>
      </c>
      <c r="AC93" t="inlineStr">
        <is>
          <t>Signature - Dante</t>
        </is>
      </c>
      <c r="AD93" t="inlineStr">
        <is>
          <t>Signature, bonus not implemented</t>
        </is>
      </c>
      <c r="AE93" t="inlineStr">
        <is>
          <t>Yes (innate)</t>
        </is>
      </c>
      <c r="AL93" t="inlineStr">
        <is>
          <t>Yes</t>
        </is>
      </c>
      <c r="AM93" t="n">
        <v>4</v>
      </c>
      <c r="AS93" t="inlineStr">
        <is>
          <t>No</t>
        </is>
      </c>
    </row>
    <row r="94">
      <c r="A94" t="inlineStr">
        <is>
          <t>Weapon</t>
        </is>
      </c>
      <c r="B94" t="inlineStr">
        <is>
          <t>Ignis Wraith</t>
        </is>
      </c>
      <c r="C94" t="inlineStr">
        <is>
          <t>Ember Prime</t>
        </is>
      </c>
      <c r="D94" t="inlineStr">
        <is>
          <t>Primary</t>
        </is>
      </c>
      <c r="E94" t="inlineStr">
        <is>
          <t>Standard</t>
        </is>
      </c>
      <c r="G94" t="n">
        <v>1</v>
      </c>
      <c r="H94" t="inlineStr">
        <is>
          <t>Farm / vendor / Dojo / quest</t>
        </is>
      </c>
      <c r="I94" t="inlineStr">
        <is>
          <t>No</t>
        </is>
      </c>
      <c r="K94" t="inlineStr">
        <is>
          <t>Core</t>
        </is>
      </c>
      <c r="P94" t="inlineStr">
        <is>
          <t>FARMABLE / ACCOUNT-BOUND</t>
        </is>
      </c>
      <c r="R94" t="inlineStr">
        <is>
          <t>Unchanged from v3 allocation</t>
        </is>
      </c>
      <c r="AC94" t="inlineStr">
        <is>
          <t>Non-signature</t>
        </is>
      </c>
      <c r="AE94" t="inlineStr">
        <is>
          <t>No</t>
        </is>
      </c>
      <c r="AL94" t="inlineStr">
        <is>
          <t>Yes</t>
        </is>
      </c>
      <c r="AM94" t="n">
        <v>3</v>
      </c>
      <c r="AS94" t="inlineStr">
        <is>
          <t>No</t>
        </is>
      </c>
    </row>
    <row r="95">
      <c r="A95" t="inlineStr">
        <is>
          <t>Weapon</t>
        </is>
      </c>
      <c r="B95" t="inlineStr">
        <is>
          <t>Jat Kittag</t>
        </is>
      </c>
      <c r="C95" t="inlineStr">
        <is>
          <t>Ember Prime</t>
        </is>
      </c>
      <c r="D95" t="inlineStr">
        <is>
          <t>Melee</t>
        </is>
      </c>
      <c r="E95" t="inlineStr">
        <is>
          <t>Standard</t>
        </is>
      </c>
      <c r="G95" t="n">
        <v>1</v>
      </c>
      <c r="H95" t="inlineStr">
        <is>
          <t>Farm / vendor / Dojo / quest</t>
        </is>
      </c>
      <c r="I95" t="inlineStr">
        <is>
          <t>No</t>
        </is>
      </c>
      <c r="K95" t="inlineStr">
        <is>
          <t>Core</t>
        </is>
      </c>
      <c r="P95" t="inlineStr">
        <is>
          <t>FARMABLE / ACCOUNT-BOUND</t>
        </is>
      </c>
      <c r="R95" t="inlineStr">
        <is>
          <t>Unchanged from v3 allocation</t>
        </is>
      </c>
      <c r="AC95" t="inlineStr">
        <is>
          <t>Non-signature</t>
        </is>
      </c>
      <c r="AE95" t="inlineStr">
        <is>
          <t>No</t>
        </is>
      </c>
      <c r="AL95" t="inlineStr">
        <is>
          <t>Yes</t>
        </is>
      </c>
      <c r="AM95" t="n">
        <v>3</v>
      </c>
      <c r="AS95" t="inlineStr">
        <is>
          <t>No</t>
        </is>
      </c>
    </row>
    <row r="96">
      <c r="A96" t="inlineStr">
        <is>
          <t>Weapon</t>
        </is>
      </c>
      <c r="B96" t="inlineStr">
        <is>
          <t>Burston Prime</t>
        </is>
      </c>
      <c r="C96" t="inlineStr">
        <is>
          <t>Equinox Prime</t>
        </is>
      </c>
      <c r="D96" t="inlineStr">
        <is>
          <t>Primary</t>
        </is>
      </c>
      <c r="E96" t="inlineStr">
        <is>
          <t>Prime</t>
        </is>
      </c>
      <c r="G96" t="n">
        <v>1</v>
      </c>
      <c r="H96" t="inlineStr">
        <is>
          <t>Player trade</t>
        </is>
      </c>
      <c r="I96" t="inlineStr">
        <is>
          <t>Yes</t>
        </is>
      </c>
      <c r="K96" t="inlineStr">
        <is>
          <t>Core</t>
        </is>
      </c>
      <c r="L96" t="n">
        <v>11</v>
      </c>
      <c r="M96" t="n">
        <v>15</v>
      </c>
      <c r="N96" t="n">
        <v>22</v>
      </c>
      <c r="O96" t="inlineStr">
        <is>
          <t>2026-10-05 UTC (WFM pull 02:52-04:00)</t>
        </is>
      </c>
      <c r="P96" t="inlineStr">
        <is>
          <t>OK</t>
        </is>
      </c>
      <c r="R96" t="inlineStr">
        <is>
          <t>Unchanged from v3 allocation</t>
        </is>
      </c>
      <c r="S96" t="inlineStr">
        <is>
          <t>burston_prime_set</t>
        </is>
      </c>
      <c r="T96" t="n">
        <v>22</v>
      </c>
      <c r="U96" t="n">
        <v>22</v>
      </c>
      <c r="V96" t="n">
        <v>10</v>
      </c>
      <c r="W96" t="n">
        <v>10</v>
      </c>
      <c r="X96" t="n">
        <v>9.9</v>
      </c>
      <c r="Y96" t="n">
        <v>8462</v>
      </c>
      <c r="Z96" t="n">
        <v>260</v>
      </c>
      <c r="AA96" t="n">
        <v>9</v>
      </c>
      <c r="AB96" t="n">
        <v>2</v>
      </c>
      <c r="AC96" t="inlineStr">
        <is>
          <t>Non-signature</t>
        </is>
      </c>
      <c r="AE96" t="inlineStr">
        <is>
          <t>Yes (Genesis)</t>
        </is>
      </c>
      <c r="AF96" t="inlineStr">
        <is>
          <t>Incarnon Genesis (farm: Steel Path Circuit)</t>
        </is>
      </c>
      <c r="AL96" t="inlineStr">
        <is>
          <t>Yes</t>
        </is>
      </c>
      <c r="AM96" t="n">
        <v>4</v>
      </c>
      <c r="AS96" t="inlineStr">
        <is>
          <t>Yes</t>
        </is>
      </c>
    </row>
    <row r="97">
      <c r="A97" t="inlineStr">
        <is>
          <t>Weapon</t>
        </is>
      </c>
      <c r="B97" t="inlineStr">
        <is>
          <t>Dual Toxocyst</t>
        </is>
      </c>
      <c r="C97" t="inlineStr">
        <is>
          <t>Equinox Prime</t>
        </is>
      </c>
      <c r="D97" t="inlineStr">
        <is>
          <t>Secondary</t>
        </is>
      </c>
      <c r="E97" t="inlineStr">
        <is>
          <t>Standard</t>
        </is>
      </c>
      <c r="G97" t="n">
        <v>1</v>
      </c>
      <c r="H97" t="inlineStr">
        <is>
          <t>Farm / vendor / Dojo / quest</t>
        </is>
      </c>
      <c r="I97" t="inlineStr">
        <is>
          <t>No</t>
        </is>
      </c>
      <c r="K97" t="inlineStr">
        <is>
          <t>Core</t>
        </is>
      </c>
      <c r="P97" t="inlineStr">
        <is>
          <t>FARMABLE / ACCOUNT-BOUND</t>
        </is>
      </c>
      <c r="R97" t="inlineStr">
        <is>
          <t>Unchanged from v3 allocation</t>
        </is>
      </c>
      <c r="AC97" t="inlineStr">
        <is>
          <t>Non-signature</t>
        </is>
      </c>
      <c r="AE97" t="inlineStr">
        <is>
          <t>Yes (Genesis)</t>
        </is>
      </c>
      <c r="AF97" t="inlineStr">
        <is>
          <t>Incarnon Genesis (farm: Steel Path Circuit)</t>
        </is>
      </c>
      <c r="AL97" t="inlineStr">
        <is>
          <t>Yes</t>
        </is>
      </c>
      <c r="AM97" t="n">
        <v>4</v>
      </c>
      <c r="AS97" t="inlineStr">
        <is>
          <t>No</t>
        </is>
      </c>
    </row>
    <row r="98">
      <c r="A98" t="inlineStr">
        <is>
          <t>Weapon</t>
        </is>
      </c>
      <c r="B98" t="inlineStr">
        <is>
          <t>Lesion</t>
        </is>
      </c>
      <c r="C98" t="inlineStr">
        <is>
          <t>Equinox Prime</t>
        </is>
      </c>
      <c r="D98" t="inlineStr">
        <is>
          <t>Melee</t>
        </is>
      </c>
      <c r="E98" t="inlineStr">
        <is>
          <t>Standard</t>
        </is>
      </c>
      <c r="G98" t="n">
        <v>1</v>
      </c>
      <c r="H98" t="inlineStr">
        <is>
          <t>Farm / vendor / Dojo / quest</t>
        </is>
      </c>
      <c r="I98" t="inlineStr">
        <is>
          <t>No</t>
        </is>
      </c>
      <c r="K98" t="inlineStr">
        <is>
          <t>Core</t>
        </is>
      </c>
      <c r="P98" t="inlineStr">
        <is>
          <t>FARMABLE / ACCOUNT-BOUND</t>
        </is>
      </c>
      <c r="R98" t="inlineStr">
        <is>
          <t>Unchanged from v3 allocation</t>
        </is>
      </c>
      <c r="AC98" t="inlineStr">
        <is>
          <t>Non-signature</t>
        </is>
      </c>
      <c r="AE98" t="inlineStr">
        <is>
          <t>No</t>
        </is>
      </c>
      <c r="AL98" t="inlineStr">
        <is>
          <t>Yes</t>
        </is>
      </c>
      <c r="AM98" t="n">
        <v>3</v>
      </c>
      <c r="AS98" t="inlineStr">
        <is>
          <t>No</t>
        </is>
      </c>
    </row>
    <row r="99">
      <c r="A99" t="inlineStr">
        <is>
          <t>Weapon</t>
        </is>
      </c>
      <c r="B99" t="inlineStr">
        <is>
          <t>Braton Prime</t>
        </is>
      </c>
      <c r="C99" t="inlineStr">
        <is>
          <t>Excalibur Umbra</t>
        </is>
      </c>
      <c r="D99" t="inlineStr">
        <is>
          <t>Primary</t>
        </is>
      </c>
      <c r="E99" t="inlineStr">
        <is>
          <t>Prime</t>
        </is>
      </c>
      <c r="G99" t="n">
        <v>1</v>
      </c>
      <c r="H99" t="inlineStr">
        <is>
          <t>Player trade</t>
        </is>
      </c>
      <c r="I99" t="inlineStr">
        <is>
          <t>Yes</t>
        </is>
      </c>
      <c r="K99" t="inlineStr">
        <is>
          <t>Core</t>
        </is>
      </c>
      <c r="L99" t="n">
        <v>7</v>
      </c>
      <c r="M99" t="n">
        <v>9</v>
      </c>
      <c r="N99" t="n">
        <v>11</v>
      </c>
      <c r="O99" t="inlineStr">
        <is>
          <t>2026-10-05 UTC (WFM pull 02:52-04:00)</t>
        </is>
      </c>
      <c r="P99" t="inlineStr">
        <is>
          <t>OK</t>
        </is>
      </c>
      <c r="R99" t="inlineStr">
        <is>
          <t>Unchanged from v3 allocation</t>
        </is>
      </c>
      <c r="S99" t="inlineStr">
        <is>
          <t>braton_prime_set</t>
        </is>
      </c>
      <c r="T99" t="n">
        <v>49</v>
      </c>
      <c r="U99" t="n">
        <v>49</v>
      </c>
      <c r="V99" t="n">
        <v>7</v>
      </c>
      <c r="W99" t="n">
        <v>8</v>
      </c>
      <c r="X99" t="n">
        <v>7.6</v>
      </c>
      <c r="Y99" t="n">
        <v>7972</v>
      </c>
      <c r="Z99" t="n">
        <v>200</v>
      </c>
      <c r="AA99" t="n">
        <v>7</v>
      </c>
      <c r="AB99" t="n">
        <v>0</v>
      </c>
      <c r="AC99" t="inlineStr">
        <is>
          <t>Non-signature</t>
        </is>
      </c>
      <c r="AE99" t="inlineStr">
        <is>
          <t>Yes (Genesis)</t>
        </is>
      </c>
      <c r="AF99" t="inlineStr">
        <is>
          <t>Incarnon Genesis (farm: Steel Path Circuit)</t>
        </is>
      </c>
      <c r="AL99" t="inlineStr">
        <is>
          <t>Yes</t>
        </is>
      </c>
      <c r="AM99" t="n">
        <v>4</v>
      </c>
      <c r="AS99" t="inlineStr">
        <is>
          <t>Yes</t>
        </is>
      </c>
    </row>
    <row r="100">
      <c r="A100" t="inlineStr">
        <is>
          <t>Weapon</t>
        </is>
      </c>
      <c r="B100" t="inlineStr">
        <is>
          <t>Vasto Prime</t>
        </is>
      </c>
      <c r="C100" t="inlineStr">
        <is>
          <t>Excalibur Umbra</t>
        </is>
      </c>
      <c r="D100" t="inlineStr">
        <is>
          <t>Secondary</t>
        </is>
      </c>
      <c r="E100" t="inlineStr">
        <is>
          <t>Prime</t>
        </is>
      </c>
      <c r="G100" t="n">
        <v>1</v>
      </c>
      <c r="H100" t="inlineStr">
        <is>
          <t>Player trade</t>
        </is>
      </c>
      <c r="I100" t="inlineStr">
        <is>
          <t>Yes</t>
        </is>
      </c>
      <c r="K100" t="inlineStr">
        <is>
          <t>Core</t>
        </is>
      </c>
      <c r="L100" t="n">
        <v>25</v>
      </c>
      <c r="M100" t="n">
        <v>25</v>
      </c>
      <c r="N100" t="n">
        <v>31</v>
      </c>
      <c r="O100" t="inlineStr">
        <is>
          <t>2026-10-05 UTC (WFM pull 02:52-04:00)</t>
        </is>
      </c>
      <c r="P100" t="inlineStr">
        <is>
          <t>OK</t>
        </is>
      </c>
      <c r="R100" t="inlineStr">
        <is>
          <t>Unchanged from v3 allocation</t>
        </is>
      </c>
      <c r="S100" t="inlineStr">
        <is>
          <t>vasto_prime_set</t>
        </is>
      </c>
      <c r="T100" t="n">
        <v>31</v>
      </c>
      <c r="U100" t="n">
        <v>31</v>
      </c>
      <c r="V100" t="n">
        <v>20</v>
      </c>
      <c r="W100" t="n">
        <v>20</v>
      </c>
      <c r="X100" t="n">
        <v>20.9</v>
      </c>
      <c r="Y100" t="n">
        <v>4621</v>
      </c>
      <c r="Z100" t="n">
        <v>73</v>
      </c>
      <c r="AA100" t="n">
        <v>10</v>
      </c>
      <c r="AB100" t="n">
        <v>15</v>
      </c>
      <c r="AC100" t="inlineStr">
        <is>
          <t>Non-signature</t>
        </is>
      </c>
      <c r="AE100" t="inlineStr">
        <is>
          <t>Yes (Genesis)</t>
        </is>
      </c>
      <c r="AF100" t="inlineStr">
        <is>
          <t>Incarnon Genesis (farm: Steel Path Circuit)</t>
        </is>
      </c>
      <c r="AL100" t="inlineStr">
        <is>
          <t>Yes</t>
        </is>
      </c>
      <c r="AM100" t="n">
        <v>4</v>
      </c>
      <c r="AS100" t="inlineStr">
        <is>
          <t>Yes</t>
        </is>
      </c>
    </row>
    <row r="101">
      <c r="A101" t="inlineStr">
        <is>
          <t>Exalted / Intrinsic</t>
        </is>
      </c>
      <c r="B101" t="inlineStr">
        <is>
          <t>Exalted Umbra Blade</t>
        </is>
      </c>
      <c r="C101" t="inlineStr">
        <is>
          <t>Excalibur Umbra</t>
        </is>
      </c>
      <c r="D101" t="inlineStr">
        <is>
          <t>Melee</t>
        </is>
      </c>
      <c r="G101" t="n">
        <v>1</v>
      </c>
      <c r="H101" t="inlineStr">
        <is>
          <t>Comes with frame</t>
        </is>
      </c>
      <c r="I101" t="inlineStr">
        <is>
          <t>No</t>
        </is>
      </c>
      <c r="P101" t="inlineStr">
        <is>
          <t>INCLUDED WITH FRAME</t>
        </is>
      </c>
      <c r="R101" t="inlineStr">
        <is>
          <t>Unchanged from v3 allocation</t>
        </is>
      </c>
      <c r="AC101" t="inlineStr">
        <is>
          <t>Exalted/Intrinsic</t>
        </is>
      </c>
      <c r="AL101" t="inlineStr">
        <is>
          <t>No (frame Reactor)</t>
        </is>
      </c>
      <c r="AS101" t="inlineStr">
        <is>
          <t>No</t>
        </is>
      </c>
    </row>
    <row r="102">
      <c r="A102" t="inlineStr">
        <is>
          <t>Weapon</t>
        </is>
      </c>
      <c r="B102" t="inlineStr">
        <is>
          <t>Enkaus</t>
        </is>
      </c>
      <c r="C102" t="inlineStr">
        <is>
          <t>Follie</t>
        </is>
      </c>
      <c r="D102" t="inlineStr">
        <is>
          <t>Primary</t>
        </is>
      </c>
      <c r="E102" t="inlineStr">
        <is>
          <t>Standard</t>
        </is>
      </c>
      <c r="G102" t="n">
        <v>1</v>
      </c>
      <c r="H102" t="inlineStr">
        <is>
          <t>Farm / vendor / Dojo / quest</t>
        </is>
      </c>
      <c r="I102" t="inlineStr">
        <is>
          <t>No</t>
        </is>
      </c>
      <c r="K102" t="inlineStr">
        <is>
          <t>Core</t>
        </is>
      </c>
      <c r="P102" t="inlineStr">
        <is>
          <t>FARMABLE / ACCOUNT-BOUND</t>
        </is>
      </c>
      <c r="R102" t="inlineStr">
        <is>
          <t>Unchanged from v3 allocation</t>
        </is>
      </c>
      <c r="AC102" t="inlineStr">
        <is>
          <t>Signature - Follie</t>
        </is>
      </c>
      <c r="AD102" t="inlineStr">
        <is>
          <t>Alt-fire applies Inkblot passive</t>
        </is>
      </c>
      <c r="AE102" t="inlineStr">
        <is>
          <t>No</t>
        </is>
      </c>
      <c r="AL102" t="inlineStr">
        <is>
          <t>Yes</t>
        </is>
      </c>
      <c r="AM102" t="n">
        <v>3</v>
      </c>
      <c r="AS102" t="inlineStr">
        <is>
          <t>No</t>
        </is>
      </c>
    </row>
    <row r="103">
      <c r="A103" t="inlineStr">
        <is>
          <t>Weapon</t>
        </is>
      </c>
      <c r="B103" t="inlineStr">
        <is>
          <t>Staticor</t>
        </is>
      </c>
      <c r="C103" t="inlineStr">
        <is>
          <t>Follie</t>
        </is>
      </c>
      <c r="D103" t="inlineStr">
        <is>
          <t>Secondary</t>
        </is>
      </c>
      <c r="E103" t="inlineStr">
        <is>
          <t>Standard</t>
        </is>
      </c>
      <c r="G103" t="n">
        <v>1</v>
      </c>
      <c r="H103" t="inlineStr">
        <is>
          <t>Farm / vendor / Dojo / quest</t>
        </is>
      </c>
      <c r="I103" t="inlineStr">
        <is>
          <t>No</t>
        </is>
      </c>
      <c r="K103" t="inlineStr">
        <is>
          <t>Core</t>
        </is>
      </c>
      <c r="P103" t="inlineStr">
        <is>
          <t>FARMABLE / ACCOUNT-BOUND</t>
        </is>
      </c>
      <c r="R103" t="inlineStr">
        <is>
          <t>Unchanged from v3 allocation</t>
        </is>
      </c>
      <c r="AC103" t="inlineStr">
        <is>
          <t>Non-signature</t>
        </is>
      </c>
      <c r="AE103" t="inlineStr">
        <is>
          <t>No</t>
        </is>
      </c>
      <c r="AL103" t="inlineStr">
        <is>
          <t>Yes</t>
        </is>
      </c>
      <c r="AM103" t="n">
        <v>3</v>
      </c>
      <c r="AS103" t="inlineStr">
        <is>
          <t>No</t>
        </is>
      </c>
    </row>
    <row r="104">
      <c r="A104" t="inlineStr">
        <is>
          <t>Weapon</t>
        </is>
      </c>
      <c r="B104" t="inlineStr">
        <is>
          <t>Keratinos</t>
        </is>
      </c>
      <c r="C104" t="inlineStr">
        <is>
          <t>Follie</t>
        </is>
      </c>
      <c r="D104" t="inlineStr">
        <is>
          <t>Melee</t>
        </is>
      </c>
      <c r="E104" t="inlineStr">
        <is>
          <t>Standard</t>
        </is>
      </c>
      <c r="G104" t="n">
        <v>1</v>
      </c>
      <c r="H104" t="inlineStr">
        <is>
          <t>Farm / vendor / Dojo / quest</t>
        </is>
      </c>
      <c r="I104" t="inlineStr">
        <is>
          <t>No</t>
        </is>
      </c>
      <c r="K104" t="inlineStr">
        <is>
          <t>Core</t>
        </is>
      </c>
      <c r="P104" t="inlineStr">
        <is>
          <t>FARMABLE / ACCOUNT-BOUND</t>
        </is>
      </c>
      <c r="R104" t="inlineStr">
        <is>
          <t>Unchanged from v3 allocation</t>
        </is>
      </c>
      <c r="AC104" t="inlineStr">
        <is>
          <t>Non-signature</t>
        </is>
      </c>
      <c r="AE104" t="inlineStr">
        <is>
          <t>No</t>
        </is>
      </c>
      <c r="AL104" t="inlineStr">
        <is>
          <t>Yes</t>
        </is>
      </c>
      <c r="AM104" t="n">
        <v>3</v>
      </c>
      <c r="AS104" t="inlineStr">
        <is>
          <t>No</t>
        </is>
      </c>
    </row>
    <row r="105">
      <c r="A105" t="inlineStr">
        <is>
          <t>Weapon</t>
        </is>
      </c>
      <c r="B105" t="inlineStr">
        <is>
          <t>Glaxion Vandal</t>
        </is>
      </c>
      <c r="C105" t="inlineStr">
        <is>
          <t>Frost Prime</t>
        </is>
      </c>
      <c r="D105" t="inlineStr">
        <is>
          <t>Primary</t>
        </is>
      </c>
      <c r="E105" t="inlineStr">
        <is>
          <t>Vandal/Wraith/Prisma</t>
        </is>
      </c>
      <c r="G105" t="n">
        <v>1</v>
      </c>
      <c r="H105" t="inlineStr">
        <is>
          <t>Player trade</t>
        </is>
      </c>
      <c r="I105" t="inlineStr">
        <is>
          <t>Yes</t>
        </is>
      </c>
      <c r="K105" t="inlineStr">
        <is>
          <t>Core</t>
        </is>
      </c>
      <c r="L105" t="n">
        <v>49</v>
      </c>
      <c r="M105" t="n">
        <v>50</v>
      </c>
      <c r="N105" t="n">
        <v>79</v>
      </c>
      <c r="O105" t="inlineStr">
        <is>
          <t>2026-10-05 UTC (WFM pull 02:52-04:00)</t>
        </is>
      </c>
      <c r="P105" t="inlineStr">
        <is>
          <t>OK</t>
        </is>
      </c>
      <c r="Q105" t="inlineStr">
        <is>
          <t>Tenet Glaxion live (U35.6) - doctrine: no automatic Coda/adversary substitution; optional upgrade</t>
        </is>
      </c>
      <c r="R105" t="inlineStr">
        <is>
          <t>Unchanged from v3 allocation</t>
        </is>
      </c>
      <c r="S105" t="inlineStr">
        <is>
          <t>glaxion_vandal</t>
        </is>
      </c>
      <c r="T105" t="n">
        <v>15</v>
      </c>
      <c r="U105" t="n">
        <v>15</v>
      </c>
      <c r="V105" t="n">
        <v>40</v>
      </c>
      <c r="W105" t="n">
        <v>41</v>
      </c>
      <c r="X105" t="n">
        <v>52.3</v>
      </c>
      <c r="Y105" t="n">
        <v>841</v>
      </c>
      <c r="Z105" t="n">
        <v>20</v>
      </c>
      <c r="AA105" t="n">
        <v>30</v>
      </c>
      <c r="AB105" t="n">
        <v>19</v>
      </c>
      <c r="AC105" t="inlineStr">
        <is>
          <t>Non-signature</t>
        </is>
      </c>
      <c r="AE105" t="inlineStr">
        <is>
          <t>No</t>
        </is>
      </c>
      <c r="AL105" t="inlineStr">
        <is>
          <t>Yes</t>
        </is>
      </c>
      <c r="AM105" t="n">
        <v>3</v>
      </c>
      <c r="AS105" t="inlineStr">
        <is>
          <t>Yes</t>
        </is>
      </c>
    </row>
    <row r="106">
      <c r="A106" t="inlineStr">
        <is>
          <t>Weapon</t>
        </is>
      </c>
      <c r="B106" t="inlineStr">
        <is>
          <t>Twin Kohmak</t>
        </is>
      </c>
      <c r="C106" t="inlineStr">
        <is>
          <t>Frost Prime</t>
        </is>
      </c>
      <c r="D106" t="inlineStr">
        <is>
          <t>Secondary</t>
        </is>
      </c>
      <c r="E106" t="inlineStr">
        <is>
          <t>Standard</t>
        </is>
      </c>
      <c r="G106" t="n">
        <v>1</v>
      </c>
      <c r="H106" t="inlineStr">
        <is>
          <t>Farm / vendor / Dojo / quest</t>
        </is>
      </c>
      <c r="I106" t="inlineStr">
        <is>
          <t>No</t>
        </is>
      </c>
      <c r="K106" t="inlineStr">
        <is>
          <t>Core</t>
        </is>
      </c>
      <c r="P106" t="inlineStr">
        <is>
          <t>FARMABLE / ACCOUNT-BOUND</t>
        </is>
      </c>
      <c r="R106" t="inlineStr">
        <is>
          <t>Unchanged from v3 allocation</t>
        </is>
      </c>
      <c r="AC106" t="inlineStr">
        <is>
          <t>Non-signature</t>
        </is>
      </c>
      <c r="AE106" t="inlineStr">
        <is>
          <t>No</t>
        </is>
      </c>
      <c r="AL106" t="inlineStr">
        <is>
          <t>Yes</t>
        </is>
      </c>
      <c r="AM106" t="n">
        <v>3</v>
      </c>
      <c r="AS106" t="inlineStr">
        <is>
          <t>No</t>
        </is>
      </c>
    </row>
    <row r="107">
      <c r="A107" t="inlineStr">
        <is>
          <t>Weapon</t>
        </is>
      </c>
      <c r="B107" t="inlineStr">
        <is>
          <t>Sibear</t>
        </is>
      </c>
      <c r="C107" t="inlineStr">
        <is>
          <t>Frost Prime</t>
        </is>
      </c>
      <c r="D107" t="inlineStr">
        <is>
          <t>Melee</t>
        </is>
      </c>
      <c r="E107" t="inlineStr">
        <is>
          <t>Standard</t>
        </is>
      </c>
      <c r="G107" t="n">
        <v>1</v>
      </c>
      <c r="H107" t="inlineStr">
        <is>
          <t>Farm / vendor / Dojo / quest</t>
        </is>
      </c>
      <c r="I107" t="inlineStr">
        <is>
          <t>No</t>
        </is>
      </c>
      <c r="K107" t="inlineStr">
        <is>
          <t>Core</t>
        </is>
      </c>
      <c r="P107" t="inlineStr">
        <is>
          <t>FARMABLE / ACCOUNT-BOUND</t>
        </is>
      </c>
      <c r="R107" t="inlineStr">
        <is>
          <t>Unchanged from v3 allocation</t>
        </is>
      </c>
      <c r="AC107" t="inlineStr">
        <is>
          <t>Non-signature</t>
        </is>
      </c>
      <c r="AE107" t="inlineStr">
        <is>
          <t>Yes (Genesis)</t>
        </is>
      </c>
      <c r="AF107" t="inlineStr">
        <is>
          <t>Incarnon Genesis (farm: Steel Path Circuit)</t>
        </is>
      </c>
      <c r="AL107" t="inlineStr">
        <is>
          <t>Yes</t>
        </is>
      </c>
      <c r="AM107" t="n">
        <v>4</v>
      </c>
      <c r="AS107" t="inlineStr">
        <is>
          <t>No</t>
        </is>
      </c>
    </row>
    <row r="108">
      <c r="A108" t="inlineStr">
        <is>
          <t>Weapon</t>
        </is>
      </c>
      <c r="B108" t="inlineStr">
        <is>
          <t>Astilla Prime</t>
        </is>
      </c>
      <c r="C108" t="inlineStr">
        <is>
          <t>Gara Prime</t>
        </is>
      </c>
      <c r="D108" t="inlineStr">
        <is>
          <t>Primary</t>
        </is>
      </c>
      <c r="E108" t="inlineStr">
        <is>
          <t>Prime</t>
        </is>
      </c>
      <c r="G108" t="n">
        <v>1</v>
      </c>
      <c r="H108" t="inlineStr">
        <is>
          <t>Player trade</t>
        </is>
      </c>
      <c r="I108" t="inlineStr">
        <is>
          <t>Yes</t>
        </is>
      </c>
      <c r="K108" t="inlineStr">
        <is>
          <t>Core</t>
        </is>
      </c>
      <c r="L108" t="n">
        <v>40</v>
      </c>
      <c r="M108" t="n">
        <v>40</v>
      </c>
      <c r="N108" t="n">
        <v>44</v>
      </c>
      <c r="O108" t="inlineStr">
        <is>
          <t>2026-10-05 UTC (WFM pull 02:52-04:00)</t>
        </is>
      </c>
      <c r="P108" t="inlineStr">
        <is>
          <t>OK</t>
        </is>
      </c>
      <c r="R108" t="inlineStr">
        <is>
          <t>Unchanged from v3 allocation</t>
        </is>
      </c>
      <c r="S108" t="inlineStr">
        <is>
          <t>astilla_prime_set</t>
        </is>
      </c>
      <c r="T108" t="n">
        <v>35</v>
      </c>
      <c r="U108" t="n">
        <v>35</v>
      </c>
      <c r="V108" t="n">
        <v>38</v>
      </c>
      <c r="W108" t="n">
        <v>40</v>
      </c>
      <c r="X108" t="n">
        <v>39.4</v>
      </c>
      <c r="Y108" t="n">
        <v>2826</v>
      </c>
      <c r="Z108" t="n">
        <v>73</v>
      </c>
      <c r="AC108" t="inlineStr">
        <is>
          <t>Signature - Gara Prime</t>
        </is>
      </c>
      <c r="AD108" t="inlineStr">
        <is>
          <t>+80 Ammo Max</t>
        </is>
      </c>
      <c r="AE108" t="inlineStr">
        <is>
          <t>No</t>
        </is>
      </c>
      <c r="AL108" t="inlineStr">
        <is>
          <t>Yes</t>
        </is>
      </c>
      <c r="AM108" t="n">
        <v>3</v>
      </c>
      <c r="AS108" t="inlineStr">
        <is>
          <t>Yes</t>
        </is>
      </c>
    </row>
    <row r="109">
      <c r="A109" t="inlineStr">
        <is>
          <t>Weapon</t>
        </is>
      </c>
      <c r="B109" t="inlineStr">
        <is>
          <t>Fusilai</t>
        </is>
      </c>
      <c r="C109" t="inlineStr">
        <is>
          <t>Gara Prime</t>
        </is>
      </c>
      <c r="D109" t="inlineStr">
        <is>
          <t>Secondary</t>
        </is>
      </c>
      <c r="E109" t="inlineStr">
        <is>
          <t>Standard</t>
        </is>
      </c>
      <c r="G109" t="n">
        <v>1</v>
      </c>
      <c r="H109" t="inlineStr">
        <is>
          <t>Farm / vendor / Dojo / quest</t>
        </is>
      </c>
      <c r="I109" t="inlineStr">
        <is>
          <t>No</t>
        </is>
      </c>
      <c r="K109" t="inlineStr">
        <is>
          <t>Core</t>
        </is>
      </c>
      <c r="P109" t="inlineStr">
        <is>
          <t>FARMABLE / ACCOUNT-BOUND</t>
        </is>
      </c>
      <c r="R109" t="inlineStr">
        <is>
          <t>Unchanged from v3 allocation</t>
        </is>
      </c>
      <c r="AC109" t="inlineStr">
        <is>
          <t>Signature - Gara Prime</t>
        </is>
      </c>
      <c r="AD109" t="inlineStr">
        <is>
          <t>+50% Projectile Speed</t>
        </is>
      </c>
      <c r="AE109" t="inlineStr">
        <is>
          <t>No</t>
        </is>
      </c>
      <c r="AL109" t="inlineStr">
        <is>
          <t>Yes</t>
        </is>
      </c>
      <c r="AM109" t="n">
        <v>3</v>
      </c>
      <c r="AS109" t="inlineStr">
        <is>
          <t>No</t>
        </is>
      </c>
    </row>
    <row r="110">
      <c r="A110" t="inlineStr">
        <is>
          <t>Weapon</t>
        </is>
      </c>
      <c r="B110" t="inlineStr">
        <is>
          <t>Volnus Prime</t>
        </is>
      </c>
      <c r="C110" t="inlineStr">
        <is>
          <t>Gara Prime</t>
        </is>
      </c>
      <c r="D110" t="inlineStr">
        <is>
          <t>Melee</t>
        </is>
      </c>
      <c r="E110" t="inlineStr">
        <is>
          <t>Prime</t>
        </is>
      </c>
      <c r="G110" t="n">
        <v>1</v>
      </c>
      <c r="H110" t="inlineStr">
        <is>
          <t>Player trade</t>
        </is>
      </c>
      <c r="I110" t="inlineStr">
        <is>
          <t>Yes</t>
        </is>
      </c>
      <c r="K110" t="inlineStr">
        <is>
          <t>Core</t>
        </is>
      </c>
      <c r="L110" t="n">
        <v>30</v>
      </c>
      <c r="M110" t="n">
        <v>30</v>
      </c>
      <c r="N110" t="n">
        <v>37</v>
      </c>
      <c r="O110" t="inlineStr">
        <is>
          <t>2026-10-05 UTC (WFM pull 02:52-04:00)</t>
        </is>
      </c>
      <c r="P110" t="inlineStr">
        <is>
          <t>OK</t>
        </is>
      </c>
      <c r="R110" t="inlineStr">
        <is>
          <t>Unchanged from v3 allocation</t>
        </is>
      </c>
      <c r="S110" t="inlineStr">
        <is>
          <t>volnus_prime_set</t>
        </is>
      </c>
      <c r="T110" t="n">
        <v>35</v>
      </c>
      <c r="U110" t="n">
        <v>35</v>
      </c>
      <c r="V110" t="n">
        <v>30</v>
      </c>
      <c r="W110" t="n">
        <v>30</v>
      </c>
      <c r="X110" t="n">
        <v>30.1</v>
      </c>
      <c r="Y110" t="n">
        <v>2104</v>
      </c>
      <c r="Z110" t="n">
        <v>48</v>
      </c>
      <c r="AA110" t="n">
        <v>20</v>
      </c>
      <c r="AB110" t="n">
        <v>10</v>
      </c>
      <c r="AC110" t="inlineStr">
        <is>
          <t>Signature - Gara Prime</t>
        </is>
      </c>
      <c r="AD110" t="inlineStr">
        <is>
          <t>+100% radial Slam damage</t>
        </is>
      </c>
      <c r="AE110" t="inlineStr">
        <is>
          <t>No</t>
        </is>
      </c>
      <c r="AL110" t="inlineStr">
        <is>
          <t>Yes</t>
        </is>
      </c>
      <c r="AM110" t="n">
        <v>3</v>
      </c>
      <c r="AS110" t="inlineStr">
        <is>
          <t>Yes</t>
        </is>
      </c>
    </row>
    <row r="111">
      <c r="A111" t="inlineStr">
        <is>
          <t>Weapon</t>
        </is>
      </c>
      <c r="B111" t="inlineStr">
        <is>
          <t>Nagantaka Prime</t>
        </is>
      </c>
      <c r="C111" t="inlineStr">
        <is>
          <t>Garuda Prime</t>
        </is>
      </c>
      <c r="D111" t="inlineStr">
        <is>
          <t>Primary</t>
        </is>
      </c>
      <c r="E111" t="inlineStr">
        <is>
          <t>Prime</t>
        </is>
      </c>
      <c r="G111" t="n">
        <v>1</v>
      </c>
      <c r="H111" t="inlineStr">
        <is>
          <t>Player trade</t>
        </is>
      </c>
      <c r="I111" t="inlineStr">
        <is>
          <t>Yes</t>
        </is>
      </c>
      <c r="K111" t="inlineStr">
        <is>
          <t>Core</t>
        </is>
      </c>
      <c r="L111" t="n">
        <v>40</v>
      </c>
      <c r="M111" t="n">
        <v>46</v>
      </c>
      <c r="N111" t="n">
        <v>56</v>
      </c>
      <c r="O111" t="inlineStr">
        <is>
          <t>2026-10-05 UTC (WFM pull 02:52-04:00)</t>
        </is>
      </c>
      <c r="P111" t="inlineStr">
        <is>
          <t>OK</t>
        </is>
      </c>
      <c r="R111" t="inlineStr">
        <is>
          <t>Unchanged from v3 allocation</t>
        </is>
      </c>
      <c r="S111" t="inlineStr">
        <is>
          <t>nagantaka_prime_set</t>
        </is>
      </c>
      <c r="T111" t="n">
        <v>21</v>
      </c>
      <c r="U111" t="n">
        <v>21</v>
      </c>
      <c r="V111" t="n">
        <v>45</v>
      </c>
      <c r="W111" t="n">
        <v>44</v>
      </c>
      <c r="X111" t="n">
        <v>42.9</v>
      </c>
      <c r="Y111" t="n">
        <v>2238</v>
      </c>
      <c r="Z111" t="n">
        <v>72</v>
      </c>
      <c r="AA111" t="n">
        <v>35</v>
      </c>
      <c r="AB111" t="n">
        <v>5</v>
      </c>
      <c r="AC111" t="inlineStr">
        <is>
          <t>Signature - Garuda Prime</t>
        </is>
      </c>
      <c r="AD111" t="inlineStr">
        <is>
          <t>+1m Punch Through</t>
        </is>
      </c>
      <c r="AE111" t="inlineStr">
        <is>
          <t>No</t>
        </is>
      </c>
      <c r="AL111" t="inlineStr">
        <is>
          <t>Yes</t>
        </is>
      </c>
      <c r="AM111" t="n">
        <v>3</v>
      </c>
      <c r="AS111" t="inlineStr">
        <is>
          <t>Yes</t>
        </is>
      </c>
    </row>
    <row r="112">
      <c r="A112" t="inlineStr">
        <is>
          <t>Weapon</t>
        </is>
      </c>
      <c r="B112" t="inlineStr">
        <is>
          <t>Despair</t>
        </is>
      </c>
      <c r="C112" t="inlineStr">
        <is>
          <t>Garuda Prime</t>
        </is>
      </c>
      <c r="D112" t="inlineStr">
        <is>
          <t>Secondary</t>
        </is>
      </c>
      <c r="E112" t="inlineStr">
        <is>
          <t>Standard</t>
        </is>
      </c>
      <c r="G112" t="n">
        <v>1</v>
      </c>
      <c r="H112" t="inlineStr">
        <is>
          <t>Farm / vendor / Dojo / quest</t>
        </is>
      </c>
      <c r="I112" t="inlineStr">
        <is>
          <t>No</t>
        </is>
      </c>
      <c r="K112" t="inlineStr">
        <is>
          <t>Core</t>
        </is>
      </c>
      <c r="P112" t="inlineStr">
        <is>
          <t>FARMABLE / ACCOUNT-BOUND</t>
        </is>
      </c>
      <c r="Q112" t="inlineStr">
        <is>
          <t>v3: Zakti Prime</t>
        </is>
      </c>
      <c r="R112" t="inlineStr">
        <is>
          <t>Zakti Prime duplicate (Garuda vs Nezha); neither has a signature claim. Nezha keeps it (Prime Access tie-break only). Despair Incarnon: thrown blades suit talon kit (D).</t>
        </is>
      </c>
      <c r="AC112" t="inlineStr">
        <is>
          <t>Non-signature</t>
        </is>
      </c>
      <c r="AE112" t="inlineStr">
        <is>
          <t>Yes (Genesis)</t>
        </is>
      </c>
      <c r="AF112" t="inlineStr">
        <is>
          <t>Incarnon Genesis (farm: Steel Path Circuit)</t>
        </is>
      </c>
      <c r="AL112" t="inlineStr">
        <is>
          <t>Yes</t>
        </is>
      </c>
      <c r="AM112" t="n">
        <v>4</v>
      </c>
      <c r="AS112" t="inlineStr">
        <is>
          <t>No</t>
        </is>
      </c>
    </row>
    <row r="113">
      <c r="A113" t="inlineStr">
        <is>
          <t>Exalted / Intrinsic</t>
        </is>
      </c>
      <c r="B113" t="inlineStr">
        <is>
          <t>Garuda Prime Talons</t>
        </is>
      </c>
      <c r="C113" t="inlineStr">
        <is>
          <t>Garuda Prime</t>
        </is>
      </c>
      <c r="D113" t="inlineStr">
        <is>
          <t>Melee</t>
        </is>
      </c>
      <c r="G113" t="n">
        <v>1</v>
      </c>
      <c r="H113" t="inlineStr">
        <is>
          <t>Comes with frame</t>
        </is>
      </c>
      <c r="I113" t="inlineStr">
        <is>
          <t>No</t>
        </is>
      </c>
      <c r="P113" t="inlineStr">
        <is>
          <t>INCLUDED WITH FRAME</t>
        </is>
      </c>
      <c r="R113" t="inlineStr">
        <is>
          <t>Unchanged from v3 allocation</t>
        </is>
      </c>
      <c r="AC113" t="inlineStr">
        <is>
          <t>Exalted/Intrinsic</t>
        </is>
      </c>
      <c r="AL113" t="inlineStr">
        <is>
          <t>No (frame Reactor)</t>
        </is>
      </c>
      <c r="AS113" t="inlineStr">
        <is>
          <t>No</t>
        </is>
      </c>
    </row>
    <row r="114">
      <c r="A114" t="inlineStr">
        <is>
          <t>Weapon</t>
        </is>
      </c>
      <c r="B114" t="inlineStr">
        <is>
          <t>Acceltra Prime</t>
        </is>
      </c>
      <c r="C114" t="inlineStr">
        <is>
          <t>Gauss Prime</t>
        </is>
      </c>
      <c r="D114" t="inlineStr">
        <is>
          <t>Primary</t>
        </is>
      </c>
      <c r="E114" t="inlineStr">
        <is>
          <t>Prime</t>
        </is>
      </c>
      <c r="G114" t="n">
        <v>1</v>
      </c>
      <c r="H114" t="inlineStr">
        <is>
          <t>Player trade</t>
        </is>
      </c>
      <c r="I114" t="inlineStr">
        <is>
          <t>Yes</t>
        </is>
      </c>
      <c r="K114" t="inlineStr">
        <is>
          <t>Core</t>
        </is>
      </c>
      <c r="L114" t="n">
        <v>40</v>
      </c>
      <c r="M114" t="n">
        <v>44</v>
      </c>
      <c r="N114" t="n">
        <v>56</v>
      </c>
      <c r="O114" t="inlineStr">
        <is>
          <t>2026-10-05 UTC (WFM pull 02:52-04:00)</t>
        </is>
      </c>
      <c r="P114" t="inlineStr">
        <is>
          <t>OK</t>
        </is>
      </c>
      <c r="R114" t="inlineStr">
        <is>
          <t>Unchanged from v3 allocation</t>
        </is>
      </c>
      <c r="S114" t="inlineStr">
        <is>
          <t>acceltra_prime_set</t>
        </is>
      </c>
      <c r="T114" t="n">
        <v>33</v>
      </c>
      <c r="U114" t="n">
        <v>33</v>
      </c>
      <c r="V114" t="n">
        <v>50</v>
      </c>
      <c r="W114" t="n">
        <v>44</v>
      </c>
      <c r="X114" t="n">
        <v>44.3</v>
      </c>
      <c r="Y114" t="n">
        <v>8561</v>
      </c>
      <c r="Z114" t="n">
        <v>210</v>
      </c>
      <c r="AA114" t="n">
        <v>28</v>
      </c>
      <c r="AB114" t="n">
        <v>12</v>
      </c>
      <c r="AC114" t="inlineStr">
        <is>
          <t>Signature - Gauss Prime</t>
        </is>
      </c>
      <c r="AD114" t="inlineStr">
        <is>
          <t>Sprint reload buff +50%</t>
        </is>
      </c>
      <c r="AE114" t="inlineStr">
        <is>
          <t>No</t>
        </is>
      </c>
      <c r="AL114" t="inlineStr">
        <is>
          <t>Yes</t>
        </is>
      </c>
      <c r="AM114" t="n">
        <v>3</v>
      </c>
      <c r="AS114" t="inlineStr">
        <is>
          <t>Yes</t>
        </is>
      </c>
    </row>
    <row r="115">
      <c r="A115" t="inlineStr">
        <is>
          <t>Weapon</t>
        </is>
      </c>
      <c r="B115" t="inlineStr">
        <is>
          <t>Akarius Prime</t>
        </is>
      </c>
      <c r="C115" t="inlineStr">
        <is>
          <t>Gauss Prime</t>
        </is>
      </c>
      <c r="D115" t="inlineStr">
        <is>
          <t>Secondary</t>
        </is>
      </c>
      <c r="E115" t="inlineStr">
        <is>
          <t>Prime</t>
        </is>
      </c>
      <c r="G115" t="n">
        <v>1</v>
      </c>
      <c r="H115" t="inlineStr">
        <is>
          <t>Player trade</t>
        </is>
      </c>
      <c r="I115" t="inlineStr">
        <is>
          <t>Yes</t>
        </is>
      </c>
      <c r="K115" t="inlineStr">
        <is>
          <t>Core</t>
        </is>
      </c>
      <c r="L115" t="n">
        <v>89</v>
      </c>
      <c r="M115" t="n">
        <v>90</v>
      </c>
      <c r="N115" t="n">
        <v>100</v>
      </c>
      <c r="O115" t="inlineStr">
        <is>
          <t>2026-10-05 UTC (WFM pull 02:52-04:00)</t>
        </is>
      </c>
      <c r="P115" t="inlineStr">
        <is>
          <t>OK</t>
        </is>
      </c>
      <c r="R115" t="inlineStr">
        <is>
          <t>Unchanged from v3 allocation</t>
        </is>
      </c>
      <c r="S115" t="inlineStr">
        <is>
          <t>akarius_prime_set</t>
        </is>
      </c>
      <c r="T115" t="n">
        <v>39</v>
      </c>
      <c r="U115" t="n">
        <v>39</v>
      </c>
      <c r="V115" t="n">
        <v>88.5</v>
      </c>
      <c r="W115" t="n">
        <v>80</v>
      </c>
      <c r="X115" t="n">
        <v>80.3</v>
      </c>
      <c r="Y115" t="n">
        <v>7358</v>
      </c>
      <c r="Z115" t="n">
        <v>148</v>
      </c>
      <c r="AA115" t="n">
        <v>70</v>
      </c>
      <c r="AB115" t="n">
        <v>19</v>
      </c>
      <c r="AC115" t="inlineStr">
        <is>
          <t>Signature - Gauss Prime</t>
        </is>
      </c>
      <c r="AD115" t="inlineStr">
        <is>
          <t>Sprint reload buff +100%</t>
        </is>
      </c>
      <c r="AE115" t="inlineStr">
        <is>
          <t>No</t>
        </is>
      </c>
      <c r="AL115" t="inlineStr">
        <is>
          <t>Yes</t>
        </is>
      </c>
      <c r="AM115" t="n">
        <v>3</v>
      </c>
      <c r="AS115" t="inlineStr">
        <is>
          <t>Yes</t>
        </is>
      </c>
    </row>
    <row r="116">
      <c r="A116" t="inlineStr">
        <is>
          <t>Weapon</t>
        </is>
      </c>
      <c r="B116" t="inlineStr">
        <is>
          <t>Praedos</t>
        </is>
      </c>
      <c r="C116" t="inlineStr">
        <is>
          <t>Gauss Prime</t>
        </is>
      </c>
      <c r="D116" t="inlineStr">
        <is>
          <t>Melee</t>
        </is>
      </c>
      <c r="E116" t="inlineStr">
        <is>
          <t>Standard</t>
        </is>
      </c>
      <c r="G116" t="n">
        <v>1</v>
      </c>
      <c r="H116" t="inlineStr">
        <is>
          <t>Player trade (blueprint; craft resources farmable)</t>
        </is>
      </c>
      <c r="I116" t="inlineStr">
        <is>
          <t>Yes</t>
        </is>
      </c>
      <c r="K116" t="inlineStr">
        <is>
          <t>Core</t>
        </is>
      </c>
      <c r="L116" t="n">
        <v>7</v>
      </c>
      <c r="M116" t="n">
        <v>9</v>
      </c>
      <c r="N116" t="n">
        <v>11</v>
      </c>
      <c r="O116" t="inlineStr">
        <is>
          <t>2026-10-05 UTC (WFM pull 02:52-04:00)</t>
        </is>
      </c>
      <c r="P116" t="inlineStr">
        <is>
          <t>OK</t>
        </is>
      </c>
      <c r="R116" t="inlineStr">
        <is>
          <t>Unchanged from v3 allocation</t>
        </is>
      </c>
      <c r="S116" t="inlineStr">
        <is>
          <t>praedos_blueprint</t>
        </is>
      </c>
      <c r="T116" t="n">
        <v>8</v>
      </c>
      <c r="U116" t="n">
        <v>8</v>
      </c>
      <c r="V116" t="n">
        <v>9</v>
      </c>
      <c r="W116" t="n">
        <v>9</v>
      </c>
      <c r="X116" t="n">
        <v>8.9</v>
      </c>
      <c r="Y116" t="n">
        <v>781</v>
      </c>
      <c r="Z116" t="n">
        <v>21</v>
      </c>
      <c r="AC116" t="inlineStr">
        <is>
          <t>Non-signature</t>
        </is>
      </c>
      <c r="AE116" t="inlineStr">
        <is>
          <t>Yes (innate)</t>
        </is>
      </c>
      <c r="AL116" t="inlineStr">
        <is>
          <t>Yes</t>
        </is>
      </c>
      <c r="AM116" t="n">
        <v>4</v>
      </c>
      <c r="AS116" t="inlineStr">
        <is>
          <t>Yes</t>
        </is>
      </c>
    </row>
    <row r="117">
      <c r="A117" t="inlineStr">
        <is>
          <t>Weapon</t>
        </is>
      </c>
      <c r="B117" t="inlineStr">
        <is>
          <t>Trumna</t>
        </is>
      </c>
      <c r="C117" t="inlineStr">
        <is>
          <t>Grendel Prime</t>
        </is>
      </c>
      <c r="D117" t="inlineStr">
        <is>
          <t>Primary</t>
        </is>
      </c>
      <c r="E117" t="inlineStr">
        <is>
          <t>Standard</t>
        </is>
      </c>
      <c r="G117" t="n">
        <v>1</v>
      </c>
      <c r="H117" t="inlineStr">
        <is>
          <t>Farm / vendor / Dojo / quest</t>
        </is>
      </c>
      <c r="I117" t="inlineStr">
        <is>
          <t>No</t>
        </is>
      </c>
      <c r="K117" t="inlineStr">
        <is>
          <t>Core</t>
        </is>
      </c>
      <c r="P117" t="inlineStr">
        <is>
          <t>FARMABLE / ACCOUNT-BOUND</t>
        </is>
      </c>
      <c r="R117" t="inlineStr">
        <is>
          <t>Unchanged from v3 allocation</t>
        </is>
      </c>
      <c r="AC117" t="inlineStr">
        <is>
          <t>Non-signature</t>
        </is>
      </c>
      <c r="AE117" t="inlineStr">
        <is>
          <t>No</t>
        </is>
      </c>
      <c r="AL117" t="inlineStr">
        <is>
          <t>Yes</t>
        </is>
      </c>
      <c r="AM117" t="n">
        <v>3</v>
      </c>
      <c r="AS117" t="inlineStr">
        <is>
          <t>No</t>
        </is>
      </c>
    </row>
    <row r="118">
      <c r="A118" t="inlineStr">
        <is>
          <t>Weapon</t>
        </is>
      </c>
      <c r="B118" t="inlineStr">
        <is>
          <t>Sepulcrum</t>
        </is>
      </c>
      <c r="C118" t="inlineStr">
        <is>
          <t>Grendel Prime</t>
        </is>
      </c>
      <c r="D118" t="inlineStr">
        <is>
          <t>Secondary</t>
        </is>
      </c>
      <c r="E118" t="inlineStr">
        <is>
          <t>Standard</t>
        </is>
      </c>
      <c r="G118" t="n">
        <v>1</v>
      </c>
      <c r="H118" t="inlineStr">
        <is>
          <t>Farm / vendor / Dojo / quest</t>
        </is>
      </c>
      <c r="I118" t="inlineStr">
        <is>
          <t>No</t>
        </is>
      </c>
      <c r="K118" t="inlineStr">
        <is>
          <t>Core</t>
        </is>
      </c>
      <c r="P118" t="inlineStr">
        <is>
          <t>FARMABLE / ACCOUNT-BOUND</t>
        </is>
      </c>
      <c r="R118" t="inlineStr">
        <is>
          <t>Unchanged from v3 allocation</t>
        </is>
      </c>
      <c r="AC118" t="inlineStr">
        <is>
          <t>Non-signature</t>
        </is>
      </c>
      <c r="AE118" t="inlineStr">
        <is>
          <t>No</t>
        </is>
      </c>
      <c r="AL118" t="inlineStr">
        <is>
          <t>Yes</t>
        </is>
      </c>
      <c r="AM118" t="n">
        <v>3</v>
      </c>
      <c r="AS118" t="inlineStr">
        <is>
          <t>No</t>
        </is>
      </c>
    </row>
    <row r="119">
      <c r="A119" t="inlineStr">
        <is>
          <t>Weapon</t>
        </is>
      </c>
      <c r="B119" t="inlineStr">
        <is>
          <t>Masseter Prime</t>
        </is>
      </c>
      <c r="C119" t="inlineStr">
        <is>
          <t>Grendel Prime</t>
        </is>
      </c>
      <c r="D119" t="inlineStr">
        <is>
          <t>Melee</t>
        </is>
      </c>
      <c r="E119" t="inlineStr">
        <is>
          <t>Prime</t>
        </is>
      </c>
      <c r="G119" t="n">
        <v>1</v>
      </c>
      <c r="H119" t="inlineStr">
        <is>
          <t>Player trade</t>
        </is>
      </c>
      <c r="I119" t="inlineStr">
        <is>
          <t>Yes</t>
        </is>
      </c>
      <c r="K119" t="inlineStr">
        <is>
          <t>Core</t>
        </is>
      </c>
      <c r="L119" t="n">
        <v>24</v>
      </c>
      <c r="M119" t="n">
        <v>25</v>
      </c>
      <c r="N119" t="n">
        <v>28</v>
      </c>
      <c r="O119" t="inlineStr">
        <is>
          <t>2026-10-05 UTC (WFM pull 02:52-04:00)</t>
        </is>
      </c>
      <c r="P119" t="inlineStr">
        <is>
          <t>OK</t>
        </is>
      </c>
      <c r="R119" t="inlineStr">
        <is>
          <t>Unchanged from v3 allocation</t>
        </is>
      </c>
      <c r="S119" t="inlineStr">
        <is>
          <t>masseter_prime_set</t>
        </is>
      </c>
      <c r="T119" t="n">
        <v>21</v>
      </c>
      <c r="U119" t="n">
        <v>21</v>
      </c>
      <c r="V119" t="n">
        <v>20</v>
      </c>
      <c r="W119" t="n">
        <v>20</v>
      </c>
      <c r="X119" t="n">
        <v>18.7</v>
      </c>
      <c r="Y119" t="n">
        <v>2073</v>
      </c>
      <c r="Z119" t="n">
        <v>36</v>
      </c>
      <c r="AC119" t="inlineStr">
        <is>
          <t>Signature - Grendel Prime</t>
        </is>
      </c>
      <c r="AD119" t="inlineStr">
        <is>
          <t>CC immunity during Heavy Attacks</t>
        </is>
      </c>
      <c r="AE119" t="inlineStr">
        <is>
          <t>No</t>
        </is>
      </c>
      <c r="AL119" t="inlineStr">
        <is>
          <t>Yes</t>
        </is>
      </c>
      <c r="AM119" t="n">
        <v>3</v>
      </c>
      <c r="AS119" t="inlineStr">
        <is>
          <t>Yes</t>
        </is>
      </c>
    </row>
    <row r="120">
      <c r="A120" t="inlineStr">
        <is>
          <t>Weapon</t>
        </is>
      </c>
      <c r="B120" t="inlineStr">
        <is>
          <t>Alternox Prime</t>
        </is>
      </c>
      <c r="C120" t="inlineStr">
        <is>
          <t>Gyre Prime</t>
        </is>
      </c>
      <c r="D120" t="inlineStr">
        <is>
          <t>Primary</t>
        </is>
      </c>
      <c r="E120" t="inlineStr">
        <is>
          <t>Prime</t>
        </is>
      </c>
      <c r="G120" t="n">
        <v>1</v>
      </c>
      <c r="H120" t="inlineStr">
        <is>
          <t>Player trade</t>
        </is>
      </c>
      <c r="I120" t="inlineStr">
        <is>
          <t>Yes</t>
        </is>
      </c>
      <c r="K120" t="inlineStr">
        <is>
          <t>Core</t>
        </is>
      </c>
      <c r="L120" t="n">
        <v>19</v>
      </c>
      <c r="M120" t="n">
        <v>20</v>
      </c>
      <c r="N120" t="n">
        <v>27</v>
      </c>
      <c r="O120" t="inlineStr">
        <is>
          <t>2026-10-05 UTC (WFM pull 02:52-04:00)</t>
        </is>
      </c>
      <c r="P120" t="inlineStr">
        <is>
          <t>OK</t>
        </is>
      </c>
      <c r="R120" t="inlineStr">
        <is>
          <t>Unchanged from v3 allocation</t>
        </is>
      </c>
      <c r="S120" t="inlineStr">
        <is>
          <t>alternox_prime_set</t>
        </is>
      </c>
      <c r="T120" t="n">
        <v>44</v>
      </c>
      <c r="U120" t="n">
        <v>44</v>
      </c>
      <c r="V120" t="n">
        <v>20</v>
      </c>
      <c r="W120" t="n">
        <v>25</v>
      </c>
      <c r="X120" t="n">
        <v>24.5</v>
      </c>
      <c r="Y120" t="n">
        <v>5611</v>
      </c>
      <c r="Z120" t="n">
        <v>158</v>
      </c>
      <c r="AA120" t="n">
        <v>21</v>
      </c>
      <c r="AB120" t="n">
        <v>-2</v>
      </c>
      <c r="AC120" t="inlineStr">
        <is>
          <t>Signature - Gyre Prime</t>
        </is>
      </c>
      <c r="AD120" t="inlineStr">
        <is>
          <t>+20% Multishot</t>
        </is>
      </c>
      <c r="AE120" t="inlineStr">
        <is>
          <t>No</t>
        </is>
      </c>
      <c r="AL120" t="inlineStr">
        <is>
          <t>Yes</t>
        </is>
      </c>
      <c r="AM120" t="n">
        <v>3</v>
      </c>
      <c r="AS120" t="inlineStr">
        <is>
          <t>Yes</t>
        </is>
      </c>
    </row>
    <row r="121">
      <c r="A121" t="inlineStr">
        <is>
          <t>Weapon</t>
        </is>
      </c>
      <c r="B121" t="inlineStr">
        <is>
          <t>Prisma Angstrum</t>
        </is>
      </c>
      <c r="C121" t="inlineStr">
        <is>
          <t>Gyre Prime</t>
        </is>
      </c>
      <c r="D121" t="inlineStr">
        <is>
          <t>Secondary</t>
        </is>
      </c>
      <c r="E121" t="inlineStr">
        <is>
          <t>Vandal/Wraith/Prisma</t>
        </is>
      </c>
      <c r="G121" t="n">
        <v>1</v>
      </c>
      <c r="H121" t="inlineStr">
        <is>
          <t>Player trade</t>
        </is>
      </c>
      <c r="I121" t="inlineStr">
        <is>
          <t>Yes</t>
        </is>
      </c>
      <c r="K121" t="inlineStr">
        <is>
          <t>Core</t>
        </is>
      </c>
      <c r="L121" t="n">
        <v>70</v>
      </c>
      <c r="M121" t="n">
        <v>85</v>
      </c>
      <c r="N121" t="n">
        <v>105</v>
      </c>
      <c r="O121" t="inlineStr">
        <is>
          <t>2026-10-05 UTC (WFM pull 02:52-04:00)</t>
        </is>
      </c>
      <c r="P121" t="inlineStr">
        <is>
          <t>OK</t>
        </is>
      </c>
      <c r="R121" t="inlineStr">
        <is>
          <t>Unchanged from v3 allocation</t>
        </is>
      </c>
      <c r="S121" t="inlineStr">
        <is>
          <t>prisma_angstrum</t>
        </is>
      </c>
      <c r="T121" t="n">
        <v>10</v>
      </c>
      <c r="U121" t="n">
        <v>10</v>
      </c>
      <c r="V121" t="n">
        <v>74</v>
      </c>
      <c r="W121" t="n">
        <v>60</v>
      </c>
      <c r="X121" t="n">
        <v>61.8</v>
      </c>
      <c r="Y121" t="n">
        <v>1163</v>
      </c>
      <c r="Z121" t="n">
        <v>16</v>
      </c>
      <c r="AA121" t="n">
        <v>50</v>
      </c>
      <c r="AB121" t="n">
        <v>20</v>
      </c>
      <c r="AC121" t="inlineStr">
        <is>
          <t>Non-signature</t>
        </is>
      </c>
      <c r="AE121" t="inlineStr">
        <is>
          <t>Yes (Genesis)</t>
        </is>
      </c>
      <c r="AF121" t="inlineStr">
        <is>
          <t>Incarnon Genesis (farm: Steel Path Circuit)</t>
        </is>
      </c>
      <c r="AL121" t="inlineStr">
        <is>
          <t>Yes</t>
        </is>
      </c>
      <c r="AM121" t="n">
        <v>4</v>
      </c>
      <c r="AS121" t="inlineStr">
        <is>
          <t>Yes</t>
        </is>
      </c>
    </row>
    <row r="122">
      <c r="A122" t="inlineStr">
        <is>
          <t>Weapon</t>
        </is>
      </c>
      <c r="B122" t="inlineStr">
        <is>
          <t>Kestrel Prime</t>
        </is>
      </c>
      <c r="C122" t="inlineStr">
        <is>
          <t>Gyre Prime</t>
        </is>
      </c>
      <c r="D122" t="inlineStr">
        <is>
          <t>Melee</t>
        </is>
      </c>
      <c r="E122" t="inlineStr">
        <is>
          <t>Prime</t>
        </is>
      </c>
      <c r="G122" t="n">
        <v>1</v>
      </c>
      <c r="H122" t="inlineStr">
        <is>
          <t>Player trade</t>
        </is>
      </c>
      <c r="I122" t="inlineStr">
        <is>
          <t>Yes</t>
        </is>
      </c>
      <c r="K122" t="inlineStr">
        <is>
          <t>Core</t>
        </is>
      </c>
      <c r="L122" t="n">
        <v>20</v>
      </c>
      <c r="M122" t="n">
        <v>24</v>
      </c>
      <c r="N122" t="n">
        <v>28</v>
      </c>
      <c r="O122" t="inlineStr">
        <is>
          <t>2026-10-05 UTC (WFM pull 02:52-04:00)</t>
        </is>
      </c>
      <c r="P122" t="inlineStr">
        <is>
          <t>OK</t>
        </is>
      </c>
      <c r="R122" t="inlineStr">
        <is>
          <t>Unchanged from v3 allocation</t>
        </is>
      </c>
      <c r="S122" t="inlineStr">
        <is>
          <t>kestrel_prime_set</t>
        </is>
      </c>
      <c r="T122" t="n">
        <v>28</v>
      </c>
      <c r="U122" t="n">
        <v>28</v>
      </c>
      <c r="V122" t="n">
        <v>20</v>
      </c>
      <c r="W122" t="n">
        <v>24</v>
      </c>
      <c r="X122" t="n">
        <v>23.4</v>
      </c>
      <c r="Y122" t="n">
        <v>3595</v>
      </c>
      <c r="Z122" t="n">
        <v>100</v>
      </c>
      <c r="AC122" t="inlineStr">
        <is>
          <t>Non-signature</t>
        </is>
      </c>
      <c r="AE122" t="inlineStr">
        <is>
          <t>No</t>
        </is>
      </c>
      <c r="AL122" t="inlineStr">
        <is>
          <t>Yes</t>
        </is>
      </c>
      <c r="AM122" t="n">
        <v>3</v>
      </c>
      <c r="AS122" t="inlineStr">
        <is>
          <t>Yes</t>
        </is>
      </c>
    </row>
    <row r="123">
      <c r="A123" t="inlineStr">
        <is>
          <t>Weapon</t>
        </is>
      </c>
      <c r="B123" t="inlineStr">
        <is>
          <t>Scourge Prime</t>
        </is>
      </c>
      <c r="C123" t="inlineStr">
        <is>
          <t>Harrow Prime</t>
        </is>
      </c>
      <c r="D123" t="inlineStr">
        <is>
          <t>Primary</t>
        </is>
      </c>
      <c r="E123" t="inlineStr">
        <is>
          <t>Prime</t>
        </is>
      </c>
      <c r="G123" t="n">
        <v>1</v>
      </c>
      <c r="H123" t="inlineStr">
        <is>
          <t>Player trade</t>
        </is>
      </c>
      <c r="I123" t="inlineStr">
        <is>
          <t>Yes</t>
        </is>
      </c>
      <c r="K123" t="inlineStr">
        <is>
          <t>Core</t>
        </is>
      </c>
      <c r="L123" t="n">
        <v>81</v>
      </c>
      <c r="M123" t="n">
        <v>90</v>
      </c>
      <c r="N123" t="n">
        <v>100</v>
      </c>
      <c r="O123" t="inlineStr">
        <is>
          <t>2026-10-05 UTC (WFM pull 02:52-04:00)</t>
        </is>
      </c>
      <c r="P123" t="inlineStr">
        <is>
          <t>OK</t>
        </is>
      </c>
      <c r="R123" t="inlineStr">
        <is>
          <t>Unchanged from v3 allocation</t>
        </is>
      </c>
      <c r="S123" t="inlineStr">
        <is>
          <t>scourge_prime_set</t>
        </is>
      </c>
      <c r="T123" t="n">
        <v>15</v>
      </c>
      <c r="U123" t="n">
        <v>15</v>
      </c>
      <c r="V123" t="n">
        <v>80</v>
      </c>
      <c r="W123" t="n">
        <v>80</v>
      </c>
      <c r="X123" t="n">
        <v>81.3</v>
      </c>
      <c r="Y123" t="n">
        <v>2176</v>
      </c>
      <c r="Z123" t="n">
        <v>60</v>
      </c>
      <c r="AA123" t="n">
        <v>60</v>
      </c>
      <c r="AB123" t="n">
        <v>21</v>
      </c>
      <c r="AC123" t="inlineStr">
        <is>
          <t>Signature - Harrow Prime</t>
        </is>
      </c>
      <c r="AD123" t="inlineStr">
        <is>
          <t>Signature, bonus not implemented</t>
        </is>
      </c>
      <c r="AE123" t="inlineStr">
        <is>
          <t>No</t>
        </is>
      </c>
      <c r="AL123" t="inlineStr">
        <is>
          <t>Yes</t>
        </is>
      </c>
      <c r="AM123" t="n">
        <v>3</v>
      </c>
      <c r="AS123" t="inlineStr">
        <is>
          <t>Yes</t>
        </is>
      </c>
    </row>
    <row r="124">
      <c r="A124" t="inlineStr">
        <is>
          <t>Weapon</t>
        </is>
      </c>
      <c r="B124" t="inlineStr">
        <is>
          <t>Knell Prime</t>
        </is>
      </c>
      <c r="C124" t="inlineStr">
        <is>
          <t>Harrow Prime</t>
        </is>
      </c>
      <c r="D124" t="inlineStr">
        <is>
          <t>Secondary</t>
        </is>
      </c>
      <c r="E124" t="inlineStr">
        <is>
          <t>Prime</t>
        </is>
      </c>
      <c r="G124" t="n">
        <v>1</v>
      </c>
      <c r="H124" t="inlineStr">
        <is>
          <t>Player trade</t>
        </is>
      </c>
      <c r="I124" t="inlineStr">
        <is>
          <t>Yes</t>
        </is>
      </c>
      <c r="K124" t="inlineStr">
        <is>
          <t>Core</t>
        </is>
      </c>
      <c r="L124" t="n">
        <v>45</v>
      </c>
      <c r="M124" t="n">
        <v>45</v>
      </c>
      <c r="N124" t="n">
        <v>56</v>
      </c>
      <c r="O124" t="inlineStr">
        <is>
          <t>2026-10-05 UTC (WFM pull 02:52-04:00)</t>
        </is>
      </c>
      <c r="P124" t="inlineStr">
        <is>
          <t>OK</t>
        </is>
      </c>
      <c r="R124" t="inlineStr">
        <is>
          <t>Unchanged from v3 allocation</t>
        </is>
      </c>
      <c r="S124" t="inlineStr">
        <is>
          <t>knell_prime_set</t>
        </is>
      </c>
      <c r="T124" t="n">
        <v>15</v>
      </c>
      <c r="U124" t="n">
        <v>15</v>
      </c>
      <c r="V124" t="n">
        <v>40</v>
      </c>
      <c r="W124" t="n">
        <v>40</v>
      </c>
      <c r="X124" t="n">
        <v>39</v>
      </c>
      <c r="Y124" t="n">
        <v>2111</v>
      </c>
      <c r="Z124" t="n">
        <v>52</v>
      </c>
      <c r="AA124" t="n">
        <v>20</v>
      </c>
      <c r="AB124" t="n">
        <v>25</v>
      </c>
      <c r="AC124" t="inlineStr">
        <is>
          <t>Signature - Harrow Prime</t>
        </is>
      </c>
      <c r="AD124" t="inlineStr">
        <is>
          <t>+1 Magazine</t>
        </is>
      </c>
      <c r="AE124" t="inlineStr">
        <is>
          <t>No</t>
        </is>
      </c>
      <c r="AL124" t="inlineStr">
        <is>
          <t>Yes</t>
        </is>
      </c>
      <c r="AM124" t="n">
        <v>3</v>
      </c>
      <c r="AS124" t="inlineStr">
        <is>
          <t>Yes</t>
        </is>
      </c>
    </row>
    <row r="125">
      <c r="A125" t="inlineStr">
        <is>
          <t>Weapon</t>
        </is>
      </c>
      <c r="B125" t="inlineStr">
        <is>
          <t>Dual Keres</t>
        </is>
      </c>
      <c r="C125" t="inlineStr">
        <is>
          <t>Harrow Prime</t>
        </is>
      </c>
      <c r="D125" t="inlineStr">
        <is>
          <t>Melee</t>
        </is>
      </c>
      <c r="E125" t="inlineStr">
        <is>
          <t>Standard</t>
        </is>
      </c>
      <c r="G125" t="n">
        <v>1</v>
      </c>
      <c r="H125" t="inlineStr">
        <is>
          <t>Farm / vendor / Dojo / quest</t>
        </is>
      </c>
      <c r="I125" t="inlineStr">
        <is>
          <t>No</t>
        </is>
      </c>
      <c r="K125" t="inlineStr">
        <is>
          <t>Core</t>
        </is>
      </c>
      <c r="P125" t="inlineStr">
        <is>
          <t>FARMABLE / ACCOUNT-BOUND</t>
        </is>
      </c>
      <c r="R125" t="inlineStr">
        <is>
          <t>Unchanged from v3 allocation</t>
        </is>
      </c>
      <c r="AC125" t="inlineStr">
        <is>
          <t>Non-signature</t>
        </is>
      </c>
      <c r="AE125" t="inlineStr">
        <is>
          <t>No</t>
        </is>
      </c>
      <c r="AL125" t="inlineStr">
        <is>
          <t>Yes</t>
        </is>
      </c>
      <c r="AM125" t="n">
        <v>3</v>
      </c>
      <c r="AS125" t="inlineStr">
        <is>
          <t>No</t>
        </is>
      </c>
    </row>
    <row r="126">
      <c r="A126" t="inlineStr">
        <is>
          <t>Weapon</t>
        </is>
      </c>
      <c r="B126" t="inlineStr">
        <is>
          <t>Gorgon Wraith</t>
        </is>
      </c>
      <c r="C126" t="inlineStr">
        <is>
          <t>Hildryn Prime</t>
        </is>
      </c>
      <c r="D126" t="inlineStr">
        <is>
          <t>Primary</t>
        </is>
      </c>
      <c r="E126" t="inlineStr">
        <is>
          <t>Vandal/Wraith/Prisma</t>
        </is>
      </c>
      <c r="G126" t="n">
        <v>1</v>
      </c>
      <c r="H126" t="inlineStr">
        <is>
          <t>Player trade</t>
        </is>
      </c>
      <c r="I126" t="inlineStr">
        <is>
          <t>Yes</t>
        </is>
      </c>
      <c r="K126" t="inlineStr">
        <is>
          <t>Core</t>
        </is>
      </c>
      <c r="L126" t="n">
        <v>10</v>
      </c>
      <c r="M126" t="n">
        <v>10</v>
      </c>
      <c r="N126" t="n">
        <v>11</v>
      </c>
      <c r="O126" t="inlineStr">
        <is>
          <t>2026-10-05 UTC (WFM pull 02:52-04:00)</t>
        </is>
      </c>
      <c r="P126" t="inlineStr">
        <is>
          <t>OK</t>
        </is>
      </c>
      <c r="Q126" t="inlineStr">
        <is>
          <t>v3: Larkspur Prime</t>
        </is>
      </c>
      <c r="R126" t="inlineStr">
        <is>
          <t>Larkspur Prime is an ARCHGUN, so the Primary slot was effectively empty. Larkspur moved to an Archgun signature extra. Gorgon Wraith Incarnon (E).</t>
        </is>
      </c>
      <c r="S126" t="inlineStr">
        <is>
          <t>gorgon_wraith_set</t>
        </is>
      </c>
      <c r="T126" t="n">
        <v>19</v>
      </c>
      <c r="U126" t="n">
        <v>19</v>
      </c>
      <c r="V126" t="n">
        <v>10</v>
      </c>
      <c r="W126" t="n">
        <v>10</v>
      </c>
      <c r="X126" t="n">
        <v>10.7</v>
      </c>
      <c r="Y126" t="n">
        <v>1602</v>
      </c>
      <c r="Z126" t="n">
        <v>40</v>
      </c>
      <c r="AC126" t="inlineStr">
        <is>
          <t>Non-signature</t>
        </is>
      </c>
      <c r="AE126" t="inlineStr">
        <is>
          <t>Yes (Genesis)</t>
        </is>
      </c>
      <c r="AF126" t="inlineStr">
        <is>
          <t>Incarnon Genesis (farm: Steel Path Circuit)</t>
        </is>
      </c>
      <c r="AL126" t="inlineStr">
        <is>
          <t>Yes</t>
        </is>
      </c>
      <c r="AM126" t="n">
        <v>4</v>
      </c>
      <c r="AS126" t="inlineStr">
        <is>
          <t>Yes</t>
        </is>
      </c>
    </row>
    <row r="127">
      <c r="A127" t="inlineStr">
        <is>
          <t>Exalted / Intrinsic</t>
        </is>
      </c>
      <c r="B127" t="inlineStr">
        <is>
          <t>Balefire Charger Prime</t>
        </is>
      </c>
      <c r="C127" t="inlineStr">
        <is>
          <t>Hildryn Prime</t>
        </is>
      </c>
      <c r="D127" t="inlineStr">
        <is>
          <t>Secondary</t>
        </is>
      </c>
      <c r="G127" t="n">
        <v>1</v>
      </c>
      <c r="H127" t="inlineStr">
        <is>
          <t>Comes with frame</t>
        </is>
      </c>
      <c r="I127" t="inlineStr">
        <is>
          <t>No</t>
        </is>
      </c>
      <c r="P127" t="inlineStr">
        <is>
          <t>INCLUDED WITH FRAME</t>
        </is>
      </c>
      <c r="R127" t="inlineStr">
        <is>
          <t>Unchanged from v3 allocation</t>
        </is>
      </c>
      <c r="AC127" t="inlineStr">
        <is>
          <t>Exalted/Intrinsic</t>
        </is>
      </c>
      <c r="AL127" t="inlineStr">
        <is>
          <t>No (frame Reactor)</t>
        </is>
      </c>
      <c r="AS127" t="inlineStr">
        <is>
          <t>No</t>
        </is>
      </c>
    </row>
    <row r="128">
      <c r="A128" t="inlineStr">
        <is>
          <t>Weapon</t>
        </is>
      </c>
      <c r="B128" t="inlineStr">
        <is>
          <t>Hirudo</t>
        </is>
      </c>
      <c r="C128" t="inlineStr">
        <is>
          <t>Hildryn Prime</t>
        </is>
      </c>
      <c r="D128" t="inlineStr">
        <is>
          <t>Melee</t>
        </is>
      </c>
      <c r="E128" t="inlineStr">
        <is>
          <t>Standard</t>
        </is>
      </c>
      <c r="G128" t="n">
        <v>1</v>
      </c>
      <c r="H128" t="inlineStr">
        <is>
          <t>Farm / vendor / Dojo / quest</t>
        </is>
      </c>
      <c r="I128" t="inlineStr">
        <is>
          <t>No</t>
        </is>
      </c>
      <c r="K128" t="inlineStr">
        <is>
          <t>Core</t>
        </is>
      </c>
      <c r="P128" t="inlineStr">
        <is>
          <t>FARMABLE / ACCOUNT-BOUND</t>
        </is>
      </c>
      <c r="Q128" t="inlineStr">
        <is>
          <t>Coda Hirudo live (U38.5) - doctrine: no automatic Coda/adversary substitution; optional upgrade</t>
        </is>
      </c>
      <c r="R128" t="inlineStr">
        <is>
          <t>Unchanged from v3 allocation</t>
        </is>
      </c>
      <c r="AC128" t="inlineStr">
        <is>
          <t>Non-signature</t>
        </is>
      </c>
      <c r="AE128" t="inlineStr">
        <is>
          <t>No</t>
        </is>
      </c>
      <c r="AL128" t="inlineStr">
        <is>
          <t>Yes</t>
        </is>
      </c>
      <c r="AM128" t="n">
        <v>3</v>
      </c>
      <c r="AS128" t="inlineStr">
        <is>
          <t>No</t>
        </is>
      </c>
    </row>
    <row r="129">
      <c r="A129" t="inlineStr">
        <is>
          <t>Weapon</t>
        </is>
      </c>
      <c r="B129" t="inlineStr">
        <is>
          <t>Pox</t>
        </is>
      </c>
      <c r="C129" t="inlineStr">
        <is>
          <t>Hydroid Prime</t>
        </is>
      </c>
      <c r="D129" t="inlineStr">
        <is>
          <t>Secondary</t>
        </is>
      </c>
      <c r="E129" t="inlineStr">
        <is>
          <t>Standard</t>
        </is>
      </c>
      <c r="G129" t="n">
        <v>1</v>
      </c>
      <c r="H129" t="inlineStr">
        <is>
          <t>Farm / vendor / Dojo / quest</t>
        </is>
      </c>
      <c r="I129" t="inlineStr">
        <is>
          <t>No</t>
        </is>
      </c>
      <c r="K129" t="inlineStr">
        <is>
          <t>Core</t>
        </is>
      </c>
      <c r="P129" t="inlineStr">
        <is>
          <t>FARMABLE / ACCOUNT-BOUND</t>
        </is>
      </c>
      <c r="Q129" t="inlineStr">
        <is>
          <t>Coda Pox live (U38.5) - doctrine: no automatic Coda/adversary substitution; optional upgrade</t>
        </is>
      </c>
      <c r="R129" t="inlineStr">
        <is>
          <t>Unchanged from v3 allocation</t>
        </is>
      </c>
      <c r="AC129" t="inlineStr">
        <is>
          <t>Non-signature</t>
        </is>
      </c>
      <c r="AE129" t="inlineStr">
        <is>
          <t>No</t>
        </is>
      </c>
      <c r="AL129" t="inlineStr">
        <is>
          <t>Yes</t>
        </is>
      </c>
      <c r="AM129" t="n">
        <v>3</v>
      </c>
      <c r="AS129" t="inlineStr">
        <is>
          <t>No</t>
        </is>
      </c>
    </row>
    <row r="130">
      <c r="A130" t="inlineStr">
        <is>
          <t>Weapon</t>
        </is>
      </c>
      <c r="B130" t="inlineStr">
        <is>
          <t>Nami Skyla Prime</t>
        </is>
      </c>
      <c r="C130" t="inlineStr">
        <is>
          <t>Hydroid Prime</t>
        </is>
      </c>
      <c r="D130" t="inlineStr">
        <is>
          <t>Melee</t>
        </is>
      </c>
      <c r="E130" t="inlineStr">
        <is>
          <t>Prime</t>
        </is>
      </c>
      <c r="G130" t="n">
        <v>1</v>
      </c>
      <c r="H130" t="inlineStr">
        <is>
          <t>Player trade</t>
        </is>
      </c>
      <c r="I130" t="inlineStr">
        <is>
          <t>Yes</t>
        </is>
      </c>
      <c r="K130" t="inlineStr">
        <is>
          <t>Core</t>
        </is>
      </c>
      <c r="L130" t="n">
        <v>100</v>
      </c>
      <c r="M130" t="n">
        <v>100</v>
      </c>
      <c r="N130" t="n">
        <v>111</v>
      </c>
      <c r="O130" t="inlineStr">
        <is>
          <t>2026-10-05 UTC (WFM pull 02:52-04:00)</t>
        </is>
      </c>
      <c r="P130" t="inlineStr">
        <is>
          <t>OK</t>
        </is>
      </c>
      <c r="R130" t="inlineStr">
        <is>
          <t>Unchanged from v3 allocation</t>
        </is>
      </c>
      <c r="S130" t="inlineStr">
        <is>
          <t>nami_skyla_prime_set</t>
        </is>
      </c>
      <c r="T130" t="n">
        <v>19</v>
      </c>
      <c r="U130" t="n">
        <v>19</v>
      </c>
      <c r="V130" t="n">
        <v>100</v>
      </c>
      <c r="W130" t="n">
        <v>105</v>
      </c>
      <c r="X130" t="n">
        <v>104.4</v>
      </c>
      <c r="Y130" t="n">
        <v>1302</v>
      </c>
      <c r="Z130" t="n">
        <v>36</v>
      </c>
      <c r="AA130" t="n">
        <v>80</v>
      </c>
      <c r="AB130" t="n">
        <v>20</v>
      </c>
      <c r="AC130" t="inlineStr">
        <is>
          <t>Non-signature</t>
        </is>
      </c>
      <c r="AE130" t="inlineStr">
        <is>
          <t>No</t>
        </is>
      </c>
      <c r="AL130" t="inlineStr">
        <is>
          <t>Yes</t>
        </is>
      </c>
      <c r="AM130" t="n">
        <v>3</v>
      </c>
      <c r="AS130" t="inlineStr">
        <is>
          <t>Yes</t>
        </is>
      </c>
    </row>
    <row r="131">
      <c r="A131" t="inlineStr">
        <is>
          <t>Weapon</t>
        </is>
      </c>
      <c r="B131" t="inlineStr">
        <is>
          <t>Panthera Prime</t>
        </is>
      </c>
      <c r="C131" t="inlineStr">
        <is>
          <t>Inaros Prime</t>
        </is>
      </c>
      <c r="D131" t="inlineStr">
        <is>
          <t>Primary</t>
        </is>
      </c>
      <c r="E131" t="inlineStr">
        <is>
          <t>Prime</t>
        </is>
      </c>
      <c r="G131" t="n">
        <v>1</v>
      </c>
      <c r="H131" t="inlineStr">
        <is>
          <t>Player trade</t>
        </is>
      </c>
      <c r="I131" t="inlineStr">
        <is>
          <t>Yes</t>
        </is>
      </c>
      <c r="K131" t="inlineStr">
        <is>
          <t>Core</t>
        </is>
      </c>
      <c r="L131" t="n">
        <v>68</v>
      </c>
      <c r="M131" t="n">
        <v>70</v>
      </c>
      <c r="N131" t="n">
        <v>83</v>
      </c>
      <c r="O131" t="inlineStr">
        <is>
          <t>2026-10-05 UTC (WFM pull 02:52-04:00)</t>
        </is>
      </c>
      <c r="P131" t="inlineStr">
        <is>
          <t>OK</t>
        </is>
      </c>
      <c r="R131" t="inlineStr">
        <is>
          <t>Unchanged from v3 allocation</t>
        </is>
      </c>
      <c r="S131" t="inlineStr">
        <is>
          <t>panthera_prime_set</t>
        </is>
      </c>
      <c r="T131" t="n">
        <v>20</v>
      </c>
      <c r="U131" t="n">
        <v>20</v>
      </c>
      <c r="V131" t="n">
        <v>70</v>
      </c>
      <c r="W131" t="n">
        <v>70</v>
      </c>
      <c r="X131" t="n">
        <v>71.2</v>
      </c>
      <c r="Y131" t="n">
        <v>1566</v>
      </c>
      <c r="Z131" t="n">
        <v>29</v>
      </c>
      <c r="AA131" t="n">
        <v>55</v>
      </c>
      <c r="AB131" t="n">
        <v>13</v>
      </c>
      <c r="AC131" t="inlineStr">
        <is>
          <t>Non-signature</t>
        </is>
      </c>
      <c r="AE131" t="inlineStr">
        <is>
          <t>No</t>
        </is>
      </c>
      <c r="AL131" t="inlineStr">
        <is>
          <t>Yes</t>
        </is>
      </c>
      <c r="AM131" t="n">
        <v>3</v>
      </c>
      <c r="AS131" t="inlineStr">
        <is>
          <t>Yes</t>
        </is>
      </c>
    </row>
    <row r="132">
      <c r="A132" t="inlineStr">
        <is>
          <t>Weapon</t>
        </is>
      </c>
      <c r="B132" t="inlineStr">
        <is>
          <t>Zymos</t>
        </is>
      </c>
      <c r="C132" t="inlineStr">
        <is>
          <t>Inaros Prime</t>
        </is>
      </c>
      <c r="D132" t="inlineStr">
        <is>
          <t>Secondary</t>
        </is>
      </c>
      <c r="E132" t="inlineStr">
        <is>
          <t>Standard</t>
        </is>
      </c>
      <c r="G132" t="n">
        <v>1</v>
      </c>
      <c r="H132" t="inlineStr">
        <is>
          <t>Farm / vendor / Dojo / quest</t>
        </is>
      </c>
      <c r="I132" t="inlineStr">
        <is>
          <t>No</t>
        </is>
      </c>
      <c r="K132" t="inlineStr">
        <is>
          <t>Core</t>
        </is>
      </c>
      <c r="P132" t="inlineStr">
        <is>
          <t>FARMABLE / ACCOUNT-BOUND</t>
        </is>
      </c>
      <c r="R132" t="inlineStr">
        <is>
          <t>Unchanged from v3 allocation</t>
        </is>
      </c>
      <c r="AC132" t="inlineStr">
        <is>
          <t>Non-signature</t>
        </is>
      </c>
      <c r="AE132" t="inlineStr">
        <is>
          <t>No</t>
        </is>
      </c>
      <c r="AL132" t="inlineStr">
        <is>
          <t>Yes</t>
        </is>
      </c>
      <c r="AM132" t="n">
        <v>3</v>
      </c>
      <c r="AS132" t="inlineStr">
        <is>
          <t>No</t>
        </is>
      </c>
    </row>
    <row r="133">
      <c r="A133" t="inlineStr">
        <is>
          <t>Weapon</t>
        </is>
      </c>
      <c r="B133" t="inlineStr">
        <is>
          <t>Karyst Prime</t>
        </is>
      </c>
      <c r="C133" t="inlineStr">
        <is>
          <t>Inaros Prime</t>
        </is>
      </c>
      <c r="D133" t="inlineStr">
        <is>
          <t>Melee</t>
        </is>
      </c>
      <c r="E133" t="inlineStr">
        <is>
          <t>Prime</t>
        </is>
      </c>
      <c r="G133" t="n">
        <v>1</v>
      </c>
      <c r="H133" t="inlineStr">
        <is>
          <t>Player trade</t>
        </is>
      </c>
      <c r="I133" t="inlineStr">
        <is>
          <t>Yes</t>
        </is>
      </c>
      <c r="K133" t="inlineStr">
        <is>
          <t>Core</t>
        </is>
      </c>
      <c r="L133" t="n">
        <v>30</v>
      </c>
      <c r="M133" t="n">
        <v>40</v>
      </c>
      <c r="N133" t="n">
        <v>44</v>
      </c>
      <c r="O133" t="inlineStr">
        <is>
          <t>2026-10-05 UTC (WFM pull 02:52-04:00)</t>
        </is>
      </c>
      <c r="P133" t="inlineStr">
        <is>
          <t>OK</t>
        </is>
      </c>
      <c r="R133" t="inlineStr">
        <is>
          <t>Unchanged from v3 allocation</t>
        </is>
      </c>
      <c r="S133" t="inlineStr">
        <is>
          <t>karyst_prime_set</t>
        </is>
      </c>
      <c r="T133" t="n">
        <v>23</v>
      </c>
      <c r="U133" t="n">
        <v>23</v>
      </c>
      <c r="V133" t="n">
        <v>35</v>
      </c>
      <c r="W133" t="n">
        <v>35</v>
      </c>
      <c r="X133" t="n">
        <v>35.8</v>
      </c>
      <c r="Y133" t="n">
        <v>1743</v>
      </c>
      <c r="Z133" t="n">
        <v>60</v>
      </c>
      <c r="AC133" t="inlineStr">
        <is>
          <t>Non-signature</t>
        </is>
      </c>
      <c r="AE133" t="inlineStr">
        <is>
          <t>No</t>
        </is>
      </c>
      <c r="AL133" t="inlineStr">
        <is>
          <t>Yes</t>
        </is>
      </c>
      <c r="AM133" t="n">
        <v>3</v>
      </c>
      <c r="AS133" t="inlineStr">
        <is>
          <t>Yes</t>
        </is>
      </c>
    </row>
    <row r="134">
      <c r="A134" t="inlineStr">
        <is>
          <t>Exalted / Intrinsic</t>
        </is>
      </c>
      <c r="B134" t="inlineStr">
        <is>
          <t>Artemis Bow Prime</t>
        </is>
      </c>
      <c r="C134" t="inlineStr">
        <is>
          <t>Ivara Prime</t>
        </is>
      </c>
      <c r="D134" t="inlineStr">
        <is>
          <t>Primary</t>
        </is>
      </c>
      <c r="G134" t="n">
        <v>1</v>
      </c>
      <c r="H134" t="inlineStr">
        <is>
          <t>Comes with frame</t>
        </is>
      </c>
      <c r="I134" t="inlineStr">
        <is>
          <t>No</t>
        </is>
      </c>
      <c r="P134" t="inlineStr">
        <is>
          <t>INCLUDED WITH FRAME</t>
        </is>
      </c>
      <c r="R134" t="inlineStr">
        <is>
          <t>Unchanged from v3 allocation</t>
        </is>
      </c>
      <c r="AC134" t="inlineStr">
        <is>
          <t>Exalted/Intrinsic</t>
        </is>
      </c>
      <c r="AL134" t="inlineStr">
        <is>
          <t>No (frame Reactor)</t>
        </is>
      </c>
      <c r="AS134" t="inlineStr">
        <is>
          <t>No</t>
        </is>
      </c>
    </row>
    <row r="135">
      <c r="A135" t="inlineStr">
        <is>
          <t>Weapon</t>
        </is>
      </c>
      <c r="B135" t="inlineStr">
        <is>
          <t>Akstiletto Prime</t>
        </is>
      </c>
      <c r="C135" t="inlineStr">
        <is>
          <t>Ivara Prime</t>
        </is>
      </c>
      <c r="D135" t="inlineStr">
        <is>
          <t>Secondary</t>
        </is>
      </c>
      <c r="E135" t="inlineStr">
        <is>
          <t>Prime</t>
        </is>
      </c>
      <c r="G135" t="n">
        <v>1</v>
      </c>
      <c r="H135" t="inlineStr">
        <is>
          <t>Player trade</t>
        </is>
      </c>
      <c r="I135" t="inlineStr">
        <is>
          <t>Yes</t>
        </is>
      </c>
      <c r="K135" t="inlineStr">
        <is>
          <t>Core</t>
        </is>
      </c>
      <c r="L135" t="n">
        <v>104</v>
      </c>
      <c r="M135" t="n">
        <v>105</v>
      </c>
      <c r="N135" t="n">
        <v>122</v>
      </c>
      <c r="O135" t="inlineStr">
        <is>
          <t>2026-10-05 UTC (WFM pull 02:52-04:00)</t>
        </is>
      </c>
      <c r="P135" t="inlineStr">
        <is>
          <t>OK</t>
        </is>
      </c>
      <c r="R135" t="inlineStr">
        <is>
          <t>Unchanged from v3 allocation</t>
        </is>
      </c>
      <c r="S135" t="inlineStr">
        <is>
          <t>akstiletto_prime_set</t>
        </is>
      </c>
      <c r="T135" t="n">
        <v>27</v>
      </c>
      <c r="U135" t="n">
        <v>27</v>
      </c>
      <c r="V135" t="n">
        <v>109</v>
      </c>
      <c r="W135" t="n">
        <v>108</v>
      </c>
      <c r="X135" t="n">
        <v>106.3</v>
      </c>
      <c r="Y135" t="n">
        <v>1366</v>
      </c>
      <c r="Z135" t="n">
        <v>42</v>
      </c>
      <c r="AA135" t="n">
        <v>80</v>
      </c>
      <c r="AB135" t="n">
        <v>24</v>
      </c>
      <c r="AC135" t="inlineStr">
        <is>
          <t>Non-signature</t>
        </is>
      </c>
      <c r="AE135" t="inlineStr">
        <is>
          <t>No</t>
        </is>
      </c>
      <c r="AL135" t="inlineStr">
        <is>
          <t>Yes</t>
        </is>
      </c>
      <c r="AM135" t="n">
        <v>3</v>
      </c>
      <c r="AS135" t="inlineStr">
        <is>
          <t>Yes</t>
        </is>
      </c>
    </row>
    <row r="136">
      <c r="A136" t="inlineStr">
        <is>
          <t>Weapon</t>
        </is>
      </c>
      <c r="B136" t="inlineStr">
        <is>
          <t>Cerata</t>
        </is>
      </c>
      <c r="C136" t="inlineStr">
        <is>
          <t>Ivara Prime</t>
        </is>
      </c>
      <c r="D136" t="inlineStr">
        <is>
          <t>Melee</t>
        </is>
      </c>
      <c r="E136" t="inlineStr">
        <is>
          <t>Standard</t>
        </is>
      </c>
      <c r="G136" t="n">
        <v>1</v>
      </c>
      <c r="H136" t="inlineStr">
        <is>
          <t>Farm / vendor / Dojo / quest</t>
        </is>
      </c>
      <c r="I136" t="inlineStr">
        <is>
          <t>No</t>
        </is>
      </c>
      <c r="K136" t="inlineStr">
        <is>
          <t>Core</t>
        </is>
      </c>
      <c r="P136" t="inlineStr">
        <is>
          <t>FARMABLE / ACCOUNT-BOUND</t>
        </is>
      </c>
      <c r="R136" t="inlineStr">
        <is>
          <t>Unchanged from v3 allocation</t>
        </is>
      </c>
      <c r="AC136" t="inlineStr">
        <is>
          <t>Non-signature</t>
        </is>
      </c>
      <c r="AE136" t="inlineStr">
        <is>
          <t>No</t>
        </is>
      </c>
      <c r="AL136" t="inlineStr">
        <is>
          <t>Yes</t>
        </is>
      </c>
      <c r="AM136" t="n">
        <v>3</v>
      </c>
      <c r="AS136" t="inlineStr">
        <is>
          <t>No</t>
        </is>
      </c>
    </row>
    <row r="137">
      <c r="A137" t="inlineStr">
        <is>
          <t>Weapon</t>
        </is>
      </c>
      <c r="B137" t="inlineStr">
        <is>
          <t>Evensong</t>
        </is>
      </c>
      <c r="C137" t="inlineStr">
        <is>
          <t>Jade</t>
        </is>
      </c>
      <c r="D137" t="inlineStr">
        <is>
          <t>Primary</t>
        </is>
      </c>
      <c r="E137" t="inlineStr">
        <is>
          <t>Standard</t>
        </is>
      </c>
      <c r="G137" t="n">
        <v>1</v>
      </c>
      <c r="H137" t="inlineStr">
        <is>
          <t>Farm / vendor / Dojo / quest</t>
        </is>
      </c>
      <c r="I137" t="inlineStr">
        <is>
          <t>No</t>
        </is>
      </c>
      <c r="K137" t="inlineStr">
        <is>
          <t>Core</t>
        </is>
      </c>
      <c r="P137" t="inlineStr">
        <is>
          <t>FARMABLE / ACCOUNT-BOUND</t>
        </is>
      </c>
      <c r="R137" t="inlineStr">
        <is>
          <t>Unchanged from v3 allocation</t>
        </is>
      </c>
      <c r="AC137" t="inlineStr">
        <is>
          <t>Signature - Jade</t>
        </is>
      </c>
      <c r="AD137" t="inlineStr">
        <is>
          <t>Signature, bonus not implemented</t>
        </is>
      </c>
      <c r="AE137" t="inlineStr">
        <is>
          <t>No</t>
        </is>
      </c>
      <c r="AL137" t="inlineStr">
        <is>
          <t>Yes</t>
        </is>
      </c>
      <c r="AM137" t="n">
        <v>3</v>
      </c>
      <c r="AS137" t="inlineStr">
        <is>
          <t>No</t>
        </is>
      </c>
    </row>
    <row r="138">
      <c r="A138" t="inlineStr">
        <is>
          <t>Weapon</t>
        </is>
      </c>
      <c r="B138" t="inlineStr">
        <is>
          <t>Cantare</t>
        </is>
      </c>
      <c r="C138" t="inlineStr">
        <is>
          <t>Jade</t>
        </is>
      </c>
      <c r="D138" t="inlineStr">
        <is>
          <t>Secondary</t>
        </is>
      </c>
      <c r="E138" t="inlineStr">
        <is>
          <t>Standard</t>
        </is>
      </c>
      <c r="G138" t="n">
        <v>1</v>
      </c>
      <c r="H138" t="inlineStr">
        <is>
          <t>Farm / vendor / Dojo / quest</t>
        </is>
      </c>
      <c r="I138" t="inlineStr">
        <is>
          <t>No</t>
        </is>
      </c>
      <c r="K138" t="inlineStr">
        <is>
          <t>Core</t>
        </is>
      </c>
      <c r="P138" t="inlineStr">
        <is>
          <t>FARMABLE / ACCOUNT-BOUND</t>
        </is>
      </c>
      <c r="R138" t="inlineStr">
        <is>
          <t>Unchanged from v3 allocation</t>
        </is>
      </c>
      <c r="AC138" t="inlineStr">
        <is>
          <t>Signature - Jade</t>
        </is>
      </c>
      <c r="AD138" t="inlineStr">
        <is>
          <t>Signature, bonus not implemented</t>
        </is>
      </c>
      <c r="AE138" t="inlineStr">
        <is>
          <t>No</t>
        </is>
      </c>
      <c r="AL138" t="inlineStr">
        <is>
          <t>Yes</t>
        </is>
      </c>
      <c r="AM138" t="n">
        <v>3</v>
      </c>
      <c r="AS138" t="inlineStr">
        <is>
          <t>No</t>
        </is>
      </c>
    </row>
    <row r="139">
      <c r="A139" t="inlineStr">
        <is>
          <t>Weapon</t>
        </is>
      </c>
      <c r="B139" t="inlineStr">
        <is>
          <t>Harmony</t>
        </is>
      </c>
      <c r="C139" t="inlineStr">
        <is>
          <t>Jade</t>
        </is>
      </c>
      <c r="D139" t="inlineStr">
        <is>
          <t>Melee</t>
        </is>
      </c>
      <c r="E139" t="inlineStr">
        <is>
          <t>Standard</t>
        </is>
      </c>
      <c r="G139" t="n">
        <v>1</v>
      </c>
      <c r="H139" t="inlineStr">
        <is>
          <t>Farm / vendor / Dojo / quest</t>
        </is>
      </c>
      <c r="I139" t="inlineStr">
        <is>
          <t>No</t>
        </is>
      </c>
      <c r="K139" t="inlineStr">
        <is>
          <t>Core</t>
        </is>
      </c>
      <c r="P139" t="inlineStr">
        <is>
          <t>FARMABLE / ACCOUNT-BOUND</t>
        </is>
      </c>
      <c r="R139" t="inlineStr">
        <is>
          <t>Unchanged from v3 allocation</t>
        </is>
      </c>
      <c r="AC139" t="inlineStr">
        <is>
          <t>Signature - Jade</t>
        </is>
      </c>
      <c r="AD139" t="inlineStr">
        <is>
          <t>Signature, bonus not implemented</t>
        </is>
      </c>
      <c r="AE139" t="inlineStr">
        <is>
          <t>No</t>
        </is>
      </c>
      <c r="AL139" t="inlineStr">
        <is>
          <t>Yes</t>
        </is>
      </c>
      <c r="AM139" t="n">
        <v>3</v>
      </c>
      <c r="AS139" t="inlineStr">
        <is>
          <t>No</t>
        </is>
      </c>
    </row>
    <row r="140">
      <c r="A140" t="inlineStr">
        <is>
          <t>Weapon</t>
        </is>
      </c>
      <c r="B140" t="inlineStr">
        <is>
          <t>Corinth Prime</t>
        </is>
      </c>
      <c r="C140" t="inlineStr">
        <is>
          <t>Khora Prime</t>
        </is>
      </c>
      <c r="D140" t="inlineStr">
        <is>
          <t>Primary</t>
        </is>
      </c>
      <c r="E140" t="inlineStr">
        <is>
          <t>Prime</t>
        </is>
      </c>
      <c r="G140" t="n">
        <v>1</v>
      </c>
      <c r="H140" t="inlineStr">
        <is>
          <t>Player trade</t>
        </is>
      </c>
      <c r="I140" t="inlineStr">
        <is>
          <t>Yes</t>
        </is>
      </c>
      <c r="K140" t="inlineStr">
        <is>
          <t>Core</t>
        </is>
      </c>
      <c r="L140" t="n">
        <v>68</v>
      </c>
      <c r="M140" t="n">
        <v>69</v>
      </c>
      <c r="N140" t="n">
        <v>77</v>
      </c>
      <c r="O140" t="inlineStr">
        <is>
          <t>2026-10-05 UTC (WFM pull 02:52-04:00)</t>
        </is>
      </c>
      <c r="P140" t="inlineStr">
        <is>
          <t>OK</t>
        </is>
      </c>
      <c r="R140" t="inlineStr">
        <is>
          <t>Unchanged from v3 allocation</t>
        </is>
      </c>
      <c r="S140" t="inlineStr">
        <is>
          <t>corinth_prime_set</t>
        </is>
      </c>
      <c r="T140" t="n">
        <v>31</v>
      </c>
      <c r="U140" t="n">
        <v>31</v>
      </c>
      <c r="V140" t="n">
        <v>69</v>
      </c>
      <c r="W140" t="n">
        <v>68</v>
      </c>
      <c r="X140" t="n">
        <v>67.40000000000001</v>
      </c>
      <c r="Y140" t="n">
        <v>2782</v>
      </c>
      <c r="Z140" t="n">
        <v>62</v>
      </c>
      <c r="AC140" t="inlineStr">
        <is>
          <t>Non-signature</t>
        </is>
      </c>
      <c r="AE140" t="inlineStr">
        <is>
          <t>No</t>
        </is>
      </c>
      <c r="AL140" t="inlineStr">
        <is>
          <t>Yes</t>
        </is>
      </c>
      <c r="AM140" t="n">
        <v>3</v>
      </c>
      <c r="AS140" t="inlineStr">
        <is>
          <t>Yes</t>
        </is>
      </c>
    </row>
    <row r="141">
      <c r="A141" t="inlineStr">
        <is>
          <t>Weapon</t>
        </is>
      </c>
      <c r="B141" t="inlineStr">
        <is>
          <t>Hystrix Prime</t>
        </is>
      </c>
      <c r="C141" t="inlineStr">
        <is>
          <t>Khora Prime</t>
        </is>
      </c>
      <c r="D141" t="inlineStr">
        <is>
          <t>Secondary</t>
        </is>
      </c>
      <c r="E141" t="inlineStr">
        <is>
          <t>Prime</t>
        </is>
      </c>
      <c r="G141" t="n">
        <v>1</v>
      </c>
      <c r="H141" t="inlineStr">
        <is>
          <t>Player trade</t>
        </is>
      </c>
      <c r="I141" t="inlineStr">
        <is>
          <t>Yes</t>
        </is>
      </c>
      <c r="K141" t="inlineStr">
        <is>
          <t>Core</t>
        </is>
      </c>
      <c r="L141" t="n">
        <v>30</v>
      </c>
      <c r="M141" t="n">
        <v>34</v>
      </c>
      <c r="N141" t="n">
        <v>39</v>
      </c>
      <c r="O141" t="inlineStr">
        <is>
          <t>2026-10-05 UTC (WFM pull 02:52-04:00)</t>
        </is>
      </c>
      <c r="P141" t="inlineStr">
        <is>
          <t>OK</t>
        </is>
      </c>
      <c r="R141" t="inlineStr">
        <is>
          <t>Unchanged from v3 allocation</t>
        </is>
      </c>
      <c r="S141" t="inlineStr">
        <is>
          <t>hystrix_prime_set</t>
        </is>
      </c>
      <c r="T141" t="n">
        <v>24</v>
      </c>
      <c r="U141" t="n">
        <v>24</v>
      </c>
      <c r="V141" t="n">
        <v>34</v>
      </c>
      <c r="W141" t="n">
        <v>30</v>
      </c>
      <c r="X141" t="n">
        <v>31.5</v>
      </c>
      <c r="Y141" t="n">
        <v>2112</v>
      </c>
      <c r="Z141" t="n">
        <v>62</v>
      </c>
      <c r="AA141" t="n">
        <v>25</v>
      </c>
      <c r="AB141" t="n">
        <v>5</v>
      </c>
      <c r="AC141" t="inlineStr">
        <is>
          <t>Signature - Khora Prime</t>
        </is>
      </c>
      <c r="AD141" t="inlineStr">
        <is>
          <t>8% instant reload on headshot</t>
        </is>
      </c>
      <c r="AE141" t="inlineStr">
        <is>
          <t>No</t>
        </is>
      </c>
      <c r="AL141" t="inlineStr">
        <is>
          <t>Yes</t>
        </is>
      </c>
      <c r="AM141" t="n">
        <v>3</v>
      </c>
      <c r="AS141" t="inlineStr">
        <is>
          <t>Yes</t>
        </is>
      </c>
    </row>
    <row r="142">
      <c r="A142" t="inlineStr">
        <is>
          <t>Weapon</t>
        </is>
      </c>
      <c r="B142" t="inlineStr">
        <is>
          <t>Dual Keres Prime</t>
        </is>
      </c>
      <c r="C142" t="inlineStr">
        <is>
          <t>Khora Prime</t>
        </is>
      </c>
      <c r="D142" t="inlineStr">
        <is>
          <t>Melee</t>
        </is>
      </c>
      <c r="E142" t="inlineStr">
        <is>
          <t>Prime</t>
        </is>
      </c>
      <c r="G142" t="n">
        <v>1</v>
      </c>
      <c r="H142" t="inlineStr">
        <is>
          <t>Player trade</t>
        </is>
      </c>
      <c r="I142" t="inlineStr">
        <is>
          <t>Yes</t>
        </is>
      </c>
      <c r="K142" t="inlineStr">
        <is>
          <t>Core</t>
        </is>
      </c>
      <c r="L142" t="n">
        <v>64</v>
      </c>
      <c r="M142" t="n">
        <v>66</v>
      </c>
      <c r="N142" t="n">
        <v>77</v>
      </c>
      <c r="O142" t="inlineStr">
        <is>
          <t>2026-10-05 UTC (WFM pull 02:52-04:00)</t>
        </is>
      </c>
      <c r="P142" t="inlineStr">
        <is>
          <t>OK</t>
        </is>
      </c>
      <c r="R142" t="inlineStr">
        <is>
          <t>Unchanged from v3 allocation</t>
        </is>
      </c>
      <c r="S142" t="inlineStr">
        <is>
          <t>dual_keres_prime_set</t>
        </is>
      </c>
      <c r="T142" t="n">
        <v>18</v>
      </c>
      <c r="U142" t="n">
        <v>18</v>
      </c>
      <c r="V142" t="n">
        <v>65</v>
      </c>
      <c r="W142" t="n">
        <v>65</v>
      </c>
      <c r="X142" t="n">
        <v>65.09999999999999</v>
      </c>
      <c r="Y142" t="n">
        <v>1977</v>
      </c>
      <c r="Z142" t="n">
        <v>59</v>
      </c>
      <c r="AA142" t="n">
        <v>50</v>
      </c>
      <c r="AB142" t="n">
        <v>14</v>
      </c>
      <c r="AC142" t="inlineStr">
        <is>
          <t>Signature - Khora Prime</t>
        </is>
      </c>
      <c r="AD142" t="inlineStr">
        <is>
          <t>20% Heavy Attack Efficiency</t>
        </is>
      </c>
      <c r="AE142" t="inlineStr">
        <is>
          <t>No</t>
        </is>
      </c>
      <c r="AL142" t="inlineStr">
        <is>
          <t>Yes</t>
        </is>
      </c>
      <c r="AM142" t="n">
        <v>3</v>
      </c>
      <c r="AS142" t="inlineStr">
        <is>
          <t>Yes</t>
        </is>
      </c>
    </row>
    <row r="143">
      <c r="A143" t="inlineStr">
        <is>
          <t>Weapon</t>
        </is>
      </c>
      <c r="B143" t="inlineStr">
        <is>
          <t>Higasa</t>
        </is>
      </c>
      <c r="C143" t="inlineStr">
        <is>
          <t>Koumei</t>
        </is>
      </c>
      <c r="D143" t="inlineStr">
        <is>
          <t>Primary</t>
        </is>
      </c>
      <c r="E143" t="inlineStr">
        <is>
          <t>Standard</t>
        </is>
      </c>
      <c r="G143" t="n">
        <v>1</v>
      </c>
      <c r="H143" t="inlineStr">
        <is>
          <t>Farm / vendor / Dojo / quest</t>
        </is>
      </c>
      <c r="I143" t="inlineStr">
        <is>
          <t>No</t>
        </is>
      </c>
      <c r="K143" t="inlineStr">
        <is>
          <t>Core</t>
        </is>
      </c>
      <c r="P143" t="inlineStr">
        <is>
          <t>FARMABLE / ACCOUNT-BOUND</t>
        </is>
      </c>
      <c r="R143" t="inlineStr">
        <is>
          <t>Unchanged from v3 allocation</t>
        </is>
      </c>
      <c r="AC143" t="inlineStr">
        <is>
          <t>Signature - Koumei</t>
        </is>
      </c>
      <c r="AD143" t="inlineStr">
        <is>
          <t>Signature, bonus not implemented</t>
        </is>
      </c>
      <c r="AE143" t="inlineStr">
        <is>
          <t>No</t>
        </is>
      </c>
      <c r="AL143" t="inlineStr">
        <is>
          <t>Yes</t>
        </is>
      </c>
      <c r="AM143" t="n">
        <v>3</v>
      </c>
      <c r="AS143" t="inlineStr">
        <is>
          <t>No</t>
        </is>
      </c>
    </row>
    <row r="144">
      <c r="A144" t="inlineStr">
        <is>
          <t>Weapon</t>
        </is>
      </c>
      <c r="B144" t="inlineStr">
        <is>
          <t>Kunai</t>
        </is>
      </c>
      <c r="C144" t="inlineStr">
        <is>
          <t>Koumei</t>
        </is>
      </c>
      <c r="D144" t="inlineStr">
        <is>
          <t>Secondary</t>
        </is>
      </c>
      <c r="E144" t="inlineStr">
        <is>
          <t>Standard</t>
        </is>
      </c>
      <c r="G144" t="n">
        <v>1</v>
      </c>
      <c r="H144" t="inlineStr">
        <is>
          <t>Farm / vendor / Dojo / quest</t>
        </is>
      </c>
      <c r="I144" t="inlineStr">
        <is>
          <t>No</t>
        </is>
      </c>
      <c r="K144" t="inlineStr">
        <is>
          <t>Core</t>
        </is>
      </c>
      <c r="P144" t="inlineStr">
        <is>
          <t>FARMABLE / ACCOUNT-BOUND</t>
        </is>
      </c>
      <c r="Q144" t="inlineStr">
        <is>
          <t>v3: Kompressa</t>
        </is>
      </c>
      <c r="R144" t="inlineStr">
        <is>
          <t>Kompressa line is Yareli signature (+30% Projectile Speed); Kompressa Prime exists. Kunai Incarnon: Japanese-themed thrown sidearm (D).</t>
        </is>
      </c>
      <c r="AC144" t="inlineStr">
        <is>
          <t>Non-signature</t>
        </is>
      </c>
      <c r="AE144" t="inlineStr">
        <is>
          <t>Yes (Genesis)</t>
        </is>
      </c>
      <c r="AF144" t="inlineStr">
        <is>
          <t>Incarnon Genesis (farm: Steel Path Circuit)</t>
        </is>
      </c>
      <c r="AL144" t="inlineStr">
        <is>
          <t>Yes</t>
        </is>
      </c>
      <c r="AM144" t="n">
        <v>4</v>
      </c>
      <c r="AS144" t="inlineStr">
        <is>
          <t>No</t>
        </is>
      </c>
    </row>
    <row r="145">
      <c r="A145" t="inlineStr">
        <is>
          <t>Weapon</t>
        </is>
      </c>
      <c r="B145" t="inlineStr">
        <is>
          <t>Amanata</t>
        </is>
      </c>
      <c r="C145" t="inlineStr">
        <is>
          <t>Koumei</t>
        </is>
      </c>
      <c r="D145" t="inlineStr">
        <is>
          <t>Melee</t>
        </is>
      </c>
      <c r="E145" t="inlineStr">
        <is>
          <t>Standard</t>
        </is>
      </c>
      <c r="G145" t="n">
        <v>1</v>
      </c>
      <c r="H145" t="inlineStr">
        <is>
          <t>Farm / vendor / Dojo / quest</t>
        </is>
      </c>
      <c r="I145" t="inlineStr">
        <is>
          <t>No</t>
        </is>
      </c>
      <c r="K145" t="inlineStr">
        <is>
          <t>Core</t>
        </is>
      </c>
      <c r="P145" t="inlineStr">
        <is>
          <t>FARMABLE / ACCOUNT-BOUND</t>
        </is>
      </c>
      <c r="R145" t="inlineStr">
        <is>
          <t>Unchanged from v3 allocation</t>
        </is>
      </c>
      <c r="AC145" t="inlineStr">
        <is>
          <t>Signature - Koumei</t>
        </is>
      </c>
      <c r="AD145" t="inlineStr">
        <is>
          <t>Signature, bonus not implemented</t>
        </is>
      </c>
      <c r="AE145" t="inlineStr">
        <is>
          <t>No</t>
        </is>
      </c>
      <c r="AL145" t="inlineStr">
        <is>
          <t>Yes</t>
        </is>
      </c>
      <c r="AM145" t="n">
        <v>3</v>
      </c>
      <c r="AS145" t="inlineStr">
        <is>
          <t>No</t>
        </is>
      </c>
    </row>
    <row r="146">
      <c r="A146" t="inlineStr">
        <is>
          <t>Weapon</t>
        </is>
      </c>
      <c r="B146" t="inlineStr">
        <is>
          <t>Rauta</t>
        </is>
      </c>
      <c r="C146" t="inlineStr">
        <is>
          <t>Kullervo</t>
        </is>
      </c>
      <c r="D146" t="inlineStr">
        <is>
          <t>Primary</t>
        </is>
      </c>
      <c r="E146" t="inlineStr">
        <is>
          <t>Standard</t>
        </is>
      </c>
      <c r="G146" t="n">
        <v>1</v>
      </c>
      <c r="H146" t="inlineStr">
        <is>
          <t>Player trade</t>
        </is>
      </c>
      <c r="I146" t="inlineStr">
        <is>
          <t>Yes</t>
        </is>
      </c>
      <c r="K146" t="inlineStr">
        <is>
          <t>Core</t>
        </is>
      </c>
      <c r="L146" t="n">
        <v>40</v>
      </c>
      <c r="M146" t="n">
        <v>45</v>
      </c>
      <c r="N146" t="n">
        <v>56</v>
      </c>
      <c r="O146" t="inlineStr">
        <is>
          <t>2026-10-05 UTC (WFM pull 02:52-04:00)</t>
        </is>
      </c>
      <c r="P146" t="inlineStr">
        <is>
          <t>OK</t>
        </is>
      </c>
      <c r="R146" t="inlineStr">
        <is>
          <t>Unchanged from v3 allocation</t>
        </is>
      </c>
      <c r="S146" t="inlineStr">
        <is>
          <t>rauta_set</t>
        </is>
      </c>
      <c r="T146" t="n">
        <v>73</v>
      </c>
      <c r="U146" t="n">
        <v>0</v>
      </c>
      <c r="V146" t="n">
        <v>50</v>
      </c>
      <c r="W146" t="n">
        <v>50</v>
      </c>
      <c r="X146" t="n">
        <v>51.3</v>
      </c>
      <c r="Y146" t="n">
        <v>546</v>
      </c>
      <c r="Z146" t="n">
        <v>11</v>
      </c>
      <c r="AA146" t="n">
        <v>30</v>
      </c>
      <c r="AB146" t="n">
        <v>10</v>
      </c>
      <c r="AC146" t="inlineStr">
        <is>
          <t>Signature - Kullervo</t>
        </is>
      </c>
      <c r="AD146" t="inlineStr">
        <is>
          <t>+7s Melee Combo duration</t>
        </is>
      </c>
      <c r="AE146" t="inlineStr">
        <is>
          <t>No</t>
        </is>
      </c>
      <c r="AL146" t="inlineStr">
        <is>
          <t>Yes</t>
        </is>
      </c>
      <c r="AM146" t="n">
        <v>3</v>
      </c>
      <c r="AS146" t="inlineStr">
        <is>
          <t>Yes</t>
        </is>
      </c>
    </row>
    <row r="147">
      <c r="A147" t="inlineStr">
        <is>
          <t>Weapon</t>
        </is>
      </c>
      <c r="B147" t="inlineStr">
        <is>
          <t>Epitaph</t>
        </is>
      </c>
      <c r="C147" t="inlineStr">
        <is>
          <t>Kullervo</t>
        </is>
      </c>
      <c r="D147" t="inlineStr">
        <is>
          <t>Secondary</t>
        </is>
      </c>
      <c r="E147" t="inlineStr">
        <is>
          <t>Standard</t>
        </is>
      </c>
      <c r="G147" t="n">
        <v>1</v>
      </c>
      <c r="H147" t="inlineStr">
        <is>
          <t>Player trade</t>
        </is>
      </c>
      <c r="I147" t="inlineStr">
        <is>
          <t>Yes</t>
        </is>
      </c>
      <c r="K147" t="inlineStr">
        <is>
          <t>Core</t>
        </is>
      </c>
      <c r="L147" t="n">
        <v>7</v>
      </c>
      <c r="M147" t="n">
        <v>7</v>
      </c>
      <c r="N147" t="n">
        <v>11</v>
      </c>
      <c r="O147" t="inlineStr">
        <is>
          <t>2026-10-05 UTC (WFM pull 02:52-04:00)</t>
        </is>
      </c>
      <c r="P147" t="inlineStr">
        <is>
          <t>OK</t>
        </is>
      </c>
      <c r="R147" t="inlineStr">
        <is>
          <t>Unchanged from v3 allocation</t>
        </is>
      </c>
      <c r="S147" t="inlineStr">
        <is>
          <t>epitaph_set</t>
        </is>
      </c>
      <c r="T147" t="n">
        <v>22</v>
      </c>
      <c r="U147" t="n">
        <v>22</v>
      </c>
      <c r="V147" t="n">
        <v>8</v>
      </c>
      <c r="W147" t="n">
        <v>8</v>
      </c>
      <c r="X147" t="n">
        <v>8.300000000000001</v>
      </c>
      <c r="Y147" t="n">
        <v>1667</v>
      </c>
      <c r="Z147" t="n">
        <v>28</v>
      </c>
      <c r="AC147" t="inlineStr">
        <is>
          <t>Non-signature</t>
        </is>
      </c>
      <c r="AE147" t="inlineStr">
        <is>
          <t>No</t>
        </is>
      </c>
      <c r="AL147" t="inlineStr">
        <is>
          <t>Yes</t>
        </is>
      </c>
      <c r="AM147" t="n">
        <v>3</v>
      </c>
      <c r="AS147" t="inlineStr">
        <is>
          <t>Yes</t>
        </is>
      </c>
    </row>
    <row r="148">
      <c r="A148" t="inlineStr">
        <is>
          <t>Weapon</t>
        </is>
      </c>
      <c r="B148" t="inlineStr">
        <is>
          <t>Azothane</t>
        </is>
      </c>
      <c r="C148" t="inlineStr">
        <is>
          <t>Kullervo</t>
        </is>
      </c>
      <c r="D148" t="inlineStr">
        <is>
          <t>Melee</t>
        </is>
      </c>
      <c r="E148" t="inlineStr">
        <is>
          <t>Standard</t>
        </is>
      </c>
      <c r="G148" t="n">
        <v>1</v>
      </c>
      <c r="H148" t="inlineStr">
        <is>
          <t>Farm / vendor / Dojo / quest</t>
        </is>
      </c>
      <c r="I148" t="inlineStr">
        <is>
          <t>No</t>
        </is>
      </c>
      <c r="K148" t="inlineStr">
        <is>
          <t>Core</t>
        </is>
      </c>
      <c r="P148" t="inlineStr">
        <is>
          <t>FARMABLE / ACCOUNT-BOUND</t>
        </is>
      </c>
      <c r="R148" t="inlineStr">
        <is>
          <t>Unchanged from v3 allocation</t>
        </is>
      </c>
      <c r="AC148" t="inlineStr">
        <is>
          <t>Non-signature</t>
        </is>
      </c>
      <c r="AE148" t="inlineStr">
        <is>
          <t>No</t>
        </is>
      </c>
      <c r="AL148" t="inlineStr">
        <is>
          <t>Yes</t>
        </is>
      </c>
      <c r="AM148" t="n">
        <v>3</v>
      </c>
      <c r="AS148" t="inlineStr">
        <is>
          <t>No</t>
        </is>
      </c>
    </row>
    <row r="149">
      <c r="A149" t="inlineStr">
        <is>
          <t>Weapon</t>
        </is>
      </c>
      <c r="B149" t="inlineStr">
        <is>
          <t>Cedo Prime</t>
        </is>
      </c>
      <c r="C149" t="inlineStr">
        <is>
          <t>Lavos Prime</t>
        </is>
      </c>
      <c r="D149" t="inlineStr">
        <is>
          <t>Primary</t>
        </is>
      </c>
      <c r="E149" t="inlineStr">
        <is>
          <t>Prime</t>
        </is>
      </c>
      <c r="G149" t="n">
        <v>1</v>
      </c>
      <c r="H149" t="inlineStr">
        <is>
          <t>Player trade</t>
        </is>
      </c>
      <c r="I149" t="inlineStr">
        <is>
          <t>Yes</t>
        </is>
      </c>
      <c r="K149" t="inlineStr">
        <is>
          <t>Core</t>
        </is>
      </c>
      <c r="L149" t="n">
        <v>19</v>
      </c>
      <c r="M149" t="n">
        <v>19</v>
      </c>
      <c r="N149" t="n">
        <v>22</v>
      </c>
      <c r="O149" t="inlineStr">
        <is>
          <t>2026-10-05 UTC (WFM pull 02:52-04:00)</t>
        </is>
      </c>
      <c r="P149" t="inlineStr">
        <is>
          <t>OK</t>
        </is>
      </c>
      <c r="R149" t="inlineStr">
        <is>
          <t>Unchanged from v3 allocation</t>
        </is>
      </c>
      <c r="S149" t="inlineStr">
        <is>
          <t>cedo_prime_set</t>
        </is>
      </c>
      <c r="T149" t="n">
        <v>51</v>
      </c>
      <c r="U149" t="n">
        <v>51</v>
      </c>
      <c r="V149" t="n">
        <v>18</v>
      </c>
      <c r="W149" t="n">
        <v>20</v>
      </c>
      <c r="X149" t="n">
        <v>18.8</v>
      </c>
      <c r="Y149" t="n">
        <v>10269</v>
      </c>
      <c r="Z149" t="n">
        <v>223</v>
      </c>
      <c r="AA149" t="n">
        <v>15</v>
      </c>
      <c r="AB149" t="n">
        <v>4</v>
      </c>
      <c r="AC149" t="inlineStr">
        <is>
          <t>Signature - Lavos Prime</t>
        </is>
      </c>
      <c r="AD149" t="inlineStr">
        <is>
          <t>Shotgun Ammo Mutation effect</t>
        </is>
      </c>
      <c r="AE149" t="inlineStr">
        <is>
          <t>No</t>
        </is>
      </c>
      <c r="AL149" t="inlineStr">
        <is>
          <t>Yes</t>
        </is>
      </c>
      <c r="AM149" t="n">
        <v>3</v>
      </c>
      <c r="AS149" t="inlineStr">
        <is>
          <t>Yes</t>
        </is>
      </c>
    </row>
    <row r="150">
      <c r="A150" t="inlineStr">
        <is>
          <t>Weapon</t>
        </is>
      </c>
      <c r="B150" t="inlineStr">
        <is>
          <t>Cyanex</t>
        </is>
      </c>
      <c r="C150" t="inlineStr">
        <is>
          <t>Lavos Prime</t>
        </is>
      </c>
      <c r="D150" t="inlineStr">
        <is>
          <t>Secondary</t>
        </is>
      </c>
      <c r="E150" t="inlineStr">
        <is>
          <t>Standard</t>
        </is>
      </c>
      <c r="G150" t="n">
        <v>1</v>
      </c>
      <c r="H150" t="inlineStr">
        <is>
          <t>Farm / vendor / Dojo / quest</t>
        </is>
      </c>
      <c r="I150" t="inlineStr">
        <is>
          <t>No</t>
        </is>
      </c>
      <c r="K150" t="inlineStr">
        <is>
          <t>Core</t>
        </is>
      </c>
      <c r="P150" t="inlineStr">
        <is>
          <t>FARMABLE / ACCOUNT-BOUND</t>
        </is>
      </c>
      <c r="R150" t="inlineStr">
        <is>
          <t>Unchanged from v3 allocation</t>
        </is>
      </c>
      <c r="AC150" t="inlineStr">
        <is>
          <t>Non-signature</t>
        </is>
      </c>
      <c r="AE150" t="inlineStr">
        <is>
          <t>No</t>
        </is>
      </c>
      <c r="AL150" t="inlineStr">
        <is>
          <t>Yes</t>
        </is>
      </c>
      <c r="AM150" t="n">
        <v>3</v>
      </c>
      <c r="AS150" t="inlineStr">
        <is>
          <t>No</t>
        </is>
      </c>
    </row>
    <row r="151">
      <c r="A151" t="inlineStr">
        <is>
          <t>Weapon</t>
        </is>
      </c>
      <c r="B151" t="inlineStr">
        <is>
          <t>Dual Zoren Prime</t>
        </is>
      </c>
      <c r="C151" t="inlineStr">
        <is>
          <t>Lavos Prime</t>
        </is>
      </c>
      <c r="D151" t="inlineStr">
        <is>
          <t>Melee</t>
        </is>
      </c>
      <c r="E151" t="inlineStr">
        <is>
          <t>Prime</t>
        </is>
      </c>
      <c r="G151" t="n">
        <v>1</v>
      </c>
      <c r="H151" t="inlineStr">
        <is>
          <t>Player trade</t>
        </is>
      </c>
      <c r="I151" t="inlineStr">
        <is>
          <t>Yes</t>
        </is>
      </c>
      <c r="K151" t="inlineStr">
        <is>
          <t>Core</t>
        </is>
      </c>
      <c r="L151" t="n">
        <v>25</v>
      </c>
      <c r="M151" t="n">
        <v>30</v>
      </c>
      <c r="N151" t="n">
        <v>33</v>
      </c>
      <c r="O151" t="inlineStr">
        <is>
          <t>2026-10-05 UTC (WFM pull 02:52-04:00)</t>
        </is>
      </c>
      <c r="P151" t="inlineStr">
        <is>
          <t>OK</t>
        </is>
      </c>
      <c r="R151" t="inlineStr">
        <is>
          <t>Unchanged from v3 allocation</t>
        </is>
      </c>
      <c r="S151" t="inlineStr">
        <is>
          <t>dual_zoren_prime_set</t>
        </is>
      </c>
      <c r="T151" t="n">
        <v>27</v>
      </c>
      <c r="U151" t="n">
        <v>27</v>
      </c>
      <c r="V151" t="n">
        <v>30</v>
      </c>
      <c r="W151" t="n">
        <v>30</v>
      </c>
      <c r="X151" t="n">
        <v>30.8</v>
      </c>
      <c r="Y151" t="n">
        <v>3630</v>
      </c>
      <c r="Z151" t="n">
        <v>157</v>
      </c>
      <c r="AA151" t="n">
        <v>26</v>
      </c>
      <c r="AB151" t="n">
        <v>-1</v>
      </c>
      <c r="AC151" t="inlineStr">
        <is>
          <t>Non-signature</t>
        </is>
      </c>
      <c r="AE151" t="inlineStr">
        <is>
          <t>No</t>
        </is>
      </c>
      <c r="AL151" t="inlineStr">
        <is>
          <t>Yes</t>
        </is>
      </c>
      <c r="AM151" t="n">
        <v>3</v>
      </c>
      <c r="AS151" t="inlineStr">
        <is>
          <t>Yes</t>
        </is>
      </c>
    </row>
    <row r="152">
      <c r="A152" t="inlineStr">
        <is>
          <t>Weapon</t>
        </is>
      </c>
      <c r="B152" t="inlineStr">
        <is>
          <t>Vectis</t>
        </is>
      </c>
      <c r="C152" t="inlineStr">
        <is>
          <t>Limbo Prime</t>
        </is>
      </c>
      <c r="D152" t="inlineStr">
        <is>
          <t>Primary</t>
        </is>
      </c>
      <c r="E152" t="inlineStr">
        <is>
          <t>Standard</t>
        </is>
      </c>
      <c r="G152" t="n">
        <v>1</v>
      </c>
      <c r="H152" t="inlineStr">
        <is>
          <t>Farm / vendor / Dojo / quest</t>
        </is>
      </c>
      <c r="I152" t="inlineStr">
        <is>
          <t>No</t>
        </is>
      </c>
      <c r="K152" t="inlineStr">
        <is>
          <t>Core</t>
        </is>
      </c>
      <c r="P152" t="inlineStr">
        <is>
          <t>FARMABLE / ACCOUNT-BOUND</t>
        </is>
      </c>
      <c r="R152" t="inlineStr">
        <is>
          <t>Unchanged from v3 allocation</t>
        </is>
      </c>
      <c r="AC152" t="inlineStr">
        <is>
          <t>Non-signature</t>
        </is>
      </c>
      <c r="AE152" t="inlineStr">
        <is>
          <t>Yes (Genesis)</t>
        </is>
      </c>
      <c r="AF152" t="inlineStr">
        <is>
          <t>Incarnon Genesis (farm: Steel Path Circuit)</t>
        </is>
      </c>
      <c r="AL152" t="inlineStr">
        <is>
          <t>Yes</t>
        </is>
      </c>
      <c r="AM152" t="n">
        <v>4</v>
      </c>
      <c r="AS152" t="inlineStr">
        <is>
          <t>No</t>
        </is>
      </c>
    </row>
    <row r="153">
      <c r="A153" t="inlineStr">
        <is>
          <t>Weapon</t>
        </is>
      </c>
      <c r="B153" t="inlineStr">
        <is>
          <t>Pyrana Prime</t>
        </is>
      </c>
      <c r="C153" t="inlineStr">
        <is>
          <t>Limbo Prime</t>
        </is>
      </c>
      <c r="D153" t="inlineStr">
        <is>
          <t>Secondary</t>
        </is>
      </c>
      <c r="E153" t="inlineStr">
        <is>
          <t>Prime</t>
        </is>
      </c>
      <c r="G153" t="n">
        <v>1</v>
      </c>
      <c r="H153" t="inlineStr">
        <is>
          <t>Player trade</t>
        </is>
      </c>
      <c r="I153" t="inlineStr">
        <is>
          <t>Yes</t>
        </is>
      </c>
      <c r="K153" t="inlineStr">
        <is>
          <t>Core</t>
        </is>
      </c>
      <c r="L153" t="n">
        <v>65</v>
      </c>
      <c r="M153" t="n">
        <v>67</v>
      </c>
      <c r="N153" t="n">
        <v>86</v>
      </c>
      <c r="O153" t="inlineStr">
        <is>
          <t>2026-10-05 UTC (WFM pull 02:52-04:00)</t>
        </is>
      </c>
      <c r="P153" t="inlineStr">
        <is>
          <t>OK</t>
        </is>
      </c>
      <c r="R153" t="inlineStr">
        <is>
          <t>Unchanged from v3 allocation</t>
        </is>
      </c>
      <c r="S153" t="inlineStr">
        <is>
          <t>pyrana_prime_set</t>
        </is>
      </c>
      <c r="T153" t="n">
        <v>19</v>
      </c>
      <c r="U153" t="n">
        <v>19</v>
      </c>
      <c r="V153" t="n">
        <v>78</v>
      </c>
      <c r="W153" t="n">
        <v>68</v>
      </c>
      <c r="X153" t="n">
        <v>69.8</v>
      </c>
      <c r="Y153" t="n">
        <v>3161</v>
      </c>
      <c r="Z153" t="n">
        <v>56</v>
      </c>
      <c r="AA153" t="n">
        <v>50</v>
      </c>
      <c r="AB153" t="n">
        <v>15</v>
      </c>
      <c r="AC153" t="inlineStr">
        <is>
          <t>Non-signature</t>
        </is>
      </c>
      <c r="AE153" t="inlineStr">
        <is>
          <t>No</t>
        </is>
      </c>
      <c r="AL153" t="inlineStr">
        <is>
          <t>Yes</t>
        </is>
      </c>
      <c r="AM153" t="n">
        <v>3</v>
      </c>
      <c r="AS153" t="inlineStr">
        <is>
          <t>Yes</t>
        </is>
      </c>
    </row>
    <row r="154">
      <c r="A154" t="inlineStr">
        <is>
          <t>Weapon</t>
        </is>
      </c>
      <c r="B154" t="inlineStr">
        <is>
          <t>Destreza Prime</t>
        </is>
      </c>
      <c r="C154" t="inlineStr">
        <is>
          <t>Limbo Prime</t>
        </is>
      </c>
      <c r="D154" t="inlineStr">
        <is>
          <t>Melee</t>
        </is>
      </c>
      <c r="E154" t="inlineStr">
        <is>
          <t>Prime</t>
        </is>
      </c>
      <c r="G154" t="n">
        <v>1</v>
      </c>
      <c r="H154" t="inlineStr">
        <is>
          <t>Player trade</t>
        </is>
      </c>
      <c r="I154" t="inlineStr">
        <is>
          <t>Yes</t>
        </is>
      </c>
      <c r="K154" t="inlineStr">
        <is>
          <t>Core</t>
        </is>
      </c>
      <c r="L154" t="n">
        <v>110</v>
      </c>
      <c r="M154" t="n">
        <v>120</v>
      </c>
      <c r="N154" t="n">
        <v>143</v>
      </c>
      <c r="O154" t="inlineStr">
        <is>
          <t>2026-10-05 UTC (WFM pull 02:52-04:00)</t>
        </is>
      </c>
      <c r="P154" t="inlineStr">
        <is>
          <t>OK</t>
        </is>
      </c>
      <c r="R154" t="inlineStr">
        <is>
          <t>Unchanged from v3 allocation</t>
        </is>
      </c>
      <c r="S154" t="inlineStr">
        <is>
          <t>destreza_prime_set</t>
        </is>
      </c>
      <c r="T154" t="n">
        <v>15</v>
      </c>
      <c r="U154" t="n">
        <v>15</v>
      </c>
      <c r="V154" t="n">
        <v>100</v>
      </c>
      <c r="W154" t="n">
        <v>95</v>
      </c>
      <c r="X154" t="n">
        <v>96.40000000000001</v>
      </c>
      <c r="Y154" t="n">
        <v>3751</v>
      </c>
      <c r="Z154" t="n">
        <v>99</v>
      </c>
      <c r="AA154" t="n">
        <v>79</v>
      </c>
      <c r="AB154" t="n">
        <v>31</v>
      </c>
      <c r="AC154" t="inlineStr">
        <is>
          <t>Non-signature</t>
        </is>
      </c>
      <c r="AE154" t="inlineStr">
        <is>
          <t>Yes (Genesis)</t>
        </is>
      </c>
      <c r="AF154" t="inlineStr">
        <is>
          <t>Incarnon Genesis (farm: Steel Path Circuit)</t>
        </is>
      </c>
      <c r="AL154" t="inlineStr">
        <is>
          <t>Yes</t>
        </is>
      </c>
      <c r="AM154" t="n">
        <v>4</v>
      </c>
      <c r="AS154" t="inlineStr">
        <is>
          <t>Yes</t>
        </is>
      </c>
    </row>
    <row r="155">
      <c r="A155" t="inlineStr">
        <is>
          <t>Weapon</t>
        </is>
      </c>
      <c r="B155" t="inlineStr">
        <is>
          <t>Baza Prime</t>
        </is>
      </c>
      <c r="C155" t="inlineStr">
        <is>
          <t>Loki Prime</t>
        </is>
      </c>
      <c r="D155" t="inlineStr">
        <is>
          <t>Primary</t>
        </is>
      </c>
      <c r="E155" t="inlineStr">
        <is>
          <t>Prime</t>
        </is>
      </c>
      <c r="G155" t="n">
        <v>1</v>
      </c>
      <c r="H155" t="inlineStr">
        <is>
          <t>Player trade</t>
        </is>
      </c>
      <c r="I155" t="inlineStr">
        <is>
          <t>Yes</t>
        </is>
      </c>
      <c r="K155" t="inlineStr">
        <is>
          <t>Core</t>
        </is>
      </c>
      <c r="L155" t="n">
        <v>69</v>
      </c>
      <c r="M155" t="n">
        <v>70</v>
      </c>
      <c r="N155" t="n">
        <v>85</v>
      </c>
      <c r="O155" t="inlineStr">
        <is>
          <t>2026-10-05 UTC (WFM pull 02:52-04:00)</t>
        </is>
      </c>
      <c r="P155" t="inlineStr">
        <is>
          <t>OK</t>
        </is>
      </c>
      <c r="R155" t="inlineStr">
        <is>
          <t>Unchanged from v3 allocation</t>
        </is>
      </c>
      <c r="S155" t="inlineStr">
        <is>
          <t>baza_prime_set</t>
        </is>
      </c>
      <c r="T155" t="n">
        <v>24</v>
      </c>
      <c r="U155" t="n">
        <v>24</v>
      </c>
      <c r="V155" t="n">
        <v>77</v>
      </c>
      <c r="W155" t="n">
        <v>79.5</v>
      </c>
      <c r="X155" t="n">
        <v>77.8</v>
      </c>
      <c r="Y155" t="n">
        <v>1902</v>
      </c>
      <c r="Z155" t="n">
        <v>84</v>
      </c>
      <c r="AA155" t="n">
        <v>60</v>
      </c>
      <c r="AB155" t="n">
        <v>9</v>
      </c>
      <c r="AC155" t="inlineStr">
        <is>
          <t>Non-signature</t>
        </is>
      </c>
      <c r="AE155" t="inlineStr">
        <is>
          <t>No</t>
        </is>
      </c>
      <c r="AL155" t="inlineStr">
        <is>
          <t>Yes</t>
        </is>
      </c>
      <c r="AM155" t="n">
        <v>3</v>
      </c>
      <c r="AS155" t="inlineStr">
        <is>
          <t>Yes</t>
        </is>
      </c>
    </row>
    <row r="156">
      <c r="A156" t="inlineStr">
        <is>
          <t>Weapon</t>
        </is>
      </c>
      <c r="B156" t="inlineStr">
        <is>
          <t>Spira Prime</t>
        </is>
      </c>
      <c r="C156" t="inlineStr">
        <is>
          <t>Loki Prime</t>
        </is>
      </c>
      <c r="D156" t="inlineStr">
        <is>
          <t>Secondary</t>
        </is>
      </c>
      <c r="E156" t="inlineStr">
        <is>
          <t>Prime</t>
        </is>
      </c>
      <c r="G156" t="n">
        <v>1</v>
      </c>
      <c r="H156" t="inlineStr">
        <is>
          <t>Player trade</t>
        </is>
      </c>
      <c r="I156" t="inlineStr">
        <is>
          <t>Yes</t>
        </is>
      </c>
      <c r="K156" t="inlineStr">
        <is>
          <t>Core</t>
        </is>
      </c>
      <c r="L156" t="n">
        <v>105</v>
      </c>
      <c r="M156" t="n">
        <v>115</v>
      </c>
      <c r="N156" t="n">
        <v>127</v>
      </c>
      <c r="O156" t="inlineStr">
        <is>
          <t>2026-10-05 UTC (WFM pull 02:52-04:00)</t>
        </is>
      </c>
      <c r="P156" t="inlineStr">
        <is>
          <t>OK</t>
        </is>
      </c>
      <c r="R156" t="inlineStr">
        <is>
          <t>Unchanged from v3 allocation</t>
        </is>
      </c>
      <c r="S156" t="inlineStr">
        <is>
          <t>spira_prime_set</t>
        </is>
      </c>
      <c r="T156" t="n">
        <v>21</v>
      </c>
      <c r="U156" t="n">
        <v>21</v>
      </c>
      <c r="V156" t="n">
        <v>110</v>
      </c>
      <c r="W156" t="n">
        <v>110</v>
      </c>
      <c r="X156" t="n">
        <v>108.8</v>
      </c>
      <c r="Y156" t="n">
        <v>950</v>
      </c>
      <c r="Z156" t="n">
        <v>18</v>
      </c>
      <c r="AA156" t="n">
        <v>80</v>
      </c>
      <c r="AB156" t="n">
        <v>25</v>
      </c>
      <c r="AC156" t="inlineStr">
        <is>
          <t>Non-signature</t>
        </is>
      </c>
      <c r="AE156" t="inlineStr">
        <is>
          <t>No</t>
        </is>
      </c>
      <c r="AL156" t="inlineStr">
        <is>
          <t>Yes</t>
        </is>
      </c>
      <c r="AM156" t="n">
        <v>3</v>
      </c>
      <c r="AS156" t="inlineStr">
        <is>
          <t>Yes</t>
        </is>
      </c>
    </row>
    <row r="157">
      <c r="A157" t="inlineStr">
        <is>
          <t>Weapon</t>
        </is>
      </c>
      <c r="B157" t="inlineStr">
        <is>
          <t>Nikana Prime</t>
        </is>
      </c>
      <c r="C157" t="inlineStr">
        <is>
          <t>Loki Prime</t>
        </is>
      </c>
      <c r="D157" t="inlineStr">
        <is>
          <t>Melee</t>
        </is>
      </c>
      <c r="E157" t="inlineStr">
        <is>
          <t>Prime</t>
        </is>
      </c>
      <c r="G157" t="n">
        <v>1</v>
      </c>
      <c r="H157" t="inlineStr">
        <is>
          <t>Player trade</t>
        </is>
      </c>
      <c r="I157" t="inlineStr">
        <is>
          <t>Yes</t>
        </is>
      </c>
      <c r="K157" t="inlineStr">
        <is>
          <t>Core</t>
        </is>
      </c>
      <c r="L157" t="n">
        <v>65</v>
      </c>
      <c r="M157" t="n">
        <v>65</v>
      </c>
      <c r="N157" t="n">
        <v>76</v>
      </c>
      <c r="O157" t="inlineStr">
        <is>
          <t>2026-10-05 UTC (WFM pull 02:52-04:00)</t>
        </is>
      </c>
      <c r="P157" t="inlineStr">
        <is>
          <t>OK</t>
        </is>
      </c>
      <c r="R157" t="inlineStr">
        <is>
          <t>Unchanged from v3 allocation</t>
        </is>
      </c>
      <c r="S157" t="inlineStr">
        <is>
          <t>nikana_prime_set</t>
        </is>
      </c>
      <c r="T157" t="n">
        <v>40</v>
      </c>
      <c r="U157" t="n">
        <v>40</v>
      </c>
      <c r="V157" t="n">
        <v>69</v>
      </c>
      <c r="W157" t="n">
        <v>69</v>
      </c>
      <c r="X157" t="n">
        <v>68.59999999999999</v>
      </c>
      <c r="Y157" t="n">
        <v>1967</v>
      </c>
      <c r="Z157" t="n">
        <v>42</v>
      </c>
      <c r="AA157" t="n">
        <v>60</v>
      </c>
      <c r="AB157" t="n">
        <v>5</v>
      </c>
      <c r="AC157" t="inlineStr">
        <is>
          <t>Non-signature</t>
        </is>
      </c>
      <c r="AE157" t="inlineStr">
        <is>
          <t>No</t>
        </is>
      </c>
      <c r="AL157" t="inlineStr">
        <is>
          <t>Yes</t>
        </is>
      </c>
      <c r="AM157" t="n">
        <v>3</v>
      </c>
      <c r="AS157" t="inlineStr">
        <is>
          <t>Yes</t>
        </is>
      </c>
    </row>
    <row r="158">
      <c r="A158" t="inlineStr">
        <is>
          <t>Weapon</t>
        </is>
      </c>
      <c r="B158" t="inlineStr">
        <is>
          <t>Mara Detron</t>
        </is>
      </c>
      <c r="C158" t="inlineStr">
        <is>
          <t>Mag Prime</t>
        </is>
      </c>
      <c r="D158" t="inlineStr">
        <is>
          <t>Secondary</t>
        </is>
      </c>
      <c r="E158" t="inlineStr">
        <is>
          <t>Standard</t>
        </is>
      </c>
      <c r="G158" t="n">
        <v>1</v>
      </c>
      <c r="H158" t="inlineStr">
        <is>
          <t>Player trade</t>
        </is>
      </c>
      <c r="I158" t="inlineStr">
        <is>
          <t>Yes</t>
        </is>
      </c>
      <c r="K158" t="inlineStr">
        <is>
          <t>Core</t>
        </is>
      </c>
      <c r="L158" t="n">
        <v>70</v>
      </c>
      <c r="M158" t="n">
        <v>80</v>
      </c>
      <c r="N158" t="n">
        <v>94</v>
      </c>
      <c r="O158" t="inlineStr">
        <is>
          <t>2026-10-05 UTC (WFM pull 02:52-04:00)</t>
        </is>
      </c>
      <c r="P158" t="inlineStr">
        <is>
          <t>OK</t>
        </is>
      </c>
      <c r="R158" t="inlineStr">
        <is>
          <t>Unchanged from v3 allocation</t>
        </is>
      </c>
      <c r="S158" t="inlineStr">
        <is>
          <t>mara_detron</t>
        </is>
      </c>
      <c r="T158" t="n">
        <v>12</v>
      </c>
      <c r="U158" t="n">
        <v>12</v>
      </c>
      <c r="V158" t="n">
        <v>66.5</v>
      </c>
      <c r="W158" t="n">
        <v>61.5</v>
      </c>
      <c r="X158" t="n">
        <v>58.2</v>
      </c>
      <c r="Y158" t="n">
        <v>248</v>
      </c>
      <c r="Z158" t="n">
        <v>2</v>
      </c>
      <c r="AA158" t="n">
        <v>50</v>
      </c>
      <c r="AB158" t="n">
        <v>20</v>
      </c>
      <c r="AC158" t="inlineStr">
        <is>
          <t>Non-signature</t>
        </is>
      </c>
      <c r="AE158" t="inlineStr">
        <is>
          <t>No</t>
        </is>
      </c>
      <c r="AL158" t="inlineStr">
        <is>
          <t>Yes</t>
        </is>
      </c>
      <c r="AM158" t="n">
        <v>3</v>
      </c>
      <c r="AS158" t="inlineStr">
        <is>
          <t>Yes</t>
        </is>
      </c>
    </row>
    <row r="159">
      <c r="A159" t="inlineStr">
        <is>
          <t>Weapon</t>
        </is>
      </c>
      <c r="B159" t="inlineStr">
        <is>
          <t>Dakra Prime</t>
        </is>
      </c>
      <c r="C159" t="inlineStr">
        <is>
          <t>Mag Prime</t>
        </is>
      </c>
      <c r="D159" t="inlineStr">
        <is>
          <t>Melee</t>
        </is>
      </c>
      <c r="E159" t="inlineStr">
        <is>
          <t>Prime</t>
        </is>
      </c>
      <c r="G159" t="n">
        <v>1</v>
      </c>
      <c r="H159" t="inlineStr">
        <is>
          <t>Player trade</t>
        </is>
      </c>
      <c r="I159" t="inlineStr">
        <is>
          <t>Yes</t>
        </is>
      </c>
      <c r="K159" t="inlineStr">
        <is>
          <t>Core</t>
        </is>
      </c>
      <c r="L159" t="n">
        <v>34</v>
      </c>
      <c r="M159" t="n">
        <v>34</v>
      </c>
      <c r="N159" t="n">
        <v>39</v>
      </c>
      <c r="O159" t="inlineStr">
        <is>
          <t>2026-10-05 UTC (WFM pull 02:52-04:00)</t>
        </is>
      </c>
      <c r="P159" t="inlineStr">
        <is>
          <t>OK</t>
        </is>
      </c>
      <c r="R159" t="inlineStr">
        <is>
          <t>Unchanged from v3 allocation</t>
        </is>
      </c>
      <c r="S159" t="inlineStr">
        <is>
          <t>dakra_prime_set</t>
        </is>
      </c>
      <c r="T159" t="n">
        <v>28</v>
      </c>
      <c r="U159" t="n">
        <v>28</v>
      </c>
      <c r="V159" t="n">
        <v>30</v>
      </c>
      <c r="W159" t="n">
        <v>30</v>
      </c>
      <c r="X159" t="n">
        <v>31.1</v>
      </c>
      <c r="Y159" t="n">
        <v>1712</v>
      </c>
      <c r="Z159" t="n">
        <v>43</v>
      </c>
      <c r="AC159" t="inlineStr">
        <is>
          <t>Non-signature</t>
        </is>
      </c>
      <c r="AE159" t="inlineStr">
        <is>
          <t>No</t>
        </is>
      </c>
      <c r="AL159" t="inlineStr">
        <is>
          <t>Yes</t>
        </is>
      </c>
      <c r="AM159" t="n">
        <v>3</v>
      </c>
      <c r="AS159" t="inlineStr">
        <is>
          <t>Yes</t>
        </is>
      </c>
    </row>
    <row r="160">
      <c r="A160" t="inlineStr">
        <is>
          <t>Weapon</t>
        </is>
      </c>
      <c r="B160" t="inlineStr">
        <is>
          <t>Cedo</t>
        </is>
      </c>
      <c r="C160" t="inlineStr">
        <is>
          <t>Mesa Prime</t>
        </is>
      </c>
      <c r="D160" t="inlineStr">
        <is>
          <t>Primary</t>
        </is>
      </c>
      <c r="E160" t="inlineStr">
        <is>
          <t>Standard</t>
        </is>
      </c>
      <c r="G160" t="n">
        <v>1</v>
      </c>
      <c r="H160" t="inlineStr">
        <is>
          <t>Player trade</t>
        </is>
      </c>
      <c r="I160" t="inlineStr">
        <is>
          <t>Yes</t>
        </is>
      </c>
      <c r="K160" t="inlineStr">
        <is>
          <t>Core</t>
        </is>
      </c>
      <c r="L160" t="n">
        <v>15</v>
      </c>
      <c r="M160" t="n">
        <v>18</v>
      </c>
      <c r="N160" t="n">
        <v>22</v>
      </c>
      <c r="O160" t="inlineStr">
        <is>
          <t>2026-10-05 UTC (WFM pull 02:52-04:00)</t>
        </is>
      </c>
      <c r="P160" t="inlineStr">
        <is>
          <t>OK</t>
        </is>
      </c>
      <c r="R160" t="inlineStr">
        <is>
          <t>Unchanged from v3 allocation</t>
        </is>
      </c>
      <c r="S160" t="inlineStr">
        <is>
          <t>cedo_set</t>
        </is>
      </c>
      <c r="T160" t="n">
        <v>10</v>
      </c>
      <c r="U160" t="n">
        <v>10</v>
      </c>
      <c r="V160" t="n">
        <v>17.5</v>
      </c>
      <c r="W160" t="n">
        <v>18</v>
      </c>
      <c r="X160" t="n">
        <v>17.6</v>
      </c>
      <c r="Y160" t="n">
        <v>1963</v>
      </c>
      <c r="Z160" t="n">
        <v>44</v>
      </c>
      <c r="AC160" t="inlineStr">
        <is>
          <t>Non-signature</t>
        </is>
      </c>
      <c r="AE160" t="inlineStr">
        <is>
          <t>No</t>
        </is>
      </c>
      <c r="AL160" t="inlineStr">
        <is>
          <t>Yes</t>
        </is>
      </c>
      <c r="AM160" t="n">
        <v>3</v>
      </c>
      <c r="AS160" t="inlineStr">
        <is>
          <t>Yes</t>
        </is>
      </c>
    </row>
    <row r="161">
      <c r="A161" t="inlineStr">
        <is>
          <t>Weapon</t>
        </is>
      </c>
      <c r="B161" t="inlineStr">
        <is>
          <t>Akjagara Prime</t>
        </is>
      </c>
      <c r="C161" t="inlineStr">
        <is>
          <t>Mesa Prime</t>
        </is>
      </c>
      <c r="D161" t="inlineStr">
        <is>
          <t>Secondary</t>
        </is>
      </c>
      <c r="E161" t="inlineStr">
        <is>
          <t>Prime</t>
        </is>
      </c>
      <c r="G161" t="n">
        <v>1</v>
      </c>
      <c r="H161" t="inlineStr">
        <is>
          <t>Player trade</t>
        </is>
      </c>
      <c r="I161" t="inlineStr">
        <is>
          <t>Yes</t>
        </is>
      </c>
      <c r="K161" t="inlineStr">
        <is>
          <t>Core</t>
        </is>
      </c>
      <c r="L161" t="n">
        <v>98</v>
      </c>
      <c r="M161" t="n">
        <v>100</v>
      </c>
      <c r="N161" t="n">
        <v>115</v>
      </c>
      <c r="O161" t="inlineStr">
        <is>
          <t>2026-10-05 UTC (WFM pull 02:52-04:00)</t>
        </is>
      </c>
      <c r="P161" t="inlineStr">
        <is>
          <t>OK</t>
        </is>
      </c>
      <c r="R161" t="inlineStr">
        <is>
          <t>Unchanged from v3 allocation</t>
        </is>
      </c>
      <c r="S161" t="inlineStr">
        <is>
          <t>akjagara_prime_set</t>
        </is>
      </c>
      <c r="T161" t="n">
        <v>21</v>
      </c>
      <c r="U161" t="n">
        <v>21</v>
      </c>
      <c r="V161" t="n">
        <v>100</v>
      </c>
      <c r="W161" t="n">
        <v>100</v>
      </c>
      <c r="X161" t="n">
        <v>101.6</v>
      </c>
      <c r="Y161" t="n">
        <v>1554</v>
      </c>
      <c r="Z161" t="n">
        <v>50</v>
      </c>
      <c r="AA161" t="n">
        <v>80</v>
      </c>
      <c r="AB161" t="n">
        <v>18</v>
      </c>
      <c r="AC161" t="inlineStr">
        <is>
          <t>Non-signature</t>
        </is>
      </c>
      <c r="AE161" t="inlineStr">
        <is>
          <t>No</t>
        </is>
      </c>
      <c r="AL161" t="inlineStr">
        <is>
          <t>Yes</t>
        </is>
      </c>
      <c r="AM161" t="n">
        <v>3</v>
      </c>
      <c r="AS161" t="inlineStr">
        <is>
          <t>Yes</t>
        </is>
      </c>
    </row>
    <row r="162">
      <c r="A162" t="inlineStr">
        <is>
          <t>Exalted / Intrinsic</t>
        </is>
      </c>
      <c r="B162" t="inlineStr">
        <is>
          <t>Regulators Prime</t>
        </is>
      </c>
      <c r="C162" t="inlineStr">
        <is>
          <t>Mesa Prime</t>
        </is>
      </c>
      <c r="D162" t="inlineStr">
        <is>
          <t>Melee</t>
        </is>
      </c>
      <c r="G162" t="n">
        <v>1</v>
      </c>
      <c r="H162" t="inlineStr">
        <is>
          <t>Comes with frame</t>
        </is>
      </c>
      <c r="I162" t="inlineStr">
        <is>
          <t>No</t>
        </is>
      </c>
      <c r="P162" t="inlineStr">
        <is>
          <t>INCLUDED WITH FRAME</t>
        </is>
      </c>
      <c r="R162" t="inlineStr">
        <is>
          <t>Unchanged from v3 allocation</t>
        </is>
      </c>
      <c r="AC162" t="inlineStr">
        <is>
          <t>Exalted/Intrinsic</t>
        </is>
      </c>
      <c r="AL162" t="inlineStr">
        <is>
          <t>No (frame Reactor)</t>
        </is>
      </c>
      <c r="AS162" t="inlineStr">
        <is>
          <t>No</t>
        </is>
      </c>
    </row>
    <row r="163">
      <c r="A163" t="inlineStr">
        <is>
          <t>Weapon</t>
        </is>
      </c>
      <c r="B163" t="inlineStr">
        <is>
          <t>Akzani</t>
        </is>
      </c>
      <c r="C163" t="inlineStr">
        <is>
          <t>Mirage Prime</t>
        </is>
      </c>
      <c r="D163" t="inlineStr">
        <is>
          <t>Secondary</t>
        </is>
      </c>
      <c r="E163" t="inlineStr">
        <is>
          <t>Standard</t>
        </is>
      </c>
      <c r="G163" t="n">
        <v>1</v>
      </c>
      <c r="H163" t="inlineStr">
        <is>
          <t>Farm / vendor / Dojo / quest</t>
        </is>
      </c>
      <c r="I163" t="inlineStr">
        <is>
          <t>No</t>
        </is>
      </c>
      <c r="K163" t="inlineStr">
        <is>
          <t>Core</t>
        </is>
      </c>
      <c r="P163" t="inlineStr">
        <is>
          <t>FARMABLE / ACCOUNT-BOUND</t>
        </is>
      </c>
      <c r="Q163" t="inlineStr">
        <is>
          <t>v3: Prisma Twin Gremlins</t>
        </is>
      </c>
      <c r="R163" t="inlineStr">
        <is>
          <t>v4.1 reconciliation: Akzani is Mirage's signature dual pistol; the slot is uncontested (tier D signature preference).</t>
        </is>
      </c>
      <c r="AC163" t="inlineStr">
        <is>
          <t>Signature - Mirage Prime</t>
        </is>
      </c>
      <c r="AD163" t="inlineStr">
        <is>
          <t>Signature, bonus not implemented (not allocated)</t>
        </is>
      </c>
      <c r="AE163" t="inlineStr">
        <is>
          <t>No</t>
        </is>
      </c>
      <c r="AL163" t="inlineStr">
        <is>
          <t>Yes</t>
        </is>
      </c>
      <c r="AM163" t="n">
        <v>3</v>
      </c>
      <c r="AS163" t="inlineStr">
        <is>
          <t>No</t>
        </is>
      </c>
    </row>
    <row r="164">
      <c r="A164" t="inlineStr">
        <is>
          <t>Weapon</t>
        </is>
      </c>
      <c r="B164" t="inlineStr">
        <is>
          <t>Glaive Prime</t>
        </is>
      </c>
      <c r="C164" t="inlineStr">
        <is>
          <t>Mirage Prime</t>
        </is>
      </c>
      <c r="D164" t="inlineStr">
        <is>
          <t>Melee</t>
        </is>
      </c>
      <c r="E164" t="inlineStr">
        <is>
          <t>Prime</t>
        </is>
      </c>
      <c r="G164" t="n">
        <v>1</v>
      </c>
      <c r="H164" t="inlineStr">
        <is>
          <t>Player trade</t>
        </is>
      </c>
      <c r="I164" t="inlineStr">
        <is>
          <t>Yes</t>
        </is>
      </c>
      <c r="K164" t="inlineStr">
        <is>
          <t>Core</t>
        </is>
      </c>
      <c r="L164" t="n">
        <v>65</v>
      </c>
      <c r="M164" t="n">
        <v>70</v>
      </c>
      <c r="N164" t="n">
        <v>77</v>
      </c>
      <c r="O164" t="inlineStr">
        <is>
          <t>2026-10-05 UTC (WFM pull 02:52-04:00)</t>
        </is>
      </c>
      <c r="P164" t="inlineStr">
        <is>
          <t>OK</t>
        </is>
      </c>
      <c r="R164" t="inlineStr">
        <is>
          <t>Unchanged from v3 allocation</t>
        </is>
      </c>
      <c r="S164" t="inlineStr">
        <is>
          <t>glaive_prime_set</t>
        </is>
      </c>
      <c r="T164" t="n">
        <v>45</v>
      </c>
      <c r="U164" t="n">
        <v>45</v>
      </c>
      <c r="V164" t="n">
        <v>70</v>
      </c>
      <c r="W164" t="n">
        <v>70</v>
      </c>
      <c r="X164" t="n">
        <v>70.40000000000001</v>
      </c>
      <c r="Y164" t="n">
        <v>3054</v>
      </c>
      <c r="Z164" t="n">
        <v>78</v>
      </c>
      <c r="AA164" t="n">
        <v>60</v>
      </c>
      <c r="AB164" t="n">
        <v>5</v>
      </c>
      <c r="AC164" t="inlineStr">
        <is>
          <t>Non-signature</t>
        </is>
      </c>
      <c r="AE164" t="inlineStr">
        <is>
          <t>No</t>
        </is>
      </c>
      <c r="AL164" t="inlineStr">
        <is>
          <t>Yes</t>
        </is>
      </c>
      <c r="AM164" t="n">
        <v>3</v>
      </c>
      <c r="AS164" t="inlineStr">
        <is>
          <t>Yes</t>
        </is>
      </c>
    </row>
    <row r="165">
      <c r="A165" t="inlineStr">
        <is>
          <t>Weapon</t>
        </is>
      </c>
      <c r="B165" t="inlineStr">
        <is>
          <t>Nunchasa</t>
        </is>
      </c>
      <c r="C165" t="inlineStr">
        <is>
          <t>Narin</t>
        </is>
      </c>
      <c r="D165" t="inlineStr">
        <is>
          <t>Primary</t>
        </is>
      </c>
      <c r="E165" t="inlineStr">
        <is>
          <t>Standard</t>
        </is>
      </c>
      <c r="G165" t="n">
        <v>1</v>
      </c>
      <c r="H165" t="inlineStr">
        <is>
          <t>Farm / vendor / Dojo / quest</t>
        </is>
      </c>
      <c r="I165" t="inlineStr">
        <is>
          <t>No</t>
        </is>
      </c>
      <c r="K165" t="inlineStr">
        <is>
          <t>Core</t>
        </is>
      </c>
      <c r="P165" t="inlineStr">
        <is>
          <t>FARMABLE / ACCOUNT-BOUND</t>
        </is>
      </c>
      <c r="R165" t="inlineStr">
        <is>
          <t>Unchanged from v3 allocation</t>
        </is>
      </c>
      <c r="AC165" t="inlineStr">
        <is>
          <t>Signature - Narin</t>
        </is>
      </c>
      <c r="AD165" t="inlineStr">
        <is>
          <t>Signature, bonus not implemented</t>
        </is>
      </c>
      <c r="AE165" t="inlineStr">
        <is>
          <t>No</t>
        </is>
      </c>
      <c r="AL165" t="inlineStr">
        <is>
          <t>Yes</t>
        </is>
      </c>
      <c r="AM165" t="n">
        <v>3</v>
      </c>
      <c r="AS165" t="inlineStr">
        <is>
          <t>No</t>
        </is>
      </c>
    </row>
    <row r="166">
      <c r="A166" t="inlineStr">
        <is>
          <t>Weapon</t>
        </is>
      </c>
      <c r="B166" t="inlineStr">
        <is>
          <t>Aksondol</t>
        </is>
      </c>
      <c r="C166" t="inlineStr">
        <is>
          <t>Narin</t>
        </is>
      </c>
      <c r="D166" t="inlineStr">
        <is>
          <t>Secondary</t>
        </is>
      </c>
      <c r="E166" t="inlineStr">
        <is>
          <t>Standard</t>
        </is>
      </c>
      <c r="G166" t="n">
        <v>1</v>
      </c>
      <c r="H166" t="inlineStr">
        <is>
          <t>Farm / vendor / Dojo / quest</t>
        </is>
      </c>
      <c r="I166" t="inlineStr">
        <is>
          <t>No</t>
        </is>
      </c>
      <c r="K166" t="inlineStr">
        <is>
          <t>Core</t>
        </is>
      </c>
      <c r="P166" t="inlineStr">
        <is>
          <t>FARMABLE / ACCOUNT-BOUND</t>
        </is>
      </c>
      <c r="R166" t="inlineStr">
        <is>
          <t>Unchanged from v3 allocation</t>
        </is>
      </c>
      <c r="AC166" t="inlineStr">
        <is>
          <t>Signature - Narin</t>
        </is>
      </c>
      <c r="AD166" t="inlineStr">
        <is>
          <t>Signature, bonus not implemented</t>
        </is>
      </c>
      <c r="AE166" t="inlineStr">
        <is>
          <t>No</t>
        </is>
      </c>
      <c r="AL166" t="inlineStr">
        <is>
          <t>Yes</t>
        </is>
      </c>
      <c r="AM166" t="n">
        <v>3</v>
      </c>
      <c r="AS166" t="inlineStr">
        <is>
          <t>No</t>
        </is>
      </c>
    </row>
    <row r="167">
      <c r="A167" t="inlineStr">
        <is>
          <t>Weapon</t>
        </is>
      </c>
      <c r="B167" t="inlineStr">
        <is>
          <t>Prisma Skana</t>
        </is>
      </c>
      <c r="C167" t="inlineStr">
        <is>
          <t>Narin</t>
        </is>
      </c>
      <c r="D167" t="inlineStr">
        <is>
          <t>Melee</t>
        </is>
      </c>
      <c r="E167" t="inlineStr">
        <is>
          <t>Vandal/Wraith/Prisma</t>
        </is>
      </c>
      <c r="G167" t="n">
        <v>1</v>
      </c>
      <c r="H167" t="inlineStr">
        <is>
          <t>Player trade</t>
        </is>
      </c>
      <c r="I167" t="inlineStr">
        <is>
          <t>Yes</t>
        </is>
      </c>
      <c r="K167" t="inlineStr">
        <is>
          <t>Core</t>
        </is>
      </c>
      <c r="L167" t="n">
        <v>40</v>
      </c>
      <c r="M167" t="n">
        <v>45</v>
      </c>
      <c r="N167" t="n">
        <v>54</v>
      </c>
      <c r="O167" t="inlineStr">
        <is>
          <t>2026-10-05 UTC (WFM pull 02:52-04:00)</t>
        </is>
      </c>
      <c r="P167" t="inlineStr">
        <is>
          <t>OK</t>
        </is>
      </c>
      <c r="Q167" t="inlineStr">
        <is>
          <t>v3: OPEN</t>
        </is>
      </c>
      <c r="R167" t="inlineStr">
        <is>
          <t>Nurinarim is a cast sword-dance ability (scales on Ability Strength, 20s, no weapon mods), not a wielded weapon, so it does NOT replace Melee. Prisma Skana Incarnon: sword fits Iceblade theme (D).</t>
        </is>
      </c>
      <c r="S167" t="inlineStr">
        <is>
          <t>prisma_skana</t>
        </is>
      </c>
      <c r="T167" t="n">
        <v>30</v>
      </c>
      <c r="U167" t="n">
        <v>30</v>
      </c>
      <c r="V167" t="n">
        <v>40</v>
      </c>
      <c r="W167" t="n">
        <v>60</v>
      </c>
      <c r="X167" t="n">
        <v>55.8</v>
      </c>
      <c r="Y167" t="n">
        <v>1741</v>
      </c>
      <c r="Z167" t="n">
        <v>35</v>
      </c>
      <c r="AA167" t="n">
        <v>25</v>
      </c>
      <c r="AB167" t="n">
        <v>15</v>
      </c>
      <c r="AC167" t="inlineStr">
        <is>
          <t>Non-signature</t>
        </is>
      </c>
      <c r="AE167" t="inlineStr">
        <is>
          <t>Yes (Genesis)</t>
        </is>
      </c>
      <c r="AF167" t="inlineStr">
        <is>
          <t>Incarnon Genesis (farm: Steel Path Circuit)</t>
        </is>
      </c>
      <c r="AL167" t="inlineStr">
        <is>
          <t>Yes</t>
        </is>
      </c>
      <c r="AM167" t="n">
        <v>4</v>
      </c>
      <c r="AS167" t="inlineStr">
        <is>
          <t>Yes</t>
        </is>
      </c>
    </row>
    <row r="168">
      <c r="A168" t="inlineStr">
        <is>
          <t>Weapon</t>
        </is>
      </c>
      <c r="B168" t="inlineStr">
        <is>
          <t>Tigris Prime</t>
        </is>
      </c>
      <c r="C168" t="inlineStr">
        <is>
          <t>Nekros Prime</t>
        </is>
      </c>
      <c r="D168" t="inlineStr">
        <is>
          <t>Primary</t>
        </is>
      </c>
      <c r="E168" t="inlineStr">
        <is>
          <t>Prime</t>
        </is>
      </c>
      <c r="G168" t="n">
        <v>1</v>
      </c>
      <c r="H168" t="inlineStr">
        <is>
          <t>Player trade</t>
        </is>
      </c>
      <c r="I168" t="inlineStr">
        <is>
          <t>Yes</t>
        </is>
      </c>
      <c r="K168" t="inlineStr">
        <is>
          <t>Core</t>
        </is>
      </c>
      <c r="L168" t="n">
        <v>54</v>
      </c>
      <c r="M168" t="n">
        <v>55</v>
      </c>
      <c r="N168" t="n">
        <v>66</v>
      </c>
      <c r="O168" t="inlineStr">
        <is>
          <t>2026-10-05 UTC (WFM pull 02:52-04:00)</t>
        </is>
      </c>
      <c r="P168" t="inlineStr">
        <is>
          <t>OK</t>
        </is>
      </c>
      <c r="R168" t="inlineStr">
        <is>
          <t>Unchanged from v3 allocation</t>
        </is>
      </c>
      <c r="S168" t="inlineStr">
        <is>
          <t>tigris_prime_set</t>
        </is>
      </c>
      <c r="T168" t="n">
        <v>26</v>
      </c>
      <c r="U168" t="n">
        <v>26</v>
      </c>
      <c r="V168" t="n">
        <v>55</v>
      </c>
      <c r="W168" t="n">
        <v>55</v>
      </c>
      <c r="X168" t="n">
        <v>55.5</v>
      </c>
      <c r="Y168" t="n">
        <v>1860</v>
      </c>
      <c r="Z168" t="n">
        <v>44</v>
      </c>
      <c r="AA168" t="n">
        <v>41</v>
      </c>
      <c r="AB168" t="n">
        <v>13</v>
      </c>
      <c r="AC168" t="inlineStr">
        <is>
          <t>Non-signature</t>
        </is>
      </c>
      <c r="AE168" t="inlineStr">
        <is>
          <t>No</t>
        </is>
      </c>
      <c r="AL168" t="inlineStr">
        <is>
          <t>Yes</t>
        </is>
      </c>
      <c r="AM168" t="n">
        <v>3</v>
      </c>
      <c r="AS168" t="inlineStr">
        <is>
          <t>Yes</t>
        </is>
      </c>
    </row>
    <row r="169">
      <c r="A169" t="inlineStr">
        <is>
          <t>Weapon</t>
        </is>
      </c>
      <c r="B169" t="inlineStr">
        <is>
          <t>Twin Grakatas</t>
        </is>
      </c>
      <c r="C169" t="inlineStr">
        <is>
          <t>Nekros Prime</t>
        </is>
      </c>
      <c r="D169" t="inlineStr">
        <is>
          <t>Secondary</t>
        </is>
      </c>
      <c r="E169" t="inlineStr">
        <is>
          <t>Standard</t>
        </is>
      </c>
      <c r="G169" t="n">
        <v>1</v>
      </c>
      <c r="H169" t="inlineStr">
        <is>
          <t>Farm / vendor / Dojo / quest</t>
        </is>
      </c>
      <c r="I169" t="inlineStr">
        <is>
          <t>No</t>
        </is>
      </c>
      <c r="K169" t="inlineStr">
        <is>
          <t>Core</t>
        </is>
      </c>
      <c r="P169" t="inlineStr">
        <is>
          <t>FARMABLE / ACCOUNT-BOUND</t>
        </is>
      </c>
      <c r="R169" t="inlineStr">
        <is>
          <t>Unchanged from v3 allocation</t>
        </is>
      </c>
      <c r="AC169" t="inlineStr">
        <is>
          <t>Non-signature</t>
        </is>
      </c>
      <c r="AE169" t="inlineStr">
        <is>
          <t>No</t>
        </is>
      </c>
      <c r="AL169" t="inlineStr">
        <is>
          <t>Yes</t>
        </is>
      </c>
      <c r="AM169" t="n">
        <v>3</v>
      </c>
      <c r="AS169" t="inlineStr">
        <is>
          <t>No</t>
        </is>
      </c>
    </row>
    <row r="170">
      <c r="A170" t="inlineStr">
        <is>
          <t>Weapon</t>
        </is>
      </c>
      <c r="B170" t="inlineStr">
        <is>
          <t>Galatine Prime</t>
        </is>
      </c>
      <c r="C170" t="inlineStr">
        <is>
          <t>Nekros Prime</t>
        </is>
      </c>
      <c r="D170" t="inlineStr">
        <is>
          <t>Melee</t>
        </is>
      </c>
      <c r="E170" t="inlineStr">
        <is>
          <t>Prime</t>
        </is>
      </c>
      <c r="G170" t="n">
        <v>1</v>
      </c>
      <c r="H170" t="inlineStr">
        <is>
          <t>Player trade</t>
        </is>
      </c>
      <c r="I170" t="inlineStr">
        <is>
          <t>Yes</t>
        </is>
      </c>
      <c r="K170" t="inlineStr">
        <is>
          <t>Core</t>
        </is>
      </c>
      <c r="L170" t="n">
        <v>65</v>
      </c>
      <c r="M170" t="n">
        <v>65</v>
      </c>
      <c r="N170" t="n">
        <v>77</v>
      </c>
      <c r="O170" t="inlineStr">
        <is>
          <t>2026-10-05 UTC (WFM pull 02:52-04:00)</t>
        </is>
      </c>
      <c r="P170" t="inlineStr">
        <is>
          <t>OK</t>
        </is>
      </c>
      <c r="R170" t="inlineStr">
        <is>
          <t>Unchanged from v3 allocation</t>
        </is>
      </c>
      <c r="S170" t="inlineStr">
        <is>
          <t>galatine_prime_set</t>
        </is>
      </c>
      <c r="T170" t="n">
        <v>15</v>
      </c>
      <c r="U170" t="n">
        <v>15</v>
      </c>
      <c r="V170" t="n">
        <v>58</v>
      </c>
      <c r="W170" t="n">
        <v>58</v>
      </c>
      <c r="X170" t="n">
        <v>56.8</v>
      </c>
      <c r="Y170" t="n">
        <v>1572</v>
      </c>
      <c r="Z170" t="n">
        <v>51</v>
      </c>
      <c r="AA170" t="n">
        <v>35</v>
      </c>
      <c r="AB170" t="n">
        <v>30</v>
      </c>
      <c r="AC170" t="inlineStr">
        <is>
          <t>Non-signature</t>
        </is>
      </c>
      <c r="AE170" t="inlineStr">
        <is>
          <t>No</t>
        </is>
      </c>
      <c r="AL170" t="inlineStr">
        <is>
          <t>Yes</t>
        </is>
      </c>
      <c r="AM170" t="n">
        <v>3</v>
      </c>
      <c r="AS170" t="inlineStr">
        <is>
          <t>Yes</t>
        </is>
      </c>
    </row>
    <row r="171">
      <c r="A171" t="inlineStr">
        <is>
          <t>Weapon</t>
        </is>
      </c>
      <c r="B171" t="inlineStr">
        <is>
          <t>Proboscis Cernos</t>
        </is>
      </c>
      <c r="C171" t="inlineStr">
        <is>
          <t>Nezha Prime</t>
        </is>
      </c>
      <c r="D171" t="inlineStr">
        <is>
          <t>Primary</t>
        </is>
      </c>
      <c r="E171" t="inlineStr">
        <is>
          <t>Standard</t>
        </is>
      </c>
      <c r="G171" t="n">
        <v>1</v>
      </c>
      <c r="H171" t="inlineStr">
        <is>
          <t>Farm / vendor / Dojo / quest</t>
        </is>
      </c>
      <c r="I171" t="inlineStr">
        <is>
          <t>No</t>
        </is>
      </c>
      <c r="K171" t="inlineStr">
        <is>
          <t>Core</t>
        </is>
      </c>
      <c r="P171" t="inlineStr">
        <is>
          <t>FARMABLE / ACCOUNT-BOUND</t>
        </is>
      </c>
      <c r="R171" t="inlineStr">
        <is>
          <t>Unchanged from v3 allocation</t>
        </is>
      </c>
      <c r="AC171" t="inlineStr">
        <is>
          <t>Non-signature</t>
        </is>
      </c>
      <c r="AE171" t="inlineStr">
        <is>
          <t>No</t>
        </is>
      </c>
      <c r="AL171" t="inlineStr">
        <is>
          <t>Yes</t>
        </is>
      </c>
      <c r="AM171" t="n">
        <v>3</v>
      </c>
      <c r="AS171" t="inlineStr">
        <is>
          <t>No</t>
        </is>
      </c>
    </row>
    <row r="172">
      <c r="A172" t="inlineStr">
        <is>
          <t>Weapon</t>
        </is>
      </c>
      <c r="B172" t="inlineStr">
        <is>
          <t>Zakti Prime</t>
        </is>
      </c>
      <c r="C172" t="inlineStr">
        <is>
          <t>Nezha Prime</t>
        </is>
      </c>
      <c r="D172" t="inlineStr">
        <is>
          <t>Secondary</t>
        </is>
      </c>
      <c r="E172" t="inlineStr">
        <is>
          <t>Prime</t>
        </is>
      </c>
      <c r="G172" t="n">
        <v>1</v>
      </c>
      <c r="H172" t="inlineStr">
        <is>
          <t>Player trade</t>
        </is>
      </c>
      <c r="I172" t="inlineStr">
        <is>
          <t>Yes</t>
        </is>
      </c>
      <c r="K172" t="inlineStr">
        <is>
          <t>Core</t>
        </is>
      </c>
      <c r="L172" t="n">
        <v>44</v>
      </c>
      <c r="M172" t="n">
        <v>45</v>
      </c>
      <c r="N172" t="n">
        <v>56</v>
      </c>
      <c r="O172" t="inlineStr">
        <is>
          <t>2026-10-05 UTC (WFM pull 02:52-04:00)</t>
        </is>
      </c>
      <c r="P172" t="inlineStr">
        <is>
          <t>OK</t>
        </is>
      </c>
      <c r="R172" t="inlineStr">
        <is>
          <t>Unchanged from v3 allocation</t>
        </is>
      </c>
      <c r="S172" t="inlineStr">
        <is>
          <t>zakti_prime_set</t>
        </is>
      </c>
      <c r="T172" t="n">
        <v>15</v>
      </c>
      <c r="U172" t="n">
        <v>15</v>
      </c>
      <c r="V172" t="n">
        <v>43</v>
      </c>
      <c r="W172" t="n">
        <v>40</v>
      </c>
      <c r="X172" t="n">
        <v>42</v>
      </c>
      <c r="Y172" t="n">
        <v>1859</v>
      </c>
      <c r="Z172" t="n">
        <v>55</v>
      </c>
      <c r="AA172" t="n">
        <v>30</v>
      </c>
      <c r="AB172" t="n">
        <v>14</v>
      </c>
      <c r="AC172" t="inlineStr">
        <is>
          <t>Non-signature</t>
        </is>
      </c>
      <c r="AE172" t="inlineStr">
        <is>
          <t>No</t>
        </is>
      </c>
      <c r="AL172" t="inlineStr">
        <is>
          <t>Yes</t>
        </is>
      </c>
      <c r="AM172" t="n">
        <v>3</v>
      </c>
      <c r="AS172" t="inlineStr">
        <is>
          <t>Yes</t>
        </is>
      </c>
    </row>
    <row r="173">
      <c r="A173" t="inlineStr">
        <is>
          <t>Weapon</t>
        </is>
      </c>
      <c r="B173" t="inlineStr">
        <is>
          <t>Guandao Prime</t>
        </is>
      </c>
      <c r="C173" t="inlineStr">
        <is>
          <t>Nezha Prime</t>
        </is>
      </c>
      <c r="D173" t="inlineStr">
        <is>
          <t>Melee</t>
        </is>
      </c>
      <c r="E173" t="inlineStr">
        <is>
          <t>Prime</t>
        </is>
      </c>
      <c r="G173" t="n">
        <v>1</v>
      </c>
      <c r="H173" t="inlineStr">
        <is>
          <t>Player trade</t>
        </is>
      </c>
      <c r="I173" t="inlineStr">
        <is>
          <t>Yes</t>
        </is>
      </c>
      <c r="K173" t="inlineStr">
        <is>
          <t>Core</t>
        </is>
      </c>
      <c r="L173" t="n">
        <v>50</v>
      </c>
      <c r="M173" t="n">
        <v>59</v>
      </c>
      <c r="N173" t="n">
        <v>66</v>
      </c>
      <c r="O173" t="inlineStr">
        <is>
          <t>2026-10-05 UTC (WFM pull 02:52-04:00)</t>
        </is>
      </c>
      <c r="P173" t="inlineStr">
        <is>
          <t>OK</t>
        </is>
      </c>
      <c r="R173" t="inlineStr">
        <is>
          <t>Unchanged from v3 allocation</t>
        </is>
      </c>
      <c r="S173" t="inlineStr">
        <is>
          <t>guandao_prime_set</t>
        </is>
      </c>
      <c r="T173" t="n">
        <v>28</v>
      </c>
      <c r="U173" t="n">
        <v>28</v>
      </c>
      <c r="V173" t="n">
        <v>58</v>
      </c>
      <c r="W173" t="n">
        <v>58</v>
      </c>
      <c r="X173" t="n">
        <v>57.3</v>
      </c>
      <c r="Y173" t="n">
        <v>2223</v>
      </c>
      <c r="Z173" t="n">
        <v>50</v>
      </c>
      <c r="AA173" t="n">
        <v>30</v>
      </c>
      <c r="AB173" t="n">
        <v>20</v>
      </c>
      <c r="AC173" t="inlineStr">
        <is>
          <t>Non-signature</t>
        </is>
      </c>
      <c r="AE173" t="inlineStr">
        <is>
          <t>No</t>
        </is>
      </c>
      <c r="AL173" t="inlineStr">
        <is>
          <t>Yes</t>
        </is>
      </c>
      <c r="AM173" t="n">
        <v>3</v>
      </c>
      <c r="AS173" t="inlineStr">
        <is>
          <t>Yes</t>
        </is>
      </c>
    </row>
    <row r="174">
      <c r="A174" t="inlineStr">
        <is>
          <t>Weapon</t>
        </is>
      </c>
      <c r="B174" t="inlineStr">
        <is>
          <t>Strun Prime</t>
        </is>
      </c>
      <c r="C174" t="inlineStr">
        <is>
          <t>Nidus Prime</t>
        </is>
      </c>
      <c r="D174" t="inlineStr">
        <is>
          <t>Primary</t>
        </is>
      </c>
      <c r="E174" t="inlineStr">
        <is>
          <t>Prime</t>
        </is>
      </c>
      <c r="G174" t="n">
        <v>1</v>
      </c>
      <c r="H174" t="inlineStr">
        <is>
          <t>Player trade</t>
        </is>
      </c>
      <c r="I174" t="inlineStr">
        <is>
          <t>Yes</t>
        </is>
      </c>
      <c r="K174" t="inlineStr">
        <is>
          <t>Core</t>
        </is>
      </c>
      <c r="L174" t="n">
        <v>60</v>
      </c>
      <c r="M174" t="n">
        <v>65</v>
      </c>
      <c r="N174" t="n">
        <v>77</v>
      </c>
      <c r="O174" t="inlineStr">
        <is>
          <t>2026-10-05 UTC (WFM pull 02:52-04:00)</t>
        </is>
      </c>
      <c r="P174" t="inlineStr">
        <is>
          <t>OK</t>
        </is>
      </c>
      <c r="R174" t="inlineStr">
        <is>
          <t>Unchanged from v3 allocation</t>
        </is>
      </c>
      <c r="S174" t="inlineStr">
        <is>
          <t>strun_prime_set</t>
        </is>
      </c>
      <c r="T174" t="n">
        <v>27</v>
      </c>
      <c r="U174" t="n">
        <v>27</v>
      </c>
      <c r="V174" t="n">
        <v>70</v>
      </c>
      <c r="W174" t="n">
        <v>60</v>
      </c>
      <c r="X174" t="n">
        <v>63.6</v>
      </c>
      <c r="Y174" t="n">
        <v>5799</v>
      </c>
      <c r="Z174" t="n">
        <v>120</v>
      </c>
      <c r="AA174" t="n">
        <v>50</v>
      </c>
      <c r="AB174" t="n">
        <v>10</v>
      </c>
      <c r="AC174" t="inlineStr">
        <is>
          <t>Non-signature</t>
        </is>
      </c>
      <c r="AE174" t="inlineStr">
        <is>
          <t>Yes (Genesis)</t>
        </is>
      </c>
      <c r="AF174" t="inlineStr">
        <is>
          <t>Incarnon Genesis (farm: Steel Path Circuit)</t>
        </is>
      </c>
      <c r="AL174" t="inlineStr">
        <is>
          <t>Yes</t>
        </is>
      </c>
      <c r="AM174" t="n">
        <v>4</v>
      </c>
      <c r="AS174" t="inlineStr">
        <is>
          <t>Yes</t>
        </is>
      </c>
    </row>
    <row r="175">
      <c r="A175" t="inlineStr">
        <is>
          <t>Weapon</t>
        </is>
      </c>
      <c r="B175" t="inlineStr">
        <is>
          <t>Magnus Prime</t>
        </is>
      </c>
      <c r="C175" t="inlineStr">
        <is>
          <t>Nidus Prime</t>
        </is>
      </c>
      <c r="D175" t="inlineStr">
        <is>
          <t>Secondary</t>
        </is>
      </c>
      <c r="E175" t="inlineStr">
        <is>
          <t>Prime</t>
        </is>
      </c>
      <c r="G175" t="n">
        <v>1</v>
      </c>
      <c r="H175" t="inlineStr">
        <is>
          <t>Player trade</t>
        </is>
      </c>
      <c r="I175" t="inlineStr">
        <is>
          <t>Yes</t>
        </is>
      </c>
      <c r="K175" t="inlineStr">
        <is>
          <t>Core</t>
        </is>
      </c>
      <c r="L175" t="n">
        <v>37</v>
      </c>
      <c r="M175" t="n">
        <v>40</v>
      </c>
      <c r="N175" t="n">
        <v>44</v>
      </c>
      <c r="O175" t="inlineStr">
        <is>
          <t>2026-10-05 UTC (WFM pull 02:52-04:00)</t>
        </is>
      </c>
      <c r="P175" t="inlineStr">
        <is>
          <t>OK</t>
        </is>
      </c>
      <c r="R175" t="inlineStr">
        <is>
          <t>Unchanged from v3 allocation</t>
        </is>
      </c>
      <c r="S175" t="inlineStr">
        <is>
          <t>magnus_prime_set</t>
        </is>
      </c>
      <c r="T175" t="n">
        <v>31</v>
      </c>
      <c r="U175" t="n">
        <v>31</v>
      </c>
      <c r="V175" t="n">
        <v>40</v>
      </c>
      <c r="W175" t="n">
        <v>40</v>
      </c>
      <c r="X175" t="n">
        <v>41.7</v>
      </c>
      <c r="Y175" t="n">
        <v>5154</v>
      </c>
      <c r="Z175" t="n">
        <v>113</v>
      </c>
      <c r="AA175" t="n">
        <v>35</v>
      </c>
      <c r="AB175" t="n">
        <v>2</v>
      </c>
      <c r="AC175" t="inlineStr">
        <is>
          <t>Non-signature</t>
        </is>
      </c>
      <c r="AE175" t="inlineStr">
        <is>
          <t>No</t>
        </is>
      </c>
      <c r="AL175" t="inlineStr">
        <is>
          <t>Yes</t>
        </is>
      </c>
      <c r="AM175" t="n">
        <v>3</v>
      </c>
      <c r="AS175" t="inlineStr">
        <is>
          <t>Yes</t>
        </is>
      </c>
    </row>
    <row r="176">
      <c r="A176" t="inlineStr">
        <is>
          <t>Weapon</t>
        </is>
      </c>
      <c r="B176" t="inlineStr">
        <is>
          <t>Pathocyst</t>
        </is>
      </c>
      <c r="C176" t="inlineStr">
        <is>
          <t>Nidus Prime</t>
        </is>
      </c>
      <c r="D176" t="inlineStr">
        <is>
          <t>Melee</t>
        </is>
      </c>
      <c r="E176" t="inlineStr">
        <is>
          <t>Standard</t>
        </is>
      </c>
      <c r="G176" t="n">
        <v>1</v>
      </c>
      <c r="H176" t="inlineStr">
        <is>
          <t>Player trade</t>
        </is>
      </c>
      <c r="I176" t="inlineStr">
        <is>
          <t>Yes</t>
        </is>
      </c>
      <c r="K176" t="inlineStr">
        <is>
          <t>Core</t>
        </is>
      </c>
      <c r="L176" t="n">
        <v>60</v>
      </c>
      <c r="M176" t="n">
        <v>65.2</v>
      </c>
      <c r="N176" t="n">
        <v>109</v>
      </c>
      <c r="O176" t="inlineStr">
        <is>
          <t>2026-10-05 UTC (WFM pull 02:52-04:00)</t>
        </is>
      </c>
      <c r="P176" t="inlineStr">
        <is>
          <t>OK</t>
        </is>
      </c>
      <c r="Q176" t="inlineStr">
        <is>
          <t>Coda Pathocyst live (U38.5) - doctrine: no automatic Coda/adversary substitution; optional upgrade</t>
        </is>
      </c>
      <c r="R176" t="inlineStr">
        <is>
          <t>Unchanged from v3 allocation</t>
        </is>
      </c>
      <c r="S176" t="inlineStr">
        <is>
          <t>pathocyst_set</t>
        </is>
      </c>
      <c r="T176" t="n">
        <v>4</v>
      </c>
      <c r="U176" t="n">
        <v>4</v>
      </c>
      <c r="V176" t="n">
        <v>43.5</v>
      </c>
      <c r="W176" t="n">
        <v>40</v>
      </c>
      <c r="X176" t="n">
        <v>39.5</v>
      </c>
      <c r="Y176" t="n">
        <v>486</v>
      </c>
      <c r="Z176" t="n">
        <v>5</v>
      </c>
      <c r="AC176" t="inlineStr">
        <is>
          <t>Non-signature</t>
        </is>
      </c>
      <c r="AE176" t="inlineStr">
        <is>
          <t>No</t>
        </is>
      </c>
      <c r="AL176" t="inlineStr">
        <is>
          <t>Yes</t>
        </is>
      </c>
      <c r="AM176" t="n">
        <v>3</v>
      </c>
      <c r="AS176" t="inlineStr">
        <is>
          <t>Yes</t>
        </is>
      </c>
    </row>
    <row r="177">
      <c r="A177" t="inlineStr">
        <is>
          <t>Weapon</t>
        </is>
      </c>
      <c r="B177" t="inlineStr">
        <is>
          <t>Sporothrix</t>
        </is>
      </c>
      <c r="C177" t="inlineStr">
        <is>
          <t>Nokko</t>
        </is>
      </c>
      <c r="D177" t="inlineStr">
        <is>
          <t>Primary</t>
        </is>
      </c>
      <c r="E177" t="inlineStr">
        <is>
          <t>Standard</t>
        </is>
      </c>
      <c r="G177" t="n">
        <v>1</v>
      </c>
      <c r="H177" t="inlineStr">
        <is>
          <t>Player trade</t>
        </is>
      </c>
      <c r="I177" t="inlineStr">
        <is>
          <t>Yes</t>
        </is>
      </c>
      <c r="K177" t="inlineStr">
        <is>
          <t>Core</t>
        </is>
      </c>
      <c r="L177" t="n">
        <v>19</v>
      </c>
      <c r="M177" t="n">
        <v>20</v>
      </c>
      <c r="N177" t="n">
        <v>28</v>
      </c>
      <c r="O177" t="inlineStr">
        <is>
          <t>2026-10-05 UTC (WFM pull 02:52-04:00)</t>
        </is>
      </c>
      <c r="P177" t="inlineStr">
        <is>
          <t>OK</t>
        </is>
      </c>
      <c r="Q177" t="inlineStr">
        <is>
          <t>v3: OPEN; Coda Sporothrix live (U38.5) - doctrine: no automatic Coda/adversary substitution; optional upgrade</t>
        </is>
      </c>
      <c r="R177" t="inlineStr">
        <is>
          <t>Fungal sniper rifle, direct Nokko (mushroom) thematic fit (D). Signature Arbucep is an Archgun.</t>
        </is>
      </c>
      <c r="S177" t="inlineStr">
        <is>
          <t>sporothrix_set</t>
        </is>
      </c>
      <c r="T177" t="n">
        <v>16</v>
      </c>
      <c r="U177" t="n">
        <v>16</v>
      </c>
      <c r="V177" t="n">
        <v>20</v>
      </c>
      <c r="W177" t="n">
        <v>20</v>
      </c>
      <c r="X177" t="n">
        <v>19.5</v>
      </c>
      <c r="Y177" t="n">
        <v>1263</v>
      </c>
      <c r="Z177" t="n">
        <v>25</v>
      </c>
      <c r="AA177" t="n">
        <v>12</v>
      </c>
      <c r="AB177" t="n">
        <v>7</v>
      </c>
      <c r="AC177" t="inlineStr">
        <is>
          <t>Non-signature</t>
        </is>
      </c>
      <c r="AE177" t="inlineStr">
        <is>
          <t>No</t>
        </is>
      </c>
      <c r="AL177" t="inlineStr">
        <is>
          <t>Yes</t>
        </is>
      </c>
      <c r="AM177" t="n">
        <v>3</v>
      </c>
      <c r="AS177" t="inlineStr">
        <is>
          <t>Yes</t>
        </is>
      </c>
    </row>
    <row r="178">
      <c r="A178" t="inlineStr">
        <is>
          <t>Weapon</t>
        </is>
      </c>
      <c r="B178" t="inlineStr">
        <is>
          <t>Ocucor</t>
        </is>
      </c>
      <c r="C178" t="inlineStr">
        <is>
          <t>Nokko</t>
        </is>
      </c>
      <c r="D178" t="inlineStr">
        <is>
          <t>Secondary</t>
        </is>
      </c>
      <c r="E178" t="inlineStr">
        <is>
          <t>Standard</t>
        </is>
      </c>
      <c r="G178" t="n">
        <v>1</v>
      </c>
      <c r="H178" t="inlineStr">
        <is>
          <t>Farm / vendor / Dojo / quest</t>
        </is>
      </c>
      <c r="I178" t="inlineStr">
        <is>
          <t>No</t>
        </is>
      </c>
      <c r="K178" t="inlineStr">
        <is>
          <t>Core</t>
        </is>
      </c>
      <c r="P178" t="inlineStr">
        <is>
          <t>FARMABLE / ACCOUNT-BOUND</t>
        </is>
      </c>
      <c r="Q178" t="inlineStr">
        <is>
          <t>v3: OPEN</t>
        </is>
      </c>
      <c r="R178" t="inlineStr">
        <is>
          <t>Released from Yareli; Deimos/Infested-growth thematic fit (D).</t>
        </is>
      </c>
      <c r="AC178" t="inlineStr">
        <is>
          <t>Non-signature</t>
        </is>
      </c>
      <c r="AE178" t="inlineStr">
        <is>
          <t>No</t>
        </is>
      </c>
      <c r="AL178" t="inlineStr">
        <is>
          <t>Yes</t>
        </is>
      </c>
      <c r="AM178" t="n">
        <v>3</v>
      </c>
      <c r="AS178" t="inlineStr">
        <is>
          <t>No</t>
        </is>
      </c>
    </row>
    <row r="179">
      <c r="A179" t="inlineStr">
        <is>
          <t>Weapon</t>
        </is>
      </c>
      <c r="B179" t="inlineStr">
        <is>
          <t>Mios</t>
        </is>
      </c>
      <c r="C179" t="inlineStr">
        <is>
          <t>Nokko</t>
        </is>
      </c>
      <c r="D179" t="inlineStr">
        <is>
          <t>Melee</t>
        </is>
      </c>
      <c r="E179" t="inlineStr">
        <is>
          <t>Standard</t>
        </is>
      </c>
      <c r="G179" t="n">
        <v>1</v>
      </c>
      <c r="H179" t="inlineStr">
        <is>
          <t>Farm / vendor / Dojo / quest</t>
        </is>
      </c>
      <c r="I179" t="inlineStr">
        <is>
          <t>No</t>
        </is>
      </c>
      <c r="K179" t="inlineStr">
        <is>
          <t>Core</t>
        </is>
      </c>
      <c r="P179" t="inlineStr">
        <is>
          <t>FARMABLE / ACCOUNT-BOUND</t>
        </is>
      </c>
      <c r="Q179" t="inlineStr">
        <is>
          <t>v3: OPEN</t>
        </is>
      </c>
      <c r="R179" t="inlineStr">
        <is>
          <t>Released from Uriel (Vinquibus covers Melee); Infested blade-whip fit (D).</t>
        </is>
      </c>
      <c r="AC179" t="inlineStr">
        <is>
          <t>Non-signature</t>
        </is>
      </c>
      <c r="AE179" t="inlineStr">
        <is>
          <t>No</t>
        </is>
      </c>
      <c r="AL179" t="inlineStr">
        <is>
          <t>Yes</t>
        </is>
      </c>
      <c r="AM179" t="n">
        <v>3</v>
      </c>
      <c r="AS179" t="inlineStr">
        <is>
          <t>No</t>
        </is>
      </c>
    </row>
    <row r="180">
      <c r="A180" t="inlineStr">
        <is>
          <t>Weapon</t>
        </is>
      </c>
      <c r="B180" t="inlineStr">
        <is>
          <t>Soma Prime</t>
        </is>
      </c>
      <c r="C180" t="inlineStr">
        <is>
          <t>Nova Prime</t>
        </is>
      </c>
      <c r="D180" t="inlineStr">
        <is>
          <t>Primary</t>
        </is>
      </c>
      <c r="E180" t="inlineStr">
        <is>
          <t>Prime</t>
        </is>
      </c>
      <c r="G180" t="n">
        <v>1</v>
      </c>
      <c r="H180" t="inlineStr">
        <is>
          <t>Player trade</t>
        </is>
      </c>
      <c r="I180" t="inlineStr">
        <is>
          <t>Yes</t>
        </is>
      </c>
      <c r="K180" t="inlineStr">
        <is>
          <t>Core</t>
        </is>
      </c>
      <c r="L180" t="n">
        <v>54</v>
      </c>
      <c r="M180" t="n">
        <v>54</v>
      </c>
      <c r="N180" t="n">
        <v>61</v>
      </c>
      <c r="O180" t="inlineStr">
        <is>
          <t>2026-10-05 UTC (WFM pull 02:52-04:00)</t>
        </is>
      </c>
      <c r="P180" t="inlineStr">
        <is>
          <t>OK</t>
        </is>
      </c>
      <c r="R180" t="inlineStr">
        <is>
          <t>Unchanged from v3 allocation</t>
        </is>
      </c>
      <c r="S180" t="inlineStr">
        <is>
          <t>soma_prime_set</t>
        </is>
      </c>
      <c r="T180" t="n">
        <v>54</v>
      </c>
      <c r="U180" t="n">
        <v>54</v>
      </c>
      <c r="V180" t="n">
        <v>55</v>
      </c>
      <c r="W180" t="n">
        <v>55</v>
      </c>
      <c r="X180" t="n">
        <v>56.3</v>
      </c>
      <c r="Y180" t="n">
        <v>3570</v>
      </c>
      <c r="Z180" t="n">
        <v>106</v>
      </c>
      <c r="AA180" t="n">
        <v>45</v>
      </c>
      <c r="AB180" t="n">
        <v>9</v>
      </c>
      <c r="AC180" t="inlineStr">
        <is>
          <t>Non-signature</t>
        </is>
      </c>
      <c r="AE180" t="inlineStr">
        <is>
          <t>Yes (Genesis)</t>
        </is>
      </c>
      <c r="AF180" t="inlineStr">
        <is>
          <t>Incarnon Genesis (farm: Steel Path Circuit)</t>
        </is>
      </c>
      <c r="AL180" t="inlineStr">
        <is>
          <t>Yes</t>
        </is>
      </c>
      <c r="AM180" t="n">
        <v>4</v>
      </c>
      <c r="AS180" t="inlineStr">
        <is>
          <t>Yes</t>
        </is>
      </c>
    </row>
    <row r="181">
      <c r="A181" t="inlineStr">
        <is>
          <t>Weapon</t>
        </is>
      </c>
      <c r="B181" t="inlineStr">
        <is>
          <t>Aksomati Prime</t>
        </is>
      </c>
      <c r="C181" t="inlineStr">
        <is>
          <t>Nova Prime</t>
        </is>
      </c>
      <c r="D181" t="inlineStr">
        <is>
          <t>Secondary</t>
        </is>
      </c>
      <c r="E181" t="inlineStr">
        <is>
          <t>Prime</t>
        </is>
      </c>
      <c r="G181" t="n">
        <v>1</v>
      </c>
      <c r="H181" t="inlineStr">
        <is>
          <t>Player trade</t>
        </is>
      </c>
      <c r="I181" t="inlineStr">
        <is>
          <t>Yes</t>
        </is>
      </c>
      <c r="K181" t="inlineStr">
        <is>
          <t>Core</t>
        </is>
      </c>
      <c r="L181" t="n">
        <v>99</v>
      </c>
      <c r="M181" t="n">
        <v>100</v>
      </c>
      <c r="N181" t="n">
        <v>122</v>
      </c>
      <c r="O181" t="inlineStr">
        <is>
          <t>2026-10-05 UTC (WFM pull 02:52-04:00)</t>
        </is>
      </c>
      <c r="P181" t="inlineStr">
        <is>
          <t>OK</t>
        </is>
      </c>
      <c r="R181" t="inlineStr">
        <is>
          <t>Unchanged from v3 allocation</t>
        </is>
      </c>
      <c r="S181" t="inlineStr">
        <is>
          <t>aksomati_prime_set</t>
        </is>
      </c>
      <c r="T181" t="n">
        <v>18</v>
      </c>
      <c r="U181" t="n">
        <v>18</v>
      </c>
      <c r="V181" t="n">
        <v>99</v>
      </c>
      <c r="W181" t="n">
        <v>100</v>
      </c>
      <c r="X181" t="n">
        <v>99.7</v>
      </c>
      <c r="Y181" t="n">
        <v>1559</v>
      </c>
      <c r="Z181" t="n">
        <v>76</v>
      </c>
      <c r="AA181" t="n">
        <v>75</v>
      </c>
      <c r="AB181" t="n">
        <v>24</v>
      </c>
      <c r="AC181" t="inlineStr">
        <is>
          <t>Non-signature</t>
        </is>
      </c>
      <c r="AE181" t="inlineStr">
        <is>
          <t>No</t>
        </is>
      </c>
      <c r="AL181" t="inlineStr">
        <is>
          <t>Yes</t>
        </is>
      </c>
      <c r="AM181" t="n">
        <v>3</v>
      </c>
      <c r="AS181" t="inlineStr">
        <is>
          <t>Yes</t>
        </is>
      </c>
    </row>
    <row r="182">
      <c r="A182" t="inlineStr">
        <is>
          <t>Weapon</t>
        </is>
      </c>
      <c r="B182" t="inlineStr">
        <is>
          <t>Gunsen Prime</t>
        </is>
      </c>
      <c r="C182" t="inlineStr">
        <is>
          <t>Nova Prime</t>
        </is>
      </c>
      <c r="D182" t="inlineStr">
        <is>
          <t>Melee</t>
        </is>
      </c>
      <c r="E182" t="inlineStr">
        <is>
          <t>Prime</t>
        </is>
      </c>
      <c r="G182" t="n">
        <v>1</v>
      </c>
      <c r="H182" t="inlineStr">
        <is>
          <t>Player trade</t>
        </is>
      </c>
      <c r="I182" t="inlineStr">
        <is>
          <t>Yes</t>
        </is>
      </c>
      <c r="K182" t="inlineStr">
        <is>
          <t>Core</t>
        </is>
      </c>
      <c r="L182" t="n">
        <v>64</v>
      </c>
      <c r="M182" t="n">
        <v>65</v>
      </c>
      <c r="N182" t="n">
        <v>77</v>
      </c>
      <c r="O182" t="inlineStr">
        <is>
          <t>2026-10-05 UTC (WFM pull 02:52-04:00)</t>
        </is>
      </c>
      <c r="P182" t="inlineStr">
        <is>
          <t>OK</t>
        </is>
      </c>
      <c r="R182" t="inlineStr">
        <is>
          <t>Unchanged from v3 allocation</t>
        </is>
      </c>
      <c r="S182" t="inlineStr">
        <is>
          <t>gunsen_prime_set</t>
        </is>
      </c>
      <c r="T182" t="n">
        <v>13</v>
      </c>
      <c r="U182" t="n">
        <v>13</v>
      </c>
      <c r="V182" t="n">
        <v>60</v>
      </c>
      <c r="W182" t="n">
        <v>59.5</v>
      </c>
      <c r="X182" t="n">
        <v>58.2</v>
      </c>
      <c r="Y182" t="n">
        <v>1836</v>
      </c>
      <c r="Z182" t="n">
        <v>66</v>
      </c>
      <c r="AA182" t="n">
        <v>50</v>
      </c>
      <c r="AB182" t="n">
        <v>14</v>
      </c>
      <c r="AC182" t="inlineStr">
        <is>
          <t>Non-signature</t>
        </is>
      </c>
      <c r="AE182" t="inlineStr">
        <is>
          <t>No</t>
        </is>
      </c>
      <c r="AL182" t="inlineStr">
        <is>
          <t>Yes</t>
        </is>
      </c>
      <c r="AM182" t="n">
        <v>3</v>
      </c>
      <c r="AS182" t="inlineStr">
        <is>
          <t>Yes</t>
        </is>
      </c>
    </row>
    <row r="183">
      <c r="A183" t="inlineStr">
        <is>
          <t>Weapon</t>
        </is>
      </c>
      <c r="B183" t="inlineStr">
        <is>
          <t>Synapse</t>
        </is>
      </c>
      <c r="C183" t="inlineStr">
        <is>
          <t>Nyx Prime</t>
        </is>
      </c>
      <c r="D183" t="inlineStr">
        <is>
          <t>Primary</t>
        </is>
      </c>
      <c r="E183" t="inlineStr">
        <is>
          <t>Standard</t>
        </is>
      </c>
      <c r="G183" t="n">
        <v>1</v>
      </c>
      <c r="H183" t="inlineStr">
        <is>
          <t>Farm / vendor / Dojo / quest</t>
        </is>
      </c>
      <c r="I183" t="inlineStr">
        <is>
          <t>No</t>
        </is>
      </c>
      <c r="K183" t="inlineStr">
        <is>
          <t>Core</t>
        </is>
      </c>
      <c r="P183" t="inlineStr">
        <is>
          <t>FARMABLE / ACCOUNT-BOUND</t>
        </is>
      </c>
      <c r="Q183" t="inlineStr">
        <is>
          <t>Coda Synapse live (U38.5) - doctrine: no automatic Coda/adversary substitution; optional upgrade</t>
        </is>
      </c>
      <c r="R183" t="inlineStr">
        <is>
          <t>Unchanged from v3 allocation</t>
        </is>
      </c>
      <c r="AC183" t="inlineStr">
        <is>
          <t>Non-signature</t>
        </is>
      </c>
      <c r="AE183" t="inlineStr">
        <is>
          <t>No</t>
        </is>
      </c>
      <c r="AL183" t="inlineStr">
        <is>
          <t>Yes</t>
        </is>
      </c>
      <c r="AM183" t="n">
        <v>3</v>
      </c>
      <c r="AS183" t="inlineStr">
        <is>
          <t>No</t>
        </is>
      </c>
    </row>
    <row r="184">
      <c r="A184" t="inlineStr">
        <is>
          <t>Weapon</t>
        </is>
      </c>
      <c r="B184" t="inlineStr">
        <is>
          <t>Hikou Prime</t>
        </is>
      </c>
      <c r="C184" t="inlineStr">
        <is>
          <t>Nyx Prime</t>
        </is>
      </c>
      <c r="D184" t="inlineStr">
        <is>
          <t>Secondary</t>
        </is>
      </c>
      <c r="E184" t="inlineStr">
        <is>
          <t>Prime</t>
        </is>
      </c>
      <c r="G184" t="n">
        <v>1</v>
      </c>
      <c r="H184" t="inlineStr">
        <is>
          <t>Player trade</t>
        </is>
      </c>
      <c r="I184" t="inlineStr">
        <is>
          <t>Yes</t>
        </is>
      </c>
      <c r="K184" t="inlineStr">
        <is>
          <t>Core</t>
        </is>
      </c>
      <c r="L184" t="n">
        <v>38</v>
      </c>
      <c r="M184" t="n">
        <v>40</v>
      </c>
      <c r="N184" t="n">
        <v>44</v>
      </c>
      <c r="O184" t="inlineStr">
        <is>
          <t>2026-10-05 UTC (WFM pull 02:52-04:00)</t>
        </is>
      </c>
      <c r="P184" t="inlineStr">
        <is>
          <t>OK</t>
        </is>
      </c>
      <c r="R184" t="inlineStr">
        <is>
          <t>Unchanged from v3 allocation</t>
        </is>
      </c>
      <c r="S184" t="inlineStr">
        <is>
          <t>hikou_prime_set</t>
        </is>
      </c>
      <c r="T184" t="n">
        <v>34</v>
      </c>
      <c r="U184" t="n">
        <v>34</v>
      </c>
      <c r="V184" t="n">
        <v>38.5</v>
      </c>
      <c r="W184" t="n">
        <v>39</v>
      </c>
      <c r="X184" t="n">
        <v>38.6</v>
      </c>
      <c r="Y184" t="n">
        <v>1349</v>
      </c>
      <c r="Z184" t="n">
        <v>36</v>
      </c>
      <c r="AA184" t="n">
        <v>30</v>
      </c>
      <c r="AB184" t="n">
        <v>8</v>
      </c>
      <c r="AC184" t="inlineStr">
        <is>
          <t>Non-signature</t>
        </is>
      </c>
      <c r="AE184" t="inlineStr">
        <is>
          <t>No</t>
        </is>
      </c>
      <c r="AL184" t="inlineStr">
        <is>
          <t>Yes</t>
        </is>
      </c>
      <c r="AM184" t="n">
        <v>3</v>
      </c>
      <c r="AS184" t="inlineStr">
        <is>
          <t>Yes</t>
        </is>
      </c>
    </row>
    <row r="185">
      <c r="A185" t="inlineStr">
        <is>
          <t>Weapon</t>
        </is>
      </c>
      <c r="B185" t="inlineStr">
        <is>
          <t>Scindo Prime</t>
        </is>
      </c>
      <c r="C185" t="inlineStr">
        <is>
          <t>Nyx Prime</t>
        </is>
      </c>
      <c r="D185" t="inlineStr">
        <is>
          <t>Melee</t>
        </is>
      </c>
      <c r="E185" t="inlineStr">
        <is>
          <t>Prime</t>
        </is>
      </c>
      <c r="G185" t="n">
        <v>1</v>
      </c>
      <c r="H185" t="inlineStr">
        <is>
          <t>Player trade</t>
        </is>
      </c>
      <c r="I185" t="inlineStr">
        <is>
          <t>Yes</t>
        </is>
      </c>
      <c r="K185" t="inlineStr">
        <is>
          <t>Core</t>
        </is>
      </c>
      <c r="L185" t="n">
        <v>28</v>
      </c>
      <c r="M185" t="n">
        <v>30</v>
      </c>
      <c r="N185" t="n">
        <v>33</v>
      </c>
      <c r="O185" t="inlineStr">
        <is>
          <t>2026-10-05 UTC (WFM pull 02:52-04:00)</t>
        </is>
      </c>
      <c r="P185" t="inlineStr">
        <is>
          <t>OK</t>
        </is>
      </c>
      <c r="R185" t="inlineStr">
        <is>
          <t>Unchanged from v3 allocation</t>
        </is>
      </c>
      <c r="S185" t="inlineStr">
        <is>
          <t>scindo_prime_set</t>
        </is>
      </c>
      <c r="T185" t="n">
        <v>31</v>
      </c>
      <c r="U185" t="n">
        <v>31</v>
      </c>
      <c r="V185" t="n">
        <v>29</v>
      </c>
      <c r="W185" t="n">
        <v>25</v>
      </c>
      <c r="X185" t="n">
        <v>26</v>
      </c>
      <c r="Y185" t="n">
        <v>1522</v>
      </c>
      <c r="Z185" t="n">
        <v>27</v>
      </c>
      <c r="AC185" t="inlineStr">
        <is>
          <t>Non-signature</t>
        </is>
      </c>
      <c r="AE185" t="inlineStr">
        <is>
          <t>No</t>
        </is>
      </c>
      <c r="AL185" t="inlineStr">
        <is>
          <t>Yes</t>
        </is>
      </c>
      <c r="AM185" t="n">
        <v>3</v>
      </c>
      <c r="AS185" t="inlineStr">
        <is>
          <t>Yes</t>
        </is>
      </c>
    </row>
    <row r="186">
      <c r="A186" t="inlineStr">
        <is>
          <t>Weapon</t>
        </is>
      </c>
      <c r="B186" t="inlineStr">
        <is>
          <t>Sybaris Prime</t>
        </is>
      </c>
      <c r="C186" t="inlineStr">
        <is>
          <t>Oberon Prime</t>
        </is>
      </c>
      <c r="D186" t="inlineStr">
        <is>
          <t>Primary</t>
        </is>
      </c>
      <c r="E186" t="inlineStr">
        <is>
          <t>Prime</t>
        </is>
      </c>
      <c r="G186" t="n">
        <v>1</v>
      </c>
      <c r="H186" t="inlineStr">
        <is>
          <t>Player trade</t>
        </is>
      </c>
      <c r="I186" t="inlineStr">
        <is>
          <t>Yes</t>
        </is>
      </c>
      <c r="K186" t="inlineStr">
        <is>
          <t>Core</t>
        </is>
      </c>
      <c r="L186" t="n">
        <v>69</v>
      </c>
      <c r="M186" t="n">
        <v>74</v>
      </c>
      <c r="N186" t="n">
        <v>83</v>
      </c>
      <c r="O186" t="inlineStr">
        <is>
          <t>2026-10-05 UTC (WFM pull 02:52-04:00)</t>
        </is>
      </c>
      <c r="P186" t="inlineStr">
        <is>
          <t>OK</t>
        </is>
      </c>
      <c r="R186" t="inlineStr">
        <is>
          <t>Unchanged from v3 allocation</t>
        </is>
      </c>
      <c r="S186" t="inlineStr">
        <is>
          <t>sybaris_prime_set</t>
        </is>
      </c>
      <c r="T186" t="n">
        <v>24</v>
      </c>
      <c r="U186" t="n">
        <v>24</v>
      </c>
      <c r="V186" t="n">
        <v>75</v>
      </c>
      <c r="W186" t="n">
        <v>75</v>
      </c>
      <c r="X186" t="n">
        <v>75.3</v>
      </c>
      <c r="Y186" t="n">
        <v>2244</v>
      </c>
      <c r="Z186" t="n">
        <v>63</v>
      </c>
      <c r="AA186" t="n">
        <v>55</v>
      </c>
      <c r="AB186" t="n">
        <v>14</v>
      </c>
      <c r="AC186" t="inlineStr">
        <is>
          <t>Non-signature</t>
        </is>
      </c>
      <c r="AE186" t="inlineStr">
        <is>
          <t>Yes (Genesis)</t>
        </is>
      </c>
      <c r="AF186" t="inlineStr">
        <is>
          <t>Incarnon Genesis (farm: Steel Path Circuit)</t>
        </is>
      </c>
      <c r="AL186" t="inlineStr">
        <is>
          <t>Yes</t>
        </is>
      </c>
      <c r="AM186" t="n">
        <v>4</v>
      </c>
      <c r="AS186" t="inlineStr">
        <is>
          <t>Yes</t>
        </is>
      </c>
    </row>
    <row r="187">
      <c r="A187" t="inlineStr">
        <is>
          <t>Weapon</t>
        </is>
      </c>
      <c r="B187" t="inlineStr">
        <is>
          <t>Sicarus Prime</t>
        </is>
      </c>
      <c r="C187" t="inlineStr">
        <is>
          <t>Oberon Prime</t>
        </is>
      </c>
      <c r="D187" t="inlineStr">
        <is>
          <t>Secondary</t>
        </is>
      </c>
      <c r="E187" t="inlineStr">
        <is>
          <t>Prime</t>
        </is>
      </c>
      <c r="G187" t="n">
        <v>1</v>
      </c>
      <c r="H187" t="inlineStr">
        <is>
          <t>Player trade</t>
        </is>
      </c>
      <c r="I187" t="inlineStr">
        <is>
          <t>Yes</t>
        </is>
      </c>
      <c r="K187" t="inlineStr">
        <is>
          <t>Core</t>
        </is>
      </c>
      <c r="L187" t="n">
        <v>59</v>
      </c>
      <c r="M187" t="n">
        <v>59</v>
      </c>
      <c r="N187" t="n">
        <v>66</v>
      </c>
      <c r="O187" t="inlineStr">
        <is>
          <t>2026-10-05 UTC (WFM pull 02:52-04:00)</t>
        </is>
      </c>
      <c r="P187" t="inlineStr">
        <is>
          <t>OK</t>
        </is>
      </c>
      <c r="R187" t="inlineStr">
        <is>
          <t>Unchanged from v3 allocation</t>
        </is>
      </c>
      <c r="S187" t="inlineStr">
        <is>
          <t>sicarus_prime_set</t>
        </is>
      </c>
      <c r="T187" t="n">
        <v>40</v>
      </c>
      <c r="U187" t="n">
        <v>40</v>
      </c>
      <c r="V187" t="n">
        <v>58</v>
      </c>
      <c r="W187" t="n">
        <v>59.5</v>
      </c>
      <c r="X187" t="n">
        <v>58.9</v>
      </c>
      <c r="Y187" t="n">
        <v>2164</v>
      </c>
      <c r="Z187" t="n">
        <v>47</v>
      </c>
      <c r="AA187" t="n">
        <v>45</v>
      </c>
      <c r="AB187" t="n">
        <v>14</v>
      </c>
      <c r="AC187" t="inlineStr">
        <is>
          <t>Non-signature</t>
        </is>
      </c>
      <c r="AE187" t="inlineStr">
        <is>
          <t>Yes (Genesis)</t>
        </is>
      </c>
      <c r="AF187" t="inlineStr">
        <is>
          <t>Incarnon Genesis (farm: Steel Path Circuit)</t>
        </is>
      </c>
      <c r="AL187" t="inlineStr">
        <is>
          <t>Yes</t>
        </is>
      </c>
      <c r="AM187" t="n">
        <v>4</v>
      </c>
      <c r="AS187" t="inlineStr">
        <is>
          <t>Yes</t>
        </is>
      </c>
    </row>
    <row r="188">
      <c r="A188" t="inlineStr">
        <is>
          <t>Weapon</t>
        </is>
      </c>
      <c r="B188" t="inlineStr">
        <is>
          <t>Silva &amp; Aegis Prime</t>
        </is>
      </c>
      <c r="C188" t="inlineStr">
        <is>
          <t>Oberon Prime</t>
        </is>
      </c>
      <c r="D188" t="inlineStr">
        <is>
          <t>Melee</t>
        </is>
      </c>
      <c r="E188" t="inlineStr">
        <is>
          <t>Prime</t>
        </is>
      </c>
      <c r="G188" t="n">
        <v>1</v>
      </c>
      <c r="H188" t="inlineStr">
        <is>
          <t>Player trade</t>
        </is>
      </c>
      <c r="I188" t="inlineStr">
        <is>
          <t>Yes</t>
        </is>
      </c>
      <c r="K188" t="inlineStr">
        <is>
          <t>Core</t>
        </is>
      </c>
      <c r="L188" t="n">
        <v>57</v>
      </c>
      <c r="M188" t="n">
        <v>59</v>
      </c>
      <c r="N188" t="n">
        <v>66</v>
      </c>
      <c r="O188" t="inlineStr">
        <is>
          <t>2026-10-05 UTC (WFM pull 02:52-04:00)</t>
        </is>
      </c>
      <c r="P188" t="inlineStr">
        <is>
          <t>OK</t>
        </is>
      </c>
      <c r="R188" t="inlineStr">
        <is>
          <t>Unchanged from v3 allocation</t>
        </is>
      </c>
      <c r="S188" t="inlineStr">
        <is>
          <t>silva_and_aegis_prime_set</t>
        </is>
      </c>
      <c r="T188" t="n">
        <v>15</v>
      </c>
      <c r="U188" t="n">
        <v>15</v>
      </c>
      <c r="V188" t="n">
        <v>57</v>
      </c>
      <c r="W188" t="n">
        <v>55</v>
      </c>
      <c r="X188" t="n">
        <v>54.9</v>
      </c>
      <c r="Y188" t="n">
        <v>1803</v>
      </c>
      <c r="Z188" t="n">
        <v>37</v>
      </c>
      <c r="AA188" t="n">
        <v>36</v>
      </c>
      <c r="AB188" t="n">
        <v>21</v>
      </c>
      <c r="AC188" t="inlineStr">
        <is>
          <t>Non-signature</t>
        </is>
      </c>
      <c r="AE188" t="inlineStr">
        <is>
          <t>No</t>
        </is>
      </c>
      <c r="AL188" t="inlineStr">
        <is>
          <t>Yes</t>
        </is>
      </c>
      <c r="AM188" t="n">
        <v>3</v>
      </c>
      <c r="AS188" t="inlineStr">
        <is>
          <t>Yes</t>
        </is>
      </c>
    </row>
    <row r="189">
      <c r="A189" t="inlineStr">
        <is>
          <t>Weapon</t>
        </is>
      </c>
      <c r="B189" t="inlineStr">
        <is>
          <t>Tenora Prime</t>
        </is>
      </c>
      <c r="C189" t="inlineStr">
        <is>
          <t>Octavia Prime</t>
        </is>
      </c>
      <c r="D189" t="inlineStr">
        <is>
          <t>Primary</t>
        </is>
      </c>
      <c r="E189" t="inlineStr">
        <is>
          <t>Prime</t>
        </is>
      </c>
      <c r="G189" t="n">
        <v>1</v>
      </c>
      <c r="H189" t="inlineStr">
        <is>
          <t>Player trade</t>
        </is>
      </c>
      <c r="I189" t="inlineStr">
        <is>
          <t>Yes</t>
        </is>
      </c>
      <c r="K189" t="inlineStr">
        <is>
          <t>Core</t>
        </is>
      </c>
      <c r="L189" t="n">
        <v>65</v>
      </c>
      <c r="M189" t="n">
        <v>75</v>
      </c>
      <c r="N189" t="n">
        <v>83</v>
      </c>
      <c r="O189" t="inlineStr">
        <is>
          <t>2026-10-05 UTC (WFM pull 02:52-04:00)</t>
        </is>
      </c>
      <c r="P189" t="inlineStr">
        <is>
          <t>OK</t>
        </is>
      </c>
      <c r="R189" t="inlineStr">
        <is>
          <t>Unchanged from v3 allocation</t>
        </is>
      </c>
      <c r="S189" t="inlineStr">
        <is>
          <t>tenora_prime_set</t>
        </is>
      </c>
      <c r="T189" t="n">
        <v>20</v>
      </c>
      <c r="U189" t="n">
        <v>20</v>
      </c>
      <c r="V189" t="n">
        <v>75</v>
      </c>
      <c r="W189" t="n">
        <v>73.5</v>
      </c>
      <c r="X189" t="n">
        <v>72.59999999999999</v>
      </c>
      <c r="Y189" t="n">
        <v>1695</v>
      </c>
      <c r="Z189" t="n">
        <v>59</v>
      </c>
      <c r="AA189" t="n">
        <v>50</v>
      </c>
      <c r="AB189" t="n">
        <v>15</v>
      </c>
      <c r="AC189" t="inlineStr">
        <is>
          <t>Signature - Octavia Prime</t>
        </is>
      </c>
      <c r="AD189" t="inlineStr">
        <is>
          <t>Alt-fire headshot kills 20% mag refill</t>
        </is>
      </c>
      <c r="AE189" t="inlineStr">
        <is>
          <t>No</t>
        </is>
      </c>
      <c r="AL189" t="inlineStr">
        <is>
          <t>Yes</t>
        </is>
      </c>
      <c r="AM189" t="n">
        <v>3</v>
      </c>
      <c r="AS189" t="inlineStr">
        <is>
          <t>Yes</t>
        </is>
      </c>
    </row>
    <row r="190">
      <c r="A190" t="inlineStr">
        <is>
          <t>Weapon</t>
        </is>
      </c>
      <c r="B190" t="inlineStr">
        <is>
          <t>Pandero Prime</t>
        </is>
      </c>
      <c r="C190" t="inlineStr">
        <is>
          <t>Octavia Prime</t>
        </is>
      </c>
      <c r="D190" t="inlineStr">
        <is>
          <t>Secondary</t>
        </is>
      </c>
      <c r="E190" t="inlineStr">
        <is>
          <t>Prime</t>
        </is>
      </c>
      <c r="G190" t="n">
        <v>1</v>
      </c>
      <c r="H190" t="inlineStr">
        <is>
          <t>Player trade</t>
        </is>
      </c>
      <c r="I190" t="inlineStr">
        <is>
          <t>Yes</t>
        </is>
      </c>
      <c r="K190" t="inlineStr">
        <is>
          <t>Core</t>
        </is>
      </c>
      <c r="L190" t="n">
        <v>38</v>
      </c>
      <c r="M190" t="n">
        <v>40</v>
      </c>
      <c r="N190" t="n">
        <v>44</v>
      </c>
      <c r="O190" t="inlineStr">
        <is>
          <t>2026-10-05 UTC (WFM pull 02:52-04:00)</t>
        </is>
      </c>
      <c r="P190" t="inlineStr">
        <is>
          <t>OK</t>
        </is>
      </c>
      <c r="R190" t="inlineStr">
        <is>
          <t>Unchanged from v3 allocation</t>
        </is>
      </c>
      <c r="S190" t="inlineStr">
        <is>
          <t>pandero_prime_set</t>
        </is>
      </c>
      <c r="T190" t="n">
        <v>21</v>
      </c>
      <c r="U190" t="n">
        <v>21</v>
      </c>
      <c r="V190" t="n">
        <v>39</v>
      </c>
      <c r="W190" t="n">
        <v>37</v>
      </c>
      <c r="X190" t="n">
        <v>36.7</v>
      </c>
      <c r="Y190" t="n">
        <v>1884</v>
      </c>
      <c r="Z190" t="n">
        <v>48</v>
      </c>
      <c r="AA190" t="n">
        <v>25</v>
      </c>
      <c r="AB190" t="n">
        <v>13</v>
      </c>
      <c r="AC190" t="inlineStr">
        <is>
          <t>Signature - Octavia Prime</t>
        </is>
      </c>
      <c r="AD190" t="inlineStr">
        <is>
          <t>Alt-fire headshot kills +20% reload</t>
        </is>
      </c>
      <c r="AE190" t="inlineStr">
        <is>
          <t>No</t>
        </is>
      </c>
      <c r="AL190" t="inlineStr">
        <is>
          <t>Yes</t>
        </is>
      </c>
      <c r="AM190" t="n">
        <v>3</v>
      </c>
      <c r="AS190" t="inlineStr">
        <is>
          <t>Yes</t>
        </is>
      </c>
    </row>
    <row r="191">
      <c r="A191" t="inlineStr">
        <is>
          <t>Weapon</t>
        </is>
      </c>
      <c r="B191" t="inlineStr">
        <is>
          <t>Stropha</t>
        </is>
      </c>
      <c r="C191" t="inlineStr">
        <is>
          <t>Octavia Prime</t>
        </is>
      </c>
      <c r="D191" t="inlineStr">
        <is>
          <t>Melee</t>
        </is>
      </c>
      <c r="E191" t="inlineStr">
        <is>
          <t>Standard</t>
        </is>
      </c>
      <c r="G191" t="n">
        <v>1</v>
      </c>
      <c r="H191" t="inlineStr">
        <is>
          <t>Player trade</t>
        </is>
      </c>
      <c r="I191" t="inlineStr">
        <is>
          <t>Yes</t>
        </is>
      </c>
      <c r="K191" t="inlineStr">
        <is>
          <t>Core</t>
        </is>
      </c>
      <c r="L191" t="n">
        <v>20</v>
      </c>
      <c r="M191" t="n">
        <v>37.5</v>
      </c>
      <c r="N191" t="n">
        <v>83</v>
      </c>
      <c r="O191" t="inlineStr">
        <is>
          <t>2026-10-05 UTC (WFM pull 02:52-04:00)</t>
        </is>
      </c>
      <c r="P191" t="inlineStr">
        <is>
          <t>OK</t>
        </is>
      </c>
      <c r="R191" t="inlineStr">
        <is>
          <t>Unchanged from v3 allocation</t>
        </is>
      </c>
      <c r="S191" t="inlineStr">
        <is>
          <t>stropha_set</t>
        </is>
      </c>
      <c r="T191" t="n">
        <v>5</v>
      </c>
      <c r="U191" t="n">
        <v>5</v>
      </c>
      <c r="V191" t="n">
        <v>25</v>
      </c>
      <c r="W191" t="n">
        <v>25</v>
      </c>
      <c r="X191" t="n">
        <v>24.9</v>
      </c>
      <c r="Y191" t="n">
        <v>952</v>
      </c>
      <c r="Z191" t="n">
        <v>23</v>
      </c>
      <c r="AC191" t="inlineStr">
        <is>
          <t>Non-signature</t>
        </is>
      </c>
      <c r="AE191" t="inlineStr">
        <is>
          <t>No</t>
        </is>
      </c>
      <c r="AL191" t="inlineStr">
        <is>
          <t>Yes</t>
        </is>
      </c>
      <c r="AM191" t="n">
        <v>3</v>
      </c>
      <c r="AS191" t="inlineStr">
        <is>
          <t>Yes</t>
        </is>
      </c>
    </row>
    <row r="192">
      <c r="A192" t="inlineStr">
        <is>
          <t>Weapon</t>
        </is>
      </c>
      <c r="B192" t="inlineStr">
        <is>
          <t>Torid</t>
        </is>
      </c>
      <c r="C192" t="inlineStr">
        <is>
          <t>Oraxia</t>
        </is>
      </c>
      <c r="D192" t="inlineStr">
        <is>
          <t>Primary</t>
        </is>
      </c>
      <c r="E192" t="inlineStr">
        <is>
          <t>Standard</t>
        </is>
      </c>
      <c r="G192" t="n">
        <v>1</v>
      </c>
      <c r="H192" t="inlineStr">
        <is>
          <t>Farm / vendor / Dojo / quest</t>
        </is>
      </c>
      <c r="I192" t="inlineStr">
        <is>
          <t>No</t>
        </is>
      </c>
      <c r="K192" t="inlineStr">
        <is>
          <t>Core</t>
        </is>
      </c>
      <c r="P192" t="inlineStr">
        <is>
          <t>FARMABLE / ACCOUNT-BOUND</t>
        </is>
      </c>
      <c r="Q192" t="inlineStr">
        <is>
          <t>v3: OPEN</t>
        </is>
      </c>
      <c r="R192" t="inlineStr">
        <is>
          <t>Toxin launcher Incarnon; venom/spider fit (D).</t>
        </is>
      </c>
      <c r="AC192" t="inlineStr">
        <is>
          <t>Non-signature</t>
        </is>
      </c>
      <c r="AE192" t="inlineStr">
        <is>
          <t>Yes (Genesis)</t>
        </is>
      </c>
      <c r="AF192" t="inlineStr">
        <is>
          <t>Incarnon Genesis (farm: Steel Path Circuit)</t>
        </is>
      </c>
      <c r="AL192" t="inlineStr">
        <is>
          <t>Yes</t>
        </is>
      </c>
      <c r="AM192" t="n">
        <v>4</v>
      </c>
      <c r="AS192" t="inlineStr">
        <is>
          <t>No</t>
        </is>
      </c>
    </row>
    <row r="193">
      <c r="A193" t="inlineStr">
        <is>
          <t>Weapon</t>
        </is>
      </c>
      <c r="B193" t="inlineStr">
        <is>
          <t>Scyotid</t>
        </is>
      </c>
      <c r="C193" t="inlineStr">
        <is>
          <t>Oraxia</t>
        </is>
      </c>
      <c r="D193" t="inlineStr">
        <is>
          <t>Secondary</t>
        </is>
      </c>
      <c r="E193" t="inlineStr">
        <is>
          <t>Standard</t>
        </is>
      </c>
      <c r="G193" t="n">
        <v>1</v>
      </c>
      <c r="H193" t="inlineStr">
        <is>
          <t>Farm / vendor / Dojo / quest</t>
        </is>
      </c>
      <c r="I193" t="inlineStr">
        <is>
          <t>No</t>
        </is>
      </c>
      <c r="K193" t="inlineStr">
        <is>
          <t>Core</t>
        </is>
      </c>
      <c r="P193" t="inlineStr">
        <is>
          <t>FARMABLE / ACCOUNT-BOUND</t>
        </is>
      </c>
      <c r="R193" t="inlineStr">
        <is>
          <t>Unchanged from v3 allocation</t>
        </is>
      </c>
      <c r="AC193" t="inlineStr">
        <is>
          <t>Signature - Oraxia</t>
        </is>
      </c>
      <c r="AD193" t="inlineStr">
        <is>
          <t>Signature, bonus not implemented</t>
        </is>
      </c>
      <c r="AE193" t="inlineStr">
        <is>
          <t>No</t>
        </is>
      </c>
      <c r="AL193" t="inlineStr">
        <is>
          <t>Yes</t>
        </is>
      </c>
      <c r="AM193" t="n">
        <v>3</v>
      </c>
      <c r="AS193" t="inlineStr">
        <is>
          <t>No</t>
        </is>
      </c>
    </row>
    <row r="194">
      <c r="A194" t="inlineStr">
        <is>
          <t>Weapon</t>
        </is>
      </c>
      <c r="B194" t="inlineStr">
        <is>
          <t>Spinnerex</t>
        </is>
      </c>
      <c r="C194" t="inlineStr">
        <is>
          <t>Oraxia</t>
        </is>
      </c>
      <c r="D194" t="inlineStr">
        <is>
          <t>Melee</t>
        </is>
      </c>
      <c r="E194" t="inlineStr">
        <is>
          <t>Standard</t>
        </is>
      </c>
      <c r="G194" t="n">
        <v>1</v>
      </c>
      <c r="H194" t="inlineStr">
        <is>
          <t>Farm / vendor / Dojo / quest</t>
        </is>
      </c>
      <c r="I194" t="inlineStr">
        <is>
          <t>No</t>
        </is>
      </c>
      <c r="K194" t="inlineStr">
        <is>
          <t>Core</t>
        </is>
      </c>
      <c r="P194" t="inlineStr">
        <is>
          <t>FARMABLE / ACCOUNT-BOUND</t>
        </is>
      </c>
      <c r="R194" t="inlineStr">
        <is>
          <t>Unchanged from v3 allocation</t>
        </is>
      </c>
      <c r="AC194" t="inlineStr">
        <is>
          <t>Signature - Oraxia</t>
        </is>
      </c>
      <c r="AD194" t="inlineStr">
        <is>
          <t>Signature, bonus not implemented</t>
        </is>
      </c>
      <c r="AE194" t="inlineStr">
        <is>
          <t>No</t>
        </is>
      </c>
      <c r="AL194" t="inlineStr">
        <is>
          <t>Yes</t>
        </is>
      </c>
      <c r="AM194" t="n">
        <v>3</v>
      </c>
      <c r="AS194" t="inlineStr">
        <is>
          <t>No</t>
        </is>
      </c>
    </row>
    <row r="195">
      <c r="A195" t="inlineStr">
        <is>
          <t>Weapon</t>
        </is>
      </c>
      <c r="B195" t="inlineStr">
        <is>
          <t>Stahlta</t>
        </is>
      </c>
      <c r="C195" t="inlineStr">
        <is>
          <t>Protea Prime</t>
        </is>
      </c>
      <c r="D195" t="inlineStr">
        <is>
          <t>Primary</t>
        </is>
      </c>
      <c r="E195" t="inlineStr">
        <is>
          <t>Standard</t>
        </is>
      </c>
      <c r="G195" t="n">
        <v>1</v>
      </c>
      <c r="H195" t="inlineStr">
        <is>
          <t>Player trade</t>
        </is>
      </c>
      <c r="I195" t="inlineStr">
        <is>
          <t>Yes</t>
        </is>
      </c>
      <c r="K195" t="inlineStr">
        <is>
          <t>Core</t>
        </is>
      </c>
      <c r="L195" t="n">
        <v>25</v>
      </c>
      <c r="M195" t="n">
        <v>30</v>
      </c>
      <c r="N195" t="n">
        <v>44</v>
      </c>
      <c r="O195" t="inlineStr">
        <is>
          <t>2026-10-05 UTC (WFM pull 02:52-04:00)</t>
        </is>
      </c>
      <c r="P195" t="inlineStr">
        <is>
          <t>OK</t>
        </is>
      </c>
      <c r="R195" t="inlineStr">
        <is>
          <t>Unchanged from v3 allocation</t>
        </is>
      </c>
      <c r="S195" t="inlineStr">
        <is>
          <t>stahlta_set</t>
        </is>
      </c>
      <c r="T195" t="n">
        <v>5</v>
      </c>
      <c r="U195" t="n">
        <v>5</v>
      </c>
      <c r="V195" t="n">
        <v>29</v>
      </c>
      <c r="W195" t="n">
        <v>25</v>
      </c>
      <c r="X195" t="n">
        <v>26.6</v>
      </c>
      <c r="Y195" t="n">
        <v>1475</v>
      </c>
      <c r="Z195" t="n">
        <v>19</v>
      </c>
      <c r="AC195" t="inlineStr">
        <is>
          <t>Non-signature</t>
        </is>
      </c>
      <c r="AE195" t="inlineStr">
        <is>
          <t>No</t>
        </is>
      </c>
      <c r="AL195" t="inlineStr">
        <is>
          <t>Yes</t>
        </is>
      </c>
      <c r="AM195" t="n">
        <v>3</v>
      </c>
      <c r="AS195" t="inlineStr">
        <is>
          <t>Yes</t>
        </is>
      </c>
    </row>
    <row r="196">
      <c r="A196" t="inlineStr">
        <is>
          <t>Weapon</t>
        </is>
      </c>
      <c r="B196" t="inlineStr">
        <is>
          <t>Velox Prime</t>
        </is>
      </c>
      <c r="C196" t="inlineStr">
        <is>
          <t>Protea Prime</t>
        </is>
      </c>
      <c r="D196" t="inlineStr">
        <is>
          <t>Secondary</t>
        </is>
      </c>
      <c r="E196" t="inlineStr">
        <is>
          <t>Prime</t>
        </is>
      </c>
      <c r="G196" t="n">
        <v>1</v>
      </c>
      <c r="H196" t="inlineStr">
        <is>
          <t>Player trade</t>
        </is>
      </c>
      <c r="I196" t="inlineStr">
        <is>
          <t>Yes</t>
        </is>
      </c>
      <c r="K196" t="inlineStr">
        <is>
          <t>Core</t>
        </is>
      </c>
      <c r="L196" t="n">
        <v>15</v>
      </c>
      <c r="M196" t="n">
        <v>15</v>
      </c>
      <c r="N196" t="n">
        <v>22</v>
      </c>
      <c r="O196" t="inlineStr">
        <is>
          <t>2026-10-05 UTC (WFM pull 02:52-04:00)</t>
        </is>
      </c>
      <c r="P196" t="inlineStr">
        <is>
          <t>OK</t>
        </is>
      </c>
      <c r="R196" t="inlineStr">
        <is>
          <t>Unchanged from v3 allocation</t>
        </is>
      </c>
      <c r="S196" t="inlineStr">
        <is>
          <t>velox_prime_set</t>
        </is>
      </c>
      <c r="T196" t="n">
        <v>28</v>
      </c>
      <c r="U196" t="n">
        <v>28</v>
      </c>
      <c r="V196" t="n">
        <v>15</v>
      </c>
      <c r="W196" t="n">
        <v>15</v>
      </c>
      <c r="X196" t="n">
        <v>15.8</v>
      </c>
      <c r="Y196" t="n">
        <v>3159</v>
      </c>
      <c r="Z196" t="n">
        <v>84</v>
      </c>
      <c r="AC196" t="inlineStr">
        <is>
          <t>Signature - Protea Prime</t>
        </is>
      </c>
      <c r="AD196" t="inlineStr">
        <is>
          <t>Ammo Efficiency 40%</t>
        </is>
      </c>
      <c r="AE196" t="inlineStr">
        <is>
          <t>No</t>
        </is>
      </c>
      <c r="AL196" t="inlineStr">
        <is>
          <t>Yes</t>
        </is>
      </c>
      <c r="AM196" t="n">
        <v>3</v>
      </c>
      <c r="AS196" t="inlineStr">
        <is>
          <t>Yes</t>
        </is>
      </c>
    </row>
    <row r="197">
      <c r="A197" t="inlineStr">
        <is>
          <t>Weapon</t>
        </is>
      </c>
      <c r="B197" t="inlineStr">
        <is>
          <t>Okina Prime</t>
        </is>
      </c>
      <c r="C197" t="inlineStr">
        <is>
          <t>Protea Prime</t>
        </is>
      </c>
      <c r="D197" t="inlineStr">
        <is>
          <t>Melee</t>
        </is>
      </c>
      <c r="E197" t="inlineStr">
        <is>
          <t>Prime</t>
        </is>
      </c>
      <c r="G197" t="n">
        <v>1</v>
      </c>
      <c r="H197" t="inlineStr">
        <is>
          <t>Player trade</t>
        </is>
      </c>
      <c r="I197" t="inlineStr">
        <is>
          <t>Yes</t>
        </is>
      </c>
      <c r="K197" t="inlineStr">
        <is>
          <t>Core</t>
        </is>
      </c>
      <c r="L197" t="n">
        <v>45</v>
      </c>
      <c r="M197" t="n">
        <v>50</v>
      </c>
      <c r="N197" t="n">
        <v>56</v>
      </c>
      <c r="O197" t="inlineStr">
        <is>
          <t>2026-10-05 UTC (WFM pull 02:52-04:00)</t>
        </is>
      </c>
      <c r="P197" t="inlineStr">
        <is>
          <t>OK</t>
        </is>
      </c>
      <c r="R197" t="inlineStr">
        <is>
          <t>Unchanged from v3 allocation</t>
        </is>
      </c>
      <c r="S197" t="inlineStr">
        <is>
          <t>okina_prime_set</t>
        </is>
      </c>
      <c r="T197" t="n">
        <v>50</v>
      </c>
      <c r="U197" t="n">
        <v>50</v>
      </c>
      <c r="V197" t="n">
        <v>50</v>
      </c>
      <c r="W197" t="n">
        <v>54</v>
      </c>
      <c r="X197" t="n">
        <v>55.5</v>
      </c>
      <c r="Y197" t="n">
        <v>8962</v>
      </c>
      <c r="Z197" t="n">
        <v>225</v>
      </c>
      <c r="AA197" t="n">
        <v>30</v>
      </c>
      <c r="AB197" t="n">
        <v>15</v>
      </c>
      <c r="AC197" t="inlineStr">
        <is>
          <t>Non-signature</t>
        </is>
      </c>
      <c r="AE197" t="inlineStr">
        <is>
          <t>Yes (Genesis)</t>
        </is>
      </c>
      <c r="AF197" t="inlineStr">
        <is>
          <t>Incarnon Genesis (farm: Steel Path Circuit)</t>
        </is>
      </c>
      <c r="AL197" t="inlineStr">
        <is>
          <t>Yes</t>
        </is>
      </c>
      <c r="AM197" t="n">
        <v>4</v>
      </c>
      <c r="AS197" t="inlineStr">
        <is>
          <t>Yes</t>
        </is>
      </c>
    </row>
    <row r="198">
      <c r="A198" t="inlineStr">
        <is>
          <t>Weapon</t>
        </is>
      </c>
      <c r="B198" t="inlineStr">
        <is>
          <t>Felarx</t>
        </is>
      </c>
      <c r="C198" t="inlineStr">
        <is>
          <t>Qorvex</t>
        </is>
      </c>
      <c r="D198" t="inlineStr">
        <is>
          <t>Primary</t>
        </is>
      </c>
      <c r="E198" t="inlineStr">
        <is>
          <t>Standard</t>
        </is>
      </c>
      <c r="G198" t="n">
        <v>1</v>
      </c>
      <c r="H198" t="inlineStr">
        <is>
          <t>Player trade (blueprint; craft resources farmable)</t>
        </is>
      </c>
      <c r="I198" t="inlineStr">
        <is>
          <t>Yes</t>
        </is>
      </c>
      <c r="K198" t="inlineStr">
        <is>
          <t>Core</t>
        </is>
      </c>
      <c r="L198" t="n">
        <v>6</v>
      </c>
      <c r="M198" t="n">
        <v>7</v>
      </c>
      <c r="N198" t="n">
        <v>11</v>
      </c>
      <c r="O198" t="inlineStr">
        <is>
          <t>2026-10-05 UTC (WFM pull 02:52-04:00)</t>
        </is>
      </c>
      <c r="P198" t="inlineStr">
        <is>
          <t>OK</t>
        </is>
      </c>
      <c r="R198" t="inlineStr">
        <is>
          <t>Unchanged from v3 allocation</t>
        </is>
      </c>
      <c r="S198" t="inlineStr">
        <is>
          <t>felarx_blueprint</t>
        </is>
      </c>
      <c r="T198" t="n">
        <v>7</v>
      </c>
      <c r="U198" t="n">
        <v>7</v>
      </c>
      <c r="V198" t="n">
        <v>8.5</v>
      </c>
      <c r="W198" t="n">
        <v>8</v>
      </c>
      <c r="X198" t="n">
        <v>8.199999999999999</v>
      </c>
      <c r="Y198" t="n">
        <v>356</v>
      </c>
      <c r="Z198" t="n">
        <v>4</v>
      </c>
      <c r="AC198" t="inlineStr">
        <is>
          <t>Non-signature</t>
        </is>
      </c>
      <c r="AE198" t="inlineStr">
        <is>
          <t>Yes (innate)</t>
        </is>
      </c>
      <c r="AL198" t="inlineStr">
        <is>
          <t>Yes</t>
        </is>
      </c>
      <c r="AM198" t="n">
        <v>4</v>
      </c>
      <c r="AS198" t="inlineStr">
        <is>
          <t>Yes</t>
        </is>
      </c>
    </row>
    <row r="199">
      <c r="A199" t="inlineStr">
        <is>
          <t>Weapon</t>
        </is>
      </c>
      <c r="B199" t="inlineStr">
        <is>
          <t>Bronco Prime</t>
        </is>
      </c>
      <c r="C199" t="inlineStr">
        <is>
          <t>Qorvex</t>
        </is>
      </c>
      <c r="D199" t="inlineStr">
        <is>
          <t>Secondary</t>
        </is>
      </c>
      <c r="E199" t="inlineStr">
        <is>
          <t>Prime</t>
        </is>
      </c>
      <c r="G199" t="n">
        <v>1</v>
      </c>
      <c r="H199" t="inlineStr">
        <is>
          <t>Player trade</t>
        </is>
      </c>
      <c r="I199" t="inlineStr">
        <is>
          <t>Yes</t>
        </is>
      </c>
      <c r="K199" t="inlineStr">
        <is>
          <t>Core</t>
        </is>
      </c>
      <c r="L199" t="n">
        <v>7</v>
      </c>
      <c r="M199" t="n">
        <v>9</v>
      </c>
      <c r="N199" t="n">
        <v>10</v>
      </c>
      <c r="O199" t="inlineStr">
        <is>
          <t>2026-10-05 UTC (WFM pull 02:52-04:00)</t>
        </is>
      </c>
      <c r="P199" t="inlineStr">
        <is>
          <t>OK</t>
        </is>
      </c>
      <c r="Q199" t="inlineStr">
        <is>
          <t>v3: Laetum</t>
        </is>
      </c>
      <c r="R199" t="inlineStr">
        <is>
          <t>Laetum duplicate (Qorvex vs Xaku). Xaku keeps it (Void/Zariman fit). Bronco Prime Incarnon: hitscan sidearm exploits +3 Punch Through passive (C).</t>
        </is>
      </c>
      <c r="S199" t="inlineStr">
        <is>
          <t>bronco_prime_set</t>
        </is>
      </c>
      <c r="T199" t="n">
        <v>16</v>
      </c>
      <c r="U199" t="n">
        <v>16</v>
      </c>
      <c r="V199" t="n">
        <v>8</v>
      </c>
      <c r="W199" t="n">
        <v>8</v>
      </c>
      <c r="X199" t="n">
        <v>8.1</v>
      </c>
      <c r="Y199" t="n">
        <v>4278</v>
      </c>
      <c r="Z199" t="n">
        <v>100</v>
      </c>
      <c r="AA199" t="n">
        <v>4</v>
      </c>
      <c r="AB199" t="n">
        <v>3</v>
      </c>
      <c r="AC199" t="inlineStr">
        <is>
          <t>Non-signature</t>
        </is>
      </c>
      <c r="AE199" t="inlineStr">
        <is>
          <t>Yes (Genesis)</t>
        </is>
      </c>
      <c r="AF199" t="inlineStr">
        <is>
          <t>Incarnon Genesis (farm: Steel Path Circuit)</t>
        </is>
      </c>
      <c r="AL199" t="inlineStr">
        <is>
          <t>Yes</t>
        </is>
      </c>
      <c r="AM199" t="n">
        <v>4</v>
      </c>
      <c r="AS199" t="inlineStr">
        <is>
          <t>Yes</t>
        </is>
      </c>
    </row>
    <row r="200">
      <c r="A200" t="inlineStr">
        <is>
          <t>Weapon</t>
        </is>
      </c>
      <c r="B200" t="inlineStr">
        <is>
          <t>Hate</t>
        </is>
      </c>
      <c r="C200" t="inlineStr">
        <is>
          <t>Qorvex</t>
        </is>
      </c>
      <c r="D200" t="inlineStr">
        <is>
          <t>Melee</t>
        </is>
      </c>
      <c r="E200" t="inlineStr">
        <is>
          <t>Standard</t>
        </is>
      </c>
      <c r="G200" t="n">
        <v>1</v>
      </c>
      <c r="H200" t="inlineStr">
        <is>
          <t>Farm / vendor / Dojo / quest</t>
        </is>
      </c>
      <c r="I200" t="inlineStr">
        <is>
          <t>No</t>
        </is>
      </c>
      <c r="K200" t="inlineStr">
        <is>
          <t>Core</t>
        </is>
      </c>
      <c r="P200" t="inlineStr">
        <is>
          <t>FARMABLE / ACCOUNT-BOUND</t>
        </is>
      </c>
      <c r="Q200" t="inlineStr">
        <is>
          <t>v3: Quassus</t>
        </is>
      </c>
      <c r="R200" t="inlineStr">
        <is>
          <t>Quassus is XAKU signature; Qorvex had no claim. Hate Incarnon (E).</t>
        </is>
      </c>
      <c r="AC200" t="inlineStr">
        <is>
          <t>Non-signature</t>
        </is>
      </c>
      <c r="AE200" t="inlineStr">
        <is>
          <t>Yes (Genesis)</t>
        </is>
      </c>
      <c r="AF200" t="inlineStr">
        <is>
          <t>Incarnon Genesis (farm: Steel Path Circuit)</t>
        </is>
      </c>
      <c r="AL200" t="inlineStr">
        <is>
          <t>Yes</t>
        </is>
      </c>
      <c r="AM200" t="n">
        <v>4</v>
      </c>
      <c r="AS200" t="inlineStr">
        <is>
          <t>No</t>
        </is>
      </c>
    </row>
    <row r="201">
      <c r="A201" t="inlineStr">
        <is>
          <t>Weapon</t>
        </is>
      </c>
      <c r="B201" t="inlineStr">
        <is>
          <t>Phantasma Prime</t>
        </is>
      </c>
      <c r="C201" t="inlineStr">
        <is>
          <t>Revenant Prime</t>
        </is>
      </c>
      <c r="D201" t="inlineStr">
        <is>
          <t>Primary</t>
        </is>
      </c>
      <c r="E201" t="inlineStr">
        <is>
          <t>Prime</t>
        </is>
      </c>
      <c r="G201" t="n">
        <v>1</v>
      </c>
      <c r="H201" t="inlineStr">
        <is>
          <t>Player trade</t>
        </is>
      </c>
      <c r="I201" t="inlineStr">
        <is>
          <t>Yes</t>
        </is>
      </c>
      <c r="K201" t="inlineStr">
        <is>
          <t>Core</t>
        </is>
      </c>
      <c r="L201" t="n">
        <v>59</v>
      </c>
      <c r="M201" t="n">
        <v>59</v>
      </c>
      <c r="N201" t="n">
        <v>66</v>
      </c>
      <c r="O201" t="inlineStr">
        <is>
          <t>2026-10-05 UTC (WFM pull 02:52-04:00)</t>
        </is>
      </c>
      <c r="P201" t="inlineStr">
        <is>
          <t>OK</t>
        </is>
      </c>
      <c r="R201" t="inlineStr">
        <is>
          <t>Unchanged from v3 allocation</t>
        </is>
      </c>
      <c r="S201" t="inlineStr">
        <is>
          <t>phantasma_prime_set</t>
        </is>
      </c>
      <c r="T201" t="n">
        <v>48</v>
      </c>
      <c r="U201" t="n">
        <v>48</v>
      </c>
      <c r="V201" t="n">
        <v>54.5</v>
      </c>
      <c r="W201" t="n">
        <v>55</v>
      </c>
      <c r="X201" t="n">
        <v>60.4</v>
      </c>
      <c r="Y201" t="n">
        <v>4982</v>
      </c>
      <c r="Z201" t="n">
        <v>94</v>
      </c>
      <c r="AA201" t="n">
        <v>45</v>
      </c>
      <c r="AB201" t="n">
        <v>14</v>
      </c>
      <c r="AC201" t="inlineStr">
        <is>
          <t>Signature - Revenant Prime</t>
        </is>
      </c>
      <c r="AD201" t="inlineStr">
        <is>
          <t>+4 Magazine</t>
        </is>
      </c>
      <c r="AE201" t="inlineStr">
        <is>
          <t>No</t>
        </is>
      </c>
      <c r="AL201" t="inlineStr">
        <is>
          <t>Yes</t>
        </is>
      </c>
      <c r="AM201" t="n">
        <v>3</v>
      </c>
      <c r="AS201" t="inlineStr">
        <is>
          <t>Yes</t>
        </is>
      </c>
    </row>
    <row r="202">
      <c r="A202" t="inlineStr">
        <is>
          <t>Weapon</t>
        </is>
      </c>
      <c r="B202" t="inlineStr">
        <is>
          <t>Tatsu Prime</t>
        </is>
      </c>
      <c r="C202" t="inlineStr">
        <is>
          <t>Revenant Prime</t>
        </is>
      </c>
      <c r="D202" t="inlineStr">
        <is>
          <t>Melee</t>
        </is>
      </c>
      <c r="E202" t="inlineStr">
        <is>
          <t>Prime</t>
        </is>
      </c>
      <c r="G202" t="n">
        <v>1</v>
      </c>
      <c r="H202" t="inlineStr">
        <is>
          <t>Player trade</t>
        </is>
      </c>
      <c r="I202" t="inlineStr">
        <is>
          <t>Yes</t>
        </is>
      </c>
      <c r="K202" t="inlineStr">
        <is>
          <t>Core</t>
        </is>
      </c>
      <c r="L202" t="n">
        <v>25</v>
      </c>
      <c r="M202" t="n">
        <v>25</v>
      </c>
      <c r="N202" t="n">
        <v>31</v>
      </c>
      <c r="O202" t="inlineStr">
        <is>
          <t>2026-10-05 UTC (WFM pull 02:52-04:00)</t>
        </is>
      </c>
      <c r="P202" t="inlineStr">
        <is>
          <t>OK</t>
        </is>
      </c>
      <c r="R202" t="inlineStr">
        <is>
          <t>Unchanged from v3 allocation</t>
        </is>
      </c>
      <c r="S202" t="inlineStr">
        <is>
          <t>tatsu_prime_set</t>
        </is>
      </c>
      <c r="T202" t="n">
        <v>31</v>
      </c>
      <c r="U202" t="n">
        <v>31</v>
      </c>
      <c r="V202" t="n">
        <v>25</v>
      </c>
      <c r="W202" t="n">
        <v>29</v>
      </c>
      <c r="X202" t="n">
        <v>28.5</v>
      </c>
      <c r="Y202" t="n">
        <v>2962</v>
      </c>
      <c r="Z202" t="n">
        <v>55</v>
      </c>
      <c r="AA202" t="n">
        <v>10</v>
      </c>
      <c r="AB202" t="n">
        <v>15</v>
      </c>
      <c r="AC202" t="inlineStr">
        <is>
          <t>Signature - Revenant Prime</t>
        </is>
      </c>
      <c r="AD202" t="inlineStr">
        <is>
          <t>+4 Soul Swarm charges</t>
        </is>
      </c>
      <c r="AE202" t="inlineStr">
        <is>
          <t>No</t>
        </is>
      </c>
      <c r="AL202" t="inlineStr">
        <is>
          <t>Yes</t>
        </is>
      </c>
      <c r="AM202" t="n">
        <v>3</v>
      </c>
      <c r="AS202" t="inlineStr">
        <is>
          <t>Yes</t>
        </is>
      </c>
    </row>
    <row r="203">
      <c r="A203" t="inlineStr">
        <is>
          <t>Weapon</t>
        </is>
      </c>
      <c r="B203" t="inlineStr">
        <is>
          <t>Boltor Prime</t>
        </is>
      </c>
      <c r="C203" t="inlineStr">
        <is>
          <t>Rhino Prime</t>
        </is>
      </c>
      <c r="D203" t="inlineStr">
        <is>
          <t>Primary</t>
        </is>
      </c>
      <c r="E203" t="inlineStr">
        <is>
          <t>Prime</t>
        </is>
      </c>
      <c r="G203" t="n">
        <v>1</v>
      </c>
      <c r="H203" t="inlineStr">
        <is>
          <t>Player trade</t>
        </is>
      </c>
      <c r="I203" t="inlineStr">
        <is>
          <t>Yes</t>
        </is>
      </c>
      <c r="K203" t="inlineStr">
        <is>
          <t>Core</t>
        </is>
      </c>
      <c r="L203" t="n">
        <v>55</v>
      </c>
      <c r="M203" t="n">
        <v>58</v>
      </c>
      <c r="N203" t="n">
        <v>65</v>
      </c>
      <c r="O203" t="inlineStr">
        <is>
          <t>2026-10-05 UTC (WFM pull 02:52-04:00)</t>
        </is>
      </c>
      <c r="P203" t="inlineStr">
        <is>
          <t>OK</t>
        </is>
      </c>
      <c r="R203" t="inlineStr">
        <is>
          <t>Unchanged from v3 allocation</t>
        </is>
      </c>
      <c r="S203" t="inlineStr">
        <is>
          <t>boltor_prime_set</t>
        </is>
      </c>
      <c r="T203" t="n">
        <v>42</v>
      </c>
      <c r="U203" t="n">
        <v>42</v>
      </c>
      <c r="V203" t="n">
        <v>55</v>
      </c>
      <c r="W203" t="n">
        <v>50</v>
      </c>
      <c r="X203" t="n">
        <v>51.6</v>
      </c>
      <c r="Y203" t="n">
        <v>3387</v>
      </c>
      <c r="Z203" t="n">
        <v>106</v>
      </c>
      <c r="AA203" t="n">
        <v>40</v>
      </c>
      <c r="AB203" t="n">
        <v>15</v>
      </c>
      <c r="AC203" t="inlineStr">
        <is>
          <t>Non-signature</t>
        </is>
      </c>
      <c r="AE203" t="inlineStr">
        <is>
          <t>Yes (Genesis)</t>
        </is>
      </c>
      <c r="AF203" t="inlineStr">
        <is>
          <t>Incarnon Genesis (farm: Steel Path Circuit)</t>
        </is>
      </c>
      <c r="AL203" t="inlineStr">
        <is>
          <t>Yes</t>
        </is>
      </c>
      <c r="AM203" t="n">
        <v>4</v>
      </c>
      <c r="AS203" t="inlineStr">
        <is>
          <t>Yes</t>
        </is>
      </c>
    </row>
    <row r="204">
      <c r="A204" t="inlineStr">
        <is>
          <t>Weapon</t>
        </is>
      </c>
      <c r="B204" t="inlineStr">
        <is>
          <t>Viper Wraith</t>
        </is>
      </c>
      <c r="C204" t="inlineStr">
        <is>
          <t>Rhino Prime</t>
        </is>
      </c>
      <c r="D204" t="inlineStr">
        <is>
          <t>Secondary</t>
        </is>
      </c>
      <c r="E204" t="inlineStr">
        <is>
          <t>Vandal/Wraith/Prisma</t>
        </is>
      </c>
      <c r="G204" t="n">
        <v>1</v>
      </c>
      <c r="H204" t="inlineStr">
        <is>
          <t>Player trade</t>
        </is>
      </c>
      <c r="I204" t="inlineStr">
        <is>
          <t>Yes</t>
        </is>
      </c>
      <c r="K204" t="inlineStr">
        <is>
          <t>Core</t>
        </is>
      </c>
      <c r="L204" t="n">
        <v>59</v>
      </c>
      <c r="M204" t="n">
        <v>70</v>
      </c>
      <c r="N204" t="n">
        <v>109</v>
      </c>
      <c r="O204" t="inlineStr">
        <is>
          <t>2026-10-05 UTC (WFM pull 02:52-04:00)</t>
        </is>
      </c>
      <c r="P204" t="inlineStr">
        <is>
          <t>OK</t>
        </is>
      </c>
      <c r="R204" t="inlineStr">
        <is>
          <t>Unchanged from v3 allocation</t>
        </is>
      </c>
      <c r="S204" t="inlineStr">
        <is>
          <t>viper_wraith</t>
        </is>
      </c>
      <c r="T204" t="n">
        <v>10</v>
      </c>
      <c r="U204" t="n">
        <v>10</v>
      </c>
      <c r="V204" t="n">
        <v>59</v>
      </c>
      <c r="W204" t="n">
        <v>50</v>
      </c>
      <c r="X204" t="n">
        <v>51.9</v>
      </c>
      <c r="Y204" t="n">
        <v>249</v>
      </c>
      <c r="Z204" t="n">
        <v>2</v>
      </c>
      <c r="AA204" t="n">
        <v>31</v>
      </c>
      <c r="AB204" t="n">
        <v>28</v>
      </c>
      <c r="AC204" t="inlineStr">
        <is>
          <t>Non-signature</t>
        </is>
      </c>
      <c r="AE204" t="inlineStr">
        <is>
          <t>No</t>
        </is>
      </c>
      <c r="AL204" t="inlineStr">
        <is>
          <t>Yes</t>
        </is>
      </c>
      <c r="AM204" t="n">
        <v>3</v>
      </c>
      <c r="AS204" t="inlineStr">
        <is>
          <t>Yes</t>
        </is>
      </c>
    </row>
    <row r="205">
      <c r="A205" t="inlineStr">
        <is>
          <t>Weapon</t>
        </is>
      </c>
      <c r="B205" t="inlineStr">
        <is>
          <t>Ankyros Prime</t>
        </is>
      </c>
      <c r="C205" t="inlineStr">
        <is>
          <t>Rhino Prime</t>
        </is>
      </c>
      <c r="D205" t="inlineStr">
        <is>
          <t>Melee</t>
        </is>
      </c>
      <c r="E205" t="inlineStr">
        <is>
          <t>Prime</t>
        </is>
      </c>
      <c r="G205" t="n">
        <v>1</v>
      </c>
      <c r="H205" t="inlineStr">
        <is>
          <t>Player trade</t>
        </is>
      </c>
      <c r="I205" t="inlineStr">
        <is>
          <t>Yes</t>
        </is>
      </c>
      <c r="K205" t="inlineStr">
        <is>
          <t>Core</t>
        </is>
      </c>
      <c r="L205" t="n">
        <v>53</v>
      </c>
      <c r="M205" t="n">
        <v>55</v>
      </c>
      <c r="N205" t="n">
        <v>65</v>
      </c>
      <c r="O205" t="inlineStr">
        <is>
          <t>2026-10-05 UTC (WFM pull 02:52-04:00)</t>
        </is>
      </c>
      <c r="P205" t="inlineStr">
        <is>
          <t>OK</t>
        </is>
      </c>
      <c r="R205" t="inlineStr">
        <is>
          <t>Unchanged from v3 allocation</t>
        </is>
      </c>
      <c r="S205" t="inlineStr">
        <is>
          <t>ankyros_prime_set</t>
        </is>
      </c>
      <c r="T205" t="n">
        <v>28</v>
      </c>
      <c r="U205" t="n">
        <v>28</v>
      </c>
      <c r="V205" t="n">
        <v>50</v>
      </c>
      <c r="W205" t="n">
        <v>49</v>
      </c>
      <c r="X205" t="n">
        <v>48.8</v>
      </c>
      <c r="Y205" t="n">
        <v>1267</v>
      </c>
      <c r="Z205" t="n">
        <v>41</v>
      </c>
      <c r="AA205" t="n">
        <v>30</v>
      </c>
      <c r="AB205" t="n">
        <v>23</v>
      </c>
      <c r="AC205" t="inlineStr">
        <is>
          <t>Non-signature</t>
        </is>
      </c>
      <c r="AE205" t="inlineStr">
        <is>
          <t>No</t>
        </is>
      </c>
      <c r="AL205" t="inlineStr">
        <is>
          <t>Yes</t>
        </is>
      </c>
      <c r="AM205" t="n">
        <v>3</v>
      </c>
      <c r="AS205" t="inlineStr">
        <is>
          <t>Yes</t>
        </is>
      </c>
    </row>
    <row r="206">
      <c r="A206" t="inlineStr">
        <is>
          <t>Weapon</t>
        </is>
      </c>
      <c r="B206" t="inlineStr">
        <is>
          <t>Pyrana</t>
        </is>
      </c>
      <c r="C206" t="inlineStr">
        <is>
          <t>Saryn Prime</t>
        </is>
      </c>
      <c r="D206" t="inlineStr">
        <is>
          <t>Secondary</t>
        </is>
      </c>
      <c r="E206" t="inlineStr">
        <is>
          <t>Standard</t>
        </is>
      </c>
      <c r="G206" t="n">
        <v>1</v>
      </c>
      <c r="H206" t="inlineStr">
        <is>
          <t>Farm / vendor / Dojo / quest</t>
        </is>
      </c>
      <c r="I206" t="inlineStr">
        <is>
          <t>No</t>
        </is>
      </c>
      <c r="K206" t="inlineStr">
        <is>
          <t>Core</t>
        </is>
      </c>
      <c r="P206" t="inlineStr">
        <is>
          <t>FARMABLE / ACCOUNT-BOUND</t>
        </is>
      </c>
      <c r="R206" t="inlineStr">
        <is>
          <t>Unchanged from v3 allocation</t>
        </is>
      </c>
      <c r="AC206" t="inlineStr">
        <is>
          <t>Non-signature</t>
        </is>
      </c>
      <c r="AE206" t="inlineStr">
        <is>
          <t>No</t>
        </is>
      </c>
      <c r="AL206" t="inlineStr">
        <is>
          <t>Yes</t>
        </is>
      </c>
      <c r="AM206" t="n">
        <v>3</v>
      </c>
      <c r="AS206" t="inlineStr">
        <is>
          <t>No</t>
        </is>
      </c>
    </row>
    <row r="207">
      <c r="A207" t="inlineStr">
        <is>
          <t>Weapon</t>
        </is>
      </c>
      <c r="B207" t="inlineStr">
        <is>
          <t>Dual Ichor</t>
        </is>
      </c>
      <c r="C207" t="inlineStr">
        <is>
          <t>Saryn Prime</t>
        </is>
      </c>
      <c r="D207" t="inlineStr">
        <is>
          <t>Melee</t>
        </is>
      </c>
      <c r="E207" t="inlineStr">
        <is>
          <t>Standard</t>
        </is>
      </c>
      <c r="G207" t="n">
        <v>1</v>
      </c>
      <c r="H207" t="inlineStr">
        <is>
          <t>Farm / vendor / Dojo / quest</t>
        </is>
      </c>
      <c r="I207" t="inlineStr">
        <is>
          <t>No</t>
        </is>
      </c>
      <c r="K207" t="inlineStr">
        <is>
          <t>Core</t>
        </is>
      </c>
      <c r="P207" t="inlineStr">
        <is>
          <t>FARMABLE / ACCOUNT-BOUND</t>
        </is>
      </c>
      <c r="R207" t="inlineStr">
        <is>
          <t>Unchanged from v3 allocation</t>
        </is>
      </c>
      <c r="AC207" t="inlineStr">
        <is>
          <t>Non-signature</t>
        </is>
      </c>
      <c r="AE207" t="inlineStr">
        <is>
          <t>Yes (Genesis)</t>
        </is>
      </c>
      <c r="AF207" t="inlineStr">
        <is>
          <t>Incarnon Genesis (farm: Steel Path Circuit)</t>
        </is>
      </c>
      <c r="AL207" t="inlineStr">
        <is>
          <t>Yes</t>
        </is>
      </c>
      <c r="AM207" t="n">
        <v>4</v>
      </c>
      <c r="AS207" t="inlineStr">
        <is>
          <t>No</t>
        </is>
      </c>
    </row>
    <row r="208">
      <c r="A208" t="inlineStr">
        <is>
          <t>Weapon</t>
        </is>
      </c>
      <c r="B208" t="inlineStr">
        <is>
          <t>Bubonico</t>
        </is>
      </c>
      <c r="C208" t="inlineStr">
        <is>
          <t>Sevagoth Prime</t>
        </is>
      </c>
      <c r="D208" t="inlineStr">
        <is>
          <t>Primary</t>
        </is>
      </c>
      <c r="E208" t="inlineStr">
        <is>
          <t>Standard</t>
        </is>
      </c>
      <c r="G208" t="n">
        <v>1</v>
      </c>
      <c r="H208" t="inlineStr">
        <is>
          <t>Farm / vendor / Dojo / quest</t>
        </is>
      </c>
      <c r="I208" t="inlineStr">
        <is>
          <t>No</t>
        </is>
      </c>
      <c r="K208" t="inlineStr">
        <is>
          <t>Core</t>
        </is>
      </c>
      <c r="P208" t="inlineStr">
        <is>
          <t>FARMABLE / ACCOUNT-BOUND</t>
        </is>
      </c>
      <c r="Q208" t="inlineStr">
        <is>
          <t>Coda Bubonico live (U42) - doctrine: no automatic Coda/adversary substitution; optional upgrade</t>
        </is>
      </c>
      <c r="R208" t="inlineStr">
        <is>
          <t>Unchanged from v3 allocation</t>
        </is>
      </c>
      <c r="AC208" t="inlineStr">
        <is>
          <t>Non-signature</t>
        </is>
      </c>
      <c r="AE208" t="inlineStr">
        <is>
          <t>No</t>
        </is>
      </c>
      <c r="AL208" t="inlineStr">
        <is>
          <t>Yes</t>
        </is>
      </c>
      <c r="AM208" t="n">
        <v>3</v>
      </c>
      <c r="AS208" t="inlineStr">
        <is>
          <t>No</t>
        </is>
      </c>
    </row>
    <row r="209">
      <c r="A209" t="inlineStr">
        <is>
          <t>Weapon</t>
        </is>
      </c>
      <c r="B209" t="inlineStr">
        <is>
          <t>Epitaph Prime</t>
        </is>
      </c>
      <c r="C209" t="inlineStr">
        <is>
          <t>Sevagoth Prime</t>
        </is>
      </c>
      <c r="D209" t="inlineStr">
        <is>
          <t>Secondary</t>
        </is>
      </c>
      <c r="E209" t="inlineStr">
        <is>
          <t>Prime</t>
        </is>
      </c>
      <c r="G209" t="n">
        <v>1</v>
      </c>
      <c r="H209" t="inlineStr">
        <is>
          <t>Player trade</t>
        </is>
      </c>
      <c r="I209" t="inlineStr">
        <is>
          <t>Yes</t>
        </is>
      </c>
      <c r="K209" t="inlineStr">
        <is>
          <t>Core</t>
        </is>
      </c>
      <c r="L209" t="n">
        <v>23</v>
      </c>
      <c r="M209" t="n">
        <v>25</v>
      </c>
      <c r="N209" t="n">
        <v>28</v>
      </c>
      <c r="O209" t="inlineStr">
        <is>
          <t>2026-10-05 UTC (WFM pull 02:52-04:00)</t>
        </is>
      </c>
      <c r="P209" t="inlineStr">
        <is>
          <t>OK</t>
        </is>
      </c>
      <c r="R209" t="inlineStr">
        <is>
          <t>Unchanged from v3 allocation</t>
        </is>
      </c>
      <c r="S209" t="inlineStr">
        <is>
          <t>epitaph_prime_set</t>
        </is>
      </c>
      <c r="T209" t="n">
        <v>25</v>
      </c>
      <c r="U209" t="n">
        <v>25</v>
      </c>
      <c r="V209" t="n">
        <v>23</v>
      </c>
      <c r="W209" t="n">
        <v>20</v>
      </c>
      <c r="X209" t="n">
        <v>20.8</v>
      </c>
      <c r="Y209" t="n">
        <v>7214</v>
      </c>
      <c r="Z209" t="n">
        <v>197</v>
      </c>
      <c r="AA209" t="n">
        <v>14</v>
      </c>
      <c r="AB209" t="n">
        <v>9</v>
      </c>
      <c r="AC209" t="inlineStr">
        <is>
          <t>Signature - Sevagoth Prime</t>
        </is>
      </c>
      <c r="AD209" t="inlineStr">
        <is>
          <t>+20% headshot damage</t>
        </is>
      </c>
      <c r="AE209" t="inlineStr">
        <is>
          <t>No</t>
        </is>
      </c>
      <c r="AL209" t="inlineStr">
        <is>
          <t>Yes</t>
        </is>
      </c>
      <c r="AM209" t="n">
        <v>3</v>
      </c>
      <c r="AS209" t="inlineStr">
        <is>
          <t>Yes</t>
        </is>
      </c>
    </row>
    <row r="210">
      <c r="A210" t="inlineStr">
        <is>
          <t>Exalted / Intrinsic</t>
        </is>
      </c>
      <c r="B210" t="inlineStr">
        <is>
          <t>Shadow Claws Prime</t>
        </is>
      </c>
      <c r="C210" t="inlineStr">
        <is>
          <t>Sevagoth Prime</t>
        </is>
      </c>
      <c r="D210" t="inlineStr">
        <is>
          <t>Melee</t>
        </is>
      </c>
      <c r="G210" t="n">
        <v>1</v>
      </c>
      <c r="H210" t="inlineStr">
        <is>
          <t>Comes with frame</t>
        </is>
      </c>
      <c r="I210" t="inlineStr">
        <is>
          <t>No</t>
        </is>
      </c>
      <c r="P210" t="inlineStr">
        <is>
          <t>INCLUDED WITH FRAME</t>
        </is>
      </c>
      <c r="R210" t="inlineStr">
        <is>
          <t>Unchanged from v3 allocation</t>
        </is>
      </c>
      <c r="AC210" t="inlineStr">
        <is>
          <t>Exalted/Intrinsic</t>
        </is>
      </c>
      <c r="AL210" t="inlineStr">
        <is>
          <t>No (frame Reactor)</t>
        </is>
      </c>
      <c r="AS210" t="inlineStr">
        <is>
          <t>No</t>
        </is>
      </c>
    </row>
    <row r="211">
      <c r="A211" t="inlineStr">
        <is>
          <t>Weapon</t>
        </is>
      </c>
      <c r="B211" t="inlineStr">
        <is>
          <t>Battacor</t>
        </is>
      </c>
      <c r="C211" t="inlineStr">
        <is>
          <t>Sirius &amp; Orion</t>
        </is>
      </c>
      <c r="D211" t="inlineStr">
        <is>
          <t>Primary</t>
        </is>
      </c>
      <c r="E211" t="inlineStr">
        <is>
          <t>Standard</t>
        </is>
      </c>
      <c r="G211" t="n">
        <v>1</v>
      </c>
      <c r="H211" t="inlineStr">
        <is>
          <t>Farm / vendor / Dojo / quest</t>
        </is>
      </c>
      <c r="I211" t="inlineStr">
        <is>
          <t>No</t>
        </is>
      </c>
      <c r="K211" t="inlineStr">
        <is>
          <t>Core</t>
        </is>
      </c>
      <c r="P211" t="inlineStr">
        <is>
          <t>FARMABLE / ACCOUNT-BOUND</t>
        </is>
      </c>
      <c r="R211" t="inlineStr">
        <is>
          <t>Unchanged from v3 allocation</t>
        </is>
      </c>
      <c r="AC211" t="inlineStr">
        <is>
          <t>Non-signature</t>
        </is>
      </c>
      <c r="AE211" t="inlineStr">
        <is>
          <t>No</t>
        </is>
      </c>
      <c r="AL211" t="inlineStr">
        <is>
          <t>Yes</t>
        </is>
      </c>
      <c r="AM211" t="n">
        <v>3</v>
      </c>
      <c r="AS211" t="inlineStr">
        <is>
          <t>No</t>
        </is>
      </c>
    </row>
    <row r="212">
      <c r="A212" t="inlineStr">
        <is>
          <t>Weapon</t>
        </is>
      </c>
      <c r="B212" t="inlineStr">
        <is>
          <t>Spectra Vandal</t>
        </is>
      </c>
      <c r="C212" t="inlineStr">
        <is>
          <t>Sirius &amp; Orion</t>
        </is>
      </c>
      <c r="D212" t="inlineStr">
        <is>
          <t>Secondary</t>
        </is>
      </c>
      <c r="E212" t="inlineStr">
        <is>
          <t>Vandal/Wraith/Prisma</t>
        </is>
      </c>
      <c r="G212" t="n">
        <v>1</v>
      </c>
      <c r="H212" t="inlineStr">
        <is>
          <t>Player trade</t>
        </is>
      </c>
      <c r="I212" t="inlineStr">
        <is>
          <t>Yes</t>
        </is>
      </c>
      <c r="K212" t="inlineStr">
        <is>
          <t>Core</t>
        </is>
      </c>
      <c r="L212" t="n">
        <v>15</v>
      </c>
      <c r="M212" t="n">
        <v>15</v>
      </c>
      <c r="N212" t="n">
        <v>21</v>
      </c>
      <c r="O212" t="inlineStr">
        <is>
          <t>2026-10-05 UTC (WFM pull 02:52-04:00)</t>
        </is>
      </c>
      <c r="P212" t="inlineStr">
        <is>
          <t>OK</t>
        </is>
      </c>
      <c r="R212" t="inlineStr">
        <is>
          <t>Unchanged from v3 allocation</t>
        </is>
      </c>
      <c r="S212" t="inlineStr">
        <is>
          <t>spectra_vandal_set</t>
        </is>
      </c>
      <c r="T212" t="n">
        <v>20</v>
      </c>
      <c r="U212" t="n">
        <v>20</v>
      </c>
      <c r="V212" t="n">
        <v>14.5</v>
      </c>
      <c r="W212" t="n">
        <v>15</v>
      </c>
      <c r="X212" t="n">
        <v>15.8</v>
      </c>
      <c r="Y212" t="n">
        <v>1229</v>
      </c>
      <c r="Z212" t="n">
        <v>20</v>
      </c>
      <c r="AA212" t="n">
        <v>11</v>
      </c>
      <c r="AB212" t="n">
        <v>4</v>
      </c>
      <c r="AC212" t="inlineStr">
        <is>
          <t>Non-signature</t>
        </is>
      </c>
      <c r="AE212" t="inlineStr">
        <is>
          <t>No</t>
        </is>
      </c>
      <c r="AL212" t="inlineStr">
        <is>
          <t>Yes</t>
        </is>
      </c>
      <c r="AM212" t="n">
        <v>3</v>
      </c>
      <c r="AS212" t="inlineStr">
        <is>
          <t>Yes</t>
        </is>
      </c>
    </row>
    <row r="213">
      <c r="A213" t="inlineStr">
        <is>
          <t>Weapon</t>
        </is>
      </c>
      <c r="B213" t="inlineStr">
        <is>
          <t>Pride</t>
        </is>
      </c>
      <c r="C213" t="inlineStr">
        <is>
          <t>Sirius &amp; Orion</t>
        </is>
      </c>
      <c r="D213" t="inlineStr">
        <is>
          <t>Melee</t>
        </is>
      </c>
      <c r="E213" t="inlineStr">
        <is>
          <t>Standard</t>
        </is>
      </c>
      <c r="G213" t="n">
        <v>1</v>
      </c>
      <c r="H213" t="inlineStr">
        <is>
          <t>Farm / vendor / Dojo / quest</t>
        </is>
      </c>
      <c r="I213" t="inlineStr">
        <is>
          <t>No</t>
        </is>
      </c>
      <c r="K213" t="inlineStr">
        <is>
          <t>Core</t>
        </is>
      </c>
      <c r="P213" t="inlineStr">
        <is>
          <t>FARMABLE / ACCOUNT-BOUND</t>
        </is>
      </c>
      <c r="Q213" t="inlineStr">
        <is>
          <t>v3: Caustacyst</t>
        </is>
      </c>
      <c r="R213" t="inlineStr">
        <is>
          <t>v4.1 reconciliation: Pride (Sirius) / Wrath (Orion) are the twins' signature heavy scythes (Update 43). The twins share one weapon loadout, so one Melee slot. Pride is Sirius, the default Primary Son. Wrath is listed as an optional extra.</t>
        </is>
      </c>
      <c r="AC213" t="inlineStr">
        <is>
          <t>Signature - Sirius &amp; Orion</t>
        </is>
      </c>
      <c r="AD213" t="inlineStr">
        <is>
          <t>Signature (Sirius), bonus not implemented (not allocated)</t>
        </is>
      </c>
      <c r="AE213" t="inlineStr">
        <is>
          <t>No</t>
        </is>
      </c>
      <c r="AL213" t="inlineStr">
        <is>
          <t>Yes</t>
        </is>
      </c>
      <c r="AM213" t="n">
        <v>3</v>
      </c>
      <c r="AS213" t="inlineStr">
        <is>
          <t>No</t>
        </is>
      </c>
    </row>
    <row r="214">
      <c r="A214" t="inlineStr">
        <is>
          <t>Weapon</t>
        </is>
      </c>
      <c r="B214" t="inlineStr">
        <is>
          <t>Afentis Prime</t>
        </is>
      </c>
      <c r="C214" t="inlineStr">
        <is>
          <t>Styanax Prime</t>
        </is>
      </c>
      <c r="D214" t="inlineStr">
        <is>
          <t>Primary</t>
        </is>
      </c>
      <c r="E214" t="inlineStr">
        <is>
          <t>Prime</t>
        </is>
      </c>
      <c r="G214" t="n">
        <v>1</v>
      </c>
      <c r="H214" t="inlineStr">
        <is>
          <t>Player trade</t>
        </is>
      </c>
      <c r="I214" t="inlineStr">
        <is>
          <t>Yes</t>
        </is>
      </c>
      <c r="K214" t="inlineStr">
        <is>
          <t>Core</t>
        </is>
      </c>
      <c r="L214" t="n">
        <v>39</v>
      </c>
      <c r="M214" t="n">
        <v>40</v>
      </c>
      <c r="N214" t="n">
        <v>47</v>
      </c>
      <c r="O214" t="inlineStr">
        <is>
          <t>2026-10-05 UTC (WFM pull 02:52-04:00)</t>
        </is>
      </c>
      <c r="P214" t="inlineStr">
        <is>
          <t>OK</t>
        </is>
      </c>
      <c r="Q214" t="inlineStr">
        <is>
          <t>v3: Afentis</t>
        </is>
      </c>
      <c r="R214" t="inlineStr">
        <is>
          <t>Afentis Prime is live; same signature bonus line.</t>
        </is>
      </c>
      <c r="S214" t="inlineStr">
        <is>
          <t>afentis_prime_set</t>
        </is>
      </c>
      <c r="T214" t="n">
        <v>31</v>
      </c>
      <c r="U214" t="n">
        <v>31</v>
      </c>
      <c r="V214" t="n">
        <v>42</v>
      </c>
      <c r="W214" t="n">
        <v>48</v>
      </c>
      <c r="X214" t="n">
        <v>50.5</v>
      </c>
      <c r="Y214" t="n">
        <v>12353</v>
      </c>
      <c r="Z214" t="n">
        <v>288</v>
      </c>
      <c r="AA214" t="n">
        <v>20</v>
      </c>
      <c r="AB214" t="n">
        <v>19</v>
      </c>
      <c r="AC214" t="inlineStr">
        <is>
          <t>Signature - Styanax Prime</t>
        </is>
      </c>
      <c r="AD214" t="inlineStr">
        <is>
          <t>+4 flat Ammo Max</t>
        </is>
      </c>
      <c r="AE214" t="inlineStr">
        <is>
          <t>No</t>
        </is>
      </c>
      <c r="AL214" t="inlineStr">
        <is>
          <t>Yes</t>
        </is>
      </c>
      <c r="AM214" t="n">
        <v>3</v>
      </c>
      <c r="AS214" t="inlineStr">
        <is>
          <t>Yes</t>
        </is>
      </c>
    </row>
    <row r="215">
      <c r="A215" t="inlineStr">
        <is>
          <t>Weapon</t>
        </is>
      </c>
      <c r="B215" t="inlineStr">
        <is>
          <t>Aegrit</t>
        </is>
      </c>
      <c r="C215" t="inlineStr">
        <is>
          <t>Styanax Prime</t>
        </is>
      </c>
      <c r="D215" t="inlineStr">
        <is>
          <t>Secondary</t>
        </is>
      </c>
      <c r="E215" t="inlineStr">
        <is>
          <t>Standard</t>
        </is>
      </c>
      <c r="G215" t="n">
        <v>1</v>
      </c>
      <c r="H215" t="inlineStr">
        <is>
          <t>Farm / vendor / Dojo / quest</t>
        </is>
      </c>
      <c r="I215" t="inlineStr">
        <is>
          <t>No</t>
        </is>
      </c>
      <c r="K215" t="inlineStr">
        <is>
          <t>Core</t>
        </is>
      </c>
      <c r="P215" t="inlineStr">
        <is>
          <t>FARMABLE / ACCOUNT-BOUND</t>
        </is>
      </c>
      <c r="R215" t="inlineStr">
        <is>
          <t>Unchanged from v3 allocation</t>
        </is>
      </c>
      <c r="AC215" t="inlineStr">
        <is>
          <t>Non-signature</t>
        </is>
      </c>
      <c r="AE215" t="inlineStr">
        <is>
          <t>No</t>
        </is>
      </c>
      <c r="AL215" t="inlineStr">
        <is>
          <t>Yes</t>
        </is>
      </c>
      <c r="AM215" t="n">
        <v>3</v>
      </c>
      <c r="AS215" t="inlineStr">
        <is>
          <t>No</t>
        </is>
      </c>
    </row>
    <row r="216">
      <c r="A216" t="inlineStr">
        <is>
          <t>Weapon</t>
        </is>
      </c>
      <c r="B216" t="inlineStr">
        <is>
          <t>Slaytra</t>
        </is>
      </c>
      <c r="C216" t="inlineStr">
        <is>
          <t>Styanax Prime</t>
        </is>
      </c>
      <c r="D216" t="inlineStr">
        <is>
          <t>Melee</t>
        </is>
      </c>
      <c r="E216" t="inlineStr">
        <is>
          <t>Standard</t>
        </is>
      </c>
      <c r="G216" t="n">
        <v>1</v>
      </c>
      <c r="H216" t="inlineStr">
        <is>
          <t>Farm / vendor / Dojo / quest</t>
        </is>
      </c>
      <c r="I216" t="inlineStr">
        <is>
          <t>No</t>
        </is>
      </c>
      <c r="K216" t="inlineStr">
        <is>
          <t>Core</t>
        </is>
      </c>
      <c r="P216" t="inlineStr">
        <is>
          <t>FARMABLE / ACCOUNT-BOUND</t>
        </is>
      </c>
      <c r="R216" t="inlineStr">
        <is>
          <t>Unchanged from v3 allocation</t>
        </is>
      </c>
      <c r="AC216" t="inlineStr">
        <is>
          <t>Non-signature</t>
        </is>
      </c>
      <c r="AE216" t="inlineStr">
        <is>
          <t>No</t>
        </is>
      </c>
      <c r="AL216" t="inlineStr">
        <is>
          <t>Yes</t>
        </is>
      </c>
      <c r="AM216" t="n">
        <v>3</v>
      </c>
      <c r="AS216" t="inlineStr">
        <is>
          <t>No</t>
        </is>
      </c>
    </row>
    <row r="217">
      <c r="A217" t="inlineStr">
        <is>
          <t>Exalted / Intrinsic</t>
        </is>
      </c>
      <c r="B217" t="inlineStr">
        <is>
          <t>Lizzie</t>
        </is>
      </c>
      <c r="C217" t="inlineStr">
        <is>
          <t>Temple</t>
        </is>
      </c>
      <c r="D217" t="inlineStr">
        <is>
          <t>Primary</t>
        </is>
      </c>
      <c r="G217" t="n">
        <v>1</v>
      </c>
      <c r="H217" t="inlineStr">
        <is>
          <t>Comes with frame</t>
        </is>
      </c>
      <c r="I217" t="inlineStr">
        <is>
          <t>No</t>
        </is>
      </c>
      <c r="P217" t="inlineStr">
        <is>
          <t>INCLUDED WITH FRAME</t>
        </is>
      </c>
      <c r="R217" t="inlineStr">
        <is>
          <t>Unchanged from v3 allocation</t>
        </is>
      </c>
      <c r="AC217" t="inlineStr">
        <is>
          <t>Exalted/Intrinsic</t>
        </is>
      </c>
      <c r="AL217" t="inlineStr">
        <is>
          <t>No (frame Reactor)</t>
        </is>
      </c>
      <c r="AS217" t="inlineStr">
        <is>
          <t>No</t>
        </is>
      </c>
    </row>
    <row r="218">
      <c r="A218" t="inlineStr">
        <is>
          <t>Weapon</t>
        </is>
      </c>
      <c r="B218" t="inlineStr">
        <is>
          <t>Riot-848</t>
        </is>
      </c>
      <c r="C218" t="inlineStr">
        <is>
          <t>Temple</t>
        </is>
      </c>
      <c r="D218" t="inlineStr">
        <is>
          <t>Secondary</t>
        </is>
      </c>
      <c r="E218" t="inlineStr">
        <is>
          <t>Standard</t>
        </is>
      </c>
      <c r="G218" t="n">
        <v>1</v>
      </c>
      <c r="H218" t="inlineStr">
        <is>
          <t>Player trade</t>
        </is>
      </c>
      <c r="I218" t="inlineStr">
        <is>
          <t>Yes</t>
        </is>
      </c>
      <c r="K218" t="inlineStr">
        <is>
          <t>Core</t>
        </is>
      </c>
      <c r="L218" t="n">
        <v>25</v>
      </c>
      <c r="M218" t="n">
        <v>35</v>
      </c>
      <c r="N218" t="n">
        <v>44</v>
      </c>
      <c r="O218" t="inlineStr">
        <is>
          <t>2026-10-05 UTC (WFM pull 02:52-04:00)</t>
        </is>
      </c>
      <c r="P218" t="inlineStr">
        <is>
          <t>OK</t>
        </is>
      </c>
      <c r="Q218" t="inlineStr">
        <is>
          <t>v3: Athodai</t>
        </is>
      </c>
      <c r="R218" t="inlineStr">
        <is>
          <t>v4.1 reconciliation: Riot-848 is Temple's signature machine pistol (Update 38.5). The slot is uncontested and Athodai has no Temple claim. Signature bonus is not implemented, so this is a tier D signature preference.</t>
        </is>
      </c>
      <c r="S218" t="inlineStr">
        <is>
          <t>riot_848_set</t>
        </is>
      </c>
      <c r="T218" t="n">
        <v>3</v>
      </c>
      <c r="U218" t="n">
        <v>3</v>
      </c>
      <c r="V218" t="n">
        <v>25</v>
      </c>
      <c r="W218" t="n">
        <v>27.5</v>
      </c>
      <c r="X218" t="n">
        <v>26.7</v>
      </c>
      <c r="Y218" t="n">
        <v>206</v>
      </c>
      <c r="Z218" t="n">
        <v>2</v>
      </c>
      <c r="AC218" t="inlineStr">
        <is>
          <t>Signature - Temple</t>
        </is>
      </c>
      <c r="AD218" t="inlineStr">
        <is>
          <t>Signature, bonus not implemented (not allocated)</t>
        </is>
      </c>
      <c r="AE218" t="inlineStr">
        <is>
          <t>No</t>
        </is>
      </c>
      <c r="AL218" t="inlineStr">
        <is>
          <t>Yes</t>
        </is>
      </c>
      <c r="AM218" t="n">
        <v>3</v>
      </c>
      <c r="AS218" t="inlineStr">
        <is>
          <t>Yes</t>
        </is>
      </c>
    </row>
    <row r="219">
      <c r="A219" t="inlineStr">
        <is>
          <t>Weapon</t>
        </is>
      </c>
      <c r="B219" t="inlineStr">
        <is>
          <t>Prisma Ohma</t>
        </is>
      </c>
      <c r="C219" t="inlineStr">
        <is>
          <t>Temple</t>
        </is>
      </c>
      <c r="D219" t="inlineStr">
        <is>
          <t>Melee</t>
        </is>
      </c>
      <c r="E219" t="inlineStr">
        <is>
          <t>Vandal/Wraith/Prisma</t>
        </is>
      </c>
      <c r="G219" t="n">
        <v>1</v>
      </c>
      <c r="H219" t="inlineStr">
        <is>
          <t>Player trade</t>
        </is>
      </c>
      <c r="I219" t="inlineStr">
        <is>
          <t>Yes</t>
        </is>
      </c>
      <c r="K219" t="inlineStr">
        <is>
          <t>Core</t>
        </is>
      </c>
      <c r="L219" t="n">
        <v>60</v>
      </c>
      <c r="M219" t="n">
        <v>60</v>
      </c>
      <c r="N219" t="n">
        <v>71</v>
      </c>
      <c r="O219" t="inlineStr">
        <is>
          <t>2026-10-05 UTC (WFM pull 02:52-04:00)</t>
        </is>
      </c>
      <c r="P219" t="inlineStr">
        <is>
          <t>OK</t>
        </is>
      </c>
      <c r="R219" t="inlineStr">
        <is>
          <t>Unchanged from v3 allocation</t>
        </is>
      </c>
      <c r="S219" t="inlineStr">
        <is>
          <t>prisma_ohma</t>
        </is>
      </c>
      <c r="T219" t="n">
        <v>15</v>
      </c>
      <c r="U219" t="n">
        <v>15</v>
      </c>
      <c r="V219" t="n">
        <v>55</v>
      </c>
      <c r="W219" t="n">
        <v>49</v>
      </c>
      <c r="X219" t="n">
        <v>49</v>
      </c>
      <c r="Y219" t="n">
        <v>528</v>
      </c>
      <c r="Z219" t="n">
        <v>13</v>
      </c>
      <c r="AA219" t="n">
        <v>25</v>
      </c>
      <c r="AB219" t="n">
        <v>35</v>
      </c>
      <c r="AC219" t="inlineStr">
        <is>
          <t>Non-signature</t>
        </is>
      </c>
      <c r="AE219" t="inlineStr">
        <is>
          <t>No</t>
        </is>
      </c>
      <c r="AL219" t="inlineStr">
        <is>
          <t>Yes</t>
        </is>
      </c>
      <c r="AM219" t="n">
        <v>3</v>
      </c>
      <c r="AS219" t="inlineStr">
        <is>
          <t>Yes</t>
        </is>
      </c>
    </row>
    <row r="220">
      <c r="A220" t="inlineStr">
        <is>
          <t>Exalted / Intrinsic</t>
        </is>
      </c>
      <c r="B220" t="inlineStr">
        <is>
          <t>Razorflies</t>
        </is>
      </c>
      <c r="C220" t="inlineStr">
        <is>
          <t>Titania Prime</t>
        </is>
      </c>
      <c r="D220" t="inlineStr">
        <is>
          <t>Primary</t>
        </is>
      </c>
      <c r="G220" t="n">
        <v>1</v>
      </c>
      <c r="H220" t="inlineStr">
        <is>
          <t>Comes with frame</t>
        </is>
      </c>
      <c r="I220" t="inlineStr">
        <is>
          <t>No</t>
        </is>
      </c>
      <c r="P220" t="inlineStr">
        <is>
          <t>INCLUDED WITH FRAME</t>
        </is>
      </c>
      <c r="R220" t="inlineStr">
        <is>
          <t>Unchanged from v3 allocation</t>
        </is>
      </c>
      <c r="AC220" t="inlineStr">
        <is>
          <t>Exalted/Intrinsic</t>
        </is>
      </c>
      <c r="AL220" t="inlineStr">
        <is>
          <t>No (frame Reactor)</t>
        </is>
      </c>
      <c r="AS220" t="inlineStr">
        <is>
          <t>No</t>
        </is>
      </c>
    </row>
    <row r="221">
      <c r="A221" t="inlineStr">
        <is>
          <t>Exalted / Intrinsic</t>
        </is>
      </c>
      <c r="B221" t="inlineStr">
        <is>
          <t>Dex Pixia Prime</t>
        </is>
      </c>
      <c r="C221" t="inlineStr">
        <is>
          <t>Titania Prime</t>
        </is>
      </c>
      <c r="D221" t="inlineStr">
        <is>
          <t>Secondary</t>
        </is>
      </c>
      <c r="G221" t="n">
        <v>1</v>
      </c>
      <c r="H221" t="inlineStr">
        <is>
          <t>Comes with frame</t>
        </is>
      </c>
      <c r="I221" t="inlineStr">
        <is>
          <t>No</t>
        </is>
      </c>
      <c r="P221" t="inlineStr">
        <is>
          <t>INCLUDED WITH FRAME</t>
        </is>
      </c>
      <c r="R221" t="inlineStr">
        <is>
          <t>Unchanged from v3 allocation</t>
        </is>
      </c>
      <c r="AC221" t="inlineStr">
        <is>
          <t>Exalted/Intrinsic</t>
        </is>
      </c>
      <c r="AL221" t="inlineStr">
        <is>
          <t>No (frame Reactor)</t>
        </is>
      </c>
      <c r="AS221" t="inlineStr">
        <is>
          <t>No</t>
        </is>
      </c>
    </row>
    <row r="222">
      <c r="A222" t="inlineStr">
        <is>
          <t>Exalted / Intrinsic</t>
        </is>
      </c>
      <c r="B222" t="inlineStr">
        <is>
          <t>Diwata Prime</t>
        </is>
      </c>
      <c r="C222" t="inlineStr">
        <is>
          <t>Titania Prime</t>
        </is>
      </c>
      <c r="D222" t="inlineStr">
        <is>
          <t>Melee</t>
        </is>
      </c>
      <c r="G222" t="n">
        <v>1</v>
      </c>
      <c r="H222" t="inlineStr">
        <is>
          <t>Comes with frame</t>
        </is>
      </c>
      <c r="I222" t="inlineStr">
        <is>
          <t>No</t>
        </is>
      </c>
      <c r="P222" t="inlineStr">
        <is>
          <t>INCLUDED WITH FRAME</t>
        </is>
      </c>
      <c r="R222" t="inlineStr">
        <is>
          <t>Unchanged from v3 allocation</t>
        </is>
      </c>
      <c r="AC222" t="inlineStr">
        <is>
          <t>Exalted/Intrinsic</t>
        </is>
      </c>
      <c r="AL222" t="inlineStr">
        <is>
          <t>No (frame Reactor)</t>
        </is>
      </c>
      <c r="AS222" t="inlineStr">
        <is>
          <t>No</t>
        </is>
      </c>
    </row>
    <row r="223">
      <c r="A223" t="inlineStr">
        <is>
          <t>Weapon</t>
        </is>
      </c>
      <c r="B223" t="inlineStr">
        <is>
          <t>Boar Prime</t>
        </is>
      </c>
      <c r="C223" t="inlineStr">
        <is>
          <t>Trinity Prime</t>
        </is>
      </c>
      <c r="D223" t="inlineStr">
        <is>
          <t>Primary</t>
        </is>
      </c>
      <c r="E223" t="inlineStr">
        <is>
          <t>Prime</t>
        </is>
      </c>
      <c r="G223" t="n">
        <v>1</v>
      </c>
      <c r="H223" t="inlineStr">
        <is>
          <t>Player trade</t>
        </is>
      </c>
      <c r="I223" t="inlineStr">
        <is>
          <t>Yes</t>
        </is>
      </c>
      <c r="K223" t="inlineStr">
        <is>
          <t>Core</t>
        </is>
      </c>
      <c r="L223" t="n">
        <v>84</v>
      </c>
      <c r="M223" t="n">
        <v>84</v>
      </c>
      <c r="N223" t="n">
        <v>98</v>
      </c>
      <c r="O223" t="inlineStr">
        <is>
          <t>2026-10-05 UTC (WFM pull 02:52-04:00)</t>
        </is>
      </c>
      <c r="P223" t="inlineStr">
        <is>
          <t>OK</t>
        </is>
      </c>
      <c r="R223" t="inlineStr">
        <is>
          <t>Unchanged from v3 allocation</t>
        </is>
      </c>
      <c r="S223" t="inlineStr">
        <is>
          <t>boar_prime_set</t>
        </is>
      </c>
      <c r="T223" t="n">
        <v>47</v>
      </c>
      <c r="U223" t="n">
        <v>47</v>
      </c>
      <c r="V223" t="n">
        <v>89</v>
      </c>
      <c r="W223" t="n">
        <v>84</v>
      </c>
      <c r="X223" t="n">
        <v>84.7</v>
      </c>
      <c r="Y223" t="n">
        <v>7205</v>
      </c>
      <c r="Z223" t="n">
        <v>58</v>
      </c>
      <c r="AA223" t="n">
        <v>80</v>
      </c>
      <c r="AB223" t="n">
        <v>4</v>
      </c>
      <c r="AC223" t="inlineStr">
        <is>
          <t>Non-signature</t>
        </is>
      </c>
      <c r="AE223" t="inlineStr">
        <is>
          <t>Yes (Genesis)</t>
        </is>
      </c>
      <c r="AF223" t="inlineStr">
        <is>
          <t>Incarnon Genesis (farm: Steel Path Circuit)</t>
        </is>
      </c>
      <c r="AL223" t="inlineStr">
        <is>
          <t>Yes</t>
        </is>
      </c>
      <c r="AM223" t="n">
        <v>4</v>
      </c>
      <c r="AS223" t="inlineStr">
        <is>
          <t>Yes</t>
        </is>
      </c>
    </row>
    <row r="224">
      <c r="A224" t="inlineStr">
        <is>
          <t>Weapon</t>
        </is>
      </c>
      <c r="B224" t="inlineStr">
        <is>
          <t>Akbronco Prime</t>
        </is>
      </c>
      <c r="C224" t="inlineStr">
        <is>
          <t>Trinity Prime</t>
        </is>
      </c>
      <c r="D224" t="inlineStr">
        <is>
          <t>Secondary</t>
        </is>
      </c>
      <c r="E224" t="inlineStr">
        <is>
          <t>Prime</t>
        </is>
      </c>
      <c r="G224" t="n">
        <v>1</v>
      </c>
      <c r="H224" t="inlineStr">
        <is>
          <t>Player trade</t>
        </is>
      </c>
      <c r="I224" t="inlineStr">
        <is>
          <t>Yes</t>
        </is>
      </c>
      <c r="K224" t="inlineStr">
        <is>
          <t>Core</t>
        </is>
      </c>
      <c r="L224" t="n">
        <v>9</v>
      </c>
      <c r="M224" t="n">
        <v>10</v>
      </c>
      <c r="N224" t="n">
        <v>11</v>
      </c>
      <c r="O224" t="inlineStr">
        <is>
          <t>2026-10-05 UTC (WFM pull 02:52-04:00)</t>
        </is>
      </c>
      <c r="P224" t="inlineStr">
        <is>
          <t>OK</t>
        </is>
      </c>
      <c r="R224" t="inlineStr">
        <is>
          <t>Unchanged from v3 allocation</t>
        </is>
      </c>
      <c r="S224" t="inlineStr">
        <is>
          <t>akbronco_prime_set</t>
        </is>
      </c>
      <c r="T224" t="n">
        <v>7</v>
      </c>
      <c r="U224" t="n">
        <v>7</v>
      </c>
      <c r="V224" t="n">
        <v>7</v>
      </c>
      <c r="W224" t="n">
        <v>7.5</v>
      </c>
      <c r="X224" t="n">
        <v>7.4</v>
      </c>
      <c r="Y224" t="n">
        <v>1418</v>
      </c>
      <c r="Z224" t="n">
        <v>38</v>
      </c>
      <c r="AC224" t="inlineStr">
        <is>
          <t>Non-signature</t>
        </is>
      </c>
      <c r="AE224" t="inlineStr">
        <is>
          <t>No</t>
        </is>
      </c>
      <c r="AL224" t="inlineStr">
        <is>
          <t>Yes</t>
        </is>
      </c>
      <c r="AM224" t="n">
        <v>3</v>
      </c>
      <c r="AS224" t="inlineStr">
        <is>
          <t>Yes</t>
        </is>
      </c>
    </row>
    <row r="225">
      <c r="A225" t="inlineStr">
        <is>
          <t>Weapon</t>
        </is>
      </c>
      <c r="B225" t="inlineStr">
        <is>
          <t>Dual Kamas Prime</t>
        </is>
      </c>
      <c r="C225" t="inlineStr">
        <is>
          <t>Trinity Prime</t>
        </is>
      </c>
      <c r="D225" t="inlineStr">
        <is>
          <t>Melee</t>
        </is>
      </c>
      <c r="E225" t="inlineStr">
        <is>
          <t>Prime</t>
        </is>
      </c>
      <c r="G225" t="n">
        <v>1</v>
      </c>
      <c r="H225" t="inlineStr">
        <is>
          <t>Player trade</t>
        </is>
      </c>
      <c r="I225" t="inlineStr">
        <is>
          <t>Yes</t>
        </is>
      </c>
      <c r="K225" t="inlineStr">
        <is>
          <t>Core</t>
        </is>
      </c>
      <c r="L225" t="n">
        <v>90</v>
      </c>
      <c r="M225" t="n">
        <v>90</v>
      </c>
      <c r="N225" t="n">
        <v>100</v>
      </c>
      <c r="O225" t="inlineStr">
        <is>
          <t>2026-10-05 UTC (WFM pull 02:52-04:00)</t>
        </is>
      </c>
      <c r="P225" t="inlineStr">
        <is>
          <t>OK</t>
        </is>
      </c>
      <c r="R225" t="inlineStr">
        <is>
          <t>Unchanged from v3 allocation</t>
        </is>
      </c>
      <c r="S225" t="inlineStr">
        <is>
          <t>dual_kamas_prime_set</t>
        </is>
      </c>
      <c r="T225" t="n">
        <v>27</v>
      </c>
      <c r="U225" t="n">
        <v>27</v>
      </c>
      <c r="V225" t="n">
        <v>90</v>
      </c>
      <c r="W225" t="n">
        <v>88</v>
      </c>
      <c r="X225" t="n">
        <v>85.59999999999999</v>
      </c>
      <c r="Y225" t="n">
        <v>1122</v>
      </c>
      <c r="Z225" t="n">
        <v>31</v>
      </c>
      <c r="AA225" t="n">
        <v>70</v>
      </c>
      <c r="AB225" t="n">
        <v>20</v>
      </c>
      <c r="AC225" t="inlineStr">
        <is>
          <t>Non-signature</t>
        </is>
      </c>
      <c r="AE225" t="inlineStr">
        <is>
          <t>No</t>
        </is>
      </c>
      <c r="AL225" t="inlineStr">
        <is>
          <t>Yes</t>
        </is>
      </c>
      <c r="AM225" t="n">
        <v>3</v>
      </c>
      <c r="AS225" t="inlineStr">
        <is>
          <t>Yes</t>
        </is>
      </c>
    </row>
    <row r="226">
      <c r="A226" t="inlineStr">
        <is>
          <t>Weapon</t>
        </is>
      </c>
      <c r="B226" t="inlineStr">
        <is>
          <t>Vinquibus</t>
        </is>
      </c>
      <c r="C226" t="inlineStr">
        <is>
          <t>Uriel</t>
        </is>
      </c>
      <c r="D226" t="inlineStr">
        <is>
          <t>Primary</t>
        </is>
      </c>
      <c r="E226" t="inlineStr">
        <is>
          <t>Standard</t>
        </is>
      </c>
      <c r="G226" t="n">
        <v>1</v>
      </c>
      <c r="H226" t="inlineStr">
        <is>
          <t>Farm / vendor / Dojo / quest</t>
        </is>
      </c>
      <c r="I226" t="inlineStr">
        <is>
          <t>No</t>
        </is>
      </c>
      <c r="K226" t="inlineStr">
        <is>
          <t>Core</t>
        </is>
      </c>
      <c r="P226" t="inlineStr">
        <is>
          <t>FARMABLE / ACCOUNT-BOUND</t>
        </is>
      </c>
      <c r="R226" t="inlineStr">
        <is>
          <t>Unchanged from v3 allocation</t>
        </is>
      </c>
      <c r="AC226" t="inlineStr">
        <is>
          <t>Signature - Uriel</t>
        </is>
      </c>
      <c r="AD226" t="inlineStr">
        <is>
          <t>Signature, bonus not implemented; occupies Primary AND Melee</t>
        </is>
      </c>
      <c r="AE226" t="inlineStr">
        <is>
          <t>No</t>
        </is>
      </c>
      <c r="AL226" t="inlineStr">
        <is>
          <t>Yes</t>
        </is>
      </c>
      <c r="AM226" t="n">
        <v>3</v>
      </c>
      <c r="AS226" t="inlineStr">
        <is>
          <t>No</t>
        </is>
      </c>
    </row>
    <row r="227">
      <c r="A227" t="inlineStr">
        <is>
          <t>Weapon</t>
        </is>
      </c>
      <c r="B227" t="inlineStr">
        <is>
          <t>Vinquibus (Melee)</t>
        </is>
      </c>
      <c r="C227" t="inlineStr">
        <is>
          <t>Uriel</t>
        </is>
      </c>
      <c r="D227" t="inlineStr">
        <is>
          <t>Melee</t>
        </is>
      </c>
      <c r="G227" t="n">
        <v>0</v>
      </c>
      <c r="H227" t="inlineStr">
        <is>
          <t>Same item as Vinquibus (Primary)</t>
        </is>
      </c>
      <c r="I227" t="inlineStr">
        <is>
          <t>No</t>
        </is>
      </c>
      <c r="P227" t="inlineStr">
        <is>
          <t>COVERED BY VINQUIBUS</t>
        </is>
      </c>
      <c r="Q227" t="inlineStr">
        <is>
          <t>v3: Mios</t>
        </is>
      </c>
      <c r="R227" t="inlineStr">
        <is>
          <t>Vinquibus occupies BOTH Primary and Melee slots, so Mios was impossible to equip alongside it.</t>
        </is>
      </c>
      <c r="AC227" t="inlineStr">
        <is>
          <t>Signature - Uriel</t>
        </is>
      </c>
      <c r="AD227" t="inlineStr">
        <is>
          <t>Signature, bonus not implemented; occupies Primary AND Melee</t>
        </is>
      </c>
      <c r="AL227" t="inlineStr">
        <is>
          <t>Shared</t>
        </is>
      </c>
      <c r="AS227" t="inlineStr">
        <is>
          <t>No</t>
        </is>
      </c>
    </row>
    <row r="228">
      <c r="A228" t="inlineStr">
        <is>
          <t>Weapon</t>
        </is>
      </c>
      <c r="B228" t="inlineStr">
        <is>
          <t>Cernos Prime</t>
        </is>
      </c>
      <c r="C228" t="inlineStr">
        <is>
          <t>Valkyr Prime</t>
        </is>
      </c>
      <c r="D228" t="inlineStr">
        <is>
          <t>Primary</t>
        </is>
      </c>
      <c r="E228" t="inlineStr">
        <is>
          <t>Prime</t>
        </is>
      </c>
      <c r="G228" t="n">
        <v>1</v>
      </c>
      <c r="H228" t="inlineStr">
        <is>
          <t>Player trade</t>
        </is>
      </c>
      <c r="I228" t="inlineStr">
        <is>
          <t>Yes</t>
        </is>
      </c>
      <c r="K228" t="inlineStr">
        <is>
          <t>Core</t>
        </is>
      </c>
      <c r="L228" t="n">
        <v>59</v>
      </c>
      <c r="M228" t="n">
        <v>60</v>
      </c>
      <c r="N228" t="n">
        <v>66</v>
      </c>
      <c r="O228" t="inlineStr">
        <is>
          <t>2026-10-05 UTC (WFM pull 02:52-04:00)</t>
        </is>
      </c>
      <c r="P228" t="inlineStr">
        <is>
          <t>OK</t>
        </is>
      </c>
      <c r="R228" t="inlineStr">
        <is>
          <t>Unchanged from v3 allocation</t>
        </is>
      </c>
      <c r="S228" t="inlineStr">
        <is>
          <t>cernos_prime_set</t>
        </is>
      </c>
      <c r="T228" t="n">
        <v>27</v>
      </c>
      <c r="U228" t="n">
        <v>27</v>
      </c>
      <c r="V228" t="n">
        <v>60</v>
      </c>
      <c r="W228" t="n">
        <v>60</v>
      </c>
      <c r="X228" t="n">
        <v>59.3</v>
      </c>
      <c r="Y228" t="n">
        <v>1436</v>
      </c>
      <c r="Z228" t="n">
        <v>35</v>
      </c>
      <c r="AA228" t="n">
        <v>36</v>
      </c>
      <c r="AB228" t="n">
        <v>23</v>
      </c>
      <c r="AC228" t="inlineStr">
        <is>
          <t>Non-signature</t>
        </is>
      </c>
      <c r="AE228" t="inlineStr">
        <is>
          <t>No</t>
        </is>
      </c>
      <c r="AL228" t="inlineStr">
        <is>
          <t>Yes</t>
        </is>
      </c>
      <c r="AM228" t="n">
        <v>3</v>
      </c>
      <c r="AS228" t="inlineStr">
        <is>
          <t>Yes</t>
        </is>
      </c>
    </row>
    <row r="229">
      <c r="A229" t="inlineStr">
        <is>
          <t>Weapon</t>
        </is>
      </c>
      <c r="B229" t="inlineStr">
        <is>
          <t>Twin Vipers Wraith</t>
        </is>
      </c>
      <c r="C229" t="inlineStr">
        <is>
          <t>Valkyr Prime</t>
        </is>
      </c>
      <c r="D229" t="inlineStr">
        <is>
          <t>Secondary</t>
        </is>
      </c>
      <c r="E229" t="inlineStr">
        <is>
          <t>Vandal/Wraith/Prisma</t>
        </is>
      </c>
      <c r="G229" t="n">
        <v>1</v>
      </c>
      <c r="H229" t="inlineStr">
        <is>
          <t>Player trade</t>
        </is>
      </c>
      <c r="I229" t="inlineStr">
        <is>
          <t>Yes</t>
        </is>
      </c>
      <c r="K229" t="inlineStr">
        <is>
          <t>Core</t>
        </is>
      </c>
      <c r="L229" t="n">
        <v>80</v>
      </c>
      <c r="M229" t="n">
        <v>90</v>
      </c>
      <c r="N229" t="n">
        <v>111</v>
      </c>
      <c r="O229" t="inlineStr">
        <is>
          <t>2026-10-05 UTC (WFM pull 02:52-04:00)</t>
        </is>
      </c>
      <c r="P229" t="inlineStr">
        <is>
          <t>OK</t>
        </is>
      </c>
      <c r="R229" t="inlineStr">
        <is>
          <t>Unchanged from v3 allocation</t>
        </is>
      </c>
      <c r="S229" t="inlineStr">
        <is>
          <t>twin_vipers_wraith_set</t>
        </is>
      </c>
      <c r="T229" t="n">
        <v>5</v>
      </c>
      <c r="U229" t="n">
        <v>5</v>
      </c>
      <c r="V229" t="n">
        <v>70</v>
      </c>
      <c r="W229" t="n">
        <v>70</v>
      </c>
      <c r="X229" t="n">
        <v>69.7</v>
      </c>
      <c r="Y229" t="n">
        <v>764</v>
      </c>
      <c r="Z229" t="n">
        <v>14</v>
      </c>
      <c r="AA229" t="n">
        <v>51</v>
      </c>
      <c r="AB229" t="n">
        <v>29</v>
      </c>
      <c r="AC229" t="inlineStr">
        <is>
          <t>Non-signature</t>
        </is>
      </c>
      <c r="AE229" t="inlineStr">
        <is>
          <t>No</t>
        </is>
      </c>
      <c r="AL229" t="inlineStr">
        <is>
          <t>Yes</t>
        </is>
      </c>
      <c r="AM229" t="n">
        <v>3</v>
      </c>
      <c r="AS229" t="inlineStr">
        <is>
          <t>Yes</t>
        </is>
      </c>
    </row>
    <row r="230">
      <c r="A230" t="inlineStr">
        <is>
          <t>Exalted / Intrinsic</t>
        </is>
      </c>
      <c r="B230" t="inlineStr">
        <is>
          <t>Valkyr Prime Talons</t>
        </is>
      </c>
      <c r="C230" t="inlineStr">
        <is>
          <t>Valkyr Prime</t>
        </is>
      </c>
      <c r="D230" t="inlineStr">
        <is>
          <t>Melee</t>
        </is>
      </c>
      <c r="G230" t="n">
        <v>1</v>
      </c>
      <c r="H230" t="inlineStr">
        <is>
          <t>Comes with frame</t>
        </is>
      </c>
      <c r="I230" t="inlineStr">
        <is>
          <t>No</t>
        </is>
      </c>
      <c r="P230" t="inlineStr">
        <is>
          <t>INCLUDED WITH FRAME</t>
        </is>
      </c>
      <c r="R230" t="inlineStr">
        <is>
          <t>Unchanged from v3 allocation</t>
        </is>
      </c>
      <c r="AC230" t="inlineStr">
        <is>
          <t>Exalted/Intrinsic</t>
        </is>
      </c>
      <c r="AL230" t="inlineStr">
        <is>
          <t>No (frame Reactor)</t>
        </is>
      </c>
      <c r="AS230" t="inlineStr">
        <is>
          <t>No</t>
        </is>
      </c>
    </row>
    <row r="231">
      <c r="A231" t="inlineStr">
        <is>
          <t>Weapon</t>
        </is>
      </c>
      <c r="B231" t="inlineStr">
        <is>
          <t>Ferrox</t>
        </is>
      </c>
      <c r="C231" t="inlineStr">
        <is>
          <t>Vauban Prime</t>
        </is>
      </c>
      <c r="D231" t="inlineStr">
        <is>
          <t>Primary</t>
        </is>
      </c>
      <c r="E231" t="inlineStr">
        <is>
          <t>Standard</t>
        </is>
      </c>
      <c r="G231" t="n">
        <v>1</v>
      </c>
      <c r="H231" t="inlineStr">
        <is>
          <t>Farm / vendor / Dojo / quest</t>
        </is>
      </c>
      <c r="I231" t="inlineStr">
        <is>
          <t>No</t>
        </is>
      </c>
      <c r="K231" t="inlineStr">
        <is>
          <t>Core</t>
        </is>
      </c>
      <c r="P231" t="inlineStr">
        <is>
          <t>FARMABLE / ACCOUNT-BOUND</t>
        </is>
      </c>
      <c r="R231" t="inlineStr">
        <is>
          <t>Unchanged from v3 allocation</t>
        </is>
      </c>
      <c r="AC231" t="inlineStr">
        <is>
          <t>Non-signature</t>
        </is>
      </c>
      <c r="AE231" t="inlineStr">
        <is>
          <t>No</t>
        </is>
      </c>
      <c r="AL231" t="inlineStr">
        <is>
          <t>Yes</t>
        </is>
      </c>
      <c r="AM231" t="n">
        <v>3</v>
      </c>
      <c r="AS231" t="inlineStr">
        <is>
          <t>No</t>
        </is>
      </c>
    </row>
    <row r="232">
      <c r="A232" t="inlineStr">
        <is>
          <t>Weapon</t>
        </is>
      </c>
      <c r="B232" t="inlineStr">
        <is>
          <t>Kulstar</t>
        </is>
      </c>
      <c r="C232" t="inlineStr">
        <is>
          <t>Vauban Prime</t>
        </is>
      </c>
      <c r="D232" t="inlineStr">
        <is>
          <t>Secondary</t>
        </is>
      </c>
      <c r="E232" t="inlineStr">
        <is>
          <t>Standard</t>
        </is>
      </c>
      <c r="G232" t="n">
        <v>1</v>
      </c>
      <c r="H232" t="inlineStr">
        <is>
          <t>Farm / vendor / Dojo / quest</t>
        </is>
      </c>
      <c r="I232" t="inlineStr">
        <is>
          <t>No</t>
        </is>
      </c>
      <c r="K232" t="inlineStr">
        <is>
          <t>Core</t>
        </is>
      </c>
      <c r="P232" t="inlineStr">
        <is>
          <t>FARMABLE / ACCOUNT-BOUND</t>
        </is>
      </c>
      <c r="R232" t="inlineStr">
        <is>
          <t>Unchanged from v3 allocation</t>
        </is>
      </c>
      <c r="AC232" t="inlineStr">
        <is>
          <t>Non-signature</t>
        </is>
      </c>
      <c r="AE232" t="inlineStr">
        <is>
          <t>No</t>
        </is>
      </c>
      <c r="AL232" t="inlineStr">
        <is>
          <t>Yes</t>
        </is>
      </c>
      <c r="AM232" t="n">
        <v>3</v>
      </c>
      <c r="AS232" t="inlineStr">
        <is>
          <t>No</t>
        </is>
      </c>
    </row>
    <row r="233">
      <c r="A233" t="inlineStr">
        <is>
          <t>Weapon</t>
        </is>
      </c>
      <c r="B233" t="inlineStr">
        <is>
          <t>Fragor Prime</t>
        </is>
      </c>
      <c r="C233" t="inlineStr">
        <is>
          <t>Vauban Prime</t>
        </is>
      </c>
      <c r="D233" t="inlineStr">
        <is>
          <t>Melee</t>
        </is>
      </c>
      <c r="E233" t="inlineStr">
        <is>
          <t>Prime</t>
        </is>
      </c>
      <c r="G233" t="n">
        <v>1</v>
      </c>
      <c r="H233" t="inlineStr">
        <is>
          <t>Player trade</t>
        </is>
      </c>
      <c r="I233" t="inlineStr">
        <is>
          <t>Yes</t>
        </is>
      </c>
      <c r="K233" t="inlineStr">
        <is>
          <t>Core</t>
        </is>
      </c>
      <c r="L233" t="n">
        <v>25</v>
      </c>
      <c r="M233" t="n">
        <v>40</v>
      </c>
      <c r="N233" t="n">
        <v>50</v>
      </c>
      <c r="O233" t="inlineStr">
        <is>
          <t>2026-10-05 UTC (WFM pull 02:52-04:00)</t>
        </is>
      </c>
      <c r="P233" t="inlineStr">
        <is>
          <t>OK</t>
        </is>
      </c>
      <c r="R233" t="inlineStr">
        <is>
          <t>Unchanged from v3 allocation</t>
        </is>
      </c>
      <c r="S233" t="inlineStr">
        <is>
          <t>fragor_prime_set</t>
        </is>
      </c>
      <c r="T233" t="n">
        <v>24</v>
      </c>
      <c r="U233" t="n">
        <v>24</v>
      </c>
      <c r="V233" t="n">
        <v>40</v>
      </c>
      <c r="W233" t="n">
        <v>40</v>
      </c>
      <c r="X233" t="n">
        <v>38.9</v>
      </c>
      <c r="Y233" t="n">
        <v>1506</v>
      </c>
      <c r="Z233" t="n">
        <v>34</v>
      </c>
      <c r="AA233" t="n">
        <v>16</v>
      </c>
      <c r="AB233" t="n">
        <v>9</v>
      </c>
      <c r="AC233" t="inlineStr">
        <is>
          <t>Non-signature</t>
        </is>
      </c>
      <c r="AE233" t="inlineStr">
        <is>
          <t>No</t>
        </is>
      </c>
      <c r="AL233" t="inlineStr">
        <is>
          <t>Yes</t>
        </is>
      </c>
      <c r="AM233" t="n">
        <v>3</v>
      </c>
      <c r="AS233" t="inlineStr">
        <is>
          <t>Yes</t>
        </is>
      </c>
    </row>
    <row r="234">
      <c r="A234" t="inlineStr">
        <is>
          <t>Weapon</t>
        </is>
      </c>
      <c r="B234" t="inlineStr">
        <is>
          <t>Rubico Prime</t>
        </is>
      </c>
      <c r="C234" t="inlineStr">
        <is>
          <t>Volt Prime</t>
        </is>
      </c>
      <c r="D234" t="inlineStr">
        <is>
          <t>Primary</t>
        </is>
      </c>
      <c r="E234" t="inlineStr">
        <is>
          <t>Prime</t>
        </is>
      </c>
      <c r="G234" t="n">
        <v>1</v>
      </c>
      <c r="H234" t="inlineStr">
        <is>
          <t>Player trade</t>
        </is>
      </c>
      <c r="I234" t="inlineStr">
        <is>
          <t>Yes</t>
        </is>
      </c>
      <c r="K234" t="inlineStr">
        <is>
          <t>Core</t>
        </is>
      </c>
      <c r="L234" t="n">
        <v>43</v>
      </c>
      <c r="M234" t="n">
        <v>49</v>
      </c>
      <c r="N234" t="n">
        <v>61</v>
      </c>
      <c r="O234" t="inlineStr">
        <is>
          <t>2026-10-05 UTC (WFM pull 02:52-04:00)</t>
        </is>
      </c>
      <c r="P234" t="inlineStr">
        <is>
          <t>OK</t>
        </is>
      </c>
      <c r="R234" t="inlineStr">
        <is>
          <t>Unchanged from v3 allocation</t>
        </is>
      </c>
      <c r="S234" t="inlineStr">
        <is>
          <t>rubico_prime_set</t>
        </is>
      </c>
      <c r="T234" t="n">
        <v>23</v>
      </c>
      <c r="U234" t="n">
        <v>23</v>
      </c>
      <c r="V234" t="n">
        <v>55</v>
      </c>
      <c r="W234" t="n">
        <v>53</v>
      </c>
      <c r="X234" t="n">
        <v>52.3</v>
      </c>
      <c r="Y234" t="n">
        <v>3098</v>
      </c>
      <c r="Z234" t="n">
        <v>74</v>
      </c>
      <c r="AA234" t="n">
        <v>35</v>
      </c>
      <c r="AB234" t="n">
        <v>8</v>
      </c>
      <c r="AC234" t="inlineStr">
        <is>
          <t>Non-signature</t>
        </is>
      </c>
      <c r="AE234" t="inlineStr">
        <is>
          <t>No</t>
        </is>
      </c>
      <c r="AL234" t="inlineStr">
        <is>
          <t>Yes</t>
        </is>
      </c>
      <c r="AM234" t="n">
        <v>3</v>
      </c>
      <c r="AS234" t="inlineStr">
        <is>
          <t>Yes</t>
        </is>
      </c>
    </row>
    <row r="235">
      <c r="A235" t="inlineStr">
        <is>
          <t>Weapon</t>
        </is>
      </c>
      <c r="B235" t="inlineStr">
        <is>
          <t>Ohma</t>
        </is>
      </c>
      <c r="C235" t="inlineStr">
        <is>
          <t>Volt Prime</t>
        </is>
      </c>
      <c r="D235" t="inlineStr">
        <is>
          <t>Melee</t>
        </is>
      </c>
      <c r="E235" t="inlineStr">
        <is>
          <t>Standard</t>
        </is>
      </c>
      <c r="G235" t="n">
        <v>1</v>
      </c>
      <c r="H235" t="inlineStr">
        <is>
          <t>Farm / vendor / Dojo / quest</t>
        </is>
      </c>
      <c r="I235" t="inlineStr">
        <is>
          <t>No</t>
        </is>
      </c>
      <c r="K235" t="inlineStr">
        <is>
          <t>Core</t>
        </is>
      </c>
      <c r="P235" t="inlineStr">
        <is>
          <t>FARMABLE / ACCOUNT-BOUND</t>
        </is>
      </c>
      <c r="R235" t="inlineStr">
        <is>
          <t>Unchanged from v3 allocation</t>
        </is>
      </c>
      <c r="AC235" t="inlineStr">
        <is>
          <t>Non-signature</t>
        </is>
      </c>
      <c r="AE235" t="inlineStr">
        <is>
          <t>No</t>
        </is>
      </c>
      <c r="AL235" t="inlineStr">
        <is>
          <t>Yes</t>
        </is>
      </c>
      <c r="AM235" t="n">
        <v>3</v>
      </c>
      <c r="AS235" t="inlineStr">
        <is>
          <t>No</t>
        </is>
      </c>
    </row>
    <row r="236">
      <c r="A236" t="inlineStr">
        <is>
          <t>Weapon</t>
        </is>
      </c>
      <c r="B236" t="inlineStr">
        <is>
          <t>Perigale Prime</t>
        </is>
      </c>
      <c r="C236" t="inlineStr">
        <is>
          <t>Voruna Prime</t>
        </is>
      </c>
      <c r="D236" t="inlineStr">
        <is>
          <t>Primary</t>
        </is>
      </c>
      <c r="E236" t="inlineStr">
        <is>
          <t>Prime</t>
        </is>
      </c>
      <c r="G236" t="n">
        <v>1</v>
      </c>
      <c r="H236" t="inlineStr">
        <is>
          <t>Player trade</t>
        </is>
      </c>
      <c r="I236" t="inlineStr">
        <is>
          <t>Yes</t>
        </is>
      </c>
      <c r="K236" t="inlineStr">
        <is>
          <t>Core</t>
        </is>
      </c>
      <c r="L236" t="n">
        <v>29</v>
      </c>
      <c r="M236" t="n">
        <v>30</v>
      </c>
      <c r="N236" t="n">
        <v>39</v>
      </c>
      <c r="O236" t="inlineStr">
        <is>
          <t>2026-10-05 UTC (WFM pull 02:52-04:00)</t>
        </is>
      </c>
      <c r="P236" t="inlineStr">
        <is>
          <t>OK</t>
        </is>
      </c>
      <c r="R236" t="inlineStr">
        <is>
          <t>Unchanged from v3 allocation</t>
        </is>
      </c>
      <c r="S236" t="inlineStr">
        <is>
          <t>perigale_prime_set</t>
        </is>
      </c>
      <c r="T236" t="n">
        <v>26</v>
      </c>
      <c r="U236" t="n">
        <v>26</v>
      </c>
      <c r="V236" t="n">
        <v>30</v>
      </c>
      <c r="W236" t="n">
        <v>30</v>
      </c>
      <c r="X236" t="n">
        <v>29.4</v>
      </c>
      <c r="Y236" t="n">
        <v>6620</v>
      </c>
      <c r="Z236" t="n">
        <v>152</v>
      </c>
      <c r="AC236" t="inlineStr">
        <is>
          <t>Signature - Voruna Prime</t>
        </is>
      </c>
      <c r="AD236" t="inlineStr">
        <is>
          <t>+24 Ammo Max</t>
        </is>
      </c>
      <c r="AE236" t="inlineStr">
        <is>
          <t>No</t>
        </is>
      </c>
      <c r="AL236" t="inlineStr">
        <is>
          <t>Yes</t>
        </is>
      </c>
      <c r="AM236" t="n">
        <v>3</v>
      </c>
      <c r="AS236" t="inlineStr">
        <is>
          <t>Yes</t>
        </is>
      </c>
    </row>
    <row r="237">
      <c r="A237" t="inlineStr">
        <is>
          <t>Weapon</t>
        </is>
      </c>
      <c r="B237" t="inlineStr">
        <is>
          <t>Grimoire</t>
        </is>
      </c>
      <c r="C237" t="inlineStr">
        <is>
          <t>Voruna Prime</t>
        </is>
      </c>
      <c r="D237" t="inlineStr">
        <is>
          <t>Secondary</t>
        </is>
      </c>
      <c r="E237" t="inlineStr">
        <is>
          <t>Standard</t>
        </is>
      </c>
      <c r="G237" t="n">
        <v>1</v>
      </c>
      <c r="H237" t="inlineStr">
        <is>
          <t>Farm / vendor / Dojo / quest</t>
        </is>
      </c>
      <c r="I237" t="inlineStr">
        <is>
          <t>No</t>
        </is>
      </c>
      <c r="K237" t="inlineStr">
        <is>
          <t>Core</t>
        </is>
      </c>
      <c r="P237" t="inlineStr">
        <is>
          <t>FARMABLE / ACCOUNT-BOUND</t>
        </is>
      </c>
      <c r="R237" t="inlineStr">
        <is>
          <t>Unchanged from v3 allocation</t>
        </is>
      </c>
      <c r="AC237" t="inlineStr">
        <is>
          <t>Non-signature</t>
        </is>
      </c>
      <c r="AE237" t="inlineStr">
        <is>
          <t>No</t>
        </is>
      </c>
      <c r="AL237" t="inlineStr">
        <is>
          <t>Yes</t>
        </is>
      </c>
      <c r="AM237" t="n">
        <v>3</v>
      </c>
      <c r="AS237" t="inlineStr">
        <is>
          <t>No</t>
        </is>
      </c>
    </row>
    <row r="238">
      <c r="A238" t="inlineStr">
        <is>
          <t>Weapon</t>
        </is>
      </c>
      <c r="B238" t="inlineStr">
        <is>
          <t>Sarofang Prime</t>
        </is>
      </c>
      <c r="C238" t="inlineStr">
        <is>
          <t>Voruna Prime</t>
        </is>
      </c>
      <c r="D238" t="inlineStr">
        <is>
          <t>Melee</t>
        </is>
      </c>
      <c r="E238" t="inlineStr">
        <is>
          <t>Prime</t>
        </is>
      </c>
      <c r="G238" t="n">
        <v>1</v>
      </c>
      <c r="H238" t="inlineStr">
        <is>
          <t>Player trade</t>
        </is>
      </c>
      <c r="I238" t="inlineStr">
        <is>
          <t>Yes</t>
        </is>
      </c>
      <c r="K238" t="inlineStr">
        <is>
          <t>Core</t>
        </is>
      </c>
      <c r="L238" t="n">
        <v>15</v>
      </c>
      <c r="M238" t="n">
        <v>15</v>
      </c>
      <c r="N238" t="n">
        <v>22</v>
      </c>
      <c r="O238" t="inlineStr">
        <is>
          <t>2026-10-05 UTC (WFM pull 02:52-04:00)</t>
        </is>
      </c>
      <c r="P238" t="inlineStr">
        <is>
          <t>OK</t>
        </is>
      </c>
      <c r="R238" t="inlineStr">
        <is>
          <t>Unchanged from v3 allocation</t>
        </is>
      </c>
      <c r="S238" t="inlineStr">
        <is>
          <t>sarofang_prime_set</t>
        </is>
      </c>
      <c r="T238" t="n">
        <v>28</v>
      </c>
      <c r="U238" t="n">
        <v>28</v>
      </c>
      <c r="V238" t="n">
        <v>20</v>
      </c>
      <c r="W238" t="n">
        <v>24</v>
      </c>
      <c r="X238" t="n">
        <v>23.1</v>
      </c>
      <c r="Y238" t="n">
        <v>5227</v>
      </c>
      <c r="Z238" t="n">
        <v>204</v>
      </c>
      <c r="AA238" t="n">
        <v>12</v>
      </c>
      <c r="AB238" t="n">
        <v>3</v>
      </c>
      <c r="AC238" t="inlineStr">
        <is>
          <t>Signature - Voruna Prime</t>
        </is>
      </c>
      <c r="AD238" t="inlineStr">
        <is>
          <t>Heavy Slam vortex at 5x combo</t>
        </is>
      </c>
      <c r="AE238" t="inlineStr">
        <is>
          <t>No</t>
        </is>
      </c>
      <c r="AL238" t="inlineStr">
        <is>
          <t>Yes</t>
        </is>
      </c>
      <c r="AM238" t="n">
        <v>3</v>
      </c>
      <c r="AS238" t="inlineStr">
        <is>
          <t>Yes</t>
        </is>
      </c>
    </row>
    <row r="239">
      <c r="A239" t="inlineStr">
        <is>
          <t>Weapon</t>
        </is>
      </c>
      <c r="B239" t="inlineStr">
        <is>
          <t>Fulmin Prime</t>
        </is>
      </c>
      <c r="C239" t="inlineStr">
        <is>
          <t>Wisp Prime</t>
        </is>
      </c>
      <c r="D239" t="inlineStr">
        <is>
          <t>Primary</t>
        </is>
      </c>
      <c r="E239" t="inlineStr">
        <is>
          <t>Prime</t>
        </is>
      </c>
      <c r="G239" t="n">
        <v>1</v>
      </c>
      <c r="H239" t="inlineStr">
        <is>
          <t>Player trade</t>
        </is>
      </c>
      <c r="I239" t="inlineStr">
        <is>
          <t>Yes</t>
        </is>
      </c>
      <c r="K239" t="inlineStr">
        <is>
          <t>Core</t>
        </is>
      </c>
      <c r="L239" t="n">
        <v>40</v>
      </c>
      <c r="M239" t="n">
        <v>40</v>
      </c>
      <c r="N239" t="n">
        <v>50</v>
      </c>
      <c r="O239" t="inlineStr">
        <is>
          <t>2026-10-05 UTC (WFM pull 02:52-04:00)</t>
        </is>
      </c>
      <c r="P239" t="inlineStr">
        <is>
          <t>OK</t>
        </is>
      </c>
      <c r="R239" t="inlineStr">
        <is>
          <t>Unchanged from v3 allocation</t>
        </is>
      </c>
      <c r="S239" t="inlineStr">
        <is>
          <t>fulmin_prime_set</t>
        </is>
      </c>
      <c r="T239" t="n">
        <v>32</v>
      </c>
      <c r="U239" t="n">
        <v>32</v>
      </c>
      <c r="V239" t="n">
        <v>45</v>
      </c>
      <c r="W239" t="n">
        <v>44</v>
      </c>
      <c r="X239" t="n">
        <v>43.2</v>
      </c>
      <c r="Y239" t="n">
        <v>4802</v>
      </c>
      <c r="Z239" t="n">
        <v>146</v>
      </c>
      <c r="AA239" t="n">
        <v>28</v>
      </c>
      <c r="AB239" t="n">
        <v>12</v>
      </c>
      <c r="AC239" t="inlineStr">
        <is>
          <t>Signature - Wisp Prime</t>
        </is>
      </c>
      <c r="AD239" t="inlineStr">
        <is>
          <t>Faster auto/semi mode switch</t>
        </is>
      </c>
      <c r="AE239" t="inlineStr">
        <is>
          <t>No</t>
        </is>
      </c>
      <c r="AL239" t="inlineStr">
        <is>
          <t>Yes</t>
        </is>
      </c>
      <c r="AM239" t="n">
        <v>3</v>
      </c>
      <c r="AS239" t="inlineStr">
        <is>
          <t>Yes</t>
        </is>
      </c>
    </row>
    <row r="240">
      <c r="A240" t="inlineStr">
        <is>
          <t>Weapon</t>
        </is>
      </c>
      <c r="B240" t="inlineStr">
        <is>
          <t>Furis</t>
        </is>
      </c>
      <c r="C240" t="inlineStr">
        <is>
          <t>Wisp Prime</t>
        </is>
      </c>
      <c r="D240" t="inlineStr">
        <is>
          <t>Secondary</t>
        </is>
      </c>
      <c r="E240" t="inlineStr">
        <is>
          <t>Standard</t>
        </is>
      </c>
      <c r="G240" t="n">
        <v>1</v>
      </c>
      <c r="H240" t="inlineStr">
        <is>
          <t>Farm / vendor / Dojo / quest</t>
        </is>
      </c>
      <c r="I240" t="inlineStr">
        <is>
          <t>No</t>
        </is>
      </c>
      <c r="K240" t="inlineStr">
        <is>
          <t>Core</t>
        </is>
      </c>
      <c r="P240" t="inlineStr">
        <is>
          <t>FARMABLE / ACCOUNT-BOUND</t>
        </is>
      </c>
      <c r="R240" t="inlineStr">
        <is>
          <t>Unchanged from v3 allocation</t>
        </is>
      </c>
      <c r="AC240" t="inlineStr">
        <is>
          <t>Non-signature</t>
        </is>
      </c>
      <c r="AE240" t="inlineStr">
        <is>
          <t>Yes (Genesis)</t>
        </is>
      </c>
      <c r="AF240" t="inlineStr">
        <is>
          <t>Incarnon Genesis (farm: Steel Path Circuit)</t>
        </is>
      </c>
      <c r="AL240" t="inlineStr">
        <is>
          <t>Yes</t>
        </is>
      </c>
      <c r="AM240" t="n">
        <v>4</v>
      </c>
      <c r="AS240" t="inlineStr">
        <is>
          <t>No</t>
        </is>
      </c>
    </row>
    <row r="241">
      <c r="A241" t="inlineStr">
        <is>
          <t>Weapon</t>
        </is>
      </c>
      <c r="B241" t="inlineStr">
        <is>
          <t>Tipedo Prime</t>
        </is>
      </c>
      <c r="C241" t="inlineStr">
        <is>
          <t>Wisp Prime</t>
        </is>
      </c>
      <c r="D241" t="inlineStr">
        <is>
          <t>Melee</t>
        </is>
      </c>
      <c r="E241" t="inlineStr">
        <is>
          <t>Prime</t>
        </is>
      </c>
      <c r="G241" t="n">
        <v>1</v>
      </c>
      <c r="H241" t="inlineStr">
        <is>
          <t>Player trade</t>
        </is>
      </c>
      <c r="I241" t="inlineStr">
        <is>
          <t>Yes</t>
        </is>
      </c>
      <c r="K241" t="inlineStr">
        <is>
          <t>Core</t>
        </is>
      </c>
      <c r="L241" t="n">
        <v>60</v>
      </c>
      <c r="M241" t="n">
        <v>62</v>
      </c>
      <c r="N241" t="n">
        <v>72</v>
      </c>
      <c r="O241" t="inlineStr">
        <is>
          <t>2026-10-05 UTC (WFM pull 02:52-04:00)</t>
        </is>
      </c>
      <c r="P241" t="inlineStr">
        <is>
          <t>OK</t>
        </is>
      </c>
      <c r="R241" t="inlineStr">
        <is>
          <t>Unchanged from v3 allocation</t>
        </is>
      </c>
      <c r="S241" t="inlineStr">
        <is>
          <t>tipedo_prime_set</t>
        </is>
      </c>
      <c r="T241" t="n">
        <v>25</v>
      </c>
      <c r="U241" t="n">
        <v>25</v>
      </c>
      <c r="V241" t="n">
        <v>61</v>
      </c>
      <c r="W241" t="n">
        <v>60</v>
      </c>
      <c r="X241" t="n">
        <v>58.6</v>
      </c>
      <c r="Y241" t="n">
        <v>1268</v>
      </c>
      <c r="Z241" t="n">
        <v>26</v>
      </c>
      <c r="AA241" t="n">
        <v>45</v>
      </c>
      <c r="AB241" t="n">
        <v>15</v>
      </c>
      <c r="AC241" t="inlineStr">
        <is>
          <t>Non-signature</t>
        </is>
      </c>
      <c r="AE241" t="inlineStr">
        <is>
          <t>No</t>
        </is>
      </c>
      <c r="AL241" t="inlineStr">
        <is>
          <t>Yes</t>
        </is>
      </c>
      <c r="AM241" t="n">
        <v>3</v>
      </c>
      <c r="AS241" t="inlineStr">
        <is>
          <t>Yes</t>
        </is>
      </c>
    </row>
    <row r="242">
      <c r="A242" t="inlineStr">
        <is>
          <t>Weapon</t>
        </is>
      </c>
      <c r="B242" t="inlineStr">
        <is>
          <t>Zhuge Prime</t>
        </is>
      </c>
      <c r="C242" t="inlineStr">
        <is>
          <t>Wukong Prime</t>
        </is>
      </c>
      <c r="D242" t="inlineStr">
        <is>
          <t>Primary</t>
        </is>
      </c>
      <c r="E242" t="inlineStr">
        <is>
          <t>Prime</t>
        </is>
      </c>
      <c r="G242" t="n">
        <v>1</v>
      </c>
      <c r="H242" t="inlineStr">
        <is>
          <t>Player trade</t>
        </is>
      </c>
      <c r="I242" t="inlineStr">
        <is>
          <t>Yes</t>
        </is>
      </c>
      <c r="K242" t="inlineStr">
        <is>
          <t>Core</t>
        </is>
      </c>
      <c r="L242" t="n">
        <v>44</v>
      </c>
      <c r="M242" t="n">
        <v>49</v>
      </c>
      <c r="N242" t="n">
        <v>56</v>
      </c>
      <c r="O242" t="inlineStr">
        <is>
          <t>2026-10-05 UTC (WFM pull 02:52-04:00)</t>
        </is>
      </c>
      <c r="P242" t="inlineStr">
        <is>
          <t>OK</t>
        </is>
      </c>
      <c r="R242" t="inlineStr">
        <is>
          <t>Unchanged from v3 allocation</t>
        </is>
      </c>
      <c r="S242" t="inlineStr">
        <is>
          <t>zhuge_prime_set</t>
        </is>
      </c>
      <c r="T242" t="n">
        <v>29</v>
      </c>
      <c r="U242" t="n">
        <v>29</v>
      </c>
      <c r="V242" t="n">
        <v>49.5</v>
      </c>
      <c r="W242" t="n">
        <v>45</v>
      </c>
      <c r="X242" t="n">
        <v>45.4</v>
      </c>
      <c r="Y242" t="n">
        <v>1631</v>
      </c>
      <c r="Z242" t="n">
        <v>34</v>
      </c>
      <c r="AA242" t="n">
        <v>42</v>
      </c>
      <c r="AB242" t="n">
        <v>2</v>
      </c>
      <c r="AC242" t="inlineStr">
        <is>
          <t>Non-signature</t>
        </is>
      </c>
      <c r="AE242" t="inlineStr">
        <is>
          <t>No</t>
        </is>
      </c>
      <c r="AL242" t="inlineStr">
        <is>
          <t>Yes</t>
        </is>
      </c>
      <c r="AM242" t="n">
        <v>3</v>
      </c>
      <c r="AS242" t="inlineStr">
        <is>
          <t>Yes</t>
        </is>
      </c>
    </row>
    <row r="243">
      <c r="A243" t="inlineStr">
        <is>
          <t>Weapon</t>
        </is>
      </c>
      <c r="B243" t="inlineStr">
        <is>
          <t>Ballistica Prime</t>
        </is>
      </c>
      <c r="C243" t="inlineStr">
        <is>
          <t>Wukong Prime</t>
        </is>
      </c>
      <c r="D243" t="inlineStr">
        <is>
          <t>Secondary</t>
        </is>
      </c>
      <c r="E243" t="inlineStr">
        <is>
          <t>Prime</t>
        </is>
      </c>
      <c r="G243" t="n">
        <v>1</v>
      </c>
      <c r="H243" t="inlineStr">
        <is>
          <t>Player trade</t>
        </is>
      </c>
      <c r="I243" t="inlineStr">
        <is>
          <t>Yes</t>
        </is>
      </c>
      <c r="K243" t="inlineStr">
        <is>
          <t>Core</t>
        </is>
      </c>
      <c r="L243" t="n">
        <v>98</v>
      </c>
      <c r="M243" t="n">
        <v>100</v>
      </c>
      <c r="N243" t="n">
        <v>131</v>
      </c>
      <c r="O243" t="inlineStr">
        <is>
          <t>2026-10-05 UTC (WFM pull 02:52-04:00)</t>
        </is>
      </c>
      <c r="P243" t="inlineStr">
        <is>
          <t>OK</t>
        </is>
      </c>
      <c r="Q243" t="inlineStr">
        <is>
          <t>v3: Pyrana Prime</t>
        </is>
      </c>
      <c r="R243" t="inlineStr">
        <is>
          <t>Pyrana Prime duplicate (Limbo vs Wukong). Limbo keeps it (Prime Access tie-break only). Ballistica Prime Incarnon (E).</t>
        </is>
      </c>
      <c r="S243" t="inlineStr">
        <is>
          <t>ballistica_prime_set</t>
        </is>
      </c>
      <c r="T243" t="n">
        <v>26</v>
      </c>
      <c r="U243" t="n">
        <v>26</v>
      </c>
      <c r="V243" t="n">
        <v>119</v>
      </c>
      <c r="W243" t="n">
        <v>118</v>
      </c>
      <c r="X243" t="n">
        <v>117.8</v>
      </c>
      <c r="Y243" t="n">
        <v>4265</v>
      </c>
      <c r="Z243" t="n">
        <v>75</v>
      </c>
      <c r="AA243" t="n">
        <v>85</v>
      </c>
      <c r="AB243" t="n">
        <v>13</v>
      </c>
      <c r="AC243" t="inlineStr">
        <is>
          <t>Non-signature</t>
        </is>
      </c>
      <c r="AE243" t="inlineStr">
        <is>
          <t>Yes (Genesis)</t>
        </is>
      </c>
      <c r="AF243" t="inlineStr">
        <is>
          <t>Incarnon Genesis (farm: Steel Path Circuit)</t>
        </is>
      </c>
      <c r="AL243" t="inlineStr">
        <is>
          <t>Yes</t>
        </is>
      </c>
      <c r="AM243" t="n">
        <v>4</v>
      </c>
      <c r="AS243" t="inlineStr">
        <is>
          <t>Yes</t>
        </is>
      </c>
    </row>
    <row r="244">
      <c r="A244" t="inlineStr">
        <is>
          <t>Exalted / Intrinsic</t>
        </is>
      </c>
      <c r="B244" t="inlineStr">
        <is>
          <t>Iron Staff Prime</t>
        </is>
      </c>
      <c r="C244" t="inlineStr">
        <is>
          <t>Wukong Prime</t>
        </is>
      </c>
      <c r="D244" t="inlineStr">
        <is>
          <t>Melee</t>
        </is>
      </c>
      <c r="G244" t="n">
        <v>1</v>
      </c>
      <c r="H244" t="inlineStr">
        <is>
          <t>Comes with frame</t>
        </is>
      </c>
      <c r="I244" t="inlineStr">
        <is>
          <t>No</t>
        </is>
      </c>
      <c r="P244" t="inlineStr">
        <is>
          <t>INCLUDED WITH FRAME</t>
        </is>
      </c>
      <c r="R244" t="inlineStr">
        <is>
          <t>Unchanged from v3 allocation</t>
        </is>
      </c>
      <c r="AC244" t="inlineStr">
        <is>
          <t>Exalted/Intrinsic</t>
        </is>
      </c>
      <c r="AL244" t="inlineStr">
        <is>
          <t>No (frame Reactor)</t>
        </is>
      </c>
      <c r="AS244" t="inlineStr">
        <is>
          <t>No</t>
        </is>
      </c>
    </row>
    <row r="245">
      <c r="A245" t="inlineStr">
        <is>
          <t>Weapon</t>
        </is>
      </c>
      <c r="B245" t="inlineStr">
        <is>
          <t>Trumna Prime</t>
        </is>
      </c>
      <c r="C245" t="inlineStr">
        <is>
          <t>Xaku Prime</t>
        </is>
      </c>
      <c r="D245" t="inlineStr">
        <is>
          <t>Primary</t>
        </is>
      </c>
      <c r="E245" t="inlineStr">
        <is>
          <t>Prime</t>
        </is>
      </c>
      <c r="G245" t="n">
        <v>1</v>
      </c>
      <c r="H245" t="inlineStr">
        <is>
          <t>Player trade</t>
        </is>
      </c>
      <c r="I245" t="inlineStr">
        <is>
          <t>Yes</t>
        </is>
      </c>
      <c r="K245" t="inlineStr">
        <is>
          <t>Core</t>
        </is>
      </c>
      <c r="L245" t="n">
        <v>24</v>
      </c>
      <c r="M245" t="n">
        <v>25</v>
      </c>
      <c r="N245" t="n">
        <v>28</v>
      </c>
      <c r="O245" t="inlineStr">
        <is>
          <t>2026-10-05 UTC (WFM pull 02:52-04:00)</t>
        </is>
      </c>
      <c r="P245" t="inlineStr">
        <is>
          <t>OK</t>
        </is>
      </c>
      <c r="R245" t="inlineStr">
        <is>
          <t>Unchanged from v3 allocation</t>
        </is>
      </c>
      <c r="S245" t="inlineStr">
        <is>
          <t>trumna_prime_set</t>
        </is>
      </c>
      <c r="T245" t="n">
        <v>48</v>
      </c>
      <c r="U245" t="n">
        <v>48</v>
      </c>
      <c r="V245" t="n">
        <v>20</v>
      </c>
      <c r="W245" t="n">
        <v>20</v>
      </c>
      <c r="X245" t="n">
        <v>21.8</v>
      </c>
      <c r="Y245" t="n">
        <v>8470</v>
      </c>
      <c r="Z245" t="n">
        <v>138</v>
      </c>
      <c r="AA245" t="n">
        <v>21</v>
      </c>
      <c r="AB245" t="n">
        <v>3</v>
      </c>
      <c r="AC245" t="inlineStr">
        <is>
          <t>Non-signature</t>
        </is>
      </c>
      <c r="AE245" t="inlineStr">
        <is>
          <t>No</t>
        </is>
      </c>
      <c r="AL245" t="inlineStr">
        <is>
          <t>Yes</t>
        </is>
      </c>
      <c r="AM245" t="n">
        <v>3</v>
      </c>
      <c r="AS245" t="inlineStr">
        <is>
          <t>Yes</t>
        </is>
      </c>
    </row>
    <row r="246">
      <c r="A246" t="inlineStr">
        <is>
          <t>Weapon</t>
        </is>
      </c>
      <c r="B246" t="inlineStr">
        <is>
          <t>Laetum</t>
        </is>
      </c>
      <c r="C246" t="inlineStr">
        <is>
          <t>Xaku Prime</t>
        </is>
      </c>
      <c r="D246" t="inlineStr">
        <is>
          <t>Secondary</t>
        </is>
      </c>
      <c r="E246" t="inlineStr">
        <is>
          <t>Standard</t>
        </is>
      </c>
      <c r="G246" t="n">
        <v>1</v>
      </c>
      <c r="H246" t="inlineStr">
        <is>
          <t>Player trade (blueprint; craft resources farmable)</t>
        </is>
      </c>
      <c r="I246" t="inlineStr">
        <is>
          <t>Yes</t>
        </is>
      </c>
      <c r="K246" t="inlineStr">
        <is>
          <t>Core</t>
        </is>
      </c>
      <c r="L246" t="n">
        <v>4</v>
      </c>
      <c r="M246" t="n">
        <v>6</v>
      </c>
      <c r="N246" t="n">
        <v>10</v>
      </c>
      <c r="O246" t="inlineStr">
        <is>
          <t>2026-10-05 UTC (WFM pull 02:52-04:00)</t>
        </is>
      </c>
      <c r="P246" t="inlineStr">
        <is>
          <t>OK</t>
        </is>
      </c>
      <c r="R246" t="inlineStr">
        <is>
          <t>Unchanged from v3 allocation</t>
        </is>
      </c>
      <c r="S246" t="inlineStr">
        <is>
          <t>laetum_blueprint</t>
        </is>
      </c>
      <c r="T246" t="n">
        <v>6</v>
      </c>
      <c r="U246" t="n">
        <v>6</v>
      </c>
      <c r="V246" t="n">
        <v>7</v>
      </c>
      <c r="W246" t="n">
        <v>6</v>
      </c>
      <c r="X246" t="n">
        <v>6.1</v>
      </c>
      <c r="Y246" t="n">
        <v>227</v>
      </c>
      <c r="Z246" t="n">
        <v>5</v>
      </c>
      <c r="AC246" t="inlineStr">
        <is>
          <t>Non-signature</t>
        </is>
      </c>
      <c r="AE246" t="inlineStr">
        <is>
          <t>Yes (innate)</t>
        </is>
      </c>
      <c r="AL246" t="inlineStr">
        <is>
          <t>Yes</t>
        </is>
      </c>
      <c r="AM246" t="n">
        <v>4</v>
      </c>
      <c r="AS246" t="inlineStr">
        <is>
          <t>Yes</t>
        </is>
      </c>
    </row>
    <row r="247">
      <c r="A247" t="inlineStr">
        <is>
          <t>Weapon</t>
        </is>
      </c>
      <c r="B247" t="inlineStr">
        <is>
          <t>Quassus Prime</t>
        </is>
      </c>
      <c r="C247" t="inlineStr">
        <is>
          <t>Xaku Prime</t>
        </is>
      </c>
      <c r="D247" t="inlineStr">
        <is>
          <t>Melee</t>
        </is>
      </c>
      <c r="E247" t="inlineStr">
        <is>
          <t>Prime</t>
        </is>
      </c>
      <c r="G247" t="n">
        <v>1</v>
      </c>
      <c r="H247" t="inlineStr">
        <is>
          <t>Player trade</t>
        </is>
      </c>
      <c r="I247" t="inlineStr">
        <is>
          <t>Yes</t>
        </is>
      </c>
      <c r="K247" t="inlineStr">
        <is>
          <t>Core</t>
        </is>
      </c>
      <c r="L247" t="n">
        <v>28</v>
      </c>
      <c r="M247" t="n">
        <v>30</v>
      </c>
      <c r="N247" t="n">
        <v>33</v>
      </c>
      <c r="O247" t="inlineStr">
        <is>
          <t>2026-10-05 UTC (WFM pull 02:52-04:00)</t>
        </is>
      </c>
      <c r="P247" t="inlineStr">
        <is>
          <t>OK</t>
        </is>
      </c>
      <c r="R247" t="inlineStr">
        <is>
          <t>Unchanged from v3 allocation</t>
        </is>
      </c>
      <c r="S247" t="inlineStr">
        <is>
          <t>quassus_prime_set</t>
        </is>
      </c>
      <c r="T247" t="n">
        <v>31</v>
      </c>
      <c r="U247" t="n">
        <v>31</v>
      </c>
      <c r="V247" t="n">
        <v>25</v>
      </c>
      <c r="W247" t="n">
        <v>25.5</v>
      </c>
      <c r="X247" t="n">
        <v>27</v>
      </c>
      <c r="Y247" t="n">
        <v>4555</v>
      </c>
      <c r="Z247" t="n">
        <v>94</v>
      </c>
      <c r="AA247" t="n">
        <v>27</v>
      </c>
      <c r="AB247" t="n">
        <v>1</v>
      </c>
      <c r="AC247" t="inlineStr">
        <is>
          <t>Signature - Xaku Prime</t>
        </is>
      </c>
      <c r="AD247" t="inlineStr">
        <is>
          <t>Heavy Attack daggers +Accuracy</t>
        </is>
      </c>
      <c r="AE247" t="inlineStr">
        <is>
          <t>No</t>
        </is>
      </c>
      <c r="AL247" t="inlineStr">
        <is>
          <t>Yes</t>
        </is>
      </c>
      <c r="AM247" t="n">
        <v>3</v>
      </c>
      <c r="AS247" t="inlineStr">
        <is>
          <t>Yes</t>
        </is>
      </c>
    </row>
    <row r="248">
      <c r="A248" t="inlineStr">
        <is>
          <t>Weapon</t>
        </is>
      </c>
      <c r="B248" t="inlineStr">
        <is>
          <t>Komorex</t>
        </is>
      </c>
      <c r="C248" t="inlineStr">
        <is>
          <t>Yareli Prime</t>
        </is>
      </c>
      <c r="D248" t="inlineStr">
        <is>
          <t>Primary</t>
        </is>
      </c>
      <c r="E248" t="inlineStr">
        <is>
          <t>Standard</t>
        </is>
      </c>
      <c r="G248" t="n">
        <v>1</v>
      </c>
      <c r="H248" t="inlineStr">
        <is>
          <t>Farm / vendor / Dojo / quest</t>
        </is>
      </c>
      <c r="I248" t="inlineStr">
        <is>
          <t>No</t>
        </is>
      </c>
      <c r="K248" t="inlineStr">
        <is>
          <t>Core</t>
        </is>
      </c>
      <c r="P248" t="inlineStr">
        <is>
          <t>FARMABLE / ACCOUNT-BOUND</t>
        </is>
      </c>
      <c r="R248" t="inlineStr">
        <is>
          <t>Unchanged from v3 allocation</t>
        </is>
      </c>
      <c r="AC248" t="inlineStr">
        <is>
          <t>Non-signature</t>
        </is>
      </c>
      <c r="AE248" t="inlineStr">
        <is>
          <t>No</t>
        </is>
      </c>
      <c r="AL248" t="inlineStr">
        <is>
          <t>Yes</t>
        </is>
      </c>
      <c r="AM248" t="n">
        <v>3</v>
      </c>
      <c r="AS248" t="inlineStr">
        <is>
          <t>No</t>
        </is>
      </c>
    </row>
    <row r="249">
      <c r="A249" t="inlineStr">
        <is>
          <t>Weapon</t>
        </is>
      </c>
      <c r="B249" t="inlineStr">
        <is>
          <t>Kompressa Prime</t>
        </is>
      </c>
      <c r="C249" t="inlineStr">
        <is>
          <t>Yareli Prime</t>
        </is>
      </c>
      <c r="D249" t="inlineStr">
        <is>
          <t>Secondary</t>
        </is>
      </c>
      <c r="E249" t="inlineStr">
        <is>
          <t>Prime</t>
        </is>
      </c>
      <c r="G249" t="n">
        <v>1</v>
      </c>
      <c r="H249" t="inlineStr">
        <is>
          <t>Player trade</t>
        </is>
      </c>
      <c r="I249" t="inlineStr">
        <is>
          <t>Yes</t>
        </is>
      </c>
      <c r="K249" t="inlineStr">
        <is>
          <t>Core</t>
        </is>
      </c>
      <c r="L249" t="n">
        <v>14</v>
      </c>
      <c r="M249" t="n">
        <v>14</v>
      </c>
      <c r="N249" t="n">
        <v>17</v>
      </c>
      <c r="O249" t="inlineStr">
        <is>
          <t>2026-10-05 UTC (WFM pull 02:52-04:00)</t>
        </is>
      </c>
      <c r="P249" t="inlineStr">
        <is>
          <t>OK</t>
        </is>
      </c>
      <c r="Q249" t="inlineStr">
        <is>
          <t>v3: Ocucor</t>
        </is>
      </c>
      <c r="R249" t="inlineStr">
        <is>
          <t>Signature with a mechanical bonus (+30% Projectile Speed), tier A.</t>
        </is>
      </c>
      <c r="S249" t="inlineStr">
        <is>
          <t>kompressa_prime_set</t>
        </is>
      </c>
      <c r="T249" t="n">
        <v>58</v>
      </c>
      <c r="U249" t="n">
        <v>58</v>
      </c>
      <c r="V249" t="n">
        <v>12</v>
      </c>
      <c r="W249" t="n">
        <v>12</v>
      </c>
      <c r="X249" t="n">
        <v>12.6</v>
      </c>
      <c r="Y249" t="n">
        <v>7817</v>
      </c>
      <c r="Z249" t="n">
        <v>203</v>
      </c>
      <c r="AA249" t="n">
        <v>11</v>
      </c>
      <c r="AB249" t="n">
        <v>3</v>
      </c>
      <c r="AC249" t="inlineStr">
        <is>
          <t>Signature - Yareli Prime</t>
        </is>
      </c>
      <c r="AD249" t="inlineStr">
        <is>
          <t>+30% Projectile Speed</t>
        </is>
      </c>
      <c r="AE249" t="inlineStr">
        <is>
          <t>No</t>
        </is>
      </c>
      <c r="AL249" t="inlineStr">
        <is>
          <t>Yes</t>
        </is>
      </c>
      <c r="AM249" t="n">
        <v>3</v>
      </c>
      <c r="AS249" t="inlineStr">
        <is>
          <t>Yes</t>
        </is>
      </c>
    </row>
    <row r="250">
      <c r="A250" t="inlineStr">
        <is>
          <t>Weapon</t>
        </is>
      </c>
      <c r="B250" t="inlineStr">
        <is>
          <t>Ghoulsaw</t>
        </is>
      </c>
      <c r="C250" t="inlineStr">
        <is>
          <t>Yareli Prime</t>
        </is>
      </c>
      <c r="D250" t="inlineStr">
        <is>
          <t>Melee</t>
        </is>
      </c>
      <c r="E250" t="inlineStr">
        <is>
          <t>Standard</t>
        </is>
      </c>
      <c r="G250" t="n">
        <v>1</v>
      </c>
      <c r="H250" t="inlineStr">
        <is>
          <t>Player trade</t>
        </is>
      </c>
      <c r="I250" t="inlineStr">
        <is>
          <t>Yes</t>
        </is>
      </c>
      <c r="K250" t="inlineStr">
        <is>
          <t>Core</t>
        </is>
      </c>
      <c r="L250" t="n">
        <v>7</v>
      </c>
      <c r="M250" t="n">
        <v>10</v>
      </c>
      <c r="N250" t="n">
        <v>22</v>
      </c>
      <c r="O250" t="inlineStr">
        <is>
          <t>2026-10-05 UTC (WFM pull 02:52-04:00)</t>
        </is>
      </c>
      <c r="P250" t="inlineStr">
        <is>
          <t>OK</t>
        </is>
      </c>
      <c r="Q250" t="inlineStr">
        <is>
          <t>Kuva Ghoulsaw live (U42) - doctrine: no automatic Coda/adversary substitution; optional upgrade</t>
        </is>
      </c>
      <c r="R250" t="inlineStr">
        <is>
          <t>Unchanged from v3 allocation</t>
        </is>
      </c>
      <c r="S250" t="inlineStr">
        <is>
          <t>ghoulsaw_set</t>
        </is>
      </c>
      <c r="T250" t="n">
        <v>5</v>
      </c>
      <c r="U250" t="n">
        <v>5</v>
      </c>
      <c r="V250" t="n">
        <v>10</v>
      </c>
      <c r="W250" t="n">
        <v>10</v>
      </c>
      <c r="X250" t="n">
        <v>8.5</v>
      </c>
      <c r="Y250" t="n">
        <v>236</v>
      </c>
      <c r="Z250" t="n">
        <v>3</v>
      </c>
      <c r="AC250" t="inlineStr">
        <is>
          <t>Non-signature</t>
        </is>
      </c>
      <c r="AE250" t="inlineStr">
        <is>
          <t>No</t>
        </is>
      </c>
      <c r="AL250" t="inlineStr">
        <is>
          <t>Yes</t>
        </is>
      </c>
      <c r="AM250" t="n">
        <v>3</v>
      </c>
      <c r="AS250" t="inlineStr">
        <is>
          <t>Yes</t>
        </is>
      </c>
    </row>
    <row r="251">
      <c r="A251" t="inlineStr">
        <is>
          <t>Weapon</t>
        </is>
      </c>
      <c r="B251" t="inlineStr">
        <is>
          <t>Nataruk</t>
        </is>
      </c>
      <c r="C251" t="inlineStr">
        <is>
          <t>Zephyr Prime</t>
        </is>
      </c>
      <c r="D251" t="inlineStr">
        <is>
          <t>Primary</t>
        </is>
      </c>
      <c r="E251" t="inlineStr">
        <is>
          <t>Standard</t>
        </is>
      </c>
      <c r="G251" t="n">
        <v>1</v>
      </c>
      <c r="H251" t="inlineStr">
        <is>
          <t>Farm / vendor / Dojo / quest</t>
        </is>
      </c>
      <c r="I251" t="inlineStr">
        <is>
          <t>No</t>
        </is>
      </c>
      <c r="K251" t="inlineStr">
        <is>
          <t>Core</t>
        </is>
      </c>
      <c r="P251" t="inlineStr">
        <is>
          <t>FARMABLE / ACCOUNT-BOUND</t>
        </is>
      </c>
      <c r="R251" t="inlineStr">
        <is>
          <t>Unchanged from v3 allocation</t>
        </is>
      </c>
      <c r="AC251" t="inlineStr">
        <is>
          <t>Non-signature</t>
        </is>
      </c>
      <c r="AE251" t="inlineStr">
        <is>
          <t>No</t>
        </is>
      </c>
      <c r="AL251" t="inlineStr">
        <is>
          <t>Yes</t>
        </is>
      </c>
      <c r="AM251" t="n">
        <v>3</v>
      </c>
      <c r="AS251" t="inlineStr">
        <is>
          <t>No</t>
        </is>
      </c>
    </row>
    <row r="252">
      <c r="A252" t="inlineStr">
        <is>
          <t>Weapon</t>
        </is>
      </c>
      <c r="B252" t="inlineStr">
        <is>
          <t>Catchmoon</t>
        </is>
      </c>
      <c r="C252" t="inlineStr">
        <is>
          <t>Zephyr Prime</t>
        </is>
      </c>
      <c r="D252" t="inlineStr">
        <is>
          <t>Secondary</t>
        </is>
      </c>
      <c r="E252" t="inlineStr">
        <is>
          <t>Standard</t>
        </is>
      </c>
      <c r="G252" t="n">
        <v>1</v>
      </c>
      <c r="H252" t="inlineStr">
        <is>
          <t>Farm / vendor / Dojo / quest</t>
        </is>
      </c>
      <c r="I252" t="inlineStr">
        <is>
          <t>No</t>
        </is>
      </c>
      <c r="K252" t="inlineStr">
        <is>
          <t>Core</t>
        </is>
      </c>
      <c r="P252" t="inlineStr">
        <is>
          <t>FARMABLE / ACCOUNT-BOUND</t>
        </is>
      </c>
      <c r="R252" t="inlineStr">
        <is>
          <t>Unchanged from v3 allocation</t>
        </is>
      </c>
      <c r="AC252" t="inlineStr">
        <is>
          <t>Non-signature</t>
        </is>
      </c>
      <c r="AE252" t="inlineStr">
        <is>
          <t>No</t>
        </is>
      </c>
      <c r="AL252" t="inlineStr">
        <is>
          <t>Yes</t>
        </is>
      </c>
      <c r="AM252" t="n">
        <v>3</v>
      </c>
      <c r="AS252" t="inlineStr">
        <is>
          <t>No</t>
        </is>
      </c>
    </row>
    <row r="253">
      <c r="A253" t="inlineStr">
        <is>
          <t>Weapon</t>
        </is>
      </c>
      <c r="B253" t="inlineStr">
        <is>
          <t>Kronen Prime</t>
        </is>
      </c>
      <c r="C253" t="inlineStr">
        <is>
          <t>Zephyr Prime</t>
        </is>
      </c>
      <c r="D253" t="inlineStr">
        <is>
          <t>Melee</t>
        </is>
      </c>
      <c r="E253" t="inlineStr">
        <is>
          <t>Prime</t>
        </is>
      </c>
      <c r="G253" t="n">
        <v>1</v>
      </c>
      <c r="H253" t="inlineStr">
        <is>
          <t>Player trade</t>
        </is>
      </c>
      <c r="I253" t="inlineStr">
        <is>
          <t>Yes</t>
        </is>
      </c>
      <c r="K253" t="inlineStr">
        <is>
          <t>Core</t>
        </is>
      </c>
      <c r="L253" t="n">
        <v>107</v>
      </c>
      <c r="M253" t="n">
        <v>109</v>
      </c>
      <c r="N253" t="n">
        <v>122</v>
      </c>
      <c r="O253" t="inlineStr">
        <is>
          <t>2026-10-05 UTC (WFM pull 02:52-04:00)</t>
        </is>
      </c>
      <c r="P253" t="inlineStr">
        <is>
          <t>OK</t>
        </is>
      </c>
      <c r="R253" t="inlineStr">
        <is>
          <t>Unchanged from v3 allocation</t>
        </is>
      </c>
      <c r="S253" t="inlineStr">
        <is>
          <t>kronen_prime_set</t>
        </is>
      </c>
      <c r="T253" t="n">
        <v>17</v>
      </c>
      <c r="U253" t="n">
        <v>17</v>
      </c>
      <c r="V253" t="n">
        <v>109</v>
      </c>
      <c r="W253" t="n">
        <v>107</v>
      </c>
      <c r="X253" t="n">
        <v>106.4</v>
      </c>
      <c r="Y253" t="n">
        <v>1767</v>
      </c>
      <c r="Z253" t="n">
        <v>41</v>
      </c>
      <c r="AA253" t="n">
        <v>95</v>
      </c>
      <c r="AB253" t="n">
        <v>12</v>
      </c>
      <c r="AC253" t="inlineStr">
        <is>
          <t>Non-signature</t>
        </is>
      </c>
      <c r="AE253" t="inlineStr">
        <is>
          <t>No</t>
        </is>
      </c>
      <c r="AL253" t="inlineStr">
        <is>
          <t>Yes</t>
        </is>
      </c>
      <c r="AM253" t="n">
        <v>3</v>
      </c>
      <c r="AS253" t="inlineStr">
        <is>
          <t>Yes</t>
        </is>
      </c>
    </row>
    <row r="254">
      <c r="A254" t="inlineStr">
        <is>
          <t>Archgun</t>
        </is>
      </c>
      <c r="B254" t="inlineStr">
        <is>
          <t>Larkspur Prime</t>
        </is>
      </c>
      <c r="C254" t="inlineStr">
        <is>
          <t>Hildryn Prime</t>
        </is>
      </c>
      <c r="D254" t="inlineStr">
        <is>
          <t>Archgun</t>
        </is>
      </c>
      <c r="G254" t="n">
        <v>1</v>
      </c>
      <c r="H254" t="inlineStr">
        <is>
          <t>Player trade</t>
        </is>
      </c>
      <c r="I254" t="inlineStr">
        <is>
          <t>Yes</t>
        </is>
      </c>
      <c r="K254" t="inlineStr">
        <is>
          <t>Optional (signature extra)</t>
        </is>
      </c>
      <c r="L254" t="n">
        <v>68</v>
      </c>
      <c r="M254" t="n">
        <v>70</v>
      </c>
      <c r="N254" t="n">
        <v>77</v>
      </c>
      <c r="O254" t="inlineStr">
        <is>
          <t>2026-10-05 UTC (WFM pull 02:52-04:00)</t>
        </is>
      </c>
      <c r="P254" t="inlineStr">
        <is>
          <t>OK</t>
        </is>
      </c>
      <c r="R254" t="inlineStr">
        <is>
          <t>Signature archgun; not an ordinary slot. Uses free Archweapon slots (4 starter).</t>
        </is>
      </c>
      <c r="S254" t="inlineStr">
        <is>
          <t>larkspur_prime_set</t>
        </is>
      </c>
      <c r="T254" t="n">
        <v>35</v>
      </c>
      <c r="U254" t="n">
        <v>35</v>
      </c>
      <c r="V254" t="n">
        <v>70</v>
      </c>
      <c r="W254" t="n">
        <v>70</v>
      </c>
      <c r="X254" t="n">
        <v>68.09999999999999</v>
      </c>
      <c r="Y254" t="n">
        <v>6057</v>
      </c>
      <c r="Z254" t="n">
        <v>158</v>
      </c>
      <c r="AA254" t="n">
        <v>35</v>
      </c>
      <c r="AB254" t="n">
        <v>33</v>
      </c>
      <c r="AC254" t="inlineStr">
        <is>
          <t>Signature - Hildryn Prime</t>
        </is>
      </c>
      <c r="AD254" t="inlineStr">
        <is>
          <t>+300 Ammo Max in atmosphere (ARCHGUN - not a Primary)</t>
        </is>
      </c>
      <c r="AS254" t="inlineStr">
        <is>
          <t>Optional</t>
        </is>
      </c>
    </row>
    <row r="255">
      <c r="A255" t="inlineStr">
        <is>
          <t>Archgun</t>
        </is>
      </c>
      <c r="B255" t="inlineStr">
        <is>
          <t>Mandonel</t>
        </is>
      </c>
      <c r="C255" t="inlineStr">
        <is>
          <t>Qorvex</t>
        </is>
      </c>
      <c r="D255" t="inlineStr">
        <is>
          <t>Archgun</t>
        </is>
      </c>
      <c r="G255" t="n">
        <v>1</v>
      </c>
      <c r="H255" t="inlineStr">
        <is>
          <t>Player trade</t>
        </is>
      </c>
      <c r="I255" t="inlineStr">
        <is>
          <t>Yes</t>
        </is>
      </c>
      <c r="K255" t="inlineStr">
        <is>
          <t>Optional (signature extra)</t>
        </is>
      </c>
      <c r="L255" t="n">
        <v>13</v>
      </c>
      <c r="M255" t="n">
        <v>20</v>
      </c>
      <c r="N255" t="n">
        <v>44</v>
      </c>
      <c r="O255" t="inlineStr">
        <is>
          <t>2026-10-05 UTC (WFM pull 02:52-04:00)</t>
        </is>
      </c>
      <c r="P255" t="inlineStr">
        <is>
          <t>OK</t>
        </is>
      </c>
      <c r="R255" t="inlineStr">
        <is>
          <t>Signature archgun; not an ordinary slot. Uses free Archweapon slots (4 starter).</t>
        </is>
      </c>
      <c r="S255" t="inlineStr">
        <is>
          <t>mandonel_set</t>
        </is>
      </c>
      <c r="T255" t="n">
        <v>5</v>
      </c>
      <c r="U255" t="n">
        <v>5</v>
      </c>
      <c r="V255" t="n">
        <v>13.5</v>
      </c>
      <c r="W255" t="n">
        <v>10</v>
      </c>
      <c r="X255" t="n">
        <v>12</v>
      </c>
      <c r="Y255" t="n">
        <v>1543</v>
      </c>
      <c r="Z255" t="n">
        <v>41</v>
      </c>
      <c r="AC255" t="inlineStr">
        <is>
          <t>Signature - Qorvex</t>
        </is>
      </c>
      <c r="AD255" t="inlineStr">
        <is>
          <t>Charged beams empower Chyrinka Pillar (ARCHGUN)</t>
        </is>
      </c>
      <c r="AS255" t="inlineStr">
        <is>
          <t>Optional</t>
        </is>
      </c>
    </row>
    <row r="256">
      <c r="A256" t="inlineStr">
        <is>
          <t>Archgun</t>
        </is>
      </c>
      <c r="B256" t="inlineStr">
        <is>
          <t>Arbucep</t>
        </is>
      </c>
      <c r="C256" t="inlineStr">
        <is>
          <t>Nokko</t>
        </is>
      </c>
      <c r="D256" t="inlineStr">
        <is>
          <t>Archgun</t>
        </is>
      </c>
      <c r="G256" t="n">
        <v>1</v>
      </c>
      <c r="H256" t="inlineStr">
        <is>
          <t>Farm / vendor</t>
        </is>
      </c>
      <c r="I256" t="inlineStr">
        <is>
          <t>No</t>
        </is>
      </c>
      <c r="K256" t="inlineStr">
        <is>
          <t>Optional (signature extra)</t>
        </is>
      </c>
      <c r="P256" t="inlineStr">
        <is>
          <t>FARMABLE / ACCOUNT-BOUND</t>
        </is>
      </c>
      <c r="R256" t="inlineStr">
        <is>
          <t>Signature archgun; not an ordinary slot. Uses free Archweapon slots (4 starter).</t>
        </is>
      </c>
      <c r="AC256" t="inlineStr">
        <is>
          <t>Signature - Nokko</t>
        </is>
      </c>
      <c r="AD256" t="inlineStr">
        <is>
          <t>Shooting Stinkbrain/Brightbonnet triggers pulses (ARCHGUN)</t>
        </is>
      </c>
      <c r="AS256" t="inlineStr">
        <is>
          <t>No</t>
        </is>
      </c>
    </row>
    <row r="257">
      <c r="A257" t="inlineStr">
        <is>
          <t>Signature Extra</t>
        </is>
      </c>
      <c r="B257" t="inlineStr">
        <is>
          <t>Reconifex</t>
        </is>
      </c>
      <c r="C257" t="inlineStr">
        <is>
          <t>Cyte-09</t>
        </is>
      </c>
      <c r="D257" t="inlineStr">
        <is>
          <t>Signature extra</t>
        </is>
      </c>
      <c r="G257" t="n">
        <v>1</v>
      </c>
      <c r="H257" t="inlineStr">
        <is>
          <t>Player trade</t>
        </is>
      </c>
      <c r="I257" t="inlineStr">
        <is>
          <t>Yes</t>
        </is>
      </c>
      <c r="K257" t="inlineStr">
        <is>
          <t>Optional (signature extra)</t>
        </is>
      </c>
      <c r="L257" t="n">
        <v>15</v>
      </c>
      <c r="M257" t="n">
        <v>18</v>
      </c>
      <c r="N257" t="n">
        <v>33</v>
      </c>
      <c r="O257" t="inlineStr">
        <is>
          <t>2026-10-05 UTC (WFM pull 02:52-04:00)</t>
        </is>
      </c>
      <c r="P257" t="inlineStr">
        <is>
          <t>OK</t>
        </is>
      </c>
      <c r="R257" t="inlineStr">
        <is>
          <t>Signature rifle; Primary replaced by Neutralizer (doctrine)</t>
        </is>
      </c>
      <c r="S257" t="inlineStr">
        <is>
          <t>reconifex_set</t>
        </is>
      </c>
      <c r="T257" t="n">
        <v>3</v>
      </c>
      <c r="U257" t="n">
        <v>3</v>
      </c>
      <c r="V257" t="n">
        <v>15</v>
      </c>
      <c r="W257" t="n">
        <v>15</v>
      </c>
      <c r="X257" t="n">
        <v>16.7</v>
      </c>
      <c r="Y257" t="n">
        <v>157</v>
      </c>
      <c r="Z257" t="n">
        <v>6</v>
      </c>
      <c r="AC257" t="inlineStr">
        <is>
          <t>Signature - Cyte-09</t>
        </is>
      </c>
      <c r="AD257" t="inlineStr">
        <is>
          <t>Signature, bonus not implemented (not allocated: Neutralizer replaces Primary)</t>
        </is>
      </c>
      <c r="AL257" t="inlineStr">
        <is>
          <t>Optional</t>
        </is>
      </c>
      <c r="AS257" t="inlineStr">
        <is>
          <t>Optional</t>
        </is>
      </c>
    </row>
    <row r="258">
      <c r="A258" t="inlineStr">
        <is>
          <t>Signature Extra</t>
        </is>
      </c>
      <c r="B258" t="inlineStr">
        <is>
          <t>Skiajati</t>
        </is>
      </c>
      <c r="C258" t="inlineStr">
        <is>
          <t>Excalibur Umbra</t>
        </is>
      </c>
      <c r="D258" t="inlineStr">
        <is>
          <t>Signature extra</t>
        </is>
      </c>
      <c r="G258" t="n">
        <v>1</v>
      </c>
      <c r="H258" t="inlineStr">
        <is>
          <t>Farm / vendor / quest</t>
        </is>
      </c>
      <c r="I258" t="inlineStr">
        <is>
          <t>No</t>
        </is>
      </c>
      <c r="K258" t="inlineStr">
        <is>
          <t>Optional (signature extra)</t>
        </is>
      </c>
      <c r="P258" t="inlineStr">
        <is>
          <t>FARMABLE / ACCOUNT-BOUND</t>
        </is>
      </c>
      <c r="R258" t="inlineStr">
        <is>
          <t>Signature nikana; Melee replaced by Exalted Blade. Quest reward from The Sacrifice (own free slot)</t>
        </is>
      </c>
      <c r="AC258" t="inlineStr">
        <is>
          <t>Signature - Excalibur Umbra</t>
        </is>
      </c>
      <c r="AD258" t="inlineStr">
        <is>
          <t>Signature, bonus not implemented (not allocated: Exalted Blade replaces Melee)</t>
        </is>
      </c>
      <c r="AL258" t="inlineStr">
        <is>
          <t>Optional</t>
        </is>
      </c>
      <c r="AS258" t="inlineStr">
        <is>
          <t>No</t>
        </is>
      </c>
    </row>
    <row r="259">
      <c r="A259" t="inlineStr">
        <is>
          <t>Signature Extra</t>
        </is>
      </c>
      <c r="B259" t="inlineStr">
        <is>
          <t>Cobra &amp; Crane Prime</t>
        </is>
      </c>
      <c r="C259" t="inlineStr">
        <is>
          <t>Baruuk Prime</t>
        </is>
      </c>
      <c r="D259" t="inlineStr">
        <is>
          <t>Signature extra</t>
        </is>
      </c>
      <c r="G259" t="n">
        <v>1</v>
      </c>
      <c r="H259" t="inlineStr">
        <is>
          <t>Player trade</t>
        </is>
      </c>
      <c r="I259" t="inlineStr">
        <is>
          <t>Yes</t>
        </is>
      </c>
      <c r="K259" t="inlineStr">
        <is>
          <t>Optional (signature extra)</t>
        </is>
      </c>
      <c r="L259" t="n">
        <v>20</v>
      </c>
      <c r="M259" t="n">
        <v>25</v>
      </c>
      <c r="N259" t="n">
        <v>28</v>
      </c>
      <c r="O259" t="inlineStr">
        <is>
          <t>2026-10-05 UTC (WFM pull 02:52-04:00)</t>
        </is>
      </c>
      <c r="P259" t="inlineStr">
        <is>
          <t>OK</t>
        </is>
      </c>
      <c r="R259" t="inlineStr">
        <is>
          <t>Signature (sleep on first combo strike); Melee replaced by Desert Wind</t>
        </is>
      </c>
      <c r="S259" t="inlineStr">
        <is>
          <t>cobra_and_crane_prime_set</t>
        </is>
      </c>
      <c r="T259" t="n">
        <v>31</v>
      </c>
      <c r="U259" t="n">
        <v>31</v>
      </c>
      <c r="V259" t="n">
        <v>24</v>
      </c>
      <c r="W259" t="n">
        <v>25</v>
      </c>
      <c r="X259" t="n">
        <v>26.1</v>
      </c>
      <c r="Y259" t="n">
        <v>2573</v>
      </c>
      <c r="Z259" t="n">
        <v>66</v>
      </c>
      <c r="AA259" t="n">
        <v>10</v>
      </c>
      <c r="AB259" t="n">
        <v>10</v>
      </c>
      <c r="AC259" t="inlineStr">
        <is>
          <t>Signature - Baruuk Prime</t>
        </is>
      </c>
      <c r="AD259" t="inlineStr">
        <is>
          <t>First combo strike sleeps 2s (not allocated: Desert Wind replaces Melee)</t>
        </is>
      </c>
      <c r="AL259" t="inlineStr">
        <is>
          <t>Optional</t>
        </is>
      </c>
      <c r="AS259" t="inlineStr">
        <is>
          <t>Optional</t>
        </is>
      </c>
    </row>
    <row r="260">
      <c r="A260" t="inlineStr">
        <is>
          <t>Signature Extra</t>
        </is>
      </c>
      <c r="B260" t="inlineStr">
        <is>
          <t>Wrath</t>
        </is>
      </c>
      <c r="C260" t="inlineStr">
        <is>
          <t>Sirius &amp; Orion</t>
        </is>
      </c>
      <c r="D260" t="inlineStr">
        <is>
          <t>Signature extra</t>
        </is>
      </c>
      <c r="G260" t="n">
        <v>1</v>
      </c>
      <c r="H260" t="inlineStr">
        <is>
          <t>Farm / vendor / quest</t>
        </is>
      </c>
      <c r="I260" t="inlineStr">
        <is>
          <t>No</t>
        </is>
      </c>
      <c r="K260" t="inlineStr">
        <is>
          <t>Optional (signature extra)</t>
        </is>
      </c>
      <c r="P260" t="inlineStr">
        <is>
          <t>FARMABLE / ACCOUNT-BOUND</t>
        </is>
      </c>
      <c r="R260" t="inlineStr">
        <is>
          <t>Orion signature heavy scythe; twins share one Melee slot (Pride allocated)</t>
        </is>
      </c>
      <c r="AC260" t="inlineStr">
        <is>
          <t>Signature - Sirius &amp; Orion</t>
        </is>
      </c>
      <c r="AD260" t="inlineStr">
        <is>
          <t>Signature (Orion), bonus not implemented (not allocated)</t>
        </is>
      </c>
      <c r="AL260" t="inlineStr">
        <is>
          <t>Optional</t>
        </is>
      </c>
      <c r="AS260" t="inlineStr">
        <is>
          <t>No</t>
        </is>
      </c>
    </row>
    <row r="261">
      <c r="A261" t="inlineStr">
        <is>
          <t>Companion Weapon</t>
        </is>
      </c>
      <c r="B261" t="inlineStr">
        <is>
          <t>Verglas Prime</t>
        </is>
      </c>
      <c r="C261" t="inlineStr">
        <is>
          <t>Nautilus Prime</t>
        </is>
      </c>
      <c r="D261" t="inlineStr">
        <is>
          <t>Robotic</t>
        </is>
      </c>
      <c r="G261" t="n">
        <v>1</v>
      </c>
      <c r="H261" t="inlineStr">
        <is>
          <t>Bundled with sentinel</t>
        </is>
      </c>
      <c r="I261" t="inlineStr">
        <is>
          <t>No</t>
        </is>
      </c>
      <c r="K261" t="inlineStr">
        <is>
          <t>Core</t>
        </is>
      </c>
      <c r="P261" t="inlineStr">
        <is>
          <t>INCLUDED WITH COMPANION</t>
        </is>
      </c>
      <c r="R261" t="inlineStr">
        <is>
          <t>Default sentinel weapon (wiki); uses one Companion slot</t>
        </is>
      </c>
      <c r="AL261" t="inlineStr">
        <is>
          <t>Yes (optional)</t>
        </is>
      </c>
      <c r="AS261" t="inlineStr">
        <is>
          <t>No</t>
        </is>
      </c>
    </row>
    <row r="262">
      <c r="A262" t="inlineStr">
        <is>
          <t>Companion Weapon</t>
        </is>
      </c>
      <c r="B262" t="inlineStr">
        <is>
          <t>Prime Laser Rifle</t>
        </is>
      </c>
      <c r="C262" t="inlineStr">
        <is>
          <t>Wyrm Prime</t>
        </is>
      </c>
      <c r="D262" t="inlineStr">
        <is>
          <t>Robotic</t>
        </is>
      </c>
      <c r="G262" t="n">
        <v>1</v>
      </c>
      <c r="H262" t="inlineStr">
        <is>
          <t>Bundled with sentinel</t>
        </is>
      </c>
      <c r="I262" t="inlineStr">
        <is>
          <t>No</t>
        </is>
      </c>
      <c r="K262" t="inlineStr">
        <is>
          <t>Core</t>
        </is>
      </c>
      <c r="P262" t="inlineStr">
        <is>
          <t>INCLUDED WITH COMPANION</t>
        </is>
      </c>
      <c r="R262" t="inlineStr">
        <is>
          <t>Default sentinel weapon (wiki); uses one Companion slot</t>
        </is>
      </c>
      <c r="AL262" t="inlineStr">
        <is>
          <t>Yes (optional)</t>
        </is>
      </c>
      <c r="AS262" t="inlineStr">
        <is>
          <t>No</t>
        </is>
      </c>
    </row>
    <row r="263">
      <c r="A263" t="inlineStr">
        <is>
          <t>Companion Weapon</t>
        </is>
      </c>
      <c r="B263" t="inlineStr">
        <is>
          <t>Deth Machine Rifle Prime</t>
        </is>
      </c>
      <c r="C263" t="inlineStr">
        <is>
          <t>Dethcube Prime</t>
        </is>
      </c>
      <c r="D263" t="inlineStr">
        <is>
          <t>Robotic</t>
        </is>
      </c>
      <c r="G263" t="n">
        <v>1</v>
      </c>
      <c r="H263" t="inlineStr">
        <is>
          <t>Bundled with sentinel</t>
        </is>
      </c>
      <c r="I263" t="inlineStr">
        <is>
          <t>No</t>
        </is>
      </c>
      <c r="K263" t="inlineStr">
        <is>
          <t>Core</t>
        </is>
      </c>
      <c r="P263" t="inlineStr">
        <is>
          <t>INCLUDED WITH COMPANION</t>
        </is>
      </c>
      <c r="R263" t="inlineStr">
        <is>
          <t>Default sentinel weapon (wiki); uses one Companion slot</t>
        </is>
      </c>
      <c r="AL263" t="inlineStr">
        <is>
          <t>Yes (optional)</t>
        </is>
      </c>
      <c r="AS263" t="inlineStr">
        <is>
          <t>No</t>
        </is>
      </c>
    </row>
    <row r="264">
      <c r="A264" t="inlineStr">
        <is>
          <t>Companion Weapon</t>
        </is>
      </c>
      <c r="B264" t="inlineStr">
        <is>
          <t>Burst Laser Prime</t>
        </is>
      </c>
      <c r="C264" t="inlineStr">
        <is>
          <t>Shade Prime</t>
        </is>
      </c>
      <c r="D264" t="inlineStr">
        <is>
          <t>Robotic</t>
        </is>
      </c>
      <c r="G264" t="n">
        <v>1</v>
      </c>
      <c r="H264" t="inlineStr">
        <is>
          <t>Bundled with sentinel</t>
        </is>
      </c>
      <c r="I264" t="inlineStr">
        <is>
          <t>No</t>
        </is>
      </c>
      <c r="K264" t="inlineStr">
        <is>
          <t>Core</t>
        </is>
      </c>
      <c r="P264" t="inlineStr">
        <is>
          <t>INCLUDED WITH COMPANION</t>
        </is>
      </c>
      <c r="R264" t="inlineStr">
        <is>
          <t>Default sentinel weapon (wiki); uses one Companion slot</t>
        </is>
      </c>
      <c r="AL264" t="inlineStr">
        <is>
          <t>Yes (optional)</t>
        </is>
      </c>
      <c r="AS264" t="inlineStr">
        <is>
          <t>No</t>
        </is>
      </c>
    </row>
    <row r="265">
      <c r="A265" t="inlineStr">
        <is>
          <t>Companion Weapon</t>
        </is>
      </c>
      <c r="B265" t="inlineStr">
        <is>
          <t>Deconstructor Prime</t>
        </is>
      </c>
      <c r="C265" t="inlineStr">
        <is>
          <t>Helios Prime</t>
        </is>
      </c>
      <c r="D265" t="inlineStr">
        <is>
          <t>Robotic</t>
        </is>
      </c>
      <c r="G265" t="n">
        <v>1</v>
      </c>
      <c r="H265" t="inlineStr">
        <is>
          <t>Bundled with sentinel</t>
        </is>
      </c>
      <c r="I265" t="inlineStr">
        <is>
          <t>No</t>
        </is>
      </c>
      <c r="K265" t="inlineStr">
        <is>
          <t>Core</t>
        </is>
      </c>
      <c r="P265" t="inlineStr">
        <is>
          <t>INCLUDED WITH COMPANION</t>
        </is>
      </c>
      <c r="R265" t="inlineStr">
        <is>
          <t>Default sentinel weapon (wiki); uses one Companion slot</t>
        </is>
      </c>
      <c r="AL265" t="inlineStr">
        <is>
          <t>Yes (optional)</t>
        </is>
      </c>
      <c r="AS265" t="inlineStr">
        <is>
          <t>No</t>
        </is>
      </c>
    </row>
    <row r="266">
      <c r="A266" t="inlineStr">
        <is>
          <t>Companion Weapon</t>
        </is>
      </c>
      <c r="B266" t="inlineStr">
        <is>
          <t>Vulklok</t>
        </is>
      </c>
      <c r="C266" t="inlineStr">
        <is>
          <t>Diriga</t>
        </is>
      </c>
      <c r="D266" t="inlineStr">
        <is>
          <t>Robotic</t>
        </is>
      </c>
      <c r="G266" t="n">
        <v>1</v>
      </c>
      <c r="H266" t="inlineStr">
        <is>
          <t>Bundled with sentinel</t>
        </is>
      </c>
      <c r="I266" t="inlineStr">
        <is>
          <t>No</t>
        </is>
      </c>
      <c r="K266" t="inlineStr">
        <is>
          <t>Core</t>
        </is>
      </c>
      <c r="P266" t="inlineStr">
        <is>
          <t>INCLUDED WITH COMPANION</t>
        </is>
      </c>
      <c r="R266" t="inlineStr">
        <is>
          <t>Default sentinel weapon (wiki); uses one Companion slot</t>
        </is>
      </c>
      <c r="AL266" t="inlineStr">
        <is>
          <t>Yes (optional)</t>
        </is>
      </c>
      <c r="AS266" t="inlineStr">
        <is>
          <t>No</t>
        </is>
      </c>
    </row>
    <row r="267">
      <c r="A267" t="inlineStr">
        <is>
          <t>Companion Weapon</t>
        </is>
      </c>
      <c r="B267" t="inlineStr">
        <is>
          <t>Artax</t>
        </is>
      </c>
      <c r="C267" t="inlineStr">
        <is>
          <t>Taxon</t>
        </is>
      </c>
      <c r="D267" t="inlineStr">
        <is>
          <t>Robotic</t>
        </is>
      </c>
      <c r="G267" t="n">
        <v>1</v>
      </c>
      <c r="H267" t="inlineStr">
        <is>
          <t>Bundled with sentinel</t>
        </is>
      </c>
      <c r="I267" t="inlineStr">
        <is>
          <t>No</t>
        </is>
      </c>
      <c r="K267" t="inlineStr">
        <is>
          <t>Core</t>
        </is>
      </c>
      <c r="P267" t="inlineStr">
        <is>
          <t>INCLUDED WITH COMPANION</t>
        </is>
      </c>
      <c r="R267" t="inlineStr">
        <is>
          <t>Default sentinel weapon (wiki); uses one Companion slot</t>
        </is>
      </c>
      <c r="AL267" t="inlineStr">
        <is>
          <t>Yes (optional)</t>
        </is>
      </c>
      <c r="AS267" t="inlineStr">
        <is>
          <t>No</t>
        </is>
      </c>
    </row>
    <row r="268">
      <c r="A268" t="inlineStr">
        <is>
          <t>Exalted / Intrinsic</t>
        </is>
      </c>
      <c r="B268" t="inlineStr">
        <is>
          <t>Glory</t>
        </is>
      </c>
      <c r="C268" t="inlineStr">
        <is>
          <t>Jade</t>
        </is>
      </c>
      <c r="D268" t="inlineStr">
        <is>
          <t>Additional (no slot replacement)</t>
        </is>
      </c>
      <c r="G268" t="n">
        <v>1</v>
      </c>
      <c r="H268" t="inlineStr">
        <is>
          <t>Comes with frame</t>
        </is>
      </c>
      <c r="I268" t="inlineStr">
        <is>
          <t>No</t>
        </is>
      </c>
      <c r="P268" t="inlineStr">
        <is>
          <t>INCLUDED WITH FRAME</t>
        </is>
      </c>
      <c r="R268" t="inlineStr">
        <is>
          <t>Additional Exalted; does not replace Evensong/Cantare/Harmony (doctrine)</t>
        </is>
      </c>
      <c r="AC268" t="inlineStr">
        <is>
          <t>Exalted/Intrinsic</t>
        </is>
      </c>
      <c r="AL268" t="inlineStr">
        <is>
          <t>No (frame Reactor)</t>
        </is>
      </c>
      <c r="AS268" t="inlineStr">
        <is>
          <t>No</t>
        </is>
      </c>
    </row>
    <row r="269">
      <c r="A269" t="inlineStr">
        <is>
          <t>Exalted / Intrinsic</t>
        </is>
      </c>
      <c r="B269" t="inlineStr">
        <is>
          <t>Noctua</t>
        </is>
      </c>
      <c r="C269" t="inlineStr">
        <is>
          <t>Dante</t>
        </is>
      </c>
      <c r="D269" t="inlineStr">
        <is>
          <t>Additional (no slot replacement)</t>
        </is>
      </c>
      <c r="G269" t="n">
        <v>1</v>
      </c>
      <c r="H269" t="inlineStr">
        <is>
          <t>Comes with frame</t>
        </is>
      </c>
      <c r="I269" t="inlineStr">
        <is>
          <t>No</t>
        </is>
      </c>
      <c r="P269" t="inlineStr">
        <is>
          <t>INCLUDED WITH FRAME</t>
        </is>
      </c>
      <c r="R269" t="inlineStr">
        <is>
          <t>Additional Exalted (first ability); Onos retained - LIVE TEST if replacement is wanted</t>
        </is>
      </c>
      <c r="AC269" t="inlineStr">
        <is>
          <t>Exalted/Intrinsic</t>
        </is>
      </c>
      <c r="AL269" t="inlineStr">
        <is>
          <t>No (frame Reactor)</t>
        </is>
      </c>
      <c r="AS269" t="inlineStr">
        <is>
          <t>No</t>
        </is>
      </c>
    </row>
    <row r="270">
      <c r="A270" t="inlineStr">
        <is>
          <t>Exalted / Intrinsic</t>
        </is>
      </c>
      <c r="B270" t="inlineStr">
        <is>
          <t>Shadow Clones Prime</t>
        </is>
      </c>
      <c r="C270" t="inlineStr">
        <is>
          <t>Ash Prime</t>
        </is>
      </c>
      <c r="D270" t="inlineStr">
        <is>
          <t>Additional (no slot replacement)</t>
        </is>
      </c>
      <c r="G270" t="n">
        <v>1</v>
      </c>
      <c r="H270" t="inlineStr">
        <is>
          <t>Comes with frame</t>
        </is>
      </c>
      <c r="I270" t="inlineStr">
        <is>
          <t>No</t>
        </is>
      </c>
      <c r="P270" t="inlineStr">
        <is>
          <t>INCLUDED WITH FRAME</t>
        </is>
      </c>
      <c r="R270" t="inlineStr">
        <is>
          <t>U38.5 Exalted conversion; cast-based, no Melee replacement (doctrine). Melee Crescendo via finishers</t>
        </is>
      </c>
      <c r="AC270" t="inlineStr">
        <is>
          <t>Exalted/Intrinsic</t>
        </is>
      </c>
      <c r="AL270" t="inlineStr">
        <is>
          <t>No (frame Reactor)</t>
        </is>
      </c>
      <c r="AS270" t="inlineStr">
        <is>
          <t>No</t>
        </is>
      </c>
    </row>
    <row r="271">
      <c r="A271" t="inlineStr">
        <is>
          <t>Exalted / Intrinsic</t>
        </is>
      </c>
      <c r="B271" t="inlineStr">
        <is>
          <t>Landslide Fists Prime</t>
        </is>
      </c>
      <c r="C271" t="inlineStr">
        <is>
          <t>Atlas Prime</t>
        </is>
      </c>
      <c r="D271" t="inlineStr">
        <is>
          <t>Additional (no slot replacement)</t>
        </is>
      </c>
      <c r="G271" t="n">
        <v>1</v>
      </c>
      <c r="H271" t="inlineStr">
        <is>
          <t>Comes with frame</t>
        </is>
      </c>
      <c r="I271" t="inlineStr">
        <is>
          <t>No</t>
        </is>
      </c>
      <c r="P271" t="inlineStr">
        <is>
          <t>INCLUDED WITH FRAME</t>
        </is>
      </c>
      <c r="R271" t="inlineStr">
        <is>
          <t>U38.5 Exalted conversion; no Melee replacement (doctrine)</t>
        </is>
      </c>
      <c r="AC271" t="inlineStr">
        <is>
          <t>Exalted/Intrinsic</t>
        </is>
      </c>
      <c r="AL271" t="inlineStr">
        <is>
          <t>No (frame Reactor)</t>
        </is>
      </c>
      <c r="AS271" t="inlineStr">
        <is>
          <t>No</t>
        </is>
      </c>
    </row>
    <row r="272">
      <c r="A272" t="inlineStr">
        <is>
          <t>Exalted / Intrinsic</t>
        </is>
      </c>
      <c r="B272" t="inlineStr">
        <is>
          <t>Shattered Lash Prime</t>
        </is>
      </c>
      <c r="C272" t="inlineStr">
        <is>
          <t>Gara Prime</t>
        </is>
      </c>
      <c r="D272" t="inlineStr">
        <is>
          <t>Additional (no slot replacement)</t>
        </is>
      </c>
      <c r="G272" t="n">
        <v>1</v>
      </c>
      <c r="H272" t="inlineStr">
        <is>
          <t>Comes with frame</t>
        </is>
      </c>
      <c r="I272" t="inlineStr">
        <is>
          <t>No</t>
        </is>
      </c>
      <c r="P272" t="inlineStr">
        <is>
          <t>INCLUDED WITH FRAME</t>
        </is>
      </c>
      <c r="R272" t="inlineStr">
        <is>
          <t>U38.5 Exalted conversion; no Melee replacement (doctrine)</t>
        </is>
      </c>
      <c r="AC272" t="inlineStr">
        <is>
          <t>Exalted/Intrinsic</t>
        </is>
      </c>
      <c r="AL272" t="inlineStr">
        <is>
          <t>No (frame Reactor)</t>
        </is>
      </c>
      <c r="AS272" t="inlineStr">
        <is>
          <t>No</t>
        </is>
      </c>
    </row>
    <row r="273">
      <c r="A273" t="inlineStr">
        <is>
          <t>Exalted / Intrinsic</t>
        </is>
      </c>
      <c r="B273" t="inlineStr">
        <is>
          <t>Whipclaw Prime</t>
        </is>
      </c>
      <c r="C273" t="inlineStr">
        <is>
          <t>Khora Prime</t>
        </is>
      </c>
      <c r="D273" t="inlineStr">
        <is>
          <t>Additional (no slot replacement)</t>
        </is>
      </c>
      <c r="G273" t="n">
        <v>1</v>
      </c>
      <c r="H273" t="inlineStr">
        <is>
          <t>Comes with frame</t>
        </is>
      </c>
      <c r="I273" t="inlineStr">
        <is>
          <t>No</t>
        </is>
      </c>
      <c r="P273" t="inlineStr">
        <is>
          <t>INCLUDED WITH FRAME</t>
        </is>
      </c>
      <c r="R273" t="inlineStr">
        <is>
          <t>U38.5 Exalted conversion; no Melee replacement (doctrine)</t>
        </is>
      </c>
      <c r="AC273" t="inlineStr">
        <is>
          <t>Exalted/Intrinsic</t>
        </is>
      </c>
      <c r="AL273" t="inlineStr">
        <is>
          <t>No (frame Reactor)</t>
        </is>
      </c>
      <c r="AS273" t="inlineStr">
        <is>
          <t>No</t>
        </is>
      </c>
    </row>
    <row r="274">
      <c r="A274" t="inlineStr">
        <is>
          <t>Exalted / Intrinsic</t>
        </is>
      </c>
      <c r="B274" t="inlineStr">
        <is>
          <t>Grasp of Lohk</t>
        </is>
      </c>
      <c r="C274" t="inlineStr">
        <is>
          <t>Xaku Prime</t>
        </is>
      </c>
      <c r="D274" t="inlineStr">
        <is>
          <t>Additional (no slot replacement)</t>
        </is>
      </c>
      <c r="G274" t="n">
        <v>1</v>
      </c>
      <c r="H274" t="inlineStr">
        <is>
          <t>Comes with frame</t>
        </is>
      </c>
      <c r="I274" t="inlineStr">
        <is>
          <t>No</t>
        </is>
      </c>
      <c r="P274" t="inlineStr">
        <is>
          <t>INCLUDED WITH FRAME</t>
        </is>
      </c>
      <c r="R274" t="inlineStr">
        <is>
          <t>Ability weapon; no replacement (doctrine)</t>
        </is>
      </c>
      <c r="AC274" t="inlineStr">
        <is>
          <t>Exalted/Intrinsic</t>
        </is>
      </c>
      <c r="AL274" t="inlineStr">
        <is>
          <t>No (frame Reactor)</t>
        </is>
      </c>
      <c r="AS274" t="inlineStr">
        <is>
          <t>No</t>
        </is>
      </c>
    </row>
    <row r="275">
      <c r="A275" t="inlineStr">
        <is>
          <t>Exalted / Intrinsic</t>
        </is>
      </c>
      <c r="B275" t="inlineStr">
        <is>
          <t>Ulfrun's Descent</t>
        </is>
      </c>
      <c r="C275" t="inlineStr">
        <is>
          <t>Voruna Prime</t>
        </is>
      </c>
      <c r="D275" t="inlineStr">
        <is>
          <t>Additional (no slot replacement)</t>
        </is>
      </c>
      <c r="G275" t="n">
        <v>1</v>
      </c>
      <c r="H275" t="inlineStr">
        <is>
          <t>Comes with frame</t>
        </is>
      </c>
      <c r="I275" t="inlineStr">
        <is>
          <t>No</t>
        </is>
      </c>
      <c r="P275" t="inlineStr">
        <is>
          <t>INCLUDED WITH FRAME</t>
        </is>
      </c>
      <c r="R275" t="inlineStr">
        <is>
          <t>Ability form; no replacement (doctrine)</t>
        </is>
      </c>
      <c r="AC275" t="inlineStr">
        <is>
          <t>Exalted/Intrinsic</t>
        </is>
      </c>
      <c r="AL275" t="inlineStr">
        <is>
          <t>No (frame Reactor)</t>
        </is>
      </c>
      <c r="AS275" t="inlineStr">
        <is>
          <t>No</t>
        </is>
      </c>
    </row>
    <row r="276">
      <c r="A276" t="inlineStr">
        <is>
          <t>Exalted / Intrinsic</t>
        </is>
      </c>
      <c r="B276" t="inlineStr">
        <is>
          <t>Nurinarim</t>
        </is>
      </c>
      <c r="C276" t="inlineStr">
        <is>
          <t>Narin</t>
        </is>
      </c>
      <c r="D276" t="inlineStr">
        <is>
          <t>Additional (no slot replacement)</t>
        </is>
      </c>
      <c r="G276" t="n">
        <v>1</v>
      </c>
      <c r="H276" t="inlineStr">
        <is>
          <t>Comes with frame</t>
        </is>
      </c>
      <c r="I276" t="inlineStr">
        <is>
          <t>No</t>
        </is>
      </c>
      <c r="P276" t="inlineStr">
        <is>
          <t>INCLUDED WITH FRAME</t>
        </is>
      </c>
      <c r="R276" t="inlineStr">
        <is>
          <t>Cast sword-dance ability; no Melee replacement (v4 ruling)</t>
        </is>
      </c>
      <c r="AC276" t="inlineStr">
        <is>
          <t>Exalted/Intrinsic</t>
        </is>
      </c>
      <c r="AL276" t="inlineStr">
        <is>
          <t>No (frame Reactor)</t>
        </is>
      </c>
      <c r="AS276" t="inlineStr">
        <is>
          <t>No</t>
        </is>
      </c>
    </row>
    <row r="277">
      <c r="A277" t="inlineStr">
        <is>
          <t>Upcoming (Not Live)</t>
        </is>
      </c>
      <c r="B277" t="inlineStr">
        <is>
          <t>Brysko</t>
        </is>
      </c>
      <c r="C277" t="inlineStr">
        <is>
          <t>Brysko</t>
        </is>
      </c>
      <c r="E277" t="inlineStr">
        <is>
          <t>Warframe</t>
        </is>
      </c>
      <c r="G277" t="n">
        <v>1</v>
      </c>
      <c r="H277" t="inlineStr">
        <is>
          <t>NOT YET RELEASED</t>
        </is>
      </c>
      <c r="I277" t="inlineStr">
        <is>
          <t>Unknown</t>
        </is>
      </c>
      <c r="P277" t="inlineStr">
        <is>
          <t>UPCOMING - EXCLUDED FROM LIVE COST</t>
        </is>
      </c>
      <c r="Q277" t="inlineStr">
        <is>
          <t>Tau update (Winter 2026). Comes with his own Hound companion</t>
        </is>
      </c>
      <c r="R277" t="inlineStr">
        <is>
          <t>Wiki Upcoming Features / Warframe: Tau page (2026-10-05)</t>
        </is>
      </c>
      <c r="AS277" t="inlineStr">
        <is>
          <t>No (not live)</t>
        </is>
      </c>
    </row>
    <row r="278">
      <c r="A278" t="inlineStr">
        <is>
          <t>Upcoming (Not Live)</t>
        </is>
      </c>
      <c r="B278" t="inlineStr">
        <is>
          <t>Corecracker</t>
        </is>
      </c>
      <c r="C278" t="inlineStr">
        <is>
          <t>Brysko</t>
        </is>
      </c>
      <c r="E278" t="inlineStr">
        <is>
          <t>Exalted Secondary (Sentient revolver)</t>
        </is>
      </c>
      <c r="G278" t="n">
        <v>1</v>
      </c>
      <c r="H278" t="inlineStr">
        <is>
          <t>NOT YET RELEASED</t>
        </is>
      </c>
      <c r="I278" t="inlineStr">
        <is>
          <t>Unknown</t>
        </is>
      </c>
      <c r="P278" t="inlineStr">
        <is>
          <t>UPCOMING - EXCLUDED FROM LIVE COST</t>
        </is>
      </c>
      <c r="Q278" t="inlineStr">
        <is>
          <t>Brysko Exalted; expected Secondary-replacement candidate - rule on release</t>
        </is>
      </c>
      <c r="R278" t="inlineStr">
        <is>
          <t>Wiki Upcoming Features / Warframe: Tau page (2026-10-05)</t>
        </is>
      </c>
      <c r="AS278" t="inlineStr">
        <is>
          <t>No (not live)</t>
        </is>
      </c>
    </row>
    <row r="279">
      <c r="A279" t="inlineStr">
        <is>
          <t>Upcoming (Not Live)</t>
        </is>
      </c>
      <c r="B279" t="inlineStr">
        <is>
          <t>Rain &amp; Shine</t>
        </is>
      </c>
      <c r="C279" t="inlineStr">
        <is>
          <t>Brysko</t>
        </is>
      </c>
      <c r="E279" t="inlineStr">
        <is>
          <t>Melee (Sentient Fist)</t>
        </is>
      </c>
      <c r="G279" t="n">
        <v>1</v>
      </c>
      <c r="H279" t="inlineStr">
        <is>
          <t>NOT YET RELEASED</t>
        </is>
      </c>
      <c r="I279" t="inlineStr">
        <is>
          <t>Unknown</t>
        </is>
      </c>
      <c r="P279" t="inlineStr">
        <is>
          <t>UPCOMING - EXCLUDED FROM LIVE COST</t>
        </is>
      </c>
      <c r="Q279" t="inlineStr">
        <is>
          <t>Announced with Tau; Brysko melee candidate</t>
        </is>
      </c>
      <c r="R279" t="inlineStr">
        <is>
          <t>Wiki Upcoming Features / Warframe: Tau page (2026-10-05)</t>
        </is>
      </c>
      <c r="AS279" t="inlineStr">
        <is>
          <t>No (not live)</t>
        </is>
      </c>
    </row>
    <row r="280">
      <c r="A280" t="inlineStr">
        <is>
          <t>Upcoming (Not Live)</t>
        </is>
      </c>
      <c r="B280" t="inlineStr">
        <is>
          <t>Brysko Hound</t>
        </is>
      </c>
      <c r="C280" t="inlineStr">
        <is>
          <t>Brysko</t>
        </is>
      </c>
      <c r="E280" t="inlineStr">
        <is>
          <t>Companion (Hound)</t>
        </is>
      </c>
      <c r="G280" t="n">
        <v>1</v>
      </c>
      <c r="H280" t="inlineStr">
        <is>
          <t>NOT YET RELEASED</t>
        </is>
      </c>
      <c r="I280" t="inlineStr">
        <is>
          <t>Unknown</t>
        </is>
      </c>
      <c r="P280" t="inlineStr">
        <is>
          <t>UPCOMING - EXCLUDED FROM LIVE COST</t>
        </is>
      </c>
      <c r="Q280" t="inlineStr">
        <is>
          <t>Bundled companion; adds a companion slot when live</t>
        </is>
      </c>
      <c r="R280" t="inlineStr">
        <is>
          <t>Wiki Upcoming Features / Warframe: Tau page (2026-10-05)</t>
        </is>
      </c>
      <c r="AS280" t="inlineStr">
        <is>
          <t>No (not live)</t>
        </is>
      </c>
    </row>
    <row r="281">
      <c r="A281" t="inlineStr">
        <is>
          <t>Upcoming (Not Live)</t>
        </is>
      </c>
      <c r="B281" t="inlineStr">
        <is>
          <t>Unnamed Sentient Shotgun</t>
        </is>
      </c>
      <c r="C281" t="inlineStr">
        <is>
          <t>Brysko</t>
        </is>
      </c>
      <c r="E281" t="inlineStr">
        <is>
          <t>Primary (Shotgun)</t>
        </is>
      </c>
      <c r="G281" t="n">
        <v>1</v>
      </c>
      <c r="H281" t="inlineStr">
        <is>
          <t>NOT YET RELEASED</t>
        </is>
      </c>
      <c r="I281" t="inlineStr">
        <is>
          <t>Unknown</t>
        </is>
      </c>
      <c r="P281" t="inlineStr">
        <is>
          <t>UPCOMING - EXCLUDED FROM LIVE COST</t>
        </is>
      </c>
      <c r="Q281" t="inlineStr">
        <is>
          <t>Shown in Tau concept art</t>
        </is>
      </c>
      <c r="R281" t="inlineStr">
        <is>
          <t>Wiki Upcoming Features / Warframe: Tau page (2026-10-05)</t>
        </is>
      </c>
      <c r="AS281" t="inlineStr">
        <is>
          <t>No (not live)</t>
        </is>
      </c>
    </row>
    <row r="282">
      <c r="A282" t="inlineStr">
        <is>
          <t>Upcoming (Not Live)</t>
        </is>
      </c>
      <c r="B282" t="inlineStr">
        <is>
          <t>Tigris Incarnon Adapter</t>
        </is>
      </c>
      <c r="C282" t="inlineStr">
        <is>
          <t>Nekros Prime</t>
        </is>
      </c>
      <c r="E282" t="inlineStr">
        <is>
          <t>Incarnon</t>
        </is>
      </c>
      <c r="G282" t="n">
        <v>1</v>
      </c>
      <c r="H282" t="inlineStr">
        <is>
          <t>NOT YET RELEASED</t>
        </is>
      </c>
      <c r="I282" t="inlineStr">
        <is>
          <t>Unknown</t>
        </is>
      </c>
      <c r="P282" t="inlineStr">
        <is>
          <t>UPCOMING - EXCLUDED FROM LIVE COST</t>
        </is>
      </c>
      <c r="Q282" t="inlineStr">
        <is>
          <t>Announced 2026-04-24; not live in weapon data. Affects Nekros (Tigris Prime) when released</t>
        </is>
      </c>
      <c r="R282" t="inlineStr">
        <is>
          <t>Wiki Upcoming Features / Warframe: Tau page (2026-10-05)</t>
        </is>
      </c>
      <c r="AS282" t="inlineStr">
        <is>
          <t>No (not live)</t>
        </is>
      </c>
    </row>
    <row r="283">
      <c r="A283" t="inlineStr">
        <is>
          <t>Adversary Weapon</t>
        </is>
      </c>
      <c r="B283" t="inlineStr">
        <is>
          <t>Tenet Plinx</t>
        </is>
      </c>
      <c r="C283" t="inlineStr">
        <is>
          <t>Ash Prime</t>
        </is>
      </c>
      <c r="D283" t="inlineStr">
        <is>
          <t>Secondary</t>
        </is>
      </c>
      <c r="E283" t="inlineStr">
        <is>
          <t>Tenet</t>
        </is>
      </c>
      <c r="G283" t="n">
        <v>1</v>
      </c>
      <c r="H283" t="inlineStr">
        <is>
          <t>WFM Lich/Sister auction (direct buyout)</t>
        </is>
      </c>
      <c r="I283" t="inlineStr">
        <is>
          <t>Yes (auction)</t>
        </is>
      </c>
      <c r="K283" t="inlineStr">
        <is>
          <t>Core</t>
        </is>
      </c>
      <c r="L283" t="n">
        <v>150</v>
      </c>
      <c r="M283" t="n">
        <v>200</v>
      </c>
      <c r="N283" t="n">
        <v>330</v>
      </c>
      <c r="O283" t="inlineStr">
        <is>
          <t>2026-10-05 UTC (WFM pull 02:52-04:00)</t>
        </is>
      </c>
      <c r="P283" t="inlineStr">
        <is>
          <t>OK - target element, &gt;=58% valence</t>
        </is>
      </c>
      <c r="Q283" t="inlineStr">
        <is>
          <t>130 auctions total; 125 direct-sell w/ owner seen &lt;=7d; &gt;=58%/any element floor: 120</t>
        </is>
      </c>
      <c r="R283" t="inlineStr">
        <is>
          <t>Existing v3 selection kept; Coda not substituted per doctrine</t>
        </is>
      </c>
      <c r="S283" t="inlineStr">
        <is>
          <t>tenet_plinx</t>
        </is>
      </c>
      <c r="T283" t="n">
        <v>5</v>
      </c>
      <c r="AG283" t="inlineStr">
        <is>
          <t>Sister of Parvos</t>
        </is>
      </c>
      <c r="AH283" t="inlineStr">
        <is>
          <t>60%</t>
        </is>
      </c>
      <c r="AI283" t="inlineStr">
        <is>
          <t>Toxin</t>
        </is>
      </c>
      <c r="AJ283" t="inlineStr">
        <is>
          <t>Yes (5 Forma/Rank-ups; farm)</t>
        </is>
      </c>
      <c r="AK283" t="inlineStr">
        <is>
          <t>Not required (cheapest w/ ephemera: 350p)</t>
        </is>
      </c>
      <c r="AL283" t="inlineStr">
        <is>
          <t>Pre-installed</t>
        </is>
      </c>
      <c r="AM283" t="n">
        <v>8</v>
      </c>
      <c r="AS283" t="inlineStr">
        <is>
          <t>Yes</t>
        </is>
      </c>
    </row>
    <row r="284">
      <c r="A284" t="inlineStr">
        <is>
          <t>Adversary Weapon</t>
        </is>
      </c>
      <c r="B284" t="inlineStr">
        <is>
          <t>Kuva Hek</t>
        </is>
      </c>
      <c r="C284" t="inlineStr">
        <is>
          <t>Atlas Prime</t>
        </is>
      </c>
      <c r="D284" t="inlineStr">
        <is>
          <t>Primary</t>
        </is>
      </c>
      <c r="E284" t="inlineStr">
        <is>
          <t>Kuva</t>
        </is>
      </c>
      <c r="G284" t="n">
        <v>1</v>
      </c>
      <c r="H284" t="inlineStr">
        <is>
          <t>WFM Lich/Sister auction (direct buyout)</t>
        </is>
      </c>
      <c r="I284" t="inlineStr">
        <is>
          <t>Yes (auction)</t>
        </is>
      </c>
      <c r="K284" t="inlineStr">
        <is>
          <t>Core</t>
        </is>
      </c>
      <c r="L284" t="n">
        <v>275</v>
      </c>
      <c r="M284" t="n">
        <v>277.5</v>
      </c>
      <c r="N284" t="n">
        <v>308</v>
      </c>
      <c r="O284" t="inlineStr">
        <is>
          <t>2026-10-05 UTC (WFM pull 02:52-04:00)</t>
        </is>
      </c>
      <c r="P284" t="inlineStr">
        <is>
          <t>THIN - target element, &gt;=58% valence</t>
        </is>
      </c>
      <c r="Q284" t="inlineStr">
        <is>
          <t>121 auctions total; 108 direct-sell w/ owner seen &lt;=7d; &gt;=58%/any element floor: 275</t>
        </is>
      </c>
      <c r="R284" t="inlineStr">
        <is>
          <t>Existing v3 selection kept; Coda not substituted per doctrine</t>
        </is>
      </c>
      <c r="S284" t="inlineStr">
        <is>
          <t>kuva_hek</t>
        </is>
      </c>
      <c r="T284" t="n">
        <v>2</v>
      </c>
      <c r="AG284" t="inlineStr">
        <is>
          <t>Kuva Lich</t>
        </is>
      </c>
      <c r="AH284" t="inlineStr">
        <is>
          <t>60%</t>
        </is>
      </c>
      <c r="AI284" t="inlineStr">
        <is>
          <t>Toxin</t>
        </is>
      </c>
      <c r="AJ284" t="inlineStr">
        <is>
          <t>Yes (5 Forma/Rank-ups; farm)</t>
        </is>
      </c>
      <c r="AK284" t="inlineStr">
        <is>
          <t>Not required (cheapest w/ ephemera: 275p)</t>
        </is>
      </c>
      <c r="AL284" t="inlineStr">
        <is>
          <t>Pre-installed</t>
        </is>
      </c>
      <c r="AM284" t="n">
        <v>8</v>
      </c>
      <c r="AS284" t="inlineStr">
        <is>
          <t>Yes</t>
        </is>
      </c>
    </row>
    <row r="285">
      <c r="A285" t="inlineStr">
        <is>
          <t>Adversary Weapon</t>
        </is>
      </c>
      <c r="B285" t="inlineStr">
        <is>
          <t>Tenet Diplos</t>
        </is>
      </c>
      <c r="C285" t="inlineStr">
        <is>
          <t>Baruuk Prime</t>
        </is>
      </c>
      <c r="D285" t="inlineStr">
        <is>
          <t>Secondary</t>
        </is>
      </c>
      <c r="E285" t="inlineStr">
        <is>
          <t>Tenet</t>
        </is>
      </c>
      <c r="G285" t="n">
        <v>1</v>
      </c>
      <c r="H285" t="inlineStr">
        <is>
          <t>WFM Lich/Sister auction (direct buyout)</t>
        </is>
      </c>
      <c r="I285" t="inlineStr">
        <is>
          <t>Yes (auction)</t>
        </is>
      </c>
      <c r="K285" t="inlineStr">
        <is>
          <t>Core</t>
        </is>
      </c>
      <c r="L285" t="n">
        <v>200</v>
      </c>
      <c r="M285" t="n">
        <v>550</v>
      </c>
      <c r="N285" t="n">
        <v>660</v>
      </c>
      <c r="O285" t="inlineStr">
        <is>
          <t>2026-10-05 UTC (WFM pull 02:52-04:00)</t>
        </is>
      </c>
      <c r="P285" t="inlineStr">
        <is>
          <t>OK - target element, &gt;=58% valence</t>
        </is>
      </c>
      <c r="Q285" t="inlineStr">
        <is>
          <t>178 auctions total; 170 direct-sell w/ owner seen &lt;=7d; &gt;=58%/any element floor: 100</t>
        </is>
      </c>
      <c r="R285" t="inlineStr">
        <is>
          <t>Existing v3 selection kept; Coda not substituted per doctrine</t>
        </is>
      </c>
      <c r="S285" t="inlineStr">
        <is>
          <t>tenet_diplos</t>
        </is>
      </c>
      <c r="T285" t="n">
        <v>3</v>
      </c>
      <c r="AG285" t="inlineStr">
        <is>
          <t>Sister of Parvos</t>
        </is>
      </c>
      <c r="AH285" t="inlineStr">
        <is>
          <t>60%</t>
        </is>
      </c>
      <c r="AI285" t="inlineStr">
        <is>
          <t>Toxin</t>
        </is>
      </c>
      <c r="AJ285" t="inlineStr">
        <is>
          <t>Yes (5 Forma/Rank-ups; farm)</t>
        </is>
      </c>
      <c r="AK285" t="inlineStr">
        <is>
          <t>Not required (cheapest w/ ephemera: 200p)</t>
        </is>
      </c>
      <c r="AL285" t="inlineStr">
        <is>
          <t>Pre-installed</t>
        </is>
      </c>
      <c r="AM285" t="n">
        <v>8</v>
      </c>
      <c r="AS285" t="inlineStr">
        <is>
          <t>Yes</t>
        </is>
      </c>
    </row>
    <row r="286">
      <c r="A286" t="inlineStr">
        <is>
          <t>Adversary Weapon</t>
        </is>
      </c>
      <c r="B286" t="inlineStr">
        <is>
          <t>Tenet Detron</t>
        </is>
      </c>
      <c r="C286" t="inlineStr">
        <is>
          <t>Caliban Prime</t>
        </is>
      </c>
      <c r="D286" t="inlineStr">
        <is>
          <t>Secondary</t>
        </is>
      </c>
      <c r="E286" t="inlineStr">
        <is>
          <t>Tenet</t>
        </is>
      </c>
      <c r="G286" t="n">
        <v>1</v>
      </c>
      <c r="H286" t="inlineStr">
        <is>
          <t>WFM Lich/Sister auction (direct buyout)</t>
        </is>
      </c>
      <c r="I286" t="inlineStr">
        <is>
          <t>Yes (auction)</t>
        </is>
      </c>
      <c r="K286" t="inlineStr">
        <is>
          <t>Core</t>
        </is>
      </c>
      <c r="L286" t="n">
        <v>150</v>
      </c>
      <c r="M286" t="n">
        <v>150</v>
      </c>
      <c r="N286" t="n">
        <v>165</v>
      </c>
      <c r="O286" t="inlineStr">
        <is>
          <t>2026-10-05 UTC (WFM pull 02:52-04:00)</t>
        </is>
      </c>
      <c r="P286" t="inlineStr">
        <is>
          <t>THIN - target element, &gt;=58% valence</t>
        </is>
      </c>
      <c r="Q286" t="inlineStr">
        <is>
          <t>150 auctions total; 142 direct-sell w/ owner seen &lt;=7d; &gt;=58%/any element floor: 115</t>
        </is>
      </c>
      <c r="R286" t="inlineStr">
        <is>
          <t>Existing v3 selection kept; Coda not substituted per doctrine</t>
        </is>
      </c>
      <c r="S286" t="inlineStr">
        <is>
          <t>tenet_detron</t>
        </is>
      </c>
      <c r="T286" t="n">
        <v>1</v>
      </c>
      <c r="AG286" t="inlineStr">
        <is>
          <t>Sister of Parvos</t>
        </is>
      </c>
      <c r="AH286" t="inlineStr">
        <is>
          <t>60%</t>
        </is>
      </c>
      <c r="AI286" t="inlineStr">
        <is>
          <t>Radiation</t>
        </is>
      </c>
      <c r="AJ286" t="inlineStr">
        <is>
          <t>Yes (5 Forma/Rank-ups; farm)</t>
        </is>
      </c>
      <c r="AK286" t="inlineStr">
        <is>
          <t>Not required</t>
        </is>
      </c>
      <c r="AL286" t="inlineStr">
        <is>
          <t>Pre-installed</t>
        </is>
      </c>
      <c r="AM286" t="n">
        <v>8</v>
      </c>
      <c r="AS286" t="inlineStr">
        <is>
          <t>Yes</t>
        </is>
      </c>
    </row>
    <row r="287">
      <c r="A287" t="inlineStr">
        <is>
          <t>Adversary Weapon</t>
        </is>
      </c>
      <c r="B287" t="inlineStr">
        <is>
          <t>Kuva Nukor</t>
        </is>
      </c>
      <c r="C287" t="inlineStr">
        <is>
          <t>Ember Prime</t>
        </is>
      </c>
      <c r="D287" t="inlineStr">
        <is>
          <t>Secondary</t>
        </is>
      </c>
      <c r="E287" t="inlineStr">
        <is>
          <t>Kuva</t>
        </is>
      </c>
      <c r="G287" t="n">
        <v>1</v>
      </c>
      <c r="H287" t="inlineStr">
        <is>
          <t>WFM Lich/Sister auction (direct buyout)</t>
        </is>
      </c>
      <c r="I287" t="inlineStr">
        <is>
          <t>Yes (auction)</t>
        </is>
      </c>
      <c r="K287" t="inlineStr">
        <is>
          <t>Core</t>
        </is>
      </c>
      <c r="L287" t="n">
        <v>300</v>
      </c>
      <c r="M287" t="n">
        <v>300</v>
      </c>
      <c r="N287" t="n">
        <v>330</v>
      </c>
      <c r="O287" t="inlineStr">
        <is>
          <t>2026-10-05 UTC (WFM pull 02:52-04:00)</t>
        </is>
      </c>
      <c r="P287" t="inlineStr">
        <is>
          <t>THIN - target element, &gt;=58% valence</t>
        </is>
      </c>
      <c r="Q287" t="inlineStr">
        <is>
          <t>318 auctions total; 293 direct-sell w/ owner seen &lt;=7d; &gt;=58%/any element floor: 190</t>
        </is>
      </c>
      <c r="R287" t="inlineStr">
        <is>
          <t>Existing v3 selection kept; Coda not substituted per doctrine</t>
        </is>
      </c>
      <c r="S287" t="inlineStr">
        <is>
          <t>kuva_nukor</t>
        </is>
      </c>
      <c r="T287" t="n">
        <v>1</v>
      </c>
      <c r="AG287" t="inlineStr">
        <is>
          <t>Kuva Lich</t>
        </is>
      </c>
      <c r="AH287" t="inlineStr">
        <is>
          <t>60%</t>
        </is>
      </c>
      <c r="AI287" t="inlineStr">
        <is>
          <t>Heat</t>
        </is>
      </c>
      <c r="AJ287" t="inlineStr">
        <is>
          <t>Yes (5 Forma/Rank-ups; farm)</t>
        </is>
      </c>
      <c r="AK287" t="inlineStr">
        <is>
          <t>Not required</t>
        </is>
      </c>
      <c r="AL287" t="inlineStr">
        <is>
          <t>Pre-installed</t>
        </is>
      </c>
      <c r="AM287" t="n">
        <v>8</v>
      </c>
      <c r="AS287" t="inlineStr">
        <is>
          <t>Yes</t>
        </is>
      </c>
    </row>
    <row r="288">
      <c r="A288" t="inlineStr">
        <is>
          <t>Adversary Weapon</t>
        </is>
      </c>
      <c r="B288" t="inlineStr">
        <is>
          <t>Kuva Sobek</t>
        </is>
      </c>
      <c r="C288" t="inlineStr">
        <is>
          <t>Hydroid Prime</t>
        </is>
      </c>
      <c r="D288" t="inlineStr">
        <is>
          <t>Primary</t>
        </is>
      </c>
      <c r="E288" t="inlineStr">
        <is>
          <t>Kuva</t>
        </is>
      </c>
      <c r="G288" t="n">
        <v>1</v>
      </c>
      <c r="H288" t="inlineStr">
        <is>
          <t>WFM Lich/Sister auction (direct buyout)</t>
        </is>
      </c>
      <c r="I288" t="inlineStr">
        <is>
          <t>Yes (auction)</t>
        </is>
      </c>
      <c r="K288" t="inlineStr">
        <is>
          <t>Core</t>
        </is>
      </c>
      <c r="L288" t="n">
        <v>300</v>
      </c>
      <c r="M288" t="n">
        <v>300</v>
      </c>
      <c r="N288" t="n">
        <v>386</v>
      </c>
      <c r="O288" t="inlineStr">
        <is>
          <t>2026-10-05 UTC (WFM pull 02:52-04:00)</t>
        </is>
      </c>
      <c r="P288" t="inlineStr">
        <is>
          <t>OK - target element, &gt;=58% valence</t>
        </is>
      </c>
      <c r="Q288" t="inlineStr">
        <is>
          <t>307 auctions total; 281 direct-sell w/ owner seen &lt;=7d; &gt;=58%/any element floor: 150</t>
        </is>
      </c>
      <c r="R288" t="inlineStr">
        <is>
          <t>Existing v3 selection kept; Coda not substituted per doctrine</t>
        </is>
      </c>
      <c r="S288" t="inlineStr">
        <is>
          <t>kuva_sobek</t>
        </is>
      </c>
      <c r="T288" t="n">
        <v>5</v>
      </c>
      <c r="AG288" t="inlineStr">
        <is>
          <t>Kuva Lich</t>
        </is>
      </c>
      <c r="AH288" t="inlineStr">
        <is>
          <t>60%</t>
        </is>
      </c>
      <c r="AI288" t="inlineStr">
        <is>
          <t>Toxin</t>
        </is>
      </c>
      <c r="AJ288" t="inlineStr">
        <is>
          <t>Yes (5 Forma/Rank-ups; farm)</t>
        </is>
      </c>
      <c r="AK288" t="inlineStr">
        <is>
          <t>Not required (cheapest w/ ephemera: 300p)</t>
        </is>
      </c>
      <c r="AL288" t="inlineStr">
        <is>
          <t>Pre-installed</t>
        </is>
      </c>
      <c r="AM288" t="n">
        <v>8</v>
      </c>
      <c r="AS288" t="inlineStr">
        <is>
          <t>Yes</t>
        </is>
      </c>
    </row>
    <row r="289">
      <c r="A289" t="inlineStr">
        <is>
          <t>Adversary Weapon</t>
        </is>
      </c>
      <c r="B289" t="inlineStr">
        <is>
          <t>Tenet Arca Plasmor</t>
        </is>
      </c>
      <c r="C289" t="inlineStr">
        <is>
          <t>Mag Prime</t>
        </is>
      </c>
      <c r="D289" t="inlineStr">
        <is>
          <t>Primary</t>
        </is>
      </c>
      <c r="E289" t="inlineStr">
        <is>
          <t>Tenet</t>
        </is>
      </c>
      <c r="G289" t="n">
        <v>1</v>
      </c>
      <c r="H289" t="inlineStr">
        <is>
          <t>WFM Lich/Sister auction (direct buyout)</t>
        </is>
      </c>
      <c r="I289" t="inlineStr">
        <is>
          <t>Yes (auction)</t>
        </is>
      </c>
      <c r="K289" t="inlineStr">
        <is>
          <t>Core</t>
        </is>
      </c>
      <c r="L289" t="n">
        <v>400</v>
      </c>
      <c r="M289" t="n">
        <v>400</v>
      </c>
      <c r="N289" t="n">
        <v>441</v>
      </c>
      <c r="O289" t="inlineStr">
        <is>
          <t>2026-10-05 UTC (WFM pull 02:52-04:00)</t>
        </is>
      </c>
      <c r="P289" t="inlineStr">
        <is>
          <t>THIN - target element, &gt;=58% valence</t>
        </is>
      </c>
      <c r="Q289" t="inlineStr">
        <is>
          <t>370 auctions total; 351 direct-sell w/ owner seen &lt;=7d; &gt;=58%/any element floor: 170</t>
        </is>
      </c>
      <c r="R289" t="inlineStr">
        <is>
          <t>Existing v3 selection kept; Coda not substituted per doctrine</t>
        </is>
      </c>
      <c r="S289" t="inlineStr">
        <is>
          <t>tenet_arca_plasmor</t>
        </is>
      </c>
      <c r="T289" t="n">
        <v>1</v>
      </c>
      <c r="AG289" t="inlineStr">
        <is>
          <t>Sister of Parvos</t>
        </is>
      </c>
      <c r="AH289" t="inlineStr">
        <is>
          <t>60%</t>
        </is>
      </c>
      <c r="AI289" t="inlineStr">
        <is>
          <t>Radiation</t>
        </is>
      </c>
      <c r="AJ289" t="inlineStr">
        <is>
          <t>Yes (5 Forma/Rank-ups; farm)</t>
        </is>
      </c>
      <c r="AK289" t="inlineStr">
        <is>
          <t>Not required</t>
        </is>
      </c>
      <c r="AL289" t="inlineStr">
        <is>
          <t>Pre-installed</t>
        </is>
      </c>
      <c r="AM289" t="n">
        <v>8</v>
      </c>
      <c r="AS289" t="inlineStr">
        <is>
          <t>Yes</t>
        </is>
      </c>
    </row>
    <row r="290">
      <c r="A290" t="inlineStr">
        <is>
          <t>Adversary Weapon</t>
        </is>
      </c>
      <c r="B290" t="inlineStr">
        <is>
          <t>Kuva Bramma</t>
        </is>
      </c>
      <c r="C290" t="inlineStr">
        <is>
          <t>Mirage Prime</t>
        </is>
      </c>
      <c r="D290" t="inlineStr">
        <is>
          <t>Primary</t>
        </is>
      </c>
      <c r="E290" t="inlineStr">
        <is>
          <t>Kuva</t>
        </is>
      </c>
      <c r="G290" t="n">
        <v>1</v>
      </c>
      <c r="H290" t="inlineStr">
        <is>
          <t>WFM Lich/Sister auction (direct buyout)</t>
        </is>
      </c>
      <c r="I290" t="inlineStr">
        <is>
          <t>Yes (auction)</t>
        </is>
      </c>
      <c r="K290" t="inlineStr">
        <is>
          <t>Core</t>
        </is>
      </c>
      <c r="L290" t="n">
        <v>300</v>
      </c>
      <c r="M290" t="n">
        <v>387.5</v>
      </c>
      <c r="N290" t="n">
        <v>523</v>
      </c>
      <c r="O290" t="inlineStr">
        <is>
          <t>2026-10-05 UTC (WFM pull 02:52-04:00)</t>
        </is>
      </c>
      <c r="P290" t="inlineStr">
        <is>
          <t>THIN - target element, &gt;=58% valence</t>
        </is>
      </c>
      <c r="Q290" t="inlineStr">
        <is>
          <t>191 auctions total; 169 direct-sell w/ owner seen &lt;=7d; &gt;=58%/any element floor: 120</t>
        </is>
      </c>
      <c r="R290" t="inlineStr">
        <is>
          <t>Existing v3 selection kept; Coda not substituted per doctrine</t>
        </is>
      </c>
      <c r="S290" t="inlineStr">
        <is>
          <t>kuva_bramma</t>
        </is>
      </c>
      <c r="T290" t="n">
        <v>2</v>
      </c>
      <c r="AG290" t="inlineStr">
        <is>
          <t>Kuva Lich</t>
        </is>
      </c>
      <c r="AH290" t="inlineStr">
        <is>
          <t>60%</t>
        </is>
      </c>
      <c r="AI290" t="inlineStr">
        <is>
          <t>Heat</t>
        </is>
      </c>
      <c r="AJ290" t="inlineStr">
        <is>
          <t>Yes (5 Forma/Rank-ups; farm)</t>
        </is>
      </c>
      <c r="AK290" t="inlineStr">
        <is>
          <t>Not required (cheapest w/ ephemera: 475p)</t>
        </is>
      </c>
      <c r="AL290" t="inlineStr">
        <is>
          <t>Pre-installed</t>
        </is>
      </c>
      <c r="AM290" t="n">
        <v>8</v>
      </c>
      <c r="AS290" t="inlineStr">
        <is>
          <t>Yes</t>
        </is>
      </c>
    </row>
    <row r="291">
      <c r="A291" t="inlineStr">
        <is>
          <t>Adversary Weapon</t>
        </is>
      </c>
      <c r="B291" t="inlineStr">
        <is>
          <t>Tenet Cycron</t>
        </is>
      </c>
      <c r="C291" t="inlineStr">
        <is>
          <t>Revenant Prime</t>
        </is>
      </c>
      <c r="D291" t="inlineStr">
        <is>
          <t>Secondary</t>
        </is>
      </c>
      <c r="E291" t="inlineStr">
        <is>
          <t>Tenet</t>
        </is>
      </c>
      <c r="G291" t="n">
        <v>1</v>
      </c>
      <c r="H291" t="inlineStr">
        <is>
          <t>WFM Lich/Sister auction (direct buyout)</t>
        </is>
      </c>
      <c r="I291" t="inlineStr">
        <is>
          <t>Yes (auction)</t>
        </is>
      </c>
      <c r="K291" t="inlineStr">
        <is>
          <t>Core</t>
        </is>
      </c>
      <c r="L291" t="n">
        <v>250</v>
      </c>
      <c r="M291" t="n">
        <v>400</v>
      </c>
      <c r="N291" t="n">
        <v>550</v>
      </c>
      <c r="O291" t="inlineStr">
        <is>
          <t>2026-10-05 UTC (WFM pull 02:52-04:00)</t>
        </is>
      </c>
      <c r="P291" t="inlineStr">
        <is>
          <t>OK - target element, &gt;=58% valence</t>
        </is>
      </c>
      <c r="Q291" t="inlineStr">
        <is>
          <t>240 auctions total; 228 direct-sell w/ owner seen &lt;=7d; &gt;=58%/any element floor: 150</t>
        </is>
      </c>
      <c r="R291" t="inlineStr">
        <is>
          <t>Existing v3 selection kept; Coda not substituted per doctrine</t>
        </is>
      </c>
      <c r="S291" t="inlineStr">
        <is>
          <t>tenet_cycron</t>
        </is>
      </c>
      <c r="T291" t="n">
        <v>3</v>
      </c>
      <c r="AG291" t="inlineStr">
        <is>
          <t>Sister of Parvos</t>
        </is>
      </c>
      <c r="AH291" t="inlineStr">
        <is>
          <t>60%</t>
        </is>
      </c>
      <c r="AI291" t="inlineStr">
        <is>
          <t>Toxin</t>
        </is>
      </c>
      <c r="AJ291" t="inlineStr">
        <is>
          <t>Yes (5 Forma/Rank-ups; farm)</t>
        </is>
      </c>
      <c r="AK291" t="inlineStr">
        <is>
          <t>Not required (cheapest w/ ephemera: 400p)</t>
        </is>
      </c>
      <c r="AL291" t="inlineStr">
        <is>
          <t>Pre-installed</t>
        </is>
      </c>
      <c r="AM291" t="n">
        <v>8</v>
      </c>
      <c r="AS291" t="inlineStr">
        <is>
          <t>Yes</t>
        </is>
      </c>
    </row>
    <row r="292">
      <c r="A292" t="inlineStr">
        <is>
          <t>Adversary Weapon</t>
        </is>
      </c>
      <c r="B292" t="inlineStr">
        <is>
          <t>Kuva Ogris</t>
        </is>
      </c>
      <c r="C292" t="inlineStr">
        <is>
          <t>Saryn Prime</t>
        </is>
      </c>
      <c r="D292" t="inlineStr">
        <is>
          <t>Primary</t>
        </is>
      </c>
      <c r="E292" t="inlineStr">
        <is>
          <t>Kuva</t>
        </is>
      </c>
      <c r="G292" t="n">
        <v>1</v>
      </c>
      <c r="H292" t="inlineStr">
        <is>
          <t>WFM Lich/Sister auction (direct buyout)</t>
        </is>
      </c>
      <c r="I292" t="inlineStr">
        <is>
          <t>Yes (auction)</t>
        </is>
      </c>
      <c r="K292" t="inlineStr">
        <is>
          <t>Core</t>
        </is>
      </c>
      <c r="L292" t="n">
        <v>220</v>
      </c>
      <c r="M292" t="n">
        <v>300</v>
      </c>
      <c r="N292" t="n">
        <v>660</v>
      </c>
      <c r="O292" t="inlineStr">
        <is>
          <t>2026-10-05 UTC (WFM pull 02:52-04:00)</t>
        </is>
      </c>
      <c r="P292" t="inlineStr">
        <is>
          <t>OK - target element, &gt;=58% valence</t>
        </is>
      </c>
      <c r="Q292" t="inlineStr">
        <is>
          <t>219 auctions total; 196 direct-sell w/ owner seen &lt;=7d; &gt;=58%/any element floor: 200</t>
        </is>
      </c>
      <c r="R292" t="inlineStr">
        <is>
          <t>Existing v3 selection kept; Coda not substituted per doctrine</t>
        </is>
      </c>
      <c r="S292" t="inlineStr">
        <is>
          <t>kuva_ogris</t>
        </is>
      </c>
      <c r="T292" t="n">
        <v>5</v>
      </c>
      <c r="AG292" t="inlineStr">
        <is>
          <t>Kuva Lich</t>
        </is>
      </c>
      <c r="AH292" t="inlineStr">
        <is>
          <t>60%</t>
        </is>
      </c>
      <c r="AI292" t="inlineStr">
        <is>
          <t>Toxin</t>
        </is>
      </c>
      <c r="AJ292" t="inlineStr">
        <is>
          <t>Yes (5 Forma/Rank-ups; farm)</t>
        </is>
      </c>
      <c r="AK292" t="inlineStr">
        <is>
          <t>Not required (cheapest w/ ephemera: 700p)</t>
        </is>
      </c>
      <c r="AL292" t="inlineStr">
        <is>
          <t>Pre-installed</t>
        </is>
      </c>
      <c r="AM292" t="n">
        <v>8</v>
      </c>
      <c r="AS292" t="inlineStr">
        <is>
          <t>Yes</t>
        </is>
      </c>
    </row>
    <row r="293">
      <c r="A293" t="inlineStr">
        <is>
          <t>Adversary Weapon</t>
        </is>
      </c>
      <c r="B293" t="inlineStr">
        <is>
          <t>Kuva Twin Stubbas</t>
        </is>
      </c>
      <c r="C293" t="inlineStr">
        <is>
          <t>Uriel</t>
        </is>
      </c>
      <c r="D293" t="inlineStr">
        <is>
          <t>Secondary</t>
        </is>
      </c>
      <c r="E293" t="inlineStr">
        <is>
          <t>Kuva</t>
        </is>
      </c>
      <c r="G293" t="n">
        <v>1</v>
      </c>
      <c r="H293" t="inlineStr">
        <is>
          <t>WFM Lich/Sister auction (direct buyout)</t>
        </is>
      </c>
      <c r="I293" t="inlineStr">
        <is>
          <t>Yes (auction)</t>
        </is>
      </c>
      <c r="K293" t="inlineStr">
        <is>
          <t>Core</t>
        </is>
      </c>
      <c r="L293" t="n">
        <v>150</v>
      </c>
      <c r="M293" t="n">
        <v>150</v>
      </c>
      <c r="N293" t="n">
        <v>165</v>
      </c>
      <c r="O293" t="inlineStr">
        <is>
          <t>2026-10-05 UTC (WFM pull 02:52-04:00)</t>
        </is>
      </c>
      <c r="P293" t="inlineStr">
        <is>
          <t>THIN - target element, &gt;=58% valence</t>
        </is>
      </c>
      <c r="Q293" t="inlineStr">
        <is>
          <t>65 auctions total; 65 direct-sell w/ owner seen &lt;=7d; &gt;=58%/any element floor: 150</t>
        </is>
      </c>
      <c r="R293" t="inlineStr">
        <is>
          <t>Existing v3 selection kept; Coda not substituted per doctrine</t>
        </is>
      </c>
      <c r="S293" t="inlineStr">
        <is>
          <t>kuva_twin_stubbas</t>
        </is>
      </c>
      <c r="T293" t="n">
        <v>1</v>
      </c>
      <c r="AG293" t="inlineStr">
        <is>
          <t>Kuva Lich</t>
        </is>
      </c>
      <c r="AH293" t="inlineStr">
        <is>
          <t>60%</t>
        </is>
      </c>
      <c r="AI293" t="inlineStr">
        <is>
          <t>Heat</t>
        </is>
      </c>
      <c r="AJ293" t="inlineStr">
        <is>
          <t>Yes (5 Forma/Rank-ups; farm)</t>
        </is>
      </c>
      <c r="AK293" t="inlineStr">
        <is>
          <t>Not required</t>
        </is>
      </c>
      <c r="AL293" t="inlineStr">
        <is>
          <t>Pre-installed</t>
        </is>
      </c>
      <c r="AM293" t="n">
        <v>8</v>
      </c>
      <c r="AS293" t="inlineStr">
        <is>
          <t>Yes</t>
        </is>
      </c>
    </row>
    <row r="294">
      <c r="A294" t="inlineStr">
        <is>
          <t>Adversary Weapon</t>
        </is>
      </c>
      <c r="B294" t="inlineStr">
        <is>
          <t>Tenet Spirex</t>
        </is>
      </c>
      <c r="C294" t="inlineStr">
        <is>
          <t>Volt Prime</t>
        </is>
      </c>
      <c r="D294" t="inlineStr">
        <is>
          <t>Secondary</t>
        </is>
      </c>
      <c r="E294" t="inlineStr">
        <is>
          <t>Tenet</t>
        </is>
      </c>
      <c r="G294" t="n">
        <v>1</v>
      </c>
      <c r="H294" t="inlineStr">
        <is>
          <t>WFM Lich/Sister auction (direct buyout)</t>
        </is>
      </c>
      <c r="I294" t="inlineStr">
        <is>
          <t>Yes (auction)</t>
        </is>
      </c>
      <c r="K294" t="inlineStr">
        <is>
          <t>Core</t>
        </is>
      </c>
      <c r="L294" t="n">
        <v>200</v>
      </c>
      <c r="M294" t="n">
        <v>200</v>
      </c>
      <c r="N294" t="n">
        <v>441</v>
      </c>
      <c r="O294" t="inlineStr">
        <is>
          <t>2026-10-05 UTC (WFM pull 02:52-04:00)</t>
        </is>
      </c>
      <c r="P294" t="inlineStr">
        <is>
          <t>OK - target element, &gt;=58% valence</t>
        </is>
      </c>
      <c r="Q294" t="inlineStr">
        <is>
          <t>127 auctions total; 120 direct-sell w/ owner seen &lt;=7d; &gt;=58%/any element floor: 60</t>
        </is>
      </c>
      <c r="R294" t="inlineStr">
        <is>
          <t>Existing v3 selection kept; Coda not substituted per doctrine</t>
        </is>
      </c>
      <c r="S294" t="inlineStr">
        <is>
          <t>tenet_spirex</t>
        </is>
      </c>
      <c r="T294" t="n">
        <v>5</v>
      </c>
      <c r="AG294" t="inlineStr">
        <is>
          <t>Sister of Parvos</t>
        </is>
      </c>
      <c r="AH294" t="inlineStr">
        <is>
          <t>60%</t>
        </is>
      </c>
      <c r="AI294" t="inlineStr">
        <is>
          <t>Electricity</t>
        </is>
      </c>
      <c r="AJ294" t="inlineStr">
        <is>
          <t>Yes (5 Forma/Rank-ups; farm)</t>
        </is>
      </c>
      <c r="AK294" t="inlineStr">
        <is>
          <t>Not required (cheapest w/ ephemera: 200p)</t>
        </is>
      </c>
      <c r="AL294" t="inlineStr">
        <is>
          <t>Pre-installed</t>
        </is>
      </c>
      <c r="AM294" t="n">
        <v>8</v>
      </c>
      <c r="AS294" t="inlineStr">
        <is>
          <t>Yes</t>
        </is>
      </c>
    </row>
    <row r="295">
      <c r="A295" t="inlineStr">
        <is>
          <t>Mod</t>
        </is>
      </c>
      <c r="B295" t="inlineStr">
        <is>
          <t>Abating Link</t>
        </is>
      </c>
      <c r="E295" t="inlineStr">
        <is>
          <t>Augment Trinity</t>
        </is>
      </c>
      <c r="F295" t="n">
        <v>3</v>
      </c>
      <c r="G295" t="n">
        <v>1</v>
      </c>
      <c r="H295" t="inlineStr">
        <is>
          <t>Player trade (max rank)</t>
        </is>
      </c>
      <c r="I295" t="inlineStr">
        <is>
          <t>Yes</t>
        </is>
      </c>
      <c r="K295" t="inlineStr">
        <is>
          <t>Collection</t>
        </is>
      </c>
      <c r="L295" t="n">
        <v>20</v>
      </c>
      <c r="M295" t="n">
        <v>27</v>
      </c>
      <c r="N295" t="n">
        <v>52</v>
      </c>
      <c r="O295" t="inlineStr">
        <is>
          <t>2026-10-05 UTC (WFM pull 02:52-04:00)</t>
        </is>
      </c>
      <c r="P295" t="inlineStr">
        <is>
          <t>OK</t>
        </is>
      </c>
      <c r="R295" t="inlineStr">
        <is>
          <t>Every current tradeable mod at MAX RANK (WFM catalogue, rivens/locators excluded)</t>
        </is>
      </c>
      <c r="S295" t="inlineStr">
        <is>
          <t>abating_link</t>
        </is>
      </c>
      <c r="T295" t="n">
        <v>4</v>
      </c>
      <c r="U295" t="n">
        <v>4</v>
      </c>
      <c r="V295" t="n">
        <v>19</v>
      </c>
      <c r="W295" t="n">
        <v>15</v>
      </c>
      <c r="X295" t="n">
        <v>16.7</v>
      </c>
      <c r="Y295" t="n">
        <v>158</v>
      </c>
      <c r="Z295" t="n">
        <v>3</v>
      </c>
      <c r="AN295" t="inlineStr">
        <is>
          <t>Augment Trinity</t>
        </is>
      </c>
      <c r="AO295" t="n">
        <v>210</v>
      </c>
      <c r="AP295" t="n">
        <v>10143</v>
      </c>
      <c r="AQ295" t="n">
        <v>19</v>
      </c>
      <c r="AS295" t="inlineStr">
        <is>
          <t>Yes</t>
        </is>
      </c>
    </row>
    <row r="296">
      <c r="A296" t="inlineStr">
        <is>
          <t>Mod</t>
        </is>
      </c>
      <c r="B296" t="inlineStr">
        <is>
          <t>Abundant Mutation</t>
        </is>
      </c>
      <c r="E296" t="inlineStr">
        <is>
          <t>Augment Nidus</t>
        </is>
      </c>
      <c r="F296" t="n">
        <v>3</v>
      </c>
      <c r="G296" t="n">
        <v>1</v>
      </c>
      <c r="H296" t="inlineStr">
        <is>
          <t>Player trade (max rank)</t>
        </is>
      </c>
      <c r="I296" t="inlineStr">
        <is>
          <t>Yes</t>
        </is>
      </c>
      <c r="K296" t="inlineStr">
        <is>
          <t>Collection</t>
        </is>
      </c>
      <c r="L296" t="n">
        <v>30</v>
      </c>
      <c r="M296" t="n">
        <v>30</v>
      </c>
      <c r="N296" t="n">
        <v>54</v>
      </c>
      <c r="O296" t="inlineStr">
        <is>
          <t>2026-10-05 UTC (WFM pull 02:52-04:00)</t>
        </is>
      </c>
      <c r="P296" t="inlineStr">
        <is>
          <t>OK</t>
        </is>
      </c>
      <c r="R296" t="inlineStr">
        <is>
          <t>Every current tradeable mod at MAX RANK (WFM catalogue, rivens/locators excluded)</t>
        </is>
      </c>
      <c r="S296" t="inlineStr">
        <is>
          <t>abundant_mutation</t>
        </is>
      </c>
      <c r="T296" t="n">
        <v>3</v>
      </c>
      <c r="U296" t="n">
        <v>3</v>
      </c>
      <c r="V296" t="n">
        <v>13</v>
      </c>
      <c r="W296" t="n">
        <v>14</v>
      </c>
      <c r="X296" t="n">
        <v>13.7</v>
      </c>
      <c r="Y296" t="n">
        <v>394</v>
      </c>
      <c r="Z296" t="n">
        <v>2</v>
      </c>
      <c r="AN296" t="inlineStr">
        <is>
          <t>Augment Nidus</t>
        </is>
      </c>
      <c r="AO296" t="n">
        <v>210</v>
      </c>
      <c r="AP296" t="n">
        <v>10143</v>
      </c>
      <c r="AQ296" t="n">
        <v>15</v>
      </c>
      <c r="AS296" t="inlineStr">
        <is>
          <t>Yes</t>
        </is>
      </c>
    </row>
    <row r="297">
      <c r="A297" t="inlineStr">
        <is>
          <t>Mod</t>
        </is>
      </c>
      <c r="B297" t="inlineStr">
        <is>
          <t>Accelerated Blast</t>
        </is>
      </c>
      <c r="E297" t="inlineStr">
        <is>
          <t>Shotgun</t>
        </is>
      </c>
      <c r="F297" t="n">
        <v>3</v>
      </c>
      <c r="G297" t="n">
        <v>1</v>
      </c>
      <c r="H297" t="inlineStr">
        <is>
          <t>Player trade (max rank)</t>
        </is>
      </c>
      <c r="I297" t="inlineStr">
        <is>
          <t>Yes</t>
        </is>
      </c>
      <c r="K297" t="inlineStr">
        <is>
          <t>Collection</t>
        </is>
      </c>
      <c r="L297" t="n">
        <v>10</v>
      </c>
      <c r="M297" t="n">
        <v>10</v>
      </c>
      <c r="N297" t="n">
        <v>22</v>
      </c>
      <c r="O297" t="inlineStr">
        <is>
          <t>2026-10-05 UTC (WFM pull 02:52-04:00)</t>
        </is>
      </c>
      <c r="P297" t="inlineStr">
        <is>
          <t>OK</t>
        </is>
      </c>
      <c r="R297" t="inlineStr">
        <is>
          <t>Every current tradeable mod at MAX RANK (WFM catalogue, rivens/locators excluded)</t>
        </is>
      </c>
      <c r="S297" t="inlineStr">
        <is>
          <t>accelerated_blast</t>
        </is>
      </c>
      <c r="T297" t="n">
        <v>6</v>
      </c>
      <c r="U297" t="n">
        <v>6</v>
      </c>
      <c r="V297" t="n">
        <v>5</v>
      </c>
      <c r="W297" t="n">
        <v>4.5</v>
      </c>
      <c r="X297" t="n">
        <v>4.1</v>
      </c>
      <c r="Y297" t="n">
        <v>62</v>
      </c>
      <c r="Z297" t="n">
        <v>0</v>
      </c>
      <c r="AN297" t="inlineStr">
        <is>
          <t>Shotgun</t>
        </is>
      </c>
      <c r="AO297" t="n">
        <v>210</v>
      </c>
      <c r="AP297" t="n">
        <v>10143</v>
      </c>
      <c r="AQ297" t="n">
        <v>2</v>
      </c>
      <c r="AS297" t="inlineStr">
        <is>
          <t>Yes</t>
        </is>
      </c>
    </row>
    <row r="298">
      <c r="A298" t="inlineStr">
        <is>
          <t>Mod</t>
        </is>
      </c>
      <c r="B298" t="inlineStr">
        <is>
          <t>Accelerated Deflection</t>
        </is>
      </c>
      <c r="E298" t="inlineStr">
        <is>
          <t>Companion</t>
        </is>
      </c>
      <c r="F298" t="n">
        <v>5</v>
      </c>
      <c r="G298" t="n">
        <v>1</v>
      </c>
      <c r="H298" t="inlineStr">
        <is>
          <t>Player trade (max rank)</t>
        </is>
      </c>
      <c r="I298" t="inlineStr">
        <is>
          <t>Yes</t>
        </is>
      </c>
      <c r="K298" t="inlineStr">
        <is>
          <t>Collection</t>
        </is>
      </c>
      <c r="L298" t="n">
        <v>8</v>
      </c>
      <c r="M298" t="n">
        <v>11.5</v>
      </c>
      <c r="N298" t="n">
        <v>26</v>
      </c>
      <c r="O298" t="inlineStr">
        <is>
          <t>2026-10-05 UTC (WFM pull 02:52-04:00)</t>
        </is>
      </c>
      <c r="P298" t="inlineStr">
        <is>
          <t>OK</t>
        </is>
      </c>
      <c r="R298" t="inlineStr">
        <is>
          <t>Every current tradeable mod at MAX RANK (WFM catalogue, rivens/locators excluded)</t>
        </is>
      </c>
      <c r="S298" t="inlineStr">
        <is>
          <t>accelerated_deflection</t>
        </is>
      </c>
      <c r="T298" t="n">
        <v>4</v>
      </c>
      <c r="U298" t="n">
        <v>4</v>
      </c>
      <c r="V298" t="n">
        <v>8</v>
      </c>
      <c r="W298" t="n">
        <v>10</v>
      </c>
      <c r="X298" t="n">
        <v>10.3</v>
      </c>
      <c r="Y298" t="n">
        <v>13</v>
      </c>
      <c r="Z298" t="n">
        <v>1</v>
      </c>
      <c r="AN298" t="inlineStr">
        <is>
          <t>Companion</t>
        </is>
      </c>
      <c r="AO298" t="n">
        <v>620</v>
      </c>
      <c r="AP298" t="n">
        <v>29946</v>
      </c>
      <c r="AQ298" t="n">
        <v>2</v>
      </c>
      <c r="AS298" t="inlineStr">
        <is>
          <t>Yes</t>
        </is>
      </c>
    </row>
    <row r="299">
      <c r="A299" t="inlineStr">
        <is>
          <t>Mod</t>
        </is>
      </c>
      <c r="B299" t="inlineStr">
        <is>
          <t>Accelerated Isotope</t>
        </is>
      </c>
      <c r="E299" t="inlineStr">
        <is>
          <t>Pistol</t>
        </is>
      </c>
      <c r="F299" t="n">
        <v>3</v>
      </c>
      <c r="G299" t="n">
        <v>1</v>
      </c>
      <c r="H299" t="inlineStr">
        <is>
          <t>Player trade (max rank)</t>
        </is>
      </c>
      <c r="I299" t="inlineStr">
        <is>
          <t>Yes</t>
        </is>
      </c>
      <c r="K299" t="inlineStr">
        <is>
          <t>Collection</t>
        </is>
      </c>
      <c r="L299" t="n">
        <v>6</v>
      </c>
      <c r="M299" t="n">
        <v>7.5</v>
      </c>
      <c r="N299" t="n">
        <v>11</v>
      </c>
      <c r="O299" t="inlineStr">
        <is>
          <t>2026-10-05 UTC (WFM pull 02:52-04:00)</t>
        </is>
      </c>
      <c r="P299" t="inlineStr">
        <is>
          <t>OK</t>
        </is>
      </c>
      <c r="R299" t="inlineStr">
        <is>
          <t>Every current tradeable mod at MAX RANK (WFM catalogue, rivens/locators excluded)</t>
        </is>
      </c>
      <c r="S299" t="inlineStr">
        <is>
          <t>accelerated_isotope</t>
        </is>
      </c>
      <c r="T299" t="n">
        <v>10</v>
      </c>
      <c r="U299" t="n">
        <v>10</v>
      </c>
      <c r="V299" t="n">
        <v>5</v>
      </c>
      <c r="W299" t="n">
        <v>5</v>
      </c>
      <c r="X299" t="n">
        <v>5.3</v>
      </c>
      <c r="Y299" t="n">
        <v>335</v>
      </c>
      <c r="Z299" t="n">
        <v>11</v>
      </c>
      <c r="AN299" t="inlineStr">
        <is>
          <t>Pistol</t>
        </is>
      </c>
      <c r="AO299" t="n">
        <v>210</v>
      </c>
      <c r="AP299" t="n">
        <v>10143</v>
      </c>
      <c r="AQ299" t="n">
        <v>2</v>
      </c>
      <c r="AS299" t="inlineStr">
        <is>
          <t>Yes</t>
        </is>
      </c>
    </row>
    <row r="300">
      <c r="A300" t="inlineStr">
        <is>
          <t>Mod</t>
        </is>
      </c>
      <c r="B300" t="inlineStr">
        <is>
          <t>Accumulating Whipclaw</t>
        </is>
      </c>
      <c r="E300" t="inlineStr">
        <is>
          <t>Augment Khora</t>
        </is>
      </c>
      <c r="F300" t="n">
        <v>3</v>
      </c>
      <c r="G300" t="n">
        <v>1</v>
      </c>
      <c r="H300" t="inlineStr">
        <is>
          <t>Player trade (max rank)</t>
        </is>
      </c>
      <c r="I300" t="inlineStr">
        <is>
          <t>Yes</t>
        </is>
      </c>
      <c r="K300" t="inlineStr">
        <is>
          <t>Collection</t>
        </is>
      </c>
      <c r="L300" t="n">
        <v>10</v>
      </c>
      <c r="M300" t="n">
        <v>15</v>
      </c>
      <c r="N300" t="n">
        <v>28</v>
      </c>
      <c r="O300" t="inlineStr">
        <is>
          <t>2026-10-05 UTC (WFM pull 02:52-04:00)</t>
        </is>
      </c>
      <c r="P300" t="inlineStr">
        <is>
          <t>OK</t>
        </is>
      </c>
      <c r="R300" t="inlineStr">
        <is>
          <t>Every current tradeable mod at MAX RANK (WFM catalogue, rivens/locators excluded)</t>
        </is>
      </c>
      <c r="S300" t="inlineStr">
        <is>
          <t>accumulating_whipclaw</t>
        </is>
      </c>
      <c r="T300" t="n">
        <v>5</v>
      </c>
      <c r="U300" t="n">
        <v>5</v>
      </c>
      <c r="V300" t="n">
        <v>10</v>
      </c>
      <c r="W300" t="n">
        <v>10</v>
      </c>
      <c r="X300" t="n">
        <v>10.8</v>
      </c>
      <c r="Y300" t="n">
        <v>740</v>
      </c>
      <c r="Z300" t="n">
        <v>9</v>
      </c>
      <c r="AN300" t="inlineStr">
        <is>
          <t>Augment Khora</t>
        </is>
      </c>
      <c r="AO300" t="n">
        <v>210</v>
      </c>
      <c r="AP300" t="n">
        <v>10143</v>
      </c>
      <c r="AQ300" t="n">
        <v>10</v>
      </c>
      <c r="AS300" t="inlineStr">
        <is>
          <t>Yes</t>
        </is>
      </c>
    </row>
    <row r="301">
      <c r="A301" t="inlineStr">
        <is>
          <t>Mod</t>
        </is>
      </c>
      <c r="B301" t="inlineStr">
        <is>
          <t>Acid Shells</t>
        </is>
      </c>
      <c r="E301" t="inlineStr">
        <is>
          <t>Augment Sobek</t>
        </is>
      </c>
      <c r="F301" t="n">
        <v>5</v>
      </c>
      <c r="G301" t="n">
        <v>1</v>
      </c>
      <c r="H301" t="inlineStr">
        <is>
          <t>Player trade (max rank)</t>
        </is>
      </c>
      <c r="I301" t="inlineStr">
        <is>
          <t>Yes</t>
        </is>
      </c>
      <c r="K301" t="inlineStr">
        <is>
          <t>Collection</t>
        </is>
      </c>
      <c r="L301" t="n">
        <v>25</v>
      </c>
      <c r="M301" t="n">
        <v>25</v>
      </c>
      <c r="N301" t="n">
        <v>33</v>
      </c>
      <c r="O301" t="inlineStr">
        <is>
          <t>2026-10-05 UTC (WFM pull 02:52-04:00)</t>
        </is>
      </c>
      <c r="P301" t="inlineStr">
        <is>
          <t>OK</t>
        </is>
      </c>
      <c r="R301" t="inlineStr">
        <is>
          <t>Every current tradeable mod at MAX RANK (WFM catalogue, rivens/locators excluded)</t>
        </is>
      </c>
      <c r="S301" t="inlineStr">
        <is>
          <t>acid_shells</t>
        </is>
      </c>
      <c r="T301" t="n">
        <v>17</v>
      </c>
      <c r="U301" t="n">
        <v>17</v>
      </c>
      <c r="V301" t="n">
        <v>15</v>
      </c>
      <c r="W301" t="n">
        <v>35</v>
      </c>
      <c r="X301" t="n">
        <v>28.4</v>
      </c>
      <c r="Y301" t="n">
        <v>1824</v>
      </c>
      <c r="Z301" t="n">
        <v>29</v>
      </c>
      <c r="AA301" t="n">
        <v>7</v>
      </c>
      <c r="AB301" t="n">
        <v>18</v>
      </c>
      <c r="AN301" t="inlineStr">
        <is>
          <t>Augment Sobek</t>
        </is>
      </c>
      <c r="AO301" t="n">
        <v>620</v>
      </c>
      <c r="AP301" t="n">
        <v>29946</v>
      </c>
      <c r="AQ301" t="n">
        <v>19</v>
      </c>
      <c r="AS301" t="inlineStr">
        <is>
          <t>Yes</t>
        </is>
      </c>
    </row>
    <row r="302">
      <c r="A302" t="inlineStr">
        <is>
          <t>Mod</t>
        </is>
      </c>
      <c r="B302" t="inlineStr">
        <is>
          <t>Acidic Spittle</t>
        </is>
      </c>
      <c r="E302" t="inlineStr">
        <is>
          <t>Vizier Predasite</t>
        </is>
      </c>
      <c r="F302" t="n">
        <v>3</v>
      </c>
      <c r="G302" t="n">
        <v>1</v>
      </c>
      <c r="H302" t="inlineStr">
        <is>
          <t>Player trade (max rank)</t>
        </is>
      </c>
      <c r="I302" t="inlineStr">
        <is>
          <t>Yes</t>
        </is>
      </c>
      <c r="K302" t="inlineStr">
        <is>
          <t>Collection</t>
        </is>
      </c>
      <c r="L302" t="n">
        <v>10</v>
      </c>
      <c r="M302" t="n">
        <v>20</v>
      </c>
      <c r="N302" t="n">
        <v>22</v>
      </c>
      <c r="O302" t="inlineStr">
        <is>
          <t>2026-10-05 UTC (WFM pull 02:52-04:00)</t>
        </is>
      </c>
      <c r="P302" t="inlineStr">
        <is>
          <t>OK</t>
        </is>
      </c>
      <c r="R302" t="inlineStr">
        <is>
          <t>Every current tradeable mod at MAX RANK (WFM catalogue, rivens/locators excluded)</t>
        </is>
      </c>
      <c r="S302" t="inlineStr">
        <is>
          <t>acidic_spittle</t>
        </is>
      </c>
      <c r="T302" t="n">
        <v>22</v>
      </c>
      <c r="U302" t="n">
        <v>1</v>
      </c>
      <c r="V302" t="n">
        <v>20</v>
      </c>
      <c r="W302" t="n">
        <v>45</v>
      </c>
      <c r="X302" t="n">
        <v>37.2</v>
      </c>
      <c r="Y302" t="n">
        <v>138</v>
      </c>
      <c r="Z302" t="n">
        <v>0</v>
      </c>
      <c r="AN302" t="inlineStr">
        <is>
          <t>Vizier Predasite</t>
        </is>
      </c>
      <c r="AO302" t="n">
        <v>210</v>
      </c>
      <c r="AP302" t="n">
        <v>10143</v>
      </c>
      <c r="AQ302" t="n">
        <v>9</v>
      </c>
      <c r="AS302" t="inlineStr">
        <is>
          <t>Yes</t>
        </is>
      </c>
    </row>
    <row r="303">
      <c r="A303" t="inlineStr">
        <is>
          <t>Mod</t>
        </is>
      </c>
      <c r="B303" t="inlineStr">
        <is>
          <t>Adaptation</t>
        </is>
      </c>
      <c r="E303" t="inlineStr">
        <is>
          <t>Warframe</t>
        </is>
      </c>
      <c r="F303" t="n">
        <v>10</v>
      </c>
      <c r="G303" t="n">
        <v>1</v>
      </c>
      <c r="H303" t="inlineStr">
        <is>
          <t>Player trade (max rank)</t>
        </is>
      </c>
      <c r="I303" t="inlineStr">
        <is>
          <t>Yes</t>
        </is>
      </c>
      <c r="K303" t="inlineStr">
        <is>
          <t>Collection</t>
        </is>
      </c>
      <c r="L303" t="n">
        <v>60</v>
      </c>
      <c r="M303" t="n">
        <v>68</v>
      </c>
      <c r="N303" t="n">
        <v>76</v>
      </c>
      <c r="O303" t="inlineStr">
        <is>
          <t>2026-10-05 UTC (WFM pull 02:52-04:00)</t>
        </is>
      </c>
      <c r="P303" t="inlineStr">
        <is>
          <t>OK</t>
        </is>
      </c>
      <c r="R303" t="inlineStr">
        <is>
          <t>Every current tradeable mod at MAX RANK (WFM catalogue, rivens/locators excluded)</t>
        </is>
      </c>
      <c r="S303" t="inlineStr">
        <is>
          <t>adaptation</t>
        </is>
      </c>
      <c r="T303" t="n">
        <v>19</v>
      </c>
      <c r="U303" t="n">
        <v>19</v>
      </c>
      <c r="V303" t="n">
        <v>55</v>
      </c>
      <c r="W303" t="n">
        <v>55</v>
      </c>
      <c r="X303" t="n">
        <v>54.4</v>
      </c>
      <c r="Y303" t="n">
        <v>3720</v>
      </c>
      <c r="Z303" t="n">
        <v>60</v>
      </c>
      <c r="AA303" t="n">
        <v>41</v>
      </c>
      <c r="AB303" t="n">
        <v>19</v>
      </c>
      <c r="AN303" t="inlineStr">
        <is>
          <t>Warframe</t>
        </is>
      </c>
      <c r="AO303" t="n">
        <v>30690</v>
      </c>
      <c r="AP303" t="n">
        <v>1482327</v>
      </c>
      <c r="AQ303" t="n">
        <v>6</v>
      </c>
      <c r="AS303" t="inlineStr">
        <is>
          <t>Yes</t>
        </is>
      </c>
    </row>
    <row r="304">
      <c r="A304" t="inlineStr">
        <is>
          <t>Mod</t>
        </is>
      </c>
      <c r="B304" t="inlineStr">
        <is>
          <t>Adept Surge</t>
        </is>
      </c>
      <c r="E304" t="inlineStr">
        <is>
          <t>Conclave (PvP)</t>
        </is>
      </c>
      <c r="F304" t="n">
        <v>3</v>
      </c>
      <c r="G304" t="n">
        <v>1</v>
      </c>
      <c r="H304" t="inlineStr">
        <is>
          <t>Player trade (max rank)</t>
        </is>
      </c>
      <c r="I304" t="inlineStr">
        <is>
          <t>Yes</t>
        </is>
      </c>
      <c r="K304" t="inlineStr">
        <is>
          <t>Collection (PvP)</t>
        </is>
      </c>
      <c r="L304" t="n">
        <v>50</v>
      </c>
      <c r="M304" t="n">
        <v>50</v>
      </c>
      <c r="N304" t="n">
        <v>111</v>
      </c>
      <c r="O304" t="inlineStr">
        <is>
          <t>2026-10-05 UTC (WFM pull 02:52-04:00)</t>
        </is>
      </c>
      <c r="P304" t="inlineStr">
        <is>
          <t>OK</t>
        </is>
      </c>
      <c r="R304" t="inlineStr">
        <is>
          <t>Every current tradeable mod at MAX RANK (WFM catalogue, rivens/locators excluded)</t>
        </is>
      </c>
      <c r="S304" t="inlineStr">
        <is>
          <t>adept_surge</t>
        </is>
      </c>
      <c r="T304" t="n">
        <v>8</v>
      </c>
      <c r="U304" t="n">
        <v>0</v>
      </c>
      <c r="Y304" t="n">
        <v>0</v>
      </c>
      <c r="Z304" t="n">
        <v>0</v>
      </c>
      <c r="AN304" t="inlineStr">
        <is>
          <t>Conclave (PvP)</t>
        </is>
      </c>
      <c r="AO304" t="n">
        <v>140</v>
      </c>
      <c r="AP304" t="n">
        <v>6762</v>
      </c>
      <c r="AQ304" t="n">
        <v>30</v>
      </c>
      <c r="AS304" t="inlineStr">
        <is>
          <t>PvP subtotal</t>
        </is>
      </c>
    </row>
    <row r="305">
      <c r="A305" t="inlineStr">
        <is>
          <t>Mod</t>
        </is>
      </c>
      <c r="B305" t="inlineStr">
        <is>
          <t>Adhesive Blast</t>
        </is>
      </c>
      <c r="E305" t="inlineStr">
        <is>
          <t>Unique</t>
        </is>
      </c>
      <c r="F305" t="n">
        <v>5</v>
      </c>
      <c r="G305" t="n">
        <v>1</v>
      </c>
      <c r="H305" t="inlineStr">
        <is>
          <t>Player trade (max rank)</t>
        </is>
      </c>
      <c r="I305" t="inlineStr">
        <is>
          <t>Yes</t>
        </is>
      </c>
      <c r="K305" t="inlineStr">
        <is>
          <t>Collection</t>
        </is>
      </c>
      <c r="L305" t="n">
        <v>10</v>
      </c>
      <c r="M305" t="n">
        <v>10</v>
      </c>
      <c r="N305" t="n">
        <v>22</v>
      </c>
      <c r="O305" t="inlineStr">
        <is>
          <t>2026-10-05 UTC (WFM pull 02:52-04:00)</t>
        </is>
      </c>
      <c r="P305" t="inlineStr">
        <is>
          <t>OK</t>
        </is>
      </c>
      <c r="R305" t="inlineStr">
        <is>
          <t>Every current tradeable mod at MAX RANK (WFM catalogue, rivens/locators excluded)</t>
        </is>
      </c>
      <c r="S305" t="inlineStr">
        <is>
          <t>adhesive_blast</t>
        </is>
      </c>
      <c r="T305" t="n">
        <v>8</v>
      </c>
      <c r="U305" t="n">
        <v>8</v>
      </c>
      <c r="V305" t="n">
        <v>5</v>
      </c>
      <c r="W305" t="n">
        <v>8</v>
      </c>
      <c r="X305" t="n">
        <v>8.1</v>
      </c>
      <c r="Y305" t="n">
        <v>14</v>
      </c>
      <c r="Z305" t="n">
        <v>0</v>
      </c>
      <c r="AN305" t="inlineStr">
        <is>
          <t>Unique</t>
        </is>
      </c>
      <c r="AO305" t="n">
        <v>930</v>
      </c>
      <c r="AP305" t="n">
        <v>44919</v>
      </c>
      <c r="AQ305" t="n">
        <v>2</v>
      </c>
      <c r="AS305" t="inlineStr">
        <is>
          <t>Yes</t>
        </is>
      </c>
    </row>
    <row r="306">
      <c r="A306" t="inlineStr">
        <is>
          <t>Mod</t>
        </is>
      </c>
      <c r="B306" t="inlineStr">
        <is>
          <t>Adrenaline Boost</t>
        </is>
      </c>
      <c r="E306" t="inlineStr">
        <is>
          <t>Conclave (PvP)</t>
        </is>
      </c>
      <c r="F306" t="n">
        <v>3</v>
      </c>
      <c r="G306" t="n">
        <v>1</v>
      </c>
      <c r="H306" t="inlineStr">
        <is>
          <t>Player trade (max rank)</t>
        </is>
      </c>
      <c r="I306" t="inlineStr">
        <is>
          <t>Yes</t>
        </is>
      </c>
      <c r="K306" t="inlineStr">
        <is>
          <t>Collection (PvP)</t>
        </is>
      </c>
      <c r="L306" t="n">
        <v>20</v>
      </c>
      <c r="M306" t="n">
        <v>29</v>
      </c>
      <c r="N306" t="n">
        <v>43</v>
      </c>
      <c r="O306" t="inlineStr">
        <is>
          <t>2026-10-05 UTC (WFM pull 02:52-04:00)</t>
        </is>
      </c>
      <c r="P306" t="inlineStr">
        <is>
          <t>OK</t>
        </is>
      </c>
      <c r="R306" t="inlineStr">
        <is>
          <t>Every current tradeable mod at MAX RANK (WFM catalogue, rivens/locators excluded)</t>
        </is>
      </c>
      <c r="S306" t="inlineStr">
        <is>
          <t>adrenaline_boost</t>
        </is>
      </c>
      <c r="T306" t="n">
        <v>14</v>
      </c>
      <c r="U306" t="n">
        <v>1</v>
      </c>
      <c r="V306" t="n">
        <v>30</v>
      </c>
      <c r="W306" t="n">
        <v>30</v>
      </c>
      <c r="X306" t="n">
        <v>29</v>
      </c>
      <c r="Y306" t="n">
        <v>3</v>
      </c>
      <c r="Z306" t="n">
        <v>0</v>
      </c>
      <c r="AN306" t="inlineStr">
        <is>
          <t>Conclave (PvP)</t>
        </is>
      </c>
      <c r="AO306" t="n">
        <v>210</v>
      </c>
      <c r="AP306" t="n">
        <v>10143</v>
      </c>
      <c r="AQ306" t="n">
        <v>25</v>
      </c>
      <c r="AS306" t="inlineStr">
        <is>
          <t>PvP subtotal</t>
        </is>
      </c>
    </row>
    <row r="307">
      <c r="A307" t="inlineStr">
        <is>
          <t>Mod</t>
        </is>
      </c>
      <c r="B307" t="inlineStr">
        <is>
          <t>Aegis Gale</t>
        </is>
      </c>
      <c r="E307" t="inlineStr">
        <is>
          <t>Augment Hildryn</t>
        </is>
      </c>
      <c r="F307" t="n">
        <v>3</v>
      </c>
      <c r="G307" t="n">
        <v>1</v>
      </c>
      <c r="H307" t="inlineStr">
        <is>
          <t>Player trade (max rank)</t>
        </is>
      </c>
      <c r="I307" t="inlineStr">
        <is>
          <t>Yes</t>
        </is>
      </c>
      <c r="K307" t="inlineStr">
        <is>
          <t>Collection</t>
        </is>
      </c>
      <c r="L307" t="n">
        <v>15</v>
      </c>
      <c r="M307" t="n">
        <v>15</v>
      </c>
      <c r="N307" t="n">
        <v>19</v>
      </c>
      <c r="O307" t="inlineStr">
        <is>
          <t>2026-10-05 UTC (WFM pull 02:52-04:00)</t>
        </is>
      </c>
      <c r="P307" t="inlineStr">
        <is>
          <t>OK</t>
        </is>
      </c>
      <c r="R307" t="inlineStr">
        <is>
          <t>Every current tradeable mod at MAX RANK (WFM catalogue, rivens/locators excluded)</t>
        </is>
      </c>
      <c r="S307" t="inlineStr">
        <is>
          <t>aegis_gale</t>
        </is>
      </c>
      <c r="T307" t="n">
        <v>11</v>
      </c>
      <c r="U307" t="n">
        <v>11</v>
      </c>
      <c r="V307" t="n">
        <v>13</v>
      </c>
      <c r="W307" t="n">
        <v>13.5</v>
      </c>
      <c r="X307" t="n">
        <v>13.1</v>
      </c>
      <c r="Y307" t="n">
        <v>1448</v>
      </c>
      <c r="Z307" t="n">
        <v>24</v>
      </c>
      <c r="AN307" t="inlineStr">
        <is>
          <t>Augment Hildryn</t>
        </is>
      </c>
      <c r="AO307" t="n">
        <v>210</v>
      </c>
      <c r="AP307" t="n">
        <v>10143</v>
      </c>
      <c r="AQ307" t="n">
        <v>10</v>
      </c>
      <c r="AS307" t="inlineStr">
        <is>
          <t>Yes</t>
        </is>
      </c>
    </row>
    <row r="308">
      <c r="A308" t="inlineStr">
        <is>
          <t>Mod</t>
        </is>
      </c>
      <c r="B308" t="inlineStr">
        <is>
          <t>Aerial Ace</t>
        </is>
      </c>
      <c r="E308" t="inlineStr">
        <is>
          <t>Rifle</t>
        </is>
      </c>
      <c r="F308" t="n">
        <v>5</v>
      </c>
      <c r="G308" t="n">
        <v>1</v>
      </c>
      <c r="H308" t="inlineStr">
        <is>
          <t>Player trade (max rank)</t>
        </is>
      </c>
      <c r="I308" t="inlineStr">
        <is>
          <t>Yes</t>
        </is>
      </c>
      <c r="K308" t="inlineStr">
        <is>
          <t>Collection</t>
        </is>
      </c>
      <c r="L308" t="n">
        <v>15</v>
      </c>
      <c r="M308" t="n">
        <v>20</v>
      </c>
      <c r="N308" t="n">
        <v>44</v>
      </c>
      <c r="O308" t="inlineStr">
        <is>
          <t>2026-10-05 UTC (WFM pull 02:52-04:00)</t>
        </is>
      </c>
      <c r="P308" t="inlineStr">
        <is>
          <t>OK</t>
        </is>
      </c>
      <c r="R308" t="inlineStr">
        <is>
          <t>Every current tradeable mod at MAX RANK (WFM catalogue, rivens/locators excluded)</t>
        </is>
      </c>
      <c r="S308" t="inlineStr">
        <is>
          <t>aerial_ace</t>
        </is>
      </c>
      <c r="T308" t="n">
        <v>3</v>
      </c>
      <c r="U308" t="n">
        <v>3</v>
      </c>
      <c r="V308" t="n">
        <v>14</v>
      </c>
      <c r="W308" t="n">
        <v>30</v>
      </c>
      <c r="X308" t="n">
        <v>42.2</v>
      </c>
      <c r="Y308" t="n">
        <v>13</v>
      </c>
      <c r="Z308" t="n">
        <v>0</v>
      </c>
      <c r="AN308" t="inlineStr">
        <is>
          <t>Rifle</t>
        </is>
      </c>
      <c r="AO308" t="n">
        <v>930</v>
      </c>
      <c r="AP308" t="n">
        <v>44919</v>
      </c>
      <c r="AQ308" t="n">
        <v>10</v>
      </c>
      <c r="AS308" t="inlineStr">
        <is>
          <t>Yes</t>
        </is>
      </c>
    </row>
    <row r="309">
      <c r="A309" t="inlineStr">
        <is>
          <t>Mod</t>
        </is>
      </c>
      <c r="B309" t="inlineStr">
        <is>
          <t>Aerial Bond</t>
        </is>
      </c>
      <c r="E309" t="inlineStr">
        <is>
          <t>Companion</t>
        </is>
      </c>
      <c r="F309" t="n">
        <v>5</v>
      </c>
      <c r="G309" t="n">
        <v>1</v>
      </c>
      <c r="H309" t="inlineStr">
        <is>
          <t>Player trade (max rank)</t>
        </is>
      </c>
      <c r="I309" t="inlineStr">
        <is>
          <t>Yes</t>
        </is>
      </c>
      <c r="K309" t="inlineStr">
        <is>
          <t>Collection</t>
        </is>
      </c>
      <c r="L309" t="n">
        <v>22</v>
      </c>
      <c r="M309" t="n">
        <v>24</v>
      </c>
      <c r="N309" t="n">
        <v>27</v>
      </c>
      <c r="O309" t="inlineStr">
        <is>
          <t>2026-10-05 UTC (WFM pull 02:52-04:00)</t>
        </is>
      </c>
      <c r="P309" t="inlineStr">
        <is>
          <t>OK</t>
        </is>
      </c>
      <c r="R309" t="inlineStr">
        <is>
          <t>Every current tradeable mod at MAX RANK (WFM catalogue, rivens/locators excluded)</t>
        </is>
      </c>
      <c r="S309" t="inlineStr">
        <is>
          <t>aerial_bond</t>
        </is>
      </c>
      <c r="T309" t="n">
        <v>14</v>
      </c>
      <c r="U309" t="n">
        <v>14</v>
      </c>
      <c r="V309" t="n">
        <v>20</v>
      </c>
      <c r="W309" t="n">
        <v>22</v>
      </c>
      <c r="X309" t="n">
        <v>22</v>
      </c>
      <c r="Y309" t="n">
        <v>394</v>
      </c>
      <c r="Z309" t="n">
        <v>7</v>
      </c>
      <c r="AN309" t="inlineStr">
        <is>
          <t>Companion</t>
        </is>
      </c>
      <c r="AO309" t="n">
        <v>930</v>
      </c>
      <c r="AP309" t="n">
        <v>44919</v>
      </c>
      <c r="AQ309" t="n">
        <v>20</v>
      </c>
      <c r="AS309" t="inlineStr">
        <is>
          <t>Yes</t>
        </is>
      </c>
    </row>
    <row r="310">
      <c r="A310" t="inlineStr">
        <is>
          <t>Mod</t>
        </is>
      </c>
      <c r="B310" t="inlineStr">
        <is>
          <t>Aerial Prospectus</t>
        </is>
      </c>
      <c r="E310" t="inlineStr">
        <is>
          <t>Hound</t>
        </is>
      </c>
      <c r="F310" t="n">
        <v>5</v>
      </c>
      <c r="G310" t="n">
        <v>1</v>
      </c>
      <c r="H310" t="inlineStr">
        <is>
          <t>Player trade (max rank)</t>
        </is>
      </c>
      <c r="I310" t="inlineStr">
        <is>
          <t>Yes</t>
        </is>
      </c>
      <c r="K310" t="inlineStr">
        <is>
          <t>Collection</t>
        </is>
      </c>
      <c r="L310" t="n">
        <v>10</v>
      </c>
      <c r="M310" t="n">
        <v>25</v>
      </c>
      <c r="N310" t="n">
        <v>56</v>
      </c>
      <c r="O310" t="inlineStr">
        <is>
          <t>2026-10-05 UTC (WFM pull 02:52-04:00)</t>
        </is>
      </c>
      <c r="P310" t="inlineStr">
        <is>
          <t>OK</t>
        </is>
      </c>
      <c r="R310" t="inlineStr">
        <is>
          <t>Every current tradeable mod at MAX RANK (WFM catalogue, rivens/locators excluded)</t>
        </is>
      </c>
      <c r="S310" t="inlineStr">
        <is>
          <t>aerial_prospectus</t>
        </is>
      </c>
      <c r="T310" t="n">
        <v>5</v>
      </c>
      <c r="U310" t="n">
        <v>5</v>
      </c>
      <c r="W310" t="n">
        <v>20</v>
      </c>
      <c r="X310" t="n">
        <v>19.3</v>
      </c>
      <c r="Y310" t="n">
        <v>77</v>
      </c>
      <c r="Z310" t="n">
        <v>0</v>
      </c>
      <c r="AN310" t="inlineStr">
        <is>
          <t>Hound</t>
        </is>
      </c>
      <c r="AO310" t="n">
        <v>930</v>
      </c>
      <c r="AP310" t="n">
        <v>44919</v>
      </c>
      <c r="AQ310" t="n">
        <v>6</v>
      </c>
      <c r="AS310" t="inlineStr">
        <is>
          <t>Yes</t>
        </is>
      </c>
    </row>
    <row r="311">
      <c r="A311" t="inlineStr">
        <is>
          <t>Mod</t>
        </is>
      </c>
      <c r="B311" t="inlineStr">
        <is>
          <t>Aero Agility</t>
        </is>
      </c>
      <c r="E311" t="inlineStr">
        <is>
          <t>Sniper</t>
        </is>
      </c>
      <c r="F311" t="n">
        <v>3</v>
      </c>
      <c r="G311" t="n">
        <v>1</v>
      </c>
      <c r="H311" t="inlineStr">
        <is>
          <t>Player trade (max rank)</t>
        </is>
      </c>
      <c r="I311" t="inlineStr">
        <is>
          <t>Yes</t>
        </is>
      </c>
      <c r="K311" t="inlineStr">
        <is>
          <t>Collection</t>
        </is>
      </c>
      <c r="L311" t="n">
        <v>30</v>
      </c>
      <c r="M311" t="n">
        <v>72</v>
      </c>
      <c r="N311" t="n">
        <v>83</v>
      </c>
      <c r="O311" t="inlineStr">
        <is>
          <t>2026-10-05 UTC (WFM pull 02:52-04:00)</t>
        </is>
      </c>
      <c r="P311" t="inlineStr">
        <is>
          <t>OK</t>
        </is>
      </c>
      <c r="R311" t="inlineStr">
        <is>
          <t>Every current tradeable mod at MAX RANK (WFM catalogue, rivens/locators excluded)</t>
        </is>
      </c>
      <c r="S311" t="inlineStr">
        <is>
          <t>aero_agility</t>
        </is>
      </c>
      <c r="T311" t="n">
        <v>21</v>
      </c>
      <c r="U311" t="n">
        <v>0</v>
      </c>
      <c r="V311" t="n">
        <v>50</v>
      </c>
      <c r="W311" t="n">
        <v>45</v>
      </c>
      <c r="X311" t="n">
        <v>50.3</v>
      </c>
      <c r="Y311" t="n">
        <v>15</v>
      </c>
      <c r="Z311" t="n">
        <v>0</v>
      </c>
      <c r="AN311" t="inlineStr">
        <is>
          <t>Sniper</t>
        </is>
      </c>
      <c r="AO311" t="n">
        <v>210</v>
      </c>
      <c r="AP311" t="n">
        <v>10143</v>
      </c>
      <c r="AQ311" t="n">
        <v>20</v>
      </c>
      <c r="AS311" t="inlineStr">
        <is>
          <t>Yes</t>
        </is>
      </c>
    </row>
    <row r="312">
      <c r="A312" t="inlineStr">
        <is>
          <t>Mod</t>
        </is>
      </c>
      <c r="B312" t="inlineStr">
        <is>
          <t>Aero Periphery</t>
        </is>
      </c>
      <c r="E312" t="inlineStr">
        <is>
          <t>Primary</t>
        </is>
      </c>
      <c r="F312" t="n">
        <v>3</v>
      </c>
      <c r="G312" t="n">
        <v>1</v>
      </c>
      <c r="H312" t="inlineStr">
        <is>
          <t>Player trade (max rank)</t>
        </is>
      </c>
      <c r="I312" t="inlineStr">
        <is>
          <t>Yes</t>
        </is>
      </c>
      <c r="K312" t="inlineStr">
        <is>
          <t>Collection</t>
        </is>
      </c>
      <c r="L312" t="n">
        <v>10</v>
      </c>
      <c r="M312" t="n">
        <v>25.5</v>
      </c>
      <c r="N312" t="n">
        <v>44</v>
      </c>
      <c r="O312" t="inlineStr">
        <is>
          <t>2026-10-05 UTC (WFM pull 02:52-04:00)</t>
        </is>
      </c>
      <c r="P312" t="inlineStr">
        <is>
          <t>OK</t>
        </is>
      </c>
      <c r="R312" t="inlineStr">
        <is>
          <t>Every current tradeable mod at MAX RANK (WFM catalogue, rivens/locators excluded)</t>
        </is>
      </c>
      <c r="S312" t="inlineStr">
        <is>
          <t>aero_periphery</t>
        </is>
      </c>
      <c r="T312" t="n">
        <v>3</v>
      </c>
      <c r="U312" t="n">
        <v>3</v>
      </c>
      <c r="V312" t="n">
        <v>17</v>
      </c>
      <c r="W312" t="n">
        <v>17</v>
      </c>
      <c r="X312" t="n">
        <v>13</v>
      </c>
      <c r="Y312" t="n">
        <v>3</v>
      </c>
      <c r="Z312" t="n">
        <v>0</v>
      </c>
      <c r="AN312" t="inlineStr">
        <is>
          <t>Primary</t>
        </is>
      </c>
      <c r="AO312" t="n">
        <v>70</v>
      </c>
      <c r="AP312" t="n">
        <v>3381</v>
      </c>
      <c r="AQ312" t="n">
        <v>3</v>
      </c>
      <c r="AS312" t="inlineStr">
        <is>
          <t>Yes</t>
        </is>
      </c>
    </row>
    <row r="313">
      <c r="A313" t="inlineStr">
        <is>
          <t>Mod</t>
        </is>
      </c>
      <c r="B313" t="inlineStr">
        <is>
          <t>Aero Vantage</t>
        </is>
      </c>
      <c r="E313" t="inlineStr">
        <is>
          <t>Warframe</t>
        </is>
      </c>
      <c r="F313" t="n">
        <v>3</v>
      </c>
      <c r="G313" t="n">
        <v>1</v>
      </c>
      <c r="H313" t="inlineStr">
        <is>
          <t>Player trade (max rank)</t>
        </is>
      </c>
      <c r="I313" t="inlineStr">
        <is>
          <t>Yes</t>
        </is>
      </c>
      <c r="K313" t="inlineStr">
        <is>
          <t>Collection</t>
        </is>
      </c>
      <c r="L313" t="n">
        <v>5</v>
      </c>
      <c r="M313" t="n">
        <v>9</v>
      </c>
      <c r="N313" t="n">
        <v>16</v>
      </c>
      <c r="O313" t="inlineStr">
        <is>
          <t>2026-10-05 UTC (WFM pull 02:52-04:00)</t>
        </is>
      </c>
      <c r="P313" t="inlineStr">
        <is>
          <t>OK</t>
        </is>
      </c>
      <c r="R313" t="inlineStr">
        <is>
          <t>Every current tradeable mod at MAX RANK (WFM catalogue, rivens/locators excluded)</t>
        </is>
      </c>
      <c r="S313" t="inlineStr">
        <is>
          <t>aero_vantage</t>
        </is>
      </c>
      <c r="T313" t="n">
        <v>7</v>
      </c>
      <c r="U313" t="n">
        <v>7</v>
      </c>
      <c r="V313" t="n">
        <v>8</v>
      </c>
      <c r="W313" t="n">
        <v>9</v>
      </c>
      <c r="X313" t="n">
        <v>8.6</v>
      </c>
      <c r="Y313" t="n">
        <v>32</v>
      </c>
      <c r="Z313" t="n">
        <v>0</v>
      </c>
      <c r="AN313" t="inlineStr">
        <is>
          <t>Warframe</t>
        </is>
      </c>
      <c r="AO313" t="n">
        <v>140</v>
      </c>
      <c r="AP313" t="n">
        <v>6762</v>
      </c>
      <c r="AQ313" t="n">
        <v>4</v>
      </c>
      <c r="AS313" t="inlineStr">
        <is>
          <t>Yes</t>
        </is>
      </c>
    </row>
    <row r="314">
      <c r="A314" t="inlineStr">
        <is>
          <t>Mod</t>
        </is>
      </c>
      <c r="B314" t="inlineStr">
        <is>
          <t>Aerodynamic</t>
        </is>
      </c>
      <c r="E314" t="inlineStr">
        <is>
          <t>Aura</t>
        </is>
      </c>
      <c r="F314" t="n">
        <v>5</v>
      </c>
      <c r="G314" t="n">
        <v>1</v>
      </c>
      <c r="H314" t="inlineStr">
        <is>
          <t>Player trade (max rank)</t>
        </is>
      </c>
      <c r="I314" t="inlineStr">
        <is>
          <t>Yes</t>
        </is>
      </c>
      <c r="K314" t="inlineStr">
        <is>
          <t>Collection</t>
        </is>
      </c>
      <c r="L314" t="n">
        <v>15</v>
      </c>
      <c r="M314" t="n">
        <v>21.8</v>
      </c>
      <c r="N314" t="n">
        <v>39</v>
      </c>
      <c r="O314" t="inlineStr">
        <is>
          <t>2026-10-05 UTC (WFM pull 02:52-04:00)</t>
        </is>
      </c>
      <c r="P314" t="inlineStr">
        <is>
          <t>OK</t>
        </is>
      </c>
      <c r="R314" t="inlineStr">
        <is>
          <t>Every current tradeable mod at MAX RANK (WFM catalogue, rivens/locators excluded)</t>
        </is>
      </c>
      <c r="S314" t="inlineStr">
        <is>
          <t>aerodynamic</t>
        </is>
      </c>
      <c r="T314" t="n">
        <v>7</v>
      </c>
      <c r="U314" t="n">
        <v>7</v>
      </c>
      <c r="V314" t="n">
        <v>14.5</v>
      </c>
      <c r="W314" t="n">
        <v>15</v>
      </c>
      <c r="X314" t="n">
        <v>15.7</v>
      </c>
      <c r="Y314" t="n">
        <v>520</v>
      </c>
      <c r="Z314" t="n">
        <v>12</v>
      </c>
      <c r="AN314" t="inlineStr">
        <is>
          <t>Aura</t>
        </is>
      </c>
      <c r="AO314" t="n">
        <v>930</v>
      </c>
      <c r="AP314" t="n">
        <v>44919</v>
      </c>
      <c r="AQ314" t="n">
        <v>10</v>
      </c>
      <c r="AS314" t="inlineStr">
        <is>
          <t>Yes</t>
        </is>
      </c>
    </row>
    <row r="315">
      <c r="A315" t="inlineStr">
        <is>
          <t>Mod</t>
        </is>
      </c>
      <c r="B315" t="inlineStr">
        <is>
          <t>Afterburn</t>
        </is>
      </c>
      <c r="E315" t="inlineStr">
        <is>
          <t>Augment Chroma</t>
        </is>
      </c>
      <c r="F315" t="n">
        <v>3</v>
      </c>
      <c r="G315" t="n">
        <v>1</v>
      </c>
      <c r="H315" t="inlineStr">
        <is>
          <t>Player trade (max rank)</t>
        </is>
      </c>
      <c r="I315" t="inlineStr">
        <is>
          <t>Yes</t>
        </is>
      </c>
      <c r="K315" t="inlineStr">
        <is>
          <t>Collection</t>
        </is>
      </c>
      <c r="L315" t="n">
        <v>30</v>
      </c>
      <c r="M315" t="n">
        <v>30</v>
      </c>
      <c r="N315" t="n">
        <v>66</v>
      </c>
      <c r="O315" t="inlineStr">
        <is>
          <t>2026-10-05 UTC (WFM pull 02:52-04:00)</t>
        </is>
      </c>
      <c r="P315" t="inlineStr">
        <is>
          <t>OK</t>
        </is>
      </c>
      <c r="R315" t="inlineStr">
        <is>
          <t>Every current tradeable mod at MAX RANK (WFM catalogue, rivens/locators excluded)</t>
        </is>
      </c>
      <c r="S315" t="inlineStr">
        <is>
          <t>afterburn</t>
        </is>
      </c>
      <c r="T315" t="n">
        <v>4</v>
      </c>
      <c r="U315" t="n">
        <v>4</v>
      </c>
      <c r="V315" t="n">
        <v>15</v>
      </c>
      <c r="W315" t="n">
        <v>14</v>
      </c>
      <c r="X315" t="n">
        <v>14</v>
      </c>
      <c r="Y315" t="n">
        <v>8</v>
      </c>
      <c r="Z315" t="n">
        <v>0</v>
      </c>
      <c r="AN315" t="inlineStr">
        <is>
          <t>Augment Chroma</t>
        </is>
      </c>
      <c r="AO315" t="n">
        <v>210</v>
      </c>
      <c r="AP315" t="n">
        <v>10143</v>
      </c>
      <c r="AQ315" t="n">
        <v>6</v>
      </c>
      <c r="AS315" t="inlineStr">
        <is>
          <t>Yes</t>
        </is>
      </c>
    </row>
    <row r="316">
      <c r="A316" t="inlineStr">
        <is>
          <t>Mod</t>
        </is>
      </c>
      <c r="B316" t="inlineStr">
        <is>
          <t>Afterburner</t>
        </is>
      </c>
      <c r="E316" t="inlineStr">
        <is>
          <t>Augment Elytron</t>
        </is>
      </c>
      <c r="F316" t="n">
        <v>3</v>
      </c>
      <c r="G316" t="n">
        <v>1</v>
      </c>
      <c r="H316" t="inlineStr">
        <is>
          <t>Player trade (max rank)</t>
        </is>
      </c>
      <c r="I316" t="inlineStr">
        <is>
          <t>Yes</t>
        </is>
      </c>
      <c r="K316" t="inlineStr">
        <is>
          <t>Collection</t>
        </is>
      </c>
      <c r="L316" t="n">
        <v>7</v>
      </c>
      <c r="M316" t="n">
        <v>10</v>
      </c>
      <c r="N316" t="n">
        <v>22</v>
      </c>
      <c r="O316" t="inlineStr">
        <is>
          <t>2026-10-05 UTC (WFM pull 02:52-04:00)</t>
        </is>
      </c>
      <c r="P316" t="inlineStr">
        <is>
          <t>OK</t>
        </is>
      </c>
      <c r="R316" t="inlineStr">
        <is>
          <t>Every current tradeable mod at MAX RANK (WFM catalogue, rivens/locators excluded)</t>
        </is>
      </c>
      <c r="S316" t="inlineStr">
        <is>
          <t>afterburner</t>
        </is>
      </c>
      <c r="T316" t="n">
        <v>5</v>
      </c>
      <c r="U316" t="n">
        <v>5</v>
      </c>
      <c r="V316" t="n">
        <v>10</v>
      </c>
      <c r="W316" t="n">
        <v>10</v>
      </c>
      <c r="X316" t="n">
        <v>9.800000000000001</v>
      </c>
      <c r="Y316" t="n">
        <v>81</v>
      </c>
      <c r="Z316" t="n">
        <v>0</v>
      </c>
      <c r="AN316" t="inlineStr">
        <is>
          <t>Augment Elytron</t>
        </is>
      </c>
      <c r="AO316" t="n">
        <v>210</v>
      </c>
      <c r="AP316" t="n">
        <v>10143</v>
      </c>
      <c r="AQ316" t="n">
        <v>2</v>
      </c>
      <c r="AS316" t="inlineStr">
        <is>
          <t>Yes</t>
        </is>
      </c>
    </row>
    <row r="317">
      <c r="A317" t="inlineStr">
        <is>
          <t>Mod</t>
        </is>
      </c>
      <c r="B317" t="inlineStr">
        <is>
          <t>Agile Aim</t>
        </is>
      </c>
      <c r="E317" t="inlineStr">
        <is>
          <t>Conclave (PvP)</t>
        </is>
      </c>
      <c r="F317" t="n">
        <v>3</v>
      </c>
      <c r="G317" t="n">
        <v>1</v>
      </c>
      <c r="H317" t="inlineStr">
        <is>
          <t>Player trade (max rank)</t>
        </is>
      </c>
      <c r="I317" t="inlineStr">
        <is>
          <t>Yes</t>
        </is>
      </c>
      <c r="K317" t="inlineStr">
        <is>
          <t>Collection (PvP)</t>
        </is>
      </c>
      <c r="L317" t="n">
        <v>10</v>
      </c>
      <c r="M317" t="n">
        <v>10</v>
      </c>
      <c r="N317" t="n">
        <v>22</v>
      </c>
      <c r="O317" t="inlineStr">
        <is>
          <t>2026-10-05 UTC (WFM pull 02:52-04:00)</t>
        </is>
      </c>
      <c r="P317" t="inlineStr">
        <is>
          <t>OK</t>
        </is>
      </c>
      <c r="R317" t="inlineStr">
        <is>
          <t>Every current tradeable mod at MAX RANK (WFM catalogue, rivens/locators excluded)</t>
        </is>
      </c>
      <c r="S317" t="inlineStr">
        <is>
          <t>agile_aim</t>
        </is>
      </c>
      <c r="T317" t="n">
        <v>4</v>
      </c>
      <c r="U317" t="n">
        <v>4</v>
      </c>
      <c r="V317" t="n">
        <v>5</v>
      </c>
      <c r="W317" t="n">
        <v>10</v>
      </c>
      <c r="X317" t="n">
        <v>10.5</v>
      </c>
      <c r="Y317" t="n">
        <v>12</v>
      </c>
      <c r="Z317" t="n">
        <v>0</v>
      </c>
      <c r="AN317" t="inlineStr">
        <is>
          <t>Conclave (PvP)</t>
        </is>
      </c>
      <c r="AO317" t="n">
        <v>140</v>
      </c>
      <c r="AP317" t="n">
        <v>6762</v>
      </c>
      <c r="AQ317" t="n">
        <v>3.5</v>
      </c>
      <c r="AS317" t="inlineStr">
        <is>
          <t>PvP subtotal</t>
        </is>
      </c>
    </row>
    <row r="318">
      <c r="A318" t="inlineStr">
        <is>
          <t>Mod</t>
        </is>
      </c>
      <c r="B318" t="inlineStr">
        <is>
          <t>Agility Drift</t>
        </is>
      </c>
      <c r="E318" t="inlineStr">
        <is>
          <t>Warframe</t>
        </is>
      </c>
      <c r="F318" t="n">
        <v>5</v>
      </c>
      <c r="G318" t="n">
        <v>1</v>
      </c>
      <c r="H318" t="inlineStr">
        <is>
          <t>Player trade (max rank)</t>
        </is>
      </c>
      <c r="I318" t="inlineStr">
        <is>
          <t>Yes</t>
        </is>
      </c>
      <c r="K318" t="inlineStr">
        <is>
          <t>Collection</t>
        </is>
      </c>
      <c r="L318" t="n">
        <v>5</v>
      </c>
      <c r="M318" t="n">
        <v>10</v>
      </c>
      <c r="N318" t="n">
        <v>17</v>
      </c>
      <c r="O318" t="inlineStr">
        <is>
          <t>2026-10-05 UTC (WFM pull 02:52-04:00)</t>
        </is>
      </c>
      <c r="P318" t="inlineStr">
        <is>
          <t>OK</t>
        </is>
      </c>
      <c r="R318" t="inlineStr">
        <is>
          <t>Every current tradeable mod at MAX RANK (WFM catalogue, rivens/locators excluded)</t>
        </is>
      </c>
      <c r="S318" t="inlineStr">
        <is>
          <t>agility_drift</t>
        </is>
      </c>
      <c r="T318" t="n">
        <v>8</v>
      </c>
      <c r="U318" t="n">
        <v>8</v>
      </c>
      <c r="V318" t="n">
        <v>8</v>
      </c>
      <c r="W318" t="n">
        <v>7</v>
      </c>
      <c r="X318" t="n">
        <v>7.1</v>
      </c>
      <c r="Y318" t="n">
        <v>53</v>
      </c>
      <c r="Z318" t="n">
        <v>4</v>
      </c>
      <c r="AN318" t="inlineStr">
        <is>
          <t>Warframe</t>
        </is>
      </c>
      <c r="AO318" t="n">
        <v>930</v>
      </c>
      <c r="AP318" t="n">
        <v>44919</v>
      </c>
      <c r="AQ318" t="n">
        <v>4</v>
      </c>
      <c r="AS318" t="inlineStr">
        <is>
          <t>Yes</t>
        </is>
      </c>
    </row>
    <row r="319">
      <c r="A319" t="inlineStr">
        <is>
          <t>Mod</t>
        </is>
      </c>
      <c r="B319" t="inlineStr">
        <is>
          <t>Air Recon</t>
        </is>
      </c>
      <c r="E319" t="inlineStr">
        <is>
          <t>Conclave (PvP)</t>
        </is>
      </c>
      <c r="F319" t="n">
        <v>5</v>
      </c>
      <c r="G319" t="n">
        <v>1</v>
      </c>
      <c r="H319" t="inlineStr">
        <is>
          <t>Player trade (max rank)</t>
        </is>
      </c>
      <c r="I319" t="inlineStr">
        <is>
          <t>Yes</t>
        </is>
      </c>
      <c r="K319" t="inlineStr">
        <is>
          <t>Collection (PvP)</t>
        </is>
      </c>
      <c r="L319" t="n">
        <v>8</v>
      </c>
      <c r="M319" t="n">
        <v>15</v>
      </c>
      <c r="N319" t="n">
        <v>33</v>
      </c>
      <c r="O319" t="inlineStr">
        <is>
          <t>2026-10-05 UTC (WFM pull 02:52-04:00)</t>
        </is>
      </c>
      <c r="P319" t="inlineStr">
        <is>
          <t>OK</t>
        </is>
      </c>
      <c r="R319" t="inlineStr">
        <is>
          <t>Every current tradeable mod at MAX RANK (WFM catalogue, rivens/locators excluded)</t>
        </is>
      </c>
      <c r="S319" t="inlineStr">
        <is>
          <t>air_recon</t>
        </is>
      </c>
      <c r="T319" t="n">
        <v>3</v>
      </c>
      <c r="U319" t="n">
        <v>3</v>
      </c>
      <c r="Y319" t="n">
        <v>0</v>
      </c>
      <c r="Z319" t="n">
        <v>0</v>
      </c>
      <c r="AN319" t="inlineStr">
        <is>
          <t>Conclave (PvP)</t>
        </is>
      </c>
      <c r="AO319" t="n">
        <v>620</v>
      </c>
      <c r="AP319" t="n">
        <v>29946</v>
      </c>
      <c r="AQ319" t="n">
        <v>3</v>
      </c>
      <c r="AS319" t="inlineStr">
        <is>
          <t>PvP subtotal</t>
        </is>
      </c>
    </row>
    <row r="320">
      <c r="A320" t="inlineStr">
        <is>
          <t>Mod</t>
        </is>
      </c>
      <c r="B320" t="inlineStr">
        <is>
          <t>Air Thrusters</t>
        </is>
      </c>
      <c r="E320" t="inlineStr">
        <is>
          <t>Conclave (PvP)</t>
        </is>
      </c>
      <c r="F320" t="n">
        <v>3</v>
      </c>
      <c r="G320" t="n">
        <v>1</v>
      </c>
      <c r="H320" t="inlineStr">
        <is>
          <t>Player trade (max rank)</t>
        </is>
      </c>
      <c r="I320" t="inlineStr">
        <is>
          <t>Yes</t>
        </is>
      </c>
      <c r="K320" t="inlineStr">
        <is>
          <t>Collection (PvP)</t>
        </is>
      </c>
      <c r="L320" t="n">
        <v>30</v>
      </c>
      <c r="M320" t="n">
        <v>30</v>
      </c>
      <c r="N320" t="n">
        <v>66</v>
      </c>
      <c r="O320" t="inlineStr">
        <is>
          <t>2026-10-05 UTC (WFM pull 02:52-04:00)</t>
        </is>
      </c>
      <c r="P320" t="inlineStr">
        <is>
          <t>OK</t>
        </is>
      </c>
      <c r="R320" t="inlineStr">
        <is>
          <t>Every current tradeable mod at MAX RANK (WFM catalogue, rivens/locators excluded)</t>
        </is>
      </c>
      <c r="S320" t="inlineStr">
        <is>
          <t>air_thrusters</t>
        </is>
      </c>
      <c r="T320" t="n">
        <v>5</v>
      </c>
      <c r="U320" t="n">
        <v>0</v>
      </c>
      <c r="W320" t="n">
        <v>10</v>
      </c>
      <c r="X320" t="n">
        <v>10</v>
      </c>
      <c r="Y320" t="n">
        <v>1</v>
      </c>
      <c r="Z320" t="n">
        <v>0</v>
      </c>
      <c r="AN320" t="inlineStr">
        <is>
          <t>Conclave (PvP)</t>
        </is>
      </c>
      <c r="AO320" t="n">
        <v>140</v>
      </c>
      <c r="AP320" t="n">
        <v>6762</v>
      </c>
      <c r="AQ320" t="n">
        <v>37.5</v>
      </c>
      <c r="AS320" t="inlineStr">
        <is>
          <t>PvP subtotal</t>
        </is>
      </c>
    </row>
    <row r="321">
      <c r="A321" t="inlineStr">
        <is>
          <t>Mod</t>
        </is>
      </c>
      <c r="B321" t="inlineStr">
        <is>
          <t>Air Time</t>
        </is>
      </c>
      <c r="E321" t="inlineStr">
        <is>
          <t>K-Drive</t>
        </is>
      </c>
      <c r="F321" t="n">
        <v>3</v>
      </c>
      <c r="G321" t="n">
        <v>1</v>
      </c>
      <c r="H321" t="inlineStr">
        <is>
          <t>Player trade (max rank)</t>
        </is>
      </c>
      <c r="I321" t="inlineStr">
        <is>
          <t>Yes</t>
        </is>
      </c>
      <c r="K321" t="inlineStr">
        <is>
          <t>Collection</t>
        </is>
      </c>
      <c r="L321" t="n">
        <v>15</v>
      </c>
      <c r="M321" t="n">
        <v>15</v>
      </c>
      <c r="N321" t="n">
        <v>22</v>
      </c>
      <c r="O321" t="inlineStr">
        <is>
          <t>2026-10-05 UTC (WFM pull 02:52-04:00)</t>
        </is>
      </c>
      <c r="P321" t="inlineStr">
        <is>
          <t>OK</t>
        </is>
      </c>
      <c r="R321" t="inlineStr">
        <is>
          <t>Every current tradeable mod at MAX RANK (WFM catalogue, rivens/locators excluded)</t>
        </is>
      </c>
      <c r="S321" t="inlineStr">
        <is>
          <t>air_time</t>
        </is>
      </c>
      <c r="T321" t="n">
        <v>34</v>
      </c>
      <c r="U321" t="n">
        <v>2</v>
      </c>
      <c r="V321" t="n">
        <v>20</v>
      </c>
      <c r="W321" t="n">
        <v>20</v>
      </c>
      <c r="X321" t="n">
        <v>24.3</v>
      </c>
      <c r="Y321" t="n">
        <v>6</v>
      </c>
      <c r="Z321" t="n">
        <v>1</v>
      </c>
      <c r="AN321" t="inlineStr">
        <is>
          <t>K-Drive</t>
        </is>
      </c>
      <c r="AO321" t="n">
        <v>70</v>
      </c>
      <c r="AP321" t="n">
        <v>3381</v>
      </c>
      <c r="AQ321" t="n">
        <v>10</v>
      </c>
      <c r="AS321" t="inlineStr">
        <is>
          <t>Yes</t>
        </is>
      </c>
    </row>
    <row r="322">
      <c r="A322" t="inlineStr">
        <is>
          <t>Mod</t>
        </is>
      </c>
      <c r="B322" t="inlineStr">
        <is>
          <t>Airburst Rounds</t>
        </is>
      </c>
      <c r="E322" t="inlineStr">
        <is>
          <t>Augment Zephyr</t>
        </is>
      </c>
      <c r="F322" t="n">
        <v>3</v>
      </c>
      <c r="G322" t="n">
        <v>1</v>
      </c>
      <c r="H322" t="inlineStr">
        <is>
          <t>Player trade (max rank)</t>
        </is>
      </c>
      <c r="I322" t="inlineStr">
        <is>
          <t>Yes</t>
        </is>
      </c>
      <c r="K322" t="inlineStr">
        <is>
          <t>Collection</t>
        </is>
      </c>
      <c r="L322" t="n">
        <v>10</v>
      </c>
      <c r="M322" t="n">
        <v>10</v>
      </c>
      <c r="N322" t="n">
        <v>14</v>
      </c>
      <c r="O322" t="inlineStr">
        <is>
          <t>2026-10-05 UTC (WFM pull 02:52-04:00)</t>
        </is>
      </c>
      <c r="P322" t="inlineStr">
        <is>
          <t>OK</t>
        </is>
      </c>
      <c r="R322" t="inlineStr">
        <is>
          <t>Every current tradeable mod at MAX RANK (WFM catalogue, rivens/locators excluded)</t>
        </is>
      </c>
      <c r="S322" t="inlineStr">
        <is>
          <t>airburst_rounds</t>
        </is>
      </c>
      <c r="T322" t="n">
        <v>80</v>
      </c>
      <c r="U322" t="n">
        <v>1</v>
      </c>
      <c r="V322" t="n">
        <v>10.5</v>
      </c>
      <c r="W322" t="n">
        <v>12</v>
      </c>
      <c r="X322" t="n">
        <v>12</v>
      </c>
      <c r="Y322" t="n">
        <v>65</v>
      </c>
      <c r="Z322" t="n">
        <v>2</v>
      </c>
      <c r="AN322" t="inlineStr">
        <is>
          <t>Augment Zephyr</t>
        </is>
      </c>
      <c r="AO322" t="n">
        <v>210</v>
      </c>
      <c r="AP322" t="n">
        <v>10143</v>
      </c>
      <c r="AQ322" t="n">
        <v>15</v>
      </c>
      <c r="AS322" t="inlineStr">
        <is>
          <t>Yes</t>
        </is>
      </c>
    </row>
    <row r="323">
      <c r="A323" t="inlineStr">
        <is>
          <t>Mod</t>
        </is>
      </c>
      <c r="B323" t="inlineStr">
        <is>
          <t>Amanata Pressure</t>
        </is>
      </c>
      <c r="E323" t="inlineStr">
        <is>
          <t>Augment Amanata</t>
        </is>
      </c>
      <c r="F323" t="n">
        <v>5</v>
      </c>
      <c r="G323" t="n">
        <v>1</v>
      </c>
      <c r="H323" t="inlineStr">
        <is>
          <t>Player trade (max rank)</t>
        </is>
      </c>
      <c r="I323" t="inlineStr">
        <is>
          <t>Yes</t>
        </is>
      </c>
      <c r="K323" t="inlineStr">
        <is>
          <t>Collection</t>
        </is>
      </c>
      <c r="L323" t="n">
        <v>48</v>
      </c>
      <c r="M323" t="n">
        <v>63.8</v>
      </c>
      <c r="N323" t="n">
        <v>132</v>
      </c>
      <c r="O323" t="inlineStr">
        <is>
          <t>2026-10-05 UTC (WFM pull 02:52-04:00)</t>
        </is>
      </c>
      <c r="P323" t="inlineStr">
        <is>
          <t>OK</t>
        </is>
      </c>
      <c r="R323" t="inlineStr">
        <is>
          <t>Every current tradeable mod at MAX RANK (WFM catalogue, rivens/locators excluded)</t>
        </is>
      </c>
      <c r="S323" t="inlineStr">
        <is>
          <t>amanata_pressure</t>
        </is>
      </c>
      <c r="T323" t="n">
        <v>5</v>
      </c>
      <c r="U323" t="n">
        <v>5</v>
      </c>
      <c r="V323" t="n">
        <v>42.5</v>
      </c>
      <c r="W323" t="n">
        <v>45</v>
      </c>
      <c r="X323" t="n">
        <v>43.9</v>
      </c>
      <c r="Y323" t="n">
        <v>198</v>
      </c>
      <c r="Z323" t="n">
        <v>3</v>
      </c>
      <c r="AA323" t="n">
        <v>20</v>
      </c>
      <c r="AB323" t="n">
        <v>28</v>
      </c>
      <c r="AN323" t="inlineStr">
        <is>
          <t>Augment Amanata</t>
        </is>
      </c>
      <c r="AO323" t="n">
        <v>930</v>
      </c>
      <c r="AP323" t="n">
        <v>44919</v>
      </c>
      <c r="AQ323" t="n">
        <v>52.5</v>
      </c>
      <c r="AS323" t="inlineStr">
        <is>
          <t>Yes</t>
        </is>
      </c>
    </row>
    <row r="324">
      <c r="A324" t="inlineStr">
        <is>
          <t>Mod</t>
        </is>
      </c>
      <c r="B324" t="inlineStr">
        <is>
          <t>Amar's Anguish</t>
        </is>
      </c>
      <c r="E324" t="inlineStr">
        <is>
          <t>Warframe</t>
        </is>
      </c>
      <c r="F324" t="n">
        <v>5</v>
      </c>
      <c r="G324" t="n">
        <v>1</v>
      </c>
      <c r="H324" t="inlineStr">
        <is>
          <t>Player trade (max rank)</t>
        </is>
      </c>
      <c r="I324" t="inlineStr">
        <is>
          <t>Yes</t>
        </is>
      </c>
      <c r="K324" t="inlineStr">
        <is>
          <t>Collection</t>
        </is>
      </c>
      <c r="L324" t="n">
        <v>9</v>
      </c>
      <c r="M324" t="n">
        <v>15</v>
      </c>
      <c r="N324" t="n">
        <v>29</v>
      </c>
      <c r="O324" t="inlineStr">
        <is>
          <t>2026-10-05 UTC (WFM pull 02:52-04:00)</t>
        </is>
      </c>
      <c r="P324" t="inlineStr">
        <is>
          <t>OK</t>
        </is>
      </c>
      <c r="R324" t="inlineStr">
        <is>
          <t>Every current tradeable mod at MAX RANK (WFM catalogue, rivens/locators excluded)</t>
        </is>
      </c>
      <c r="S324" t="inlineStr">
        <is>
          <t>amars_anguish</t>
        </is>
      </c>
      <c r="T324" t="n">
        <v>6</v>
      </c>
      <c r="U324" t="n">
        <v>6</v>
      </c>
      <c r="V324" t="n">
        <v>10</v>
      </c>
      <c r="W324" t="n">
        <v>10</v>
      </c>
      <c r="X324" t="n">
        <v>11</v>
      </c>
      <c r="Y324" t="n">
        <v>123</v>
      </c>
      <c r="Z324" t="n">
        <v>5</v>
      </c>
      <c r="AN324" t="inlineStr">
        <is>
          <t>Warframe</t>
        </is>
      </c>
      <c r="AO324" t="n">
        <v>310</v>
      </c>
      <c r="AP324" t="n">
        <v>14973</v>
      </c>
      <c r="AQ324" t="n">
        <v>5</v>
      </c>
      <c r="AS324" t="inlineStr">
        <is>
          <t>Yes</t>
        </is>
      </c>
    </row>
    <row r="325">
      <c r="A325" t="inlineStr">
        <is>
          <t>Mod</t>
        </is>
      </c>
      <c r="B325" t="inlineStr">
        <is>
          <t>Amar's Contempt</t>
        </is>
      </c>
      <c r="E325" t="inlineStr">
        <is>
          <t>Dual Daggers</t>
        </is>
      </c>
      <c r="F325" t="n">
        <v>5</v>
      </c>
      <c r="G325" t="n">
        <v>1</v>
      </c>
      <c r="H325" t="inlineStr">
        <is>
          <t>Player trade (max rank)</t>
        </is>
      </c>
      <c r="I325" t="inlineStr">
        <is>
          <t>Yes</t>
        </is>
      </c>
      <c r="K325" t="inlineStr">
        <is>
          <t>Collection</t>
        </is>
      </c>
      <c r="L325" t="n">
        <v>10</v>
      </c>
      <c r="M325" t="n">
        <v>15</v>
      </c>
      <c r="N325" t="n">
        <v>33</v>
      </c>
      <c r="O325" t="inlineStr">
        <is>
          <t>2026-10-05 UTC (WFM pull 02:52-04:00)</t>
        </is>
      </c>
      <c r="P325" t="inlineStr">
        <is>
          <t>OK</t>
        </is>
      </c>
      <c r="R325" t="inlineStr">
        <is>
          <t>Every current tradeable mod at MAX RANK (WFM catalogue, rivens/locators excluded)</t>
        </is>
      </c>
      <c r="S325" t="inlineStr">
        <is>
          <t>amars_contempt</t>
        </is>
      </c>
      <c r="T325" t="n">
        <v>4</v>
      </c>
      <c r="U325" t="n">
        <v>4</v>
      </c>
      <c r="V325" t="n">
        <v>10</v>
      </c>
      <c r="W325" t="n">
        <v>10</v>
      </c>
      <c r="X325" t="n">
        <v>9.5</v>
      </c>
      <c r="Y325" t="n">
        <v>104</v>
      </c>
      <c r="Z325" t="n">
        <v>1</v>
      </c>
      <c r="AN325" t="inlineStr">
        <is>
          <t>Dual Daggers</t>
        </is>
      </c>
      <c r="AO325" t="n">
        <v>930</v>
      </c>
      <c r="AP325" t="n">
        <v>44919</v>
      </c>
      <c r="AQ325" t="n">
        <v>5</v>
      </c>
      <c r="AS325" t="inlineStr">
        <is>
          <t>Yes</t>
        </is>
      </c>
    </row>
    <row r="326">
      <c r="A326" t="inlineStr">
        <is>
          <t>Mod</t>
        </is>
      </c>
      <c r="B326" t="inlineStr">
        <is>
          <t>Amar's Hatred</t>
        </is>
      </c>
      <c r="E326" t="inlineStr">
        <is>
          <t>Warframe</t>
        </is>
      </c>
      <c r="F326" t="n">
        <v>5</v>
      </c>
      <c r="G326" t="n">
        <v>1</v>
      </c>
      <c r="H326" t="inlineStr">
        <is>
          <t>Player trade (max rank)</t>
        </is>
      </c>
      <c r="I326" t="inlineStr">
        <is>
          <t>Yes</t>
        </is>
      </c>
      <c r="K326" t="inlineStr">
        <is>
          <t>Collection</t>
        </is>
      </c>
      <c r="L326" t="n">
        <v>14</v>
      </c>
      <c r="M326" t="n">
        <v>14.2</v>
      </c>
      <c r="N326" t="n">
        <v>32</v>
      </c>
      <c r="O326" t="inlineStr">
        <is>
          <t>2026-10-05 UTC (WFM pull 02:52-04:00)</t>
        </is>
      </c>
      <c r="P326" t="inlineStr">
        <is>
          <t>OK</t>
        </is>
      </c>
      <c r="R326" t="inlineStr">
        <is>
          <t>Every current tradeable mod at MAX RANK (WFM catalogue, rivens/locators excluded)</t>
        </is>
      </c>
      <c r="S326" t="inlineStr">
        <is>
          <t>amars_hatred</t>
        </is>
      </c>
      <c r="T326" t="n">
        <v>7</v>
      </c>
      <c r="U326" t="n">
        <v>7</v>
      </c>
      <c r="V326" t="n">
        <v>9.5</v>
      </c>
      <c r="W326" t="n">
        <v>10</v>
      </c>
      <c r="X326" t="n">
        <v>9.9</v>
      </c>
      <c r="Y326" t="n">
        <v>258</v>
      </c>
      <c r="Z326" t="n">
        <v>3</v>
      </c>
      <c r="AN326" t="inlineStr">
        <is>
          <t>Warframe</t>
        </is>
      </c>
      <c r="AO326" t="n">
        <v>620</v>
      </c>
      <c r="AP326" t="n">
        <v>29946</v>
      </c>
      <c r="AQ326" t="n">
        <v>4</v>
      </c>
      <c r="AS326" t="inlineStr">
        <is>
          <t>Yes</t>
        </is>
      </c>
    </row>
    <row r="327">
      <c r="A327" t="inlineStr">
        <is>
          <t>Mod</t>
        </is>
      </c>
      <c r="B327" t="inlineStr">
        <is>
          <t>Ambush</t>
        </is>
      </c>
      <c r="E327" t="inlineStr">
        <is>
          <t>Shade</t>
        </is>
      </c>
      <c r="F327" t="n">
        <v>3</v>
      </c>
      <c r="G327" t="n">
        <v>1</v>
      </c>
      <c r="H327" t="inlineStr">
        <is>
          <t>Player trade (max rank)</t>
        </is>
      </c>
      <c r="I327" t="inlineStr">
        <is>
          <t>Yes</t>
        </is>
      </c>
      <c r="K327" t="inlineStr">
        <is>
          <t>Collection</t>
        </is>
      </c>
      <c r="L327" t="n">
        <v>60</v>
      </c>
      <c r="M327" t="n">
        <v>67</v>
      </c>
      <c r="N327" t="n">
        <v>143</v>
      </c>
      <c r="O327" t="inlineStr">
        <is>
          <t>2026-10-05 UTC (WFM pull 02:52-04:00)</t>
        </is>
      </c>
      <c r="P327" t="inlineStr">
        <is>
          <t>OK</t>
        </is>
      </c>
      <c r="R327" t="inlineStr">
        <is>
          <t>Every current tradeable mod at MAX RANK (WFM catalogue, rivens/locators excluded)</t>
        </is>
      </c>
      <c r="S327" t="inlineStr">
        <is>
          <t>ambush</t>
        </is>
      </c>
      <c r="T327" t="n">
        <v>4</v>
      </c>
      <c r="U327" t="n">
        <v>4</v>
      </c>
      <c r="V327" t="n">
        <v>48</v>
      </c>
      <c r="W327" t="n">
        <v>52.5</v>
      </c>
      <c r="X327" t="n">
        <v>53</v>
      </c>
      <c r="Y327" t="n">
        <v>121</v>
      </c>
      <c r="Z327" t="n">
        <v>3</v>
      </c>
      <c r="AN327" t="inlineStr">
        <is>
          <t>Shade</t>
        </is>
      </c>
      <c r="AO327" t="n">
        <v>210</v>
      </c>
      <c r="AP327" t="n">
        <v>10143</v>
      </c>
      <c r="AQ327" t="n">
        <v>55</v>
      </c>
      <c r="AS327" t="inlineStr">
        <is>
          <t>Yes</t>
        </is>
      </c>
    </row>
    <row r="328">
      <c r="A328" t="inlineStr">
        <is>
          <t>Mod</t>
        </is>
      </c>
      <c r="B328" t="inlineStr">
        <is>
          <t>Ambush Optics</t>
        </is>
      </c>
      <c r="E328" t="inlineStr">
        <is>
          <t>Conclave (PvP)</t>
        </is>
      </c>
      <c r="F328" t="n">
        <v>3</v>
      </c>
      <c r="G328" t="n">
        <v>1</v>
      </c>
      <c r="H328" t="inlineStr">
        <is>
          <t>Player trade (max rank)</t>
        </is>
      </c>
      <c r="I328" t="inlineStr">
        <is>
          <t>Yes</t>
        </is>
      </c>
      <c r="K328" t="inlineStr">
        <is>
          <t>Collection (PvP)</t>
        </is>
      </c>
      <c r="L328" t="n">
        <v>74</v>
      </c>
      <c r="M328" t="n">
        <v>74</v>
      </c>
      <c r="N328" t="n">
        <v>88</v>
      </c>
      <c r="O328" t="inlineStr">
        <is>
          <t>2026-10-05 UTC (WFM pull 02:52-04:00)</t>
        </is>
      </c>
      <c r="P328" t="inlineStr">
        <is>
          <t>OK</t>
        </is>
      </c>
      <c r="R328" t="inlineStr">
        <is>
          <t>Every current tradeable mod at MAX RANK (WFM catalogue, rivens/locators excluded)</t>
        </is>
      </c>
      <c r="S328" t="inlineStr">
        <is>
          <t>ambush_optics</t>
        </is>
      </c>
      <c r="T328" t="n">
        <v>3</v>
      </c>
      <c r="U328" t="n">
        <v>3</v>
      </c>
      <c r="V328" t="n">
        <v>25</v>
      </c>
      <c r="W328" t="n">
        <v>15</v>
      </c>
      <c r="X328" t="n">
        <v>17.8</v>
      </c>
      <c r="Y328" t="n">
        <v>52</v>
      </c>
      <c r="Z328" t="n">
        <v>1</v>
      </c>
      <c r="AN328" t="inlineStr">
        <is>
          <t>Conclave (PvP)</t>
        </is>
      </c>
      <c r="AO328" t="n">
        <v>210</v>
      </c>
      <c r="AP328" t="n">
        <v>10143</v>
      </c>
      <c r="AQ328" t="n">
        <v>20</v>
      </c>
      <c r="AS328" t="inlineStr">
        <is>
          <t>PvP subtotal</t>
        </is>
      </c>
    </row>
    <row r="329">
      <c r="A329" t="inlineStr">
        <is>
          <t>Mod</t>
        </is>
      </c>
      <c r="B329" t="inlineStr">
        <is>
          <t>Ammo Case</t>
        </is>
      </c>
      <c r="E329" t="inlineStr">
        <is>
          <t>Carrier</t>
        </is>
      </c>
      <c r="F329" t="n">
        <v>5</v>
      </c>
      <c r="G329" t="n">
        <v>1</v>
      </c>
      <c r="H329" t="inlineStr">
        <is>
          <t>Player trade (max rank)</t>
        </is>
      </c>
      <c r="I329" t="inlineStr">
        <is>
          <t>Yes</t>
        </is>
      </c>
      <c r="K329" t="inlineStr">
        <is>
          <t>Collection</t>
        </is>
      </c>
      <c r="L329" t="n">
        <v>2</v>
      </c>
      <c r="M329" t="n">
        <v>6</v>
      </c>
      <c r="N329" t="n">
        <v>10</v>
      </c>
      <c r="O329" t="inlineStr">
        <is>
          <t>2026-10-05 UTC (WFM pull 02:52-04:00)</t>
        </is>
      </c>
      <c r="P329" t="inlineStr">
        <is>
          <t>OK</t>
        </is>
      </c>
      <c r="R329" t="inlineStr">
        <is>
          <t>Every current tradeable mod at MAX RANK (WFM catalogue, rivens/locators excluded)</t>
        </is>
      </c>
      <c r="S329" t="inlineStr">
        <is>
          <t>ammo_case</t>
        </is>
      </c>
      <c r="T329" t="n">
        <v>58</v>
      </c>
      <c r="U329" t="n">
        <v>2</v>
      </c>
      <c r="W329" t="n">
        <v>10</v>
      </c>
      <c r="X329" t="n">
        <v>13.2</v>
      </c>
      <c r="Y329" t="n">
        <v>4</v>
      </c>
      <c r="Z329" t="n">
        <v>0</v>
      </c>
      <c r="AN329" t="inlineStr">
        <is>
          <t>Carrier</t>
        </is>
      </c>
      <c r="AO329" t="n">
        <v>310</v>
      </c>
      <c r="AP329" t="n">
        <v>14973</v>
      </c>
      <c r="AQ329" t="n">
        <v>3</v>
      </c>
      <c r="AS329" t="inlineStr">
        <is>
          <t>Yes</t>
        </is>
      </c>
    </row>
    <row r="330">
      <c r="A330" t="inlineStr">
        <is>
          <t>Mod</t>
        </is>
      </c>
      <c r="B330" t="inlineStr">
        <is>
          <t>Ammo Chain</t>
        </is>
      </c>
      <c r="E330" t="inlineStr">
        <is>
          <t>Archgun</t>
        </is>
      </c>
      <c r="F330" t="n">
        <v>5</v>
      </c>
      <c r="G330" t="n">
        <v>1</v>
      </c>
      <c r="H330" t="inlineStr">
        <is>
          <t>Player trade (max rank)</t>
        </is>
      </c>
      <c r="I330" t="inlineStr">
        <is>
          <t>Yes</t>
        </is>
      </c>
      <c r="K330" t="inlineStr">
        <is>
          <t>Collection</t>
        </is>
      </c>
      <c r="L330" t="n">
        <v>4</v>
      </c>
      <c r="M330" t="n">
        <v>4</v>
      </c>
      <c r="N330" t="n">
        <v>9</v>
      </c>
      <c r="O330" t="inlineStr">
        <is>
          <t>2026-10-05 UTC (WFM pull 02:52-04:00)</t>
        </is>
      </c>
      <c r="P330" t="inlineStr">
        <is>
          <t>OK</t>
        </is>
      </c>
      <c r="R330" t="inlineStr">
        <is>
          <t>Every current tradeable mod at MAX RANK (WFM catalogue, rivens/locators excluded)</t>
        </is>
      </c>
      <c r="S330" t="inlineStr">
        <is>
          <t>ammo_chain</t>
        </is>
      </c>
      <c r="T330" t="n">
        <v>78</v>
      </c>
      <c r="U330" t="n">
        <v>2</v>
      </c>
      <c r="V330" t="n">
        <v>8</v>
      </c>
      <c r="W330" t="n">
        <v>15</v>
      </c>
      <c r="X330" t="n">
        <v>14.2</v>
      </c>
      <c r="Y330" t="n">
        <v>16</v>
      </c>
      <c r="Z330" t="n">
        <v>0</v>
      </c>
      <c r="AN330" t="inlineStr">
        <is>
          <t>Archgun</t>
        </is>
      </c>
      <c r="AO330" t="n">
        <v>620</v>
      </c>
      <c r="AP330" t="n">
        <v>29946</v>
      </c>
      <c r="AQ330" t="n">
        <v>4</v>
      </c>
      <c r="AS330" t="inlineStr">
        <is>
          <t>Yes</t>
        </is>
      </c>
    </row>
    <row r="331">
      <c r="A331" t="inlineStr">
        <is>
          <t>Mod</t>
        </is>
      </c>
      <c r="B331" t="inlineStr">
        <is>
          <t>Ammo Drum</t>
        </is>
      </c>
      <c r="E331" t="inlineStr">
        <is>
          <t>Rifle</t>
        </is>
      </c>
      <c r="F331" t="n">
        <v>5</v>
      </c>
      <c r="G331" t="n">
        <v>1</v>
      </c>
      <c r="H331" t="inlineStr">
        <is>
          <t>Player trade (max rank)</t>
        </is>
      </c>
      <c r="I331" t="inlineStr">
        <is>
          <t>Yes</t>
        </is>
      </c>
      <c r="K331" t="inlineStr">
        <is>
          <t>Collection</t>
        </is>
      </c>
      <c r="L331" t="n">
        <v>5</v>
      </c>
      <c r="M331" t="n">
        <v>9</v>
      </c>
      <c r="N331" t="n">
        <v>20</v>
      </c>
      <c r="O331" t="inlineStr">
        <is>
          <t>2026-10-05 UTC (WFM pull 02:52-04:00)</t>
        </is>
      </c>
      <c r="P331" t="inlineStr">
        <is>
          <t>OK</t>
        </is>
      </c>
      <c r="R331" t="inlineStr">
        <is>
          <t>Every current tradeable mod at MAX RANK (WFM catalogue, rivens/locators excluded)</t>
        </is>
      </c>
      <c r="S331" t="inlineStr">
        <is>
          <t>ammo_drum</t>
        </is>
      </c>
      <c r="T331" t="n">
        <v>6</v>
      </c>
      <c r="U331" t="n">
        <v>6</v>
      </c>
      <c r="V331" t="n">
        <v>9</v>
      </c>
      <c r="W331" t="n">
        <v>9</v>
      </c>
      <c r="X331" t="n">
        <v>29.5</v>
      </c>
      <c r="Y331" t="n">
        <v>8</v>
      </c>
      <c r="Z331" t="n">
        <v>0</v>
      </c>
      <c r="AN331" t="inlineStr">
        <is>
          <t>Rifle</t>
        </is>
      </c>
      <c r="AO331" t="n">
        <v>310</v>
      </c>
      <c r="AP331" t="n">
        <v>14973</v>
      </c>
      <c r="AQ331" t="n">
        <v>2</v>
      </c>
      <c r="AS331" t="inlineStr">
        <is>
          <t>Yes</t>
        </is>
      </c>
    </row>
    <row r="332">
      <c r="A332" t="inlineStr">
        <is>
          <t>Mod</t>
        </is>
      </c>
      <c r="B332" t="inlineStr">
        <is>
          <t>Ammo Stock</t>
        </is>
      </c>
      <c r="E332" t="inlineStr">
        <is>
          <t>Shotgun</t>
        </is>
      </c>
      <c r="F332" t="n">
        <v>5</v>
      </c>
      <c r="G332" t="n">
        <v>1</v>
      </c>
      <c r="H332" t="inlineStr">
        <is>
          <t>Player trade (max rank)</t>
        </is>
      </c>
      <c r="I332" t="inlineStr">
        <is>
          <t>Yes</t>
        </is>
      </c>
      <c r="K332" t="inlineStr">
        <is>
          <t>Collection</t>
        </is>
      </c>
      <c r="L332" t="n">
        <v>4</v>
      </c>
      <c r="M332" t="n">
        <v>5</v>
      </c>
      <c r="N332" t="n">
        <v>11</v>
      </c>
      <c r="O332" t="inlineStr">
        <is>
          <t>2026-10-05 UTC (WFM pull 02:52-04:00)</t>
        </is>
      </c>
      <c r="P332" t="inlineStr">
        <is>
          <t>OK</t>
        </is>
      </c>
      <c r="R332" t="inlineStr">
        <is>
          <t>Every current tradeable mod at MAX RANK (WFM catalogue, rivens/locators excluded)</t>
        </is>
      </c>
      <c r="S332" t="inlineStr">
        <is>
          <t>ammo_stock</t>
        </is>
      </c>
      <c r="T332" t="n">
        <v>78</v>
      </c>
      <c r="U332" t="n">
        <v>2</v>
      </c>
      <c r="V332" t="n">
        <v>14</v>
      </c>
      <c r="W332" t="n">
        <v>12</v>
      </c>
      <c r="X332" t="n">
        <v>11.6</v>
      </c>
      <c r="Y332" t="n">
        <v>32</v>
      </c>
      <c r="Z332" t="n">
        <v>1</v>
      </c>
      <c r="AN332" t="inlineStr">
        <is>
          <t>Shotgun</t>
        </is>
      </c>
      <c r="AO332" t="n">
        <v>620</v>
      </c>
      <c r="AP332" t="n">
        <v>29946</v>
      </c>
      <c r="AQ332" t="n">
        <v>5</v>
      </c>
      <c r="AS332" t="inlineStr">
        <is>
          <t>Yes</t>
        </is>
      </c>
    </row>
    <row r="333">
      <c r="A333" t="inlineStr">
        <is>
          <t>Mod</t>
        </is>
      </c>
      <c r="B333" t="inlineStr">
        <is>
          <t>Anabolic Pollination</t>
        </is>
      </c>
      <c r="E333" t="inlineStr">
        <is>
          <t>Pharaoh Predasite</t>
        </is>
      </c>
      <c r="F333" t="n">
        <v>3</v>
      </c>
      <c r="G333" t="n">
        <v>1</v>
      </c>
      <c r="H333" t="inlineStr">
        <is>
          <t>Player trade (max rank)</t>
        </is>
      </c>
      <c r="I333" t="inlineStr">
        <is>
          <t>Yes</t>
        </is>
      </c>
      <c r="K333" t="inlineStr">
        <is>
          <t>Collection</t>
        </is>
      </c>
      <c r="L333" t="n">
        <v>9</v>
      </c>
      <c r="M333" t="n">
        <v>15</v>
      </c>
      <c r="N333" t="n">
        <v>33</v>
      </c>
      <c r="O333" t="inlineStr">
        <is>
          <t>2026-10-05 UTC (WFM pull 02:52-04:00)</t>
        </is>
      </c>
      <c r="P333" t="inlineStr">
        <is>
          <t>OK</t>
        </is>
      </c>
      <c r="R333" t="inlineStr">
        <is>
          <t>Every current tradeable mod at MAX RANK (WFM catalogue, rivens/locators excluded)</t>
        </is>
      </c>
      <c r="S333" t="inlineStr">
        <is>
          <t>anabolic_pollination</t>
        </is>
      </c>
      <c r="T333" t="n">
        <v>3</v>
      </c>
      <c r="U333" t="n">
        <v>3</v>
      </c>
      <c r="V333" t="n">
        <v>20</v>
      </c>
      <c r="W333" t="n">
        <v>30</v>
      </c>
      <c r="X333" t="n">
        <v>27.4</v>
      </c>
      <c r="Y333" t="n">
        <v>81</v>
      </c>
      <c r="Z333" t="n">
        <v>0</v>
      </c>
      <c r="AN333" t="inlineStr">
        <is>
          <t>Pharaoh Predasite</t>
        </is>
      </c>
      <c r="AO333" t="n">
        <v>210</v>
      </c>
      <c r="AP333" t="n">
        <v>10143</v>
      </c>
      <c r="AQ333" t="n">
        <v>9</v>
      </c>
      <c r="AS333" t="inlineStr">
        <is>
          <t>Yes</t>
        </is>
      </c>
    </row>
    <row r="334">
      <c r="A334" t="inlineStr">
        <is>
          <t>Mod</t>
        </is>
      </c>
      <c r="B334" t="inlineStr">
        <is>
          <t>Anchored Glide</t>
        </is>
      </c>
      <c r="E334" t="inlineStr">
        <is>
          <t>Zephyr</t>
        </is>
      </c>
      <c r="F334" t="n">
        <v>5</v>
      </c>
      <c r="G334" t="n">
        <v>1</v>
      </c>
      <c r="H334" t="inlineStr">
        <is>
          <t>Player trade (max rank)</t>
        </is>
      </c>
      <c r="I334" t="inlineStr">
        <is>
          <t>Yes</t>
        </is>
      </c>
      <c r="K334" t="inlineStr">
        <is>
          <t>Collection</t>
        </is>
      </c>
      <c r="L334" t="n">
        <v>10</v>
      </c>
      <c r="M334" t="n">
        <v>12</v>
      </c>
      <c r="N334" t="n">
        <v>15</v>
      </c>
      <c r="O334" t="inlineStr">
        <is>
          <t>2026-10-05 UTC (WFM pull 02:52-04:00)</t>
        </is>
      </c>
      <c r="P334" t="inlineStr">
        <is>
          <t>OK</t>
        </is>
      </c>
      <c r="R334" t="inlineStr">
        <is>
          <t>Every current tradeable mod at MAX RANK (WFM catalogue, rivens/locators excluded)</t>
        </is>
      </c>
      <c r="S334" t="inlineStr">
        <is>
          <t>anchored_glide</t>
        </is>
      </c>
      <c r="T334" t="n">
        <v>64</v>
      </c>
      <c r="U334" t="n">
        <v>1</v>
      </c>
      <c r="V334" t="n">
        <v>11</v>
      </c>
      <c r="W334" t="n">
        <v>12.5</v>
      </c>
      <c r="X334" t="n">
        <v>14.5</v>
      </c>
      <c r="Y334" t="n">
        <v>11</v>
      </c>
      <c r="Z334" t="n">
        <v>1</v>
      </c>
      <c r="AN334" t="inlineStr">
        <is>
          <t>Zephyr</t>
        </is>
      </c>
      <c r="AO334" t="n">
        <v>930</v>
      </c>
      <c r="AP334" t="n">
        <v>44919</v>
      </c>
      <c r="AQ334" t="n">
        <v>14</v>
      </c>
      <c r="AS334" t="inlineStr">
        <is>
          <t>Yes</t>
        </is>
      </c>
    </row>
    <row r="335">
      <c r="A335" t="inlineStr">
        <is>
          <t>Mod</t>
        </is>
      </c>
      <c r="B335" t="inlineStr">
        <is>
          <t>Anemic Agility</t>
        </is>
      </c>
      <c r="E335" t="inlineStr">
        <is>
          <t>Pistol</t>
        </is>
      </c>
      <c r="F335" t="n">
        <v>5</v>
      </c>
      <c r="G335" t="n">
        <v>1</v>
      </c>
      <c r="H335" t="inlineStr">
        <is>
          <t>Player trade (max rank)</t>
        </is>
      </c>
      <c r="I335" t="inlineStr">
        <is>
          <t>Yes</t>
        </is>
      </c>
      <c r="K335" t="inlineStr">
        <is>
          <t>Collection</t>
        </is>
      </c>
      <c r="L335" t="n">
        <v>13</v>
      </c>
      <c r="M335" t="n">
        <v>15</v>
      </c>
      <c r="N335" t="n">
        <v>22</v>
      </c>
      <c r="O335" t="inlineStr">
        <is>
          <t>2026-10-05 UTC (WFM pull 02:52-04:00)</t>
        </is>
      </c>
      <c r="P335" t="inlineStr">
        <is>
          <t>OK</t>
        </is>
      </c>
      <c r="R335" t="inlineStr">
        <is>
          <t>Every current tradeable mod at MAX RANK (WFM catalogue, rivens/locators excluded)</t>
        </is>
      </c>
      <c r="S335" t="inlineStr">
        <is>
          <t>anemic_agility</t>
        </is>
      </c>
      <c r="T335" t="n">
        <v>12</v>
      </c>
      <c r="U335" t="n">
        <v>12</v>
      </c>
      <c r="V335" t="n">
        <v>14</v>
      </c>
      <c r="W335" t="n">
        <v>13.5</v>
      </c>
      <c r="X335" t="n">
        <v>12.8</v>
      </c>
      <c r="Y335" t="n">
        <v>1138</v>
      </c>
      <c r="Z335" t="n">
        <v>10</v>
      </c>
      <c r="AA335" t="n">
        <v>5</v>
      </c>
      <c r="AB335" t="n">
        <v>8</v>
      </c>
      <c r="AN335" t="inlineStr">
        <is>
          <t>Pistol</t>
        </is>
      </c>
      <c r="AO335" t="n">
        <v>930</v>
      </c>
      <c r="AP335" t="n">
        <v>44919</v>
      </c>
      <c r="AQ335" t="n">
        <v>9</v>
      </c>
      <c r="AS335" t="inlineStr">
        <is>
          <t>Yes</t>
        </is>
      </c>
    </row>
    <row r="336">
      <c r="A336" t="inlineStr">
        <is>
          <t>Mod</t>
        </is>
      </c>
      <c r="B336" t="inlineStr">
        <is>
          <t>Animal Instinct</t>
        </is>
      </c>
      <c r="E336" t="inlineStr">
        <is>
          <t>Companion</t>
        </is>
      </c>
      <c r="F336" t="n">
        <v>5</v>
      </c>
      <c r="G336" t="n">
        <v>1</v>
      </c>
      <c r="H336" t="inlineStr">
        <is>
          <t>Player trade (max rank)</t>
        </is>
      </c>
      <c r="I336" t="inlineStr">
        <is>
          <t>Yes</t>
        </is>
      </c>
      <c r="K336" t="inlineStr">
        <is>
          <t>Collection</t>
        </is>
      </c>
      <c r="L336" t="n">
        <v>9</v>
      </c>
      <c r="M336" t="n">
        <v>13.5</v>
      </c>
      <c r="N336" t="n">
        <v>30</v>
      </c>
      <c r="O336" t="inlineStr">
        <is>
          <t>2026-10-05 UTC (WFM pull 02:52-04:00)</t>
        </is>
      </c>
      <c r="P336" t="inlineStr">
        <is>
          <t>OK</t>
        </is>
      </c>
      <c r="R336" t="inlineStr">
        <is>
          <t>Every current tradeable mod at MAX RANK (WFM catalogue, rivens/locators excluded)</t>
        </is>
      </c>
      <c r="S336" t="inlineStr">
        <is>
          <t>animal_instinct</t>
        </is>
      </c>
      <c r="T336" t="n">
        <v>6</v>
      </c>
      <c r="U336" t="n">
        <v>6</v>
      </c>
      <c r="V336" t="n">
        <v>9</v>
      </c>
      <c r="W336" t="n">
        <v>9</v>
      </c>
      <c r="X336" t="n">
        <v>8.9</v>
      </c>
      <c r="Y336" t="n">
        <v>242</v>
      </c>
      <c r="Z336" t="n">
        <v>3</v>
      </c>
      <c r="AN336" t="inlineStr">
        <is>
          <t>Companion</t>
        </is>
      </c>
      <c r="AO336" t="n">
        <v>930</v>
      </c>
      <c r="AP336" t="n">
        <v>44919</v>
      </c>
      <c r="AQ336" t="n">
        <v>5</v>
      </c>
      <c r="AS336" t="inlineStr">
        <is>
          <t>Yes</t>
        </is>
      </c>
    </row>
    <row r="337">
      <c r="A337" t="inlineStr">
        <is>
          <t>Mod</t>
        </is>
      </c>
      <c r="B337" t="inlineStr">
        <is>
          <t>Anti-Flak Plating</t>
        </is>
      </c>
      <c r="E337" t="inlineStr">
        <is>
          <t>Conclave (PvP)</t>
        </is>
      </c>
      <c r="F337" t="n">
        <v>3</v>
      </c>
      <c r="G337" t="n">
        <v>1</v>
      </c>
      <c r="H337" t="inlineStr">
        <is>
          <t>Player trade (max rank)</t>
        </is>
      </c>
      <c r="I337" t="inlineStr">
        <is>
          <t>Yes</t>
        </is>
      </c>
      <c r="K337" t="inlineStr">
        <is>
          <t>Collection (PvP)</t>
        </is>
      </c>
      <c r="L337" t="n">
        <v>275</v>
      </c>
      <c r="M337" t="n">
        <v>287.5</v>
      </c>
      <c r="N337" t="n">
        <v>330</v>
      </c>
      <c r="O337" t="inlineStr">
        <is>
          <t>2026-10-05 UTC (WFM pull 02:52-04:00)</t>
        </is>
      </c>
      <c r="P337" t="inlineStr">
        <is>
          <t>THIN</t>
        </is>
      </c>
      <c r="R337" t="inlineStr">
        <is>
          <t>Every current tradeable mod at MAX RANK (WFM catalogue, rivens/locators excluded)</t>
        </is>
      </c>
      <c r="S337" t="inlineStr">
        <is>
          <t>anti_flak_plating</t>
        </is>
      </c>
      <c r="T337" t="n">
        <v>2</v>
      </c>
      <c r="U337" t="n">
        <v>0</v>
      </c>
      <c r="Y337" t="n">
        <v>0</v>
      </c>
      <c r="Z337" t="n">
        <v>0</v>
      </c>
      <c r="AN337" t="inlineStr">
        <is>
          <t>Conclave (PvP)</t>
        </is>
      </c>
      <c r="AO337" t="n">
        <v>140</v>
      </c>
      <c r="AP337" t="n">
        <v>6762</v>
      </c>
      <c r="AQ337" t="n">
        <v>50</v>
      </c>
      <c r="AS337" t="inlineStr">
        <is>
          <t>PvP subtotal</t>
        </is>
      </c>
    </row>
    <row r="338">
      <c r="A338" t="inlineStr">
        <is>
          <t>Mod</t>
        </is>
      </c>
      <c r="B338" t="inlineStr">
        <is>
          <t>Anti-Grav Array</t>
        </is>
      </c>
      <c r="E338" t="inlineStr">
        <is>
          <t>Robotic</t>
        </is>
      </c>
      <c r="F338" t="n">
        <v>3</v>
      </c>
      <c r="G338" t="n">
        <v>1</v>
      </c>
      <c r="H338" t="inlineStr">
        <is>
          <t>Player trade (max rank)</t>
        </is>
      </c>
      <c r="I338" t="inlineStr">
        <is>
          <t>Yes</t>
        </is>
      </c>
      <c r="K338" t="inlineStr">
        <is>
          <t>Collection</t>
        </is>
      </c>
      <c r="L338" t="n">
        <v>30</v>
      </c>
      <c r="M338" t="n">
        <v>35</v>
      </c>
      <c r="N338" t="n">
        <v>77</v>
      </c>
      <c r="O338" t="inlineStr">
        <is>
          <t>2026-10-05 UTC (WFM pull 02:52-04:00)</t>
        </is>
      </c>
      <c r="P338" t="inlineStr">
        <is>
          <t>OK</t>
        </is>
      </c>
      <c r="R338" t="inlineStr">
        <is>
          <t>Every current tradeable mod at MAX RANK (WFM catalogue, rivens/locators excluded)</t>
        </is>
      </c>
      <c r="S338" t="inlineStr">
        <is>
          <t>anti_grav_array</t>
        </is>
      </c>
      <c r="T338" t="n">
        <v>4</v>
      </c>
      <c r="U338" t="n">
        <v>4</v>
      </c>
      <c r="V338" t="n">
        <v>39</v>
      </c>
      <c r="W338" t="n">
        <v>25</v>
      </c>
      <c r="X338" t="n">
        <v>28.9</v>
      </c>
      <c r="Y338" t="n">
        <v>20</v>
      </c>
      <c r="Z338" t="n">
        <v>0</v>
      </c>
      <c r="AN338" t="inlineStr">
        <is>
          <t>Robotic</t>
        </is>
      </c>
      <c r="AO338" t="n">
        <v>210</v>
      </c>
      <c r="AP338" t="n">
        <v>10143</v>
      </c>
      <c r="AQ338" t="n">
        <v>17</v>
      </c>
      <c r="AS338" t="inlineStr">
        <is>
          <t>Yes</t>
        </is>
      </c>
    </row>
    <row r="339">
      <c r="A339" t="inlineStr">
        <is>
          <t>Mod</t>
        </is>
      </c>
      <c r="B339" t="inlineStr">
        <is>
          <t>Anti-Grav Grenade</t>
        </is>
      </c>
      <c r="E339" t="inlineStr">
        <is>
          <t>MOA</t>
        </is>
      </c>
      <c r="F339" t="n">
        <v>3</v>
      </c>
      <c r="G339" t="n">
        <v>1</v>
      </c>
      <c r="H339" t="inlineStr">
        <is>
          <t>Player trade (max rank)</t>
        </is>
      </c>
      <c r="I339" t="inlineStr">
        <is>
          <t>Yes</t>
        </is>
      </c>
      <c r="K339" t="inlineStr">
        <is>
          <t>Collection</t>
        </is>
      </c>
      <c r="L339" t="n">
        <v>70</v>
      </c>
      <c r="M339" t="n">
        <v>75</v>
      </c>
      <c r="N339" t="n">
        <v>111</v>
      </c>
      <c r="O339" t="inlineStr">
        <is>
          <t>2026-10-05 UTC (WFM pull 02:52-04:00)</t>
        </is>
      </c>
      <c r="P339" t="inlineStr">
        <is>
          <t>OK</t>
        </is>
      </c>
      <c r="R339" t="inlineStr">
        <is>
          <t>Every current tradeable mod at MAX RANK (WFM catalogue, rivens/locators excluded)</t>
        </is>
      </c>
      <c r="S339" t="inlineStr">
        <is>
          <t>anti_grav_grenade</t>
        </is>
      </c>
      <c r="T339" t="n">
        <v>3</v>
      </c>
      <c r="U339" t="n">
        <v>3</v>
      </c>
      <c r="V339" t="n">
        <v>50</v>
      </c>
      <c r="W339" t="n">
        <v>50</v>
      </c>
      <c r="X339" t="n">
        <v>53.3</v>
      </c>
      <c r="Y339" t="n">
        <v>6</v>
      </c>
      <c r="Z339" t="n">
        <v>1</v>
      </c>
      <c r="AA339" t="n">
        <v>30</v>
      </c>
      <c r="AB339" t="n">
        <v>40</v>
      </c>
      <c r="AN339" t="inlineStr">
        <is>
          <t>MOA</t>
        </is>
      </c>
      <c r="AO339" t="n">
        <v>70</v>
      </c>
      <c r="AP339" t="n">
        <v>3381</v>
      </c>
      <c r="AQ339" t="n">
        <v>70</v>
      </c>
      <c r="AS339" t="inlineStr">
        <is>
          <t>Yes</t>
        </is>
      </c>
    </row>
    <row r="340">
      <c r="A340" t="inlineStr">
        <is>
          <t>Mod</t>
        </is>
      </c>
      <c r="B340" t="inlineStr">
        <is>
          <t>Anti-V</t>
        </is>
      </c>
      <c r="E340" t="inlineStr">
        <is>
          <t>Parazon</t>
        </is>
      </c>
      <c r="F340" t="n">
        <v>3</v>
      </c>
      <c r="G340" t="n">
        <v>1</v>
      </c>
      <c r="H340" t="inlineStr">
        <is>
          <t>Player trade (max rank)</t>
        </is>
      </c>
      <c r="I340" t="inlineStr">
        <is>
          <t>Yes</t>
        </is>
      </c>
      <c r="K340" t="inlineStr">
        <is>
          <t>Collection</t>
        </is>
      </c>
      <c r="L340" t="n">
        <v>4</v>
      </c>
      <c r="M340" t="n">
        <v>5</v>
      </c>
      <c r="N340" t="n">
        <v>8</v>
      </c>
      <c r="O340" t="inlineStr">
        <is>
          <t>2026-10-05 UTC (WFM pull 02:52-04:00)</t>
        </is>
      </c>
      <c r="P340" t="inlineStr">
        <is>
          <t>OK</t>
        </is>
      </c>
      <c r="R340" t="inlineStr">
        <is>
          <t>Every current tradeable mod at MAX RANK (WFM catalogue, rivens/locators excluded)</t>
        </is>
      </c>
      <c r="S340" t="inlineStr">
        <is>
          <t>anti_v</t>
        </is>
      </c>
      <c r="T340" t="n">
        <v>9</v>
      </c>
      <c r="U340" t="n">
        <v>9</v>
      </c>
      <c r="V340" t="n">
        <v>5</v>
      </c>
      <c r="W340" t="n">
        <v>5</v>
      </c>
      <c r="X340" t="n">
        <v>5</v>
      </c>
      <c r="Y340" t="n">
        <v>1245</v>
      </c>
      <c r="Z340" t="n">
        <v>32</v>
      </c>
      <c r="AN340" t="inlineStr">
        <is>
          <t>Parazon</t>
        </is>
      </c>
      <c r="AO340" t="n">
        <v>210</v>
      </c>
      <c r="AP340" t="n">
        <v>10143</v>
      </c>
      <c r="AQ340" t="n">
        <v>5</v>
      </c>
      <c r="AS340" t="inlineStr">
        <is>
          <t>Yes</t>
        </is>
      </c>
    </row>
    <row r="341">
      <c r="A341" t="inlineStr">
        <is>
          <t>Mod</t>
        </is>
      </c>
      <c r="B341" t="inlineStr">
        <is>
          <t>Anticipation</t>
        </is>
      </c>
      <c r="E341" t="inlineStr">
        <is>
          <t>Conclave (PvP)</t>
        </is>
      </c>
      <c r="F341" t="n">
        <v>3</v>
      </c>
      <c r="G341" t="n">
        <v>1</v>
      </c>
      <c r="H341" t="inlineStr">
        <is>
          <t>Player trade (max rank)</t>
        </is>
      </c>
      <c r="I341" t="inlineStr">
        <is>
          <t>Yes</t>
        </is>
      </c>
      <c r="K341" t="inlineStr">
        <is>
          <t>Collection (PvP)</t>
        </is>
      </c>
      <c r="L341" t="n">
        <v>200</v>
      </c>
      <c r="M341" t="n">
        <v>250</v>
      </c>
      <c r="N341" t="n">
        <v>330</v>
      </c>
      <c r="O341" t="inlineStr">
        <is>
          <t>2026-10-05 UTC (WFM pull 02:52-04:00)</t>
        </is>
      </c>
      <c r="P341" t="inlineStr">
        <is>
          <t>OK</t>
        </is>
      </c>
      <c r="R341" t="inlineStr">
        <is>
          <t>Every current tradeable mod at MAX RANK (WFM catalogue, rivens/locators excluded)</t>
        </is>
      </c>
      <c r="S341" t="inlineStr">
        <is>
          <t>anticipation</t>
        </is>
      </c>
      <c r="T341" t="n">
        <v>4</v>
      </c>
      <c r="U341" t="n">
        <v>0</v>
      </c>
      <c r="V341" t="n">
        <v>195</v>
      </c>
      <c r="W341" t="n">
        <v>20</v>
      </c>
      <c r="X341" t="n">
        <v>107.5</v>
      </c>
      <c r="Y341" t="n">
        <v>2</v>
      </c>
      <c r="Z341" t="n">
        <v>0</v>
      </c>
      <c r="AN341" t="inlineStr">
        <is>
          <t>Conclave (PvP)</t>
        </is>
      </c>
      <c r="AO341" t="n">
        <v>140</v>
      </c>
      <c r="AP341" t="n">
        <v>6762</v>
      </c>
      <c r="AQ341" t="n">
        <v>40</v>
      </c>
      <c r="AS341" t="inlineStr">
        <is>
          <t>PvP subtotal</t>
        </is>
      </c>
    </row>
    <row r="342">
      <c r="A342" t="inlineStr">
        <is>
          <t>Mod</t>
        </is>
      </c>
      <c r="B342" t="inlineStr">
        <is>
          <t>Antimatter Absorb</t>
        </is>
      </c>
      <c r="E342" t="inlineStr">
        <is>
          <t>Augment Nova</t>
        </is>
      </c>
      <c r="F342" t="n">
        <v>3</v>
      </c>
      <c r="G342" t="n">
        <v>1</v>
      </c>
      <c r="H342" t="inlineStr">
        <is>
          <t>Player trade (max rank)</t>
        </is>
      </c>
      <c r="I342" t="inlineStr">
        <is>
          <t>Yes</t>
        </is>
      </c>
      <c r="K342" t="inlineStr">
        <is>
          <t>Collection</t>
        </is>
      </c>
      <c r="L342" t="n">
        <v>14</v>
      </c>
      <c r="M342" t="n">
        <v>18</v>
      </c>
      <c r="N342" t="n">
        <v>40</v>
      </c>
      <c r="O342" t="inlineStr">
        <is>
          <t>2026-10-05 UTC (WFM pull 02:52-04:00)</t>
        </is>
      </c>
      <c r="P342" t="inlineStr">
        <is>
          <t>OK</t>
        </is>
      </c>
      <c r="R342" t="inlineStr">
        <is>
          <t>Every current tradeable mod at MAX RANK (WFM catalogue, rivens/locators excluded)</t>
        </is>
      </c>
      <c r="S342" t="inlineStr">
        <is>
          <t>antimatter_absorb</t>
        </is>
      </c>
      <c r="T342" t="n">
        <v>6</v>
      </c>
      <c r="U342" t="n">
        <v>6</v>
      </c>
      <c r="V342" t="n">
        <v>12</v>
      </c>
      <c r="W342" t="n">
        <v>12</v>
      </c>
      <c r="X342" t="n">
        <v>12.3</v>
      </c>
      <c r="Y342" t="n">
        <v>35</v>
      </c>
      <c r="Z342" t="n">
        <v>1</v>
      </c>
      <c r="AN342" t="inlineStr">
        <is>
          <t>Augment Nova</t>
        </is>
      </c>
      <c r="AO342" t="n">
        <v>210</v>
      </c>
      <c r="AP342" t="n">
        <v>10143</v>
      </c>
      <c r="AQ342" t="n">
        <v>14</v>
      </c>
      <c r="AS342" t="inlineStr">
        <is>
          <t>Yes</t>
        </is>
      </c>
    </row>
    <row r="343">
      <c r="A343" t="inlineStr">
        <is>
          <t>Mod</t>
        </is>
      </c>
      <c r="B343" t="inlineStr">
        <is>
          <t>Antimatter Mine</t>
        </is>
      </c>
      <c r="E343" t="inlineStr">
        <is>
          <t>Augment Nova</t>
        </is>
      </c>
      <c r="F343" t="n">
        <v>3</v>
      </c>
      <c r="G343" t="n">
        <v>1</v>
      </c>
      <c r="H343" t="inlineStr">
        <is>
          <t>Player trade (max rank)</t>
        </is>
      </c>
      <c r="I343" t="inlineStr">
        <is>
          <t>Yes</t>
        </is>
      </c>
      <c r="K343" t="inlineStr">
        <is>
          <t>Collection</t>
        </is>
      </c>
      <c r="L343" t="n">
        <v>48</v>
      </c>
      <c r="M343" t="n">
        <v>75</v>
      </c>
      <c r="N343" t="n">
        <v>165</v>
      </c>
      <c r="O343" t="inlineStr">
        <is>
          <t>2026-10-05 UTC (WFM pull 02:52-04:00)</t>
        </is>
      </c>
      <c r="P343" t="inlineStr">
        <is>
          <t>OK</t>
        </is>
      </c>
      <c r="R343" t="inlineStr">
        <is>
          <t>Every current tradeable mod at MAX RANK (WFM catalogue, rivens/locators excluded)</t>
        </is>
      </c>
      <c r="S343" t="inlineStr">
        <is>
          <t>antimatter_mine</t>
        </is>
      </c>
      <c r="T343" t="n">
        <v>6</v>
      </c>
      <c r="U343" t="n">
        <v>0</v>
      </c>
      <c r="V343" t="n">
        <v>50</v>
      </c>
      <c r="W343" t="n">
        <v>50</v>
      </c>
      <c r="X343" t="n">
        <v>44.1</v>
      </c>
      <c r="Y343" t="n">
        <v>11</v>
      </c>
      <c r="Z343" t="n">
        <v>0</v>
      </c>
      <c r="AN343" t="inlineStr">
        <is>
          <t>Augment Nova</t>
        </is>
      </c>
      <c r="AO343" t="n">
        <v>210</v>
      </c>
      <c r="AP343" t="n">
        <v>10143</v>
      </c>
      <c r="AQ343" t="n">
        <v>90</v>
      </c>
      <c r="AS343" t="inlineStr">
        <is>
          <t>Yes</t>
        </is>
      </c>
    </row>
    <row r="344">
      <c r="A344" t="inlineStr">
        <is>
          <t>Mod</t>
        </is>
      </c>
      <c r="B344" t="inlineStr">
        <is>
          <t>Antitoxin</t>
        </is>
      </c>
      <c r="E344" t="inlineStr">
        <is>
          <t>Warframe</t>
        </is>
      </c>
      <c r="F344" t="n">
        <v>5</v>
      </c>
      <c r="G344" t="n">
        <v>1</v>
      </c>
      <c r="H344" t="inlineStr">
        <is>
          <t>Player trade (max rank)</t>
        </is>
      </c>
      <c r="I344" t="inlineStr">
        <is>
          <t>Yes</t>
        </is>
      </c>
      <c r="K344" t="inlineStr">
        <is>
          <t>Collection</t>
        </is>
      </c>
      <c r="L344" t="n">
        <v>9</v>
      </c>
      <c r="M344" t="n">
        <v>14</v>
      </c>
      <c r="N344" t="n">
        <v>17</v>
      </c>
      <c r="O344" t="inlineStr">
        <is>
          <t>2026-10-05 UTC (WFM pull 02:52-04:00)</t>
        </is>
      </c>
      <c r="P344" t="inlineStr">
        <is>
          <t>OK</t>
        </is>
      </c>
      <c r="R344" t="inlineStr">
        <is>
          <t>Every current tradeable mod at MAX RANK (WFM catalogue, rivens/locators excluded)</t>
        </is>
      </c>
      <c r="S344" t="inlineStr">
        <is>
          <t>antitoxin</t>
        </is>
      </c>
      <c r="T344" t="n">
        <v>7</v>
      </c>
      <c r="U344" t="n">
        <v>7</v>
      </c>
      <c r="V344" t="n">
        <v>14</v>
      </c>
      <c r="W344" t="n">
        <v>14</v>
      </c>
      <c r="X344" t="n">
        <v>13.3</v>
      </c>
      <c r="Y344" t="n">
        <v>9</v>
      </c>
      <c r="Z344" t="n">
        <v>0</v>
      </c>
      <c r="AN344" t="inlineStr">
        <is>
          <t>Warframe</t>
        </is>
      </c>
      <c r="AO344" t="n">
        <v>620</v>
      </c>
      <c r="AP344" t="n">
        <v>29946</v>
      </c>
      <c r="AQ344" t="n">
        <v>4.5</v>
      </c>
      <c r="AS344" t="inlineStr">
        <is>
          <t>Yes</t>
        </is>
      </c>
    </row>
    <row r="345">
      <c r="A345" t="inlineStr">
        <is>
          <t>Mod</t>
        </is>
      </c>
      <c r="B345" t="inlineStr">
        <is>
          <t>Apex Predator</t>
        </is>
      </c>
      <c r="E345" t="inlineStr">
        <is>
          <t>Conclave (PvP)</t>
        </is>
      </c>
      <c r="F345" t="n">
        <v>5</v>
      </c>
      <c r="G345" t="n">
        <v>1</v>
      </c>
      <c r="H345" t="inlineStr">
        <is>
          <t>Player trade (max rank)</t>
        </is>
      </c>
      <c r="I345" t="inlineStr">
        <is>
          <t>Yes</t>
        </is>
      </c>
      <c r="K345" t="inlineStr">
        <is>
          <t>Collection (PvP)</t>
        </is>
      </c>
      <c r="L345" t="n">
        <v>200</v>
      </c>
      <c r="M345" t="n">
        <v>200</v>
      </c>
      <c r="N345" t="n">
        <v>275</v>
      </c>
      <c r="O345" t="inlineStr">
        <is>
          <t>2026-10-05 UTC (WFM pull 02:52-04:00)</t>
        </is>
      </c>
      <c r="P345" t="inlineStr">
        <is>
          <t>THIN</t>
        </is>
      </c>
      <c r="R345" t="inlineStr">
        <is>
          <t>Every current tradeable mod at MAX RANK (WFM catalogue, rivens/locators excluded)</t>
        </is>
      </c>
      <c r="S345" t="inlineStr">
        <is>
          <t>apex_predator</t>
        </is>
      </c>
      <c r="T345" t="n">
        <v>2</v>
      </c>
      <c r="U345" t="n">
        <v>0</v>
      </c>
      <c r="W345" t="n">
        <v>20</v>
      </c>
      <c r="X345" t="n">
        <v>20</v>
      </c>
      <c r="Y345" t="n">
        <v>1</v>
      </c>
      <c r="Z345" t="n">
        <v>0</v>
      </c>
      <c r="AN345" t="inlineStr">
        <is>
          <t>Conclave (PvP)</t>
        </is>
      </c>
      <c r="AO345" t="n">
        <v>620</v>
      </c>
      <c r="AP345" t="n">
        <v>29946</v>
      </c>
      <c r="AQ345" t="n">
        <v>45</v>
      </c>
      <c r="AS345" t="inlineStr">
        <is>
          <t>PvP subtotal</t>
        </is>
      </c>
    </row>
    <row r="346">
      <c r="A346" t="inlineStr">
        <is>
          <t>Mod</t>
        </is>
      </c>
      <c r="B346" t="inlineStr">
        <is>
          <t>Arc Coil</t>
        </is>
      </c>
      <c r="E346" t="inlineStr">
        <is>
          <t>Diriga</t>
        </is>
      </c>
      <c r="F346" t="n">
        <v>5</v>
      </c>
      <c r="G346" t="n">
        <v>1</v>
      </c>
      <c r="H346" t="inlineStr">
        <is>
          <t>Player trade (max rank)</t>
        </is>
      </c>
      <c r="I346" t="inlineStr">
        <is>
          <t>Yes</t>
        </is>
      </c>
      <c r="K346" t="inlineStr">
        <is>
          <t>Collection</t>
        </is>
      </c>
      <c r="L346" t="n">
        <v>20</v>
      </c>
      <c r="M346" t="n">
        <v>29</v>
      </c>
      <c r="N346" t="n">
        <v>41</v>
      </c>
      <c r="O346" t="inlineStr">
        <is>
          <t>2026-10-05 UTC (WFM pull 02:52-04:00)</t>
        </is>
      </c>
      <c r="P346" t="inlineStr">
        <is>
          <t>OK</t>
        </is>
      </c>
      <c r="R346" t="inlineStr">
        <is>
          <t>Every current tradeable mod at MAX RANK (WFM catalogue, rivens/locators excluded)</t>
        </is>
      </c>
      <c r="S346" t="inlineStr">
        <is>
          <t>arc_coil</t>
        </is>
      </c>
      <c r="T346" t="n">
        <v>36</v>
      </c>
      <c r="U346" t="n">
        <v>1</v>
      </c>
      <c r="V346" t="n">
        <v>37</v>
      </c>
      <c r="W346" t="n">
        <v>37</v>
      </c>
      <c r="X346" t="n">
        <v>37.2</v>
      </c>
      <c r="Y346" t="n">
        <v>75</v>
      </c>
      <c r="Z346" t="n">
        <v>1</v>
      </c>
      <c r="AN346" t="inlineStr">
        <is>
          <t>Diriga</t>
        </is>
      </c>
      <c r="AO346" t="n">
        <v>310</v>
      </c>
      <c r="AP346" t="n">
        <v>14973</v>
      </c>
      <c r="AQ346" t="n">
        <v>19</v>
      </c>
      <c r="AS346" t="inlineStr">
        <is>
          <t>Yes</t>
        </is>
      </c>
    </row>
    <row r="347">
      <c r="A347" t="inlineStr">
        <is>
          <t>Mod</t>
        </is>
      </c>
      <c r="B347" t="inlineStr">
        <is>
          <t>Archgun Ace</t>
        </is>
      </c>
      <c r="E347" t="inlineStr">
        <is>
          <t>Archgun</t>
        </is>
      </c>
      <c r="F347" t="n">
        <v>5</v>
      </c>
      <c r="G347" t="n">
        <v>1</v>
      </c>
      <c r="H347" t="inlineStr">
        <is>
          <t>Player trade (max rank)</t>
        </is>
      </c>
      <c r="I347" t="inlineStr">
        <is>
          <t>Yes</t>
        </is>
      </c>
      <c r="K347" t="inlineStr">
        <is>
          <t>Collection</t>
        </is>
      </c>
      <c r="L347" t="n">
        <v>15</v>
      </c>
      <c r="M347" t="n">
        <v>29.2</v>
      </c>
      <c r="N347" t="n">
        <v>65</v>
      </c>
      <c r="O347" t="inlineStr">
        <is>
          <t>2026-10-05 UTC (WFM pull 02:52-04:00)</t>
        </is>
      </c>
      <c r="P347" t="inlineStr">
        <is>
          <t>OK</t>
        </is>
      </c>
      <c r="R347" t="inlineStr">
        <is>
          <t>Every current tradeable mod at MAX RANK (WFM catalogue, rivens/locators excluded)</t>
        </is>
      </c>
      <c r="S347" t="inlineStr">
        <is>
          <t>archgun_ace</t>
        </is>
      </c>
      <c r="T347" t="n">
        <v>3</v>
      </c>
      <c r="U347" t="n">
        <v>3</v>
      </c>
      <c r="V347" t="n">
        <v>19.5</v>
      </c>
      <c r="W347" t="n">
        <v>17</v>
      </c>
      <c r="X347" t="n">
        <v>18.3</v>
      </c>
      <c r="Y347" t="n">
        <v>84</v>
      </c>
      <c r="Z347" t="n">
        <v>0</v>
      </c>
      <c r="AN347" t="inlineStr">
        <is>
          <t>Archgun</t>
        </is>
      </c>
      <c r="AO347" t="n">
        <v>930</v>
      </c>
      <c r="AP347" t="n">
        <v>44919</v>
      </c>
      <c r="AQ347" t="n">
        <v>10</v>
      </c>
      <c r="AS347" t="inlineStr">
        <is>
          <t>Yes</t>
        </is>
      </c>
    </row>
    <row r="348">
      <c r="A348" t="inlineStr">
        <is>
          <t>Mod</t>
        </is>
      </c>
      <c r="B348" t="inlineStr">
        <is>
          <t>Archon Continuity</t>
        </is>
      </c>
      <c r="E348" t="inlineStr">
        <is>
          <t>Archon Warframe</t>
        </is>
      </c>
      <c r="F348" t="n">
        <v>10</v>
      </c>
      <c r="G348" t="n">
        <v>1</v>
      </c>
      <c r="H348" t="inlineStr">
        <is>
          <t>Player trade (max rank)</t>
        </is>
      </c>
      <c r="I348" t="inlineStr">
        <is>
          <t>Yes</t>
        </is>
      </c>
      <c r="K348" t="inlineStr">
        <is>
          <t>Collection</t>
        </is>
      </c>
      <c r="L348" t="n">
        <v>100</v>
      </c>
      <c r="M348" t="n">
        <v>110</v>
      </c>
      <c r="N348" t="n">
        <v>122</v>
      </c>
      <c r="O348" t="inlineStr">
        <is>
          <t>2026-10-05 UTC (WFM pull 02:52-04:00)</t>
        </is>
      </c>
      <c r="P348" t="inlineStr">
        <is>
          <t>OK</t>
        </is>
      </c>
      <c r="R348" t="inlineStr">
        <is>
          <t>Every current tradeable mod at MAX RANK (WFM catalogue, rivens/locators excluded)</t>
        </is>
      </c>
      <c r="S348" t="inlineStr">
        <is>
          <t>archon_continuity</t>
        </is>
      </c>
      <c r="T348" t="n">
        <v>18</v>
      </c>
      <c r="U348" t="n">
        <v>18</v>
      </c>
      <c r="V348" t="n">
        <v>100</v>
      </c>
      <c r="W348" t="n">
        <v>100</v>
      </c>
      <c r="X348" t="n">
        <v>99.09999999999999</v>
      </c>
      <c r="Y348" t="n">
        <v>3507</v>
      </c>
      <c r="Z348" t="n">
        <v>78</v>
      </c>
      <c r="AA348" t="n">
        <v>80</v>
      </c>
      <c r="AB348" t="n">
        <v>20</v>
      </c>
      <c r="AN348" t="inlineStr">
        <is>
          <t>Archon Warframe</t>
        </is>
      </c>
      <c r="AO348" t="n">
        <v>40920</v>
      </c>
      <c r="AP348" t="n">
        <v>1976436</v>
      </c>
      <c r="AQ348" t="n">
        <v>25</v>
      </c>
      <c r="AS348" t="inlineStr">
        <is>
          <t>Yes</t>
        </is>
      </c>
    </row>
    <row r="349">
      <c r="A349" t="inlineStr">
        <is>
          <t>Mod</t>
        </is>
      </c>
      <c r="B349" t="inlineStr">
        <is>
          <t>Archon Flow</t>
        </is>
      </c>
      <c r="E349" t="inlineStr">
        <is>
          <t>Archon Warframe</t>
        </is>
      </c>
      <c r="F349" t="n">
        <v>10</v>
      </c>
      <c r="G349" t="n">
        <v>1</v>
      </c>
      <c r="H349" t="inlineStr">
        <is>
          <t>Player trade (max rank)</t>
        </is>
      </c>
      <c r="I349" t="inlineStr">
        <is>
          <t>Yes</t>
        </is>
      </c>
      <c r="K349" t="inlineStr">
        <is>
          <t>Collection</t>
        </is>
      </c>
      <c r="L349" t="n">
        <v>100</v>
      </c>
      <c r="M349" t="n">
        <v>110</v>
      </c>
      <c r="N349" t="n">
        <v>138</v>
      </c>
      <c r="O349" t="inlineStr">
        <is>
          <t>2026-10-05 UTC (WFM pull 02:52-04:00)</t>
        </is>
      </c>
      <c r="P349" t="inlineStr">
        <is>
          <t>OK</t>
        </is>
      </c>
      <c r="R349" t="inlineStr">
        <is>
          <t>Every current tradeable mod at MAX RANK (WFM catalogue, rivens/locators excluded)</t>
        </is>
      </c>
      <c r="S349" t="inlineStr">
        <is>
          <t>archon_flow</t>
        </is>
      </c>
      <c r="T349" t="n">
        <v>18</v>
      </c>
      <c r="U349" t="n">
        <v>18</v>
      </c>
      <c r="V349" t="n">
        <v>104</v>
      </c>
      <c r="W349" t="n">
        <v>100</v>
      </c>
      <c r="X349" t="n">
        <v>101.3</v>
      </c>
      <c r="Y349" t="n">
        <v>3039</v>
      </c>
      <c r="Z349" t="n">
        <v>153</v>
      </c>
      <c r="AA349" t="n">
        <v>80</v>
      </c>
      <c r="AB349" t="n">
        <v>20</v>
      </c>
      <c r="AN349" t="inlineStr">
        <is>
          <t>Archon Warframe</t>
        </is>
      </c>
      <c r="AO349" t="n">
        <v>40920</v>
      </c>
      <c r="AP349" t="n">
        <v>1976436</v>
      </c>
      <c r="AQ349" t="n">
        <v>30</v>
      </c>
      <c r="AS349" t="inlineStr">
        <is>
          <t>Yes</t>
        </is>
      </c>
    </row>
    <row r="350">
      <c r="A350" t="inlineStr">
        <is>
          <t>Mod</t>
        </is>
      </c>
      <c r="B350" t="inlineStr">
        <is>
          <t>Archon Intensify</t>
        </is>
      </c>
      <c r="E350" t="inlineStr">
        <is>
          <t>Archon Warframe</t>
        </is>
      </c>
      <c r="F350" t="n">
        <v>10</v>
      </c>
      <c r="G350" t="n">
        <v>1</v>
      </c>
      <c r="H350" t="inlineStr">
        <is>
          <t>Player trade (max rank)</t>
        </is>
      </c>
      <c r="I350" t="inlineStr">
        <is>
          <t>Yes</t>
        </is>
      </c>
      <c r="K350" t="inlineStr">
        <is>
          <t>Collection</t>
        </is>
      </c>
      <c r="L350" t="n">
        <v>92</v>
      </c>
      <c r="M350" t="n">
        <v>120</v>
      </c>
      <c r="N350" t="n">
        <v>141</v>
      </c>
      <c r="O350" t="inlineStr">
        <is>
          <t>2026-10-05 UTC (WFM pull 02:52-04:00)</t>
        </is>
      </c>
      <c r="P350" t="inlineStr">
        <is>
          <t>OK</t>
        </is>
      </c>
      <c r="R350" t="inlineStr">
        <is>
          <t>Every current tradeable mod at MAX RANK (WFM catalogue, rivens/locators excluded)</t>
        </is>
      </c>
      <c r="S350" t="inlineStr">
        <is>
          <t>archon_intensify</t>
        </is>
      </c>
      <c r="T350" t="n">
        <v>13</v>
      </c>
      <c r="U350" t="n">
        <v>13</v>
      </c>
      <c r="V350" t="n">
        <v>100</v>
      </c>
      <c r="W350" t="n">
        <v>100</v>
      </c>
      <c r="X350" t="n">
        <v>98.5</v>
      </c>
      <c r="Y350" t="n">
        <v>2577</v>
      </c>
      <c r="Z350" t="n">
        <v>58</v>
      </c>
      <c r="AA350" t="n">
        <v>80</v>
      </c>
      <c r="AB350" t="n">
        <v>12</v>
      </c>
      <c r="AN350" t="inlineStr">
        <is>
          <t>Archon Warframe</t>
        </is>
      </c>
      <c r="AO350" t="n">
        <v>40920</v>
      </c>
      <c r="AP350" t="n">
        <v>1976436</v>
      </c>
      <c r="AQ350" t="n">
        <v>25</v>
      </c>
      <c r="AS350" t="inlineStr">
        <is>
          <t>Yes</t>
        </is>
      </c>
    </row>
    <row r="351">
      <c r="A351" t="inlineStr">
        <is>
          <t>Mod</t>
        </is>
      </c>
      <c r="B351" t="inlineStr">
        <is>
          <t>Archon Stretch</t>
        </is>
      </c>
      <c r="E351" t="inlineStr">
        <is>
          <t>Archon Warframe</t>
        </is>
      </c>
      <c r="F351" t="n">
        <v>10</v>
      </c>
      <c r="G351" t="n">
        <v>1</v>
      </c>
      <c r="H351" t="inlineStr">
        <is>
          <t>Player trade (max rank)</t>
        </is>
      </c>
      <c r="I351" t="inlineStr">
        <is>
          <t>Yes</t>
        </is>
      </c>
      <c r="K351" t="inlineStr">
        <is>
          <t>Collection</t>
        </is>
      </c>
      <c r="L351" t="n">
        <v>100</v>
      </c>
      <c r="M351" t="n">
        <v>109</v>
      </c>
      <c r="N351" t="n">
        <v>132</v>
      </c>
      <c r="O351" t="inlineStr">
        <is>
          <t>2026-10-05 UTC (WFM pull 02:52-04:00)</t>
        </is>
      </c>
      <c r="P351" t="inlineStr">
        <is>
          <t>OK</t>
        </is>
      </c>
      <c r="R351" t="inlineStr">
        <is>
          <t>Every current tradeable mod at MAX RANK (WFM catalogue, rivens/locators excluded)</t>
        </is>
      </c>
      <c r="S351" t="inlineStr">
        <is>
          <t>archon_stretch</t>
        </is>
      </c>
      <c r="T351" t="n">
        <v>17</v>
      </c>
      <c r="U351" t="n">
        <v>17</v>
      </c>
      <c r="V351" t="n">
        <v>100</v>
      </c>
      <c r="W351" t="n">
        <v>100</v>
      </c>
      <c r="X351" t="n">
        <v>98.8</v>
      </c>
      <c r="Y351" t="n">
        <v>4027</v>
      </c>
      <c r="Z351" t="n">
        <v>92</v>
      </c>
      <c r="AA351" t="n">
        <v>80</v>
      </c>
      <c r="AB351" t="n">
        <v>20</v>
      </c>
      <c r="AN351" t="inlineStr">
        <is>
          <t>Archon Warframe</t>
        </is>
      </c>
      <c r="AO351" t="n">
        <v>40920</v>
      </c>
      <c r="AP351" t="n">
        <v>1976436</v>
      </c>
      <c r="AQ351" t="n">
        <v>30</v>
      </c>
      <c r="AS351" t="inlineStr">
        <is>
          <t>Yes</t>
        </is>
      </c>
    </row>
    <row r="352">
      <c r="A352" t="inlineStr">
        <is>
          <t>Mod</t>
        </is>
      </c>
      <c r="B352" t="inlineStr">
        <is>
          <t>Archon Vitality</t>
        </is>
      </c>
      <c r="E352" t="inlineStr">
        <is>
          <t>Archon Warframe</t>
        </is>
      </c>
      <c r="F352" t="n">
        <v>10</v>
      </c>
      <c r="G352" t="n">
        <v>1</v>
      </c>
      <c r="H352" t="inlineStr">
        <is>
          <t>Player trade (max rank)</t>
        </is>
      </c>
      <c r="I352" t="inlineStr">
        <is>
          <t>Yes</t>
        </is>
      </c>
      <c r="K352" t="inlineStr">
        <is>
          <t>Collection</t>
        </is>
      </c>
      <c r="L352" t="n">
        <v>99</v>
      </c>
      <c r="M352" t="n">
        <v>100</v>
      </c>
      <c r="N352" t="n">
        <v>111</v>
      </c>
      <c r="O352" t="inlineStr">
        <is>
          <t>2026-10-05 UTC (WFM pull 02:52-04:00)</t>
        </is>
      </c>
      <c r="P352" t="inlineStr">
        <is>
          <t>OK</t>
        </is>
      </c>
      <c r="R352" t="inlineStr">
        <is>
          <t>Every current tradeable mod at MAX RANK (WFM catalogue, rivens/locators excluded)</t>
        </is>
      </c>
      <c r="S352" t="inlineStr">
        <is>
          <t>archon_vitality</t>
        </is>
      </c>
      <c r="T352" t="n">
        <v>23</v>
      </c>
      <c r="U352" t="n">
        <v>23</v>
      </c>
      <c r="V352" t="n">
        <v>100</v>
      </c>
      <c r="W352" t="n">
        <v>100</v>
      </c>
      <c r="X352" t="n">
        <v>98.7</v>
      </c>
      <c r="Y352" t="n">
        <v>3648</v>
      </c>
      <c r="Z352" t="n">
        <v>84</v>
      </c>
      <c r="AA352" t="n">
        <v>80</v>
      </c>
      <c r="AB352" t="n">
        <v>19</v>
      </c>
      <c r="AN352" t="inlineStr">
        <is>
          <t>Archon Warframe</t>
        </is>
      </c>
      <c r="AO352" t="n">
        <v>40920</v>
      </c>
      <c r="AP352" t="n">
        <v>1976436</v>
      </c>
      <c r="AQ352" t="n">
        <v>29</v>
      </c>
      <c r="AS352" t="inlineStr">
        <is>
          <t>Yes</t>
        </is>
      </c>
    </row>
    <row r="353">
      <c r="A353" t="inlineStr">
        <is>
          <t>Mod</t>
        </is>
      </c>
      <c r="B353" t="inlineStr">
        <is>
          <t>Argent Scourge</t>
        </is>
      </c>
      <c r="E353" t="inlineStr">
        <is>
          <t>Conclave (PvP)</t>
        </is>
      </c>
      <c r="F353" t="n">
        <v>3</v>
      </c>
      <c r="G353" t="n">
        <v>1</v>
      </c>
      <c r="H353" t="inlineStr">
        <is>
          <t>Player trade (max rank)</t>
        </is>
      </c>
      <c r="I353" t="inlineStr">
        <is>
          <t>Yes</t>
        </is>
      </c>
      <c r="K353" t="inlineStr">
        <is>
          <t>Collection (PvP)</t>
        </is>
      </c>
      <c r="L353" t="n">
        <v>200</v>
      </c>
      <c r="M353" t="n">
        <v>200</v>
      </c>
      <c r="N353" t="n">
        <v>248</v>
      </c>
      <c r="O353" t="inlineStr">
        <is>
          <t>2026-10-05 UTC (WFM pull 02:52-04:00)</t>
        </is>
      </c>
      <c r="P353" t="inlineStr">
        <is>
          <t>OK</t>
        </is>
      </c>
      <c r="R353" t="inlineStr">
        <is>
          <t>Every current tradeable mod at MAX RANK (WFM catalogue, rivens/locators excluded)</t>
        </is>
      </c>
      <c r="S353" t="inlineStr">
        <is>
          <t>argent_scourge</t>
        </is>
      </c>
      <c r="T353" t="n">
        <v>4</v>
      </c>
      <c r="U353" t="n">
        <v>0</v>
      </c>
      <c r="V353" t="n">
        <v>20</v>
      </c>
      <c r="W353" t="n">
        <v>20</v>
      </c>
      <c r="X353" t="n">
        <v>20</v>
      </c>
      <c r="Y353" t="n">
        <v>1</v>
      </c>
      <c r="Z353" t="n">
        <v>0</v>
      </c>
      <c r="AN353" t="inlineStr">
        <is>
          <t>Conclave (PvP)</t>
        </is>
      </c>
      <c r="AO353" t="n">
        <v>140</v>
      </c>
      <c r="AP353" t="n">
        <v>6762</v>
      </c>
      <c r="AQ353" t="n">
        <v>20</v>
      </c>
      <c r="AS353" t="inlineStr">
        <is>
          <t>PvP subtotal</t>
        </is>
      </c>
    </row>
    <row r="354">
      <c r="A354" t="inlineStr">
        <is>
          <t>Mod</t>
        </is>
      </c>
      <c r="B354" t="inlineStr">
        <is>
          <t>Argon Plating</t>
        </is>
      </c>
      <c r="E354" t="inlineStr">
        <is>
          <t>Archwing</t>
        </is>
      </c>
      <c r="F354" t="n">
        <v>5</v>
      </c>
      <c r="G354" t="n">
        <v>1</v>
      </c>
      <c r="H354" t="inlineStr">
        <is>
          <t>Player trade (max rank)</t>
        </is>
      </c>
      <c r="I354" t="inlineStr">
        <is>
          <t>Yes</t>
        </is>
      </c>
      <c r="K354" t="inlineStr">
        <is>
          <t>Collection</t>
        </is>
      </c>
      <c r="L354" t="n">
        <v>12</v>
      </c>
      <c r="M354" t="n">
        <v>12</v>
      </c>
      <c r="N354" t="n">
        <v>17</v>
      </c>
      <c r="O354" t="inlineStr">
        <is>
          <t>2026-10-05 UTC (WFM pull 02:52-04:00)</t>
        </is>
      </c>
      <c r="P354" t="inlineStr">
        <is>
          <t>OK</t>
        </is>
      </c>
      <c r="R354" t="inlineStr">
        <is>
          <t>Every current tradeable mod at MAX RANK (WFM catalogue, rivens/locators excluded)</t>
        </is>
      </c>
      <c r="S354" t="inlineStr">
        <is>
          <t>argon_plating</t>
        </is>
      </c>
      <c r="T354" t="n">
        <v>3</v>
      </c>
      <c r="U354" t="n">
        <v>3</v>
      </c>
      <c r="V354" t="n">
        <v>5</v>
      </c>
      <c r="W354" t="n">
        <v>10</v>
      </c>
      <c r="X354" t="n">
        <v>11.4</v>
      </c>
      <c r="Y354" t="n">
        <v>8</v>
      </c>
      <c r="Z354" t="n">
        <v>0</v>
      </c>
      <c r="AN354" t="inlineStr">
        <is>
          <t>Archwing</t>
        </is>
      </c>
      <c r="AO354" t="n">
        <v>310</v>
      </c>
      <c r="AP354" t="n">
        <v>14973</v>
      </c>
      <c r="AQ354" t="n">
        <v>2.5</v>
      </c>
      <c r="AS354" t="inlineStr">
        <is>
          <t>Yes</t>
        </is>
      </c>
    </row>
    <row r="355">
      <c r="A355" t="inlineStr">
        <is>
          <t>Mod</t>
        </is>
      </c>
      <c r="B355" t="inlineStr">
        <is>
          <t>Argon Scope</t>
        </is>
      </c>
      <c r="E355" t="inlineStr">
        <is>
          <t>Rifle</t>
        </is>
      </c>
      <c r="F355" t="n">
        <v>5</v>
      </c>
      <c r="G355" t="n">
        <v>1</v>
      </c>
      <c r="H355" t="inlineStr">
        <is>
          <t>Player trade (max rank)</t>
        </is>
      </c>
      <c r="I355" t="inlineStr">
        <is>
          <t>Yes</t>
        </is>
      </c>
      <c r="K355" t="inlineStr">
        <is>
          <t>Collection</t>
        </is>
      </c>
      <c r="L355" t="n">
        <v>10</v>
      </c>
      <c r="M355" t="n">
        <v>15</v>
      </c>
      <c r="N355" t="n">
        <v>33</v>
      </c>
      <c r="O355" t="inlineStr">
        <is>
          <t>2026-10-05 UTC (WFM pull 02:52-04:00)</t>
        </is>
      </c>
      <c r="P355" t="inlineStr">
        <is>
          <t>OK</t>
        </is>
      </c>
      <c r="R355" t="inlineStr">
        <is>
          <t>Every current tradeable mod at MAX RANK (WFM catalogue, rivens/locators excluded)</t>
        </is>
      </c>
      <c r="S355" t="inlineStr">
        <is>
          <t>argon_scope</t>
        </is>
      </c>
      <c r="T355" t="n">
        <v>6</v>
      </c>
      <c r="U355" t="n">
        <v>6</v>
      </c>
      <c r="V355" t="n">
        <v>10</v>
      </c>
      <c r="W355" t="n">
        <v>10</v>
      </c>
      <c r="X355" t="n">
        <v>9</v>
      </c>
      <c r="Y355" t="n">
        <v>57</v>
      </c>
      <c r="Z355" t="n">
        <v>1</v>
      </c>
      <c r="AN355" t="inlineStr">
        <is>
          <t>Rifle</t>
        </is>
      </c>
      <c r="AO355" t="n">
        <v>930</v>
      </c>
      <c r="AP355" t="n">
        <v>44919</v>
      </c>
      <c r="AQ355" t="n">
        <v>6</v>
      </c>
      <c r="AS355" t="inlineStr">
        <is>
          <t>Yes</t>
        </is>
      </c>
    </row>
    <row r="356">
      <c r="A356" t="inlineStr">
        <is>
          <t>Mod</t>
        </is>
      </c>
      <c r="B356" t="inlineStr">
        <is>
          <t>Armored Acrobatics</t>
        </is>
      </c>
      <c r="E356" t="inlineStr">
        <is>
          <t>Conclave (PvP)</t>
        </is>
      </c>
      <c r="F356" t="n">
        <v>3</v>
      </c>
      <c r="G356" t="n">
        <v>1</v>
      </c>
      <c r="H356" t="inlineStr">
        <is>
          <t>Player trade (max rank)</t>
        </is>
      </c>
      <c r="I356" t="inlineStr">
        <is>
          <t>Yes</t>
        </is>
      </c>
      <c r="K356" t="inlineStr">
        <is>
          <t>Collection (PvP)</t>
        </is>
      </c>
      <c r="L356" t="n">
        <v>200</v>
      </c>
      <c r="M356" t="n">
        <v>200</v>
      </c>
      <c r="N356" t="n">
        <v>330</v>
      </c>
      <c r="O356" t="inlineStr">
        <is>
          <t>2026-10-05 UTC (WFM pull 02:52-04:00)</t>
        </is>
      </c>
      <c r="P356" t="inlineStr">
        <is>
          <t>OK</t>
        </is>
      </c>
      <c r="R356" t="inlineStr">
        <is>
          <t>Every current tradeable mod at MAX RANK (WFM catalogue, rivens/locators excluded)</t>
        </is>
      </c>
      <c r="S356" t="inlineStr">
        <is>
          <t>armored_acrobatics</t>
        </is>
      </c>
      <c r="T356" t="n">
        <v>3</v>
      </c>
      <c r="U356" t="n">
        <v>0</v>
      </c>
      <c r="V356" t="n">
        <v>30</v>
      </c>
      <c r="W356" t="n">
        <v>30</v>
      </c>
      <c r="X356" t="n">
        <v>57.5</v>
      </c>
      <c r="Y356" t="n">
        <v>2</v>
      </c>
      <c r="Z356" t="n">
        <v>0</v>
      </c>
      <c r="AN356" t="inlineStr">
        <is>
          <t>Conclave (PvP)</t>
        </is>
      </c>
      <c r="AO356" t="n">
        <v>140</v>
      </c>
      <c r="AP356" t="n">
        <v>6762</v>
      </c>
      <c r="AQ356" t="n">
        <v>50</v>
      </c>
      <c r="AS356" t="inlineStr">
        <is>
          <t>PvP subtotal</t>
        </is>
      </c>
    </row>
    <row r="357">
      <c r="A357" t="inlineStr">
        <is>
          <t>Mod</t>
        </is>
      </c>
      <c r="B357" t="inlineStr">
        <is>
          <t>Armored Agility</t>
        </is>
      </c>
      <c r="E357" t="inlineStr">
        <is>
          <t>Warframe</t>
        </is>
      </c>
      <c r="F357" t="n">
        <v>5</v>
      </c>
      <c r="G357" t="n">
        <v>1</v>
      </c>
      <c r="H357" t="inlineStr">
        <is>
          <t>Player trade (max rank)</t>
        </is>
      </c>
      <c r="I357" t="inlineStr">
        <is>
          <t>Yes</t>
        </is>
      </c>
      <c r="K357" t="inlineStr">
        <is>
          <t>Collection</t>
        </is>
      </c>
      <c r="L357" t="n">
        <v>8</v>
      </c>
      <c r="M357" t="n">
        <v>9</v>
      </c>
      <c r="N357" t="n">
        <v>11</v>
      </c>
      <c r="O357" t="inlineStr">
        <is>
          <t>2026-10-05 UTC (WFM pull 02:52-04:00)</t>
        </is>
      </c>
      <c r="P357" t="inlineStr">
        <is>
          <t>OK</t>
        </is>
      </c>
      <c r="R357" t="inlineStr">
        <is>
          <t>Every current tradeable mod at MAX RANK (WFM catalogue, rivens/locators excluded)</t>
        </is>
      </c>
      <c r="S357" t="inlineStr">
        <is>
          <t>armored_agility</t>
        </is>
      </c>
      <c r="T357" t="n">
        <v>16</v>
      </c>
      <c r="U357" t="n">
        <v>16</v>
      </c>
      <c r="V357" t="n">
        <v>8</v>
      </c>
      <c r="W357" t="n">
        <v>8.5</v>
      </c>
      <c r="X357" t="n">
        <v>8.199999999999999</v>
      </c>
      <c r="Y357" t="n">
        <v>116</v>
      </c>
      <c r="Z357" t="n">
        <v>1</v>
      </c>
      <c r="AN357" t="inlineStr">
        <is>
          <t>Warframe</t>
        </is>
      </c>
      <c r="AO357" t="n">
        <v>930</v>
      </c>
      <c r="AP357" t="n">
        <v>44919</v>
      </c>
      <c r="AQ357" t="n">
        <v>4</v>
      </c>
      <c r="AS357" t="inlineStr">
        <is>
          <t>Yes</t>
        </is>
      </c>
    </row>
    <row r="358">
      <c r="A358" t="inlineStr">
        <is>
          <t>Mod</t>
        </is>
      </c>
      <c r="B358" t="inlineStr">
        <is>
          <t>Armored Evade</t>
        </is>
      </c>
      <c r="E358" t="inlineStr">
        <is>
          <t>Conclave (PvP)</t>
        </is>
      </c>
      <c r="F358" t="n">
        <v>3</v>
      </c>
      <c r="G358" t="n">
        <v>1</v>
      </c>
      <c r="H358" t="inlineStr">
        <is>
          <t>Player trade (max rank)</t>
        </is>
      </c>
      <c r="I358" t="inlineStr">
        <is>
          <t>Yes</t>
        </is>
      </c>
      <c r="K358" t="inlineStr">
        <is>
          <t>Collection (PvP)</t>
        </is>
      </c>
      <c r="L358" t="n">
        <v>275</v>
      </c>
      <c r="M358" t="n">
        <v>275</v>
      </c>
      <c r="N358" t="n">
        <v>330</v>
      </c>
      <c r="O358" t="inlineStr">
        <is>
          <t>2026-10-05 UTC (WFM pull 02:52-04:00)</t>
        </is>
      </c>
      <c r="P358" t="inlineStr">
        <is>
          <t>THIN</t>
        </is>
      </c>
      <c r="R358" t="inlineStr">
        <is>
          <t>Every current tradeable mod at MAX RANK (WFM catalogue, rivens/locators excluded)</t>
        </is>
      </c>
      <c r="S358" t="inlineStr">
        <is>
          <t>armored_evade</t>
        </is>
      </c>
      <c r="T358" t="n">
        <v>2</v>
      </c>
      <c r="U358" t="n">
        <v>0</v>
      </c>
      <c r="V358" t="n">
        <v>30</v>
      </c>
      <c r="W358" t="n">
        <v>30</v>
      </c>
      <c r="X358" t="n">
        <v>30</v>
      </c>
      <c r="Y358" t="n">
        <v>1</v>
      </c>
      <c r="Z358" t="n">
        <v>0</v>
      </c>
      <c r="AN358" t="inlineStr">
        <is>
          <t>Conclave (PvP)</t>
        </is>
      </c>
      <c r="AO358" t="n">
        <v>140</v>
      </c>
      <c r="AP358" t="n">
        <v>6762</v>
      </c>
      <c r="AQ358" t="n">
        <v>50</v>
      </c>
      <c r="AS358" t="inlineStr">
        <is>
          <t>PvP subtotal</t>
        </is>
      </c>
    </row>
    <row r="359">
      <c r="A359" t="inlineStr">
        <is>
          <t>Mod</t>
        </is>
      </c>
      <c r="B359" t="inlineStr">
        <is>
          <t>Armored Recovery</t>
        </is>
      </c>
      <c r="E359" t="inlineStr">
        <is>
          <t>Conclave (PvP)</t>
        </is>
      </c>
      <c r="F359" t="n">
        <v>3</v>
      </c>
      <c r="G359" t="n">
        <v>1</v>
      </c>
      <c r="H359" t="inlineStr">
        <is>
          <t>Player trade (max rank)</t>
        </is>
      </c>
      <c r="I359" t="inlineStr">
        <is>
          <t>Yes</t>
        </is>
      </c>
      <c r="K359" t="inlineStr">
        <is>
          <t>Collection (PvP)</t>
        </is>
      </c>
      <c r="L359" t="n">
        <v>275</v>
      </c>
      <c r="M359" t="n">
        <v>275</v>
      </c>
      <c r="N359" t="n">
        <v>330</v>
      </c>
      <c r="O359" t="inlineStr">
        <is>
          <t>2026-10-05 UTC (WFM pull 02:52-04:00)</t>
        </is>
      </c>
      <c r="P359" t="inlineStr">
        <is>
          <t>OK</t>
        </is>
      </c>
      <c r="R359" t="inlineStr">
        <is>
          <t>Every current tradeable mod at MAX RANK (WFM catalogue, rivens/locators excluded)</t>
        </is>
      </c>
      <c r="S359" t="inlineStr">
        <is>
          <t>armored_recovery</t>
        </is>
      </c>
      <c r="T359" t="n">
        <v>3</v>
      </c>
      <c r="U359" t="n">
        <v>0</v>
      </c>
      <c r="V359" t="n">
        <v>30</v>
      </c>
      <c r="W359" t="n">
        <v>30</v>
      </c>
      <c r="X359" t="n">
        <v>30</v>
      </c>
      <c r="Y359" t="n">
        <v>1</v>
      </c>
      <c r="Z359" t="n">
        <v>0</v>
      </c>
      <c r="AN359" t="inlineStr">
        <is>
          <t>Conclave (PvP)</t>
        </is>
      </c>
      <c r="AO359" t="n">
        <v>140</v>
      </c>
      <c r="AP359" t="n">
        <v>6762</v>
      </c>
      <c r="AQ359" t="n">
        <v>40</v>
      </c>
      <c r="AS359" t="inlineStr">
        <is>
          <t>PvP subtotal</t>
        </is>
      </c>
    </row>
    <row r="360">
      <c r="A360" t="inlineStr">
        <is>
          <t>Mod</t>
        </is>
      </c>
      <c r="B360" t="inlineStr">
        <is>
          <t>Arrow Mutation</t>
        </is>
      </c>
      <c r="E360" t="inlineStr">
        <is>
          <t>Bow</t>
        </is>
      </c>
      <c r="F360" t="n">
        <v>5</v>
      </c>
      <c r="G360" t="n">
        <v>1</v>
      </c>
      <c r="H360" t="inlineStr">
        <is>
          <t>Player trade (max rank)</t>
        </is>
      </c>
      <c r="I360" t="inlineStr">
        <is>
          <t>Yes</t>
        </is>
      </c>
      <c r="K360" t="inlineStr">
        <is>
          <t>Collection</t>
        </is>
      </c>
      <c r="L360" t="n">
        <v>10</v>
      </c>
      <c r="M360" t="n">
        <v>15</v>
      </c>
      <c r="N360" t="n">
        <v>17</v>
      </c>
      <c r="O360" t="inlineStr">
        <is>
          <t>2026-10-05 UTC (WFM pull 02:52-04:00)</t>
        </is>
      </c>
      <c r="P360" t="inlineStr">
        <is>
          <t>OK</t>
        </is>
      </c>
      <c r="R360" t="inlineStr">
        <is>
          <t>Every current tradeable mod at MAX RANK (WFM catalogue, rivens/locators excluded)</t>
        </is>
      </c>
      <c r="S360" t="inlineStr">
        <is>
          <t>arrow_mutation</t>
        </is>
      </c>
      <c r="T360" t="n">
        <v>7</v>
      </c>
      <c r="U360" t="n">
        <v>7</v>
      </c>
      <c r="V360" t="n">
        <v>10</v>
      </c>
      <c r="W360" t="n">
        <v>9</v>
      </c>
      <c r="X360" t="n">
        <v>8.9</v>
      </c>
      <c r="Y360" t="n">
        <v>18</v>
      </c>
      <c r="Z360" t="n">
        <v>0</v>
      </c>
      <c r="AN360" t="inlineStr">
        <is>
          <t>Bow</t>
        </is>
      </c>
      <c r="AO360" t="n">
        <v>930</v>
      </c>
      <c r="AP360" t="n">
        <v>44919</v>
      </c>
      <c r="AQ360" t="n">
        <v>3</v>
      </c>
      <c r="AS360" t="inlineStr">
        <is>
          <t>Yes</t>
        </is>
      </c>
    </row>
    <row r="361">
      <c r="A361" t="inlineStr">
        <is>
          <t>Mod</t>
        </is>
      </c>
      <c r="B361" t="inlineStr">
        <is>
          <t>Artillery Cheap Shot</t>
        </is>
      </c>
      <c r="E361" t="inlineStr">
        <is>
          <t>Plexus</t>
        </is>
      </c>
      <c r="F361" t="n">
        <v>5</v>
      </c>
      <c r="G361" t="n">
        <v>1</v>
      </c>
      <c r="H361" t="inlineStr">
        <is>
          <t>Player trade (max rank)</t>
        </is>
      </c>
      <c r="I361" t="inlineStr">
        <is>
          <t>Yes</t>
        </is>
      </c>
      <c r="K361" t="inlineStr">
        <is>
          <t>Collection</t>
        </is>
      </c>
      <c r="L361" t="n">
        <v>19</v>
      </c>
      <c r="M361" t="n">
        <v>25</v>
      </c>
      <c r="N361" t="n">
        <v>44</v>
      </c>
      <c r="O361" t="inlineStr">
        <is>
          <t>2026-10-05 UTC (WFM pull 02:52-04:00)</t>
        </is>
      </c>
      <c r="P361" t="inlineStr">
        <is>
          <t>OK</t>
        </is>
      </c>
      <c r="R361" t="inlineStr">
        <is>
          <t>Every current tradeable mod at MAX RANK (WFM catalogue, rivens/locators excluded)</t>
        </is>
      </c>
      <c r="S361" t="inlineStr">
        <is>
          <t>artillery_cheap_shot</t>
        </is>
      </c>
      <c r="T361" t="n">
        <v>11</v>
      </c>
      <c r="U361" t="n">
        <v>11</v>
      </c>
      <c r="V361" t="n">
        <v>19.5</v>
      </c>
      <c r="W361" t="n">
        <v>20</v>
      </c>
      <c r="X361" t="n">
        <v>19.1</v>
      </c>
      <c r="Y361" t="n">
        <v>267</v>
      </c>
      <c r="Z361" t="n">
        <v>3</v>
      </c>
      <c r="AN361" t="inlineStr">
        <is>
          <t>Plexus</t>
        </is>
      </c>
      <c r="AO361" t="n">
        <v>930</v>
      </c>
      <c r="AP361" t="n">
        <v>44919</v>
      </c>
      <c r="AQ361" t="n">
        <v>10</v>
      </c>
      <c r="AS361" t="inlineStr">
        <is>
          <t>Yes</t>
        </is>
      </c>
    </row>
    <row r="362">
      <c r="A362" t="inlineStr">
        <is>
          <t>Mod</t>
        </is>
      </c>
      <c r="B362" t="inlineStr">
        <is>
          <t>Assassin Posture</t>
        </is>
      </c>
      <c r="E362" t="inlineStr">
        <is>
          <t>Stance</t>
        </is>
      </c>
      <c r="F362" t="n">
        <v>3</v>
      </c>
      <c r="G362" t="n">
        <v>1</v>
      </c>
      <c r="H362" t="inlineStr">
        <is>
          <t>Player trade (max rank)</t>
        </is>
      </c>
      <c r="I362" t="inlineStr">
        <is>
          <t>Yes</t>
        </is>
      </c>
      <c r="K362" t="inlineStr">
        <is>
          <t>Collection</t>
        </is>
      </c>
      <c r="L362" t="n">
        <v>25</v>
      </c>
      <c r="M362" t="n">
        <v>27</v>
      </c>
      <c r="N362" t="n">
        <v>33</v>
      </c>
      <c r="O362" t="inlineStr">
        <is>
          <t>2026-10-05 UTC (WFM pull 02:52-04:00)</t>
        </is>
      </c>
      <c r="P362" t="inlineStr">
        <is>
          <t>OK</t>
        </is>
      </c>
      <c r="R362" t="inlineStr">
        <is>
          <t>Every current tradeable mod at MAX RANK (WFM catalogue, rivens/locators excluded)</t>
        </is>
      </c>
      <c r="S362" t="inlineStr">
        <is>
          <t>assassin_posture</t>
        </is>
      </c>
      <c r="T362" t="n">
        <v>7</v>
      </c>
      <c r="U362" t="n">
        <v>7</v>
      </c>
      <c r="V362" t="n">
        <v>18.5</v>
      </c>
      <c r="W362" t="n">
        <v>16.5</v>
      </c>
      <c r="X362" t="n">
        <v>16.6</v>
      </c>
      <c r="Y362" t="n">
        <v>365</v>
      </c>
      <c r="Z362" t="n">
        <v>12</v>
      </c>
      <c r="AA362" t="n">
        <v>7</v>
      </c>
      <c r="AB362" t="n">
        <v>18</v>
      </c>
      <c r="AN362" t="inlineStr">
        <is>
          <t>Stance</t>
        </is>
      </c>
      <c r="AO362" t="n">
        <v>70</v>
      </c>
      <c r="AP362" t="n">
        <v>3381</v>
      </c>
      <c r="AQ362" t="n">
        <v>12</v>
      </c>
      <c r="AS362" t="inlineStr">
        <is>
          <t>Yes</t>
        </is>
      </c>
    </row>
    <row r="363">
      <c r="A363" t="inlineStr">
        <is>
          <t>Mod</t>
        </is>
      </c>
      <c r="B363" t="inlineStr">
        <is>
          <t>Assault Mode</t>
        </is>
      </c>
      <c r="E363" t="inlineStr">
        <is>
          <t>Sentinel</t>
        </is>
      </c>
      <c r="F363" t="n">
        <v>5</v>
      </c>
      <c r="G363" t="n">
        <v>1</v>
      </c>
      <c r="H363" t="inlineStr">
        <is>
          <t>Player trade (max rank)</t>
        </is>
      </c>
      <c r="I363" t="inlineStr">
        <is>
          <t>Yes</t>
        </is>
      </c>
      <c r="K363" t="inlineStr">
        <is>
          <t>Collection</t>
        </is>
      </c>
      <c r="L363" t="n">
        <v>5</v>
      </c>
      <c r="M363" t="n">
        <v>8</v>
      </c>
      <c r="N363" t="n">
        <v>9</v>
      </c>
      <c r="O363" t="inlineStr">
        <is>
          <t>2026-10-05 UTC (WFM pull 02:52-04:00)</t>
        </is>
      </c>
      <c r="P363" t="inlineStr">
        <is>
          <t>OK</t>
        </is>
      </c>
      <c r="R363" t="inlineStr">
        <is>
          <t>Every current tradeable mod at MAX RANK (WFM catalogue, rivens/locators excluded)</t>
        </is>
      </c>
      <c r="S363" t="inlineStr">
        <is>
          <t>assault_mode</t>
        </is>
      </c>
      <c r="T363" t="n">
        <v>66</v>
      </c>
      <c r="U363" t="n">
        <v>2</v>
      </c>
      <c r="V363" t="n">
        <v>8</v>
      </c>
      <c r="W363" t="n">
        <v>9</v>
      </c>
      <c r="X363" t="n">
        <v>9.5</v>
      </c>
      <c r="Y363" t="n">
        <v>16</v>
      </c>
      <c r="Z363" t="n">
        <v>0</v>
      </c>
      <c r="AN363" t="inlineStr">
        <is>
          <t>Sentinel</t>
        </is>
      </c>
      <c r="AO363" t="n">
        <v>310</v>
      </c>
      <c r="AP363" t="n">
        <v>14973</v>
      </c>
      <c r="AQ363" t="n">
        <v>4</v>
      </c>
      <c r="AS363" t="inlineStr">
        <is>
          <t>Yes</t>
        </is>
      </c>
    </row>
    <row r="364">
      <c r="A364" t="inlineStr">
        <is>
          <t>Mod</t>
        </is>
      </c>
      <c r="B364" t="inlineStr">
        <is>
          <t>Assimilate</t>
        </is>
      </c>
      <c r="E364" t="inlineStr">
        <is>
          <t>Augment Nyx</t>
        </is>
      </c>
      <c r="F364" t="n">
        <v>3</v>
      </c>
      <c r="G364" t="n">
        <v>1</v>
      </c>
      <c r="H364" t="inlineStr">
        <is>
          <t>Player trade (max rank)</t>
        </is>
      </c>
      <c r="I364" t="inlineStr">
        <is>
          <t>Yes</t>
        </is>
      </c>
      <c r="K364" t="inlineStr">
        <is>
          <t>Collection</t>
        </is>
      </c>
      <c r="L364" t="n">
        <v>20</v>
      </c>
      <c r="M364" t="n">
        <v>22.5</v>
      </c>
      <c r="N364" t="n">
        <v>50</v>
      </c>
      <c r="O364" t="inlineStr">
        <is>
          <t>2026-10-05 UTC (WFM pull 02:52-04:00)</t>
        </is>
      </c>
      <c r="P364" t="inlineStr">
        <is>
          <t>OK</t>
        </is>
      </c>
      <c r="R364" t="inlineStr">
        <is>
          <t>Every current tradeable mod at MAX RANK (WFM catalogue, rivens/locators excluded)</t>
        </is>
      </c>
      <c r="S364" t="inlineStr">
        <is>
          <t>assimilate</t>
        </is>
      </c>
      <c r="T364" t="n">
        <v>6</v>
      </c>
      <c r="U364" t="n">
        <v>6</v>
      </c>
      <c r="V364" t="n">
        <v>15</v>
      </c>
      <c r="W364" t="n">
        <v>14</v>
      </c>
      <c r="X364" t="n">
        <v>13.6</v>
      </c>
      <c r="Y364" t="n">
        <v>259</v>
      </c>
      <c r="Z364" t="n">
        <v>2</v>
      </c>
      <c r="AN364" t="inlineStr">
        <is>
          <t>Augment Nyx</t>
        </is>
      </c>
      <c r="AO364" t="n">
        <v>210</v>
      </c>
      <c r="AP364" t="n">
        <v>10143</v>
      </c>
      <c r="AQ364" t="n">
        <v>15</v>
      </c>
      <c r="AS364" t="inlineStr">
        <is>
          <t>Yes</t>
        </is>
      </c>
    </row>
    <row r="365">
      <c r="A365" t="inlineStr">
        <is>
          <t>Mod</t>
        </is>
      </c>
      <c r="B365" t="inlineStr">
        <is>
          <t>Astral Autopsy</t>
        </is>
      </c>
      <c r="E365" t="inlineStr">
        <is>
          <t>Archmelee</t>
        </is>
      </c>
      <c r="G365" t="n">
        <v>1</v>
      </c>
      <c r="H365" t="inlineStr">
        <is>
          <t>Player trade (max rank)</t>
        </is>
      </c>
      <c r="I365" t="inlineStr">
        <is>
          <t>Yes</t>
        </is>
      </c>
      <c r="K365" t="inlineStr">
        <is>
          <t>Collection</t>
        </is>
      </c>
      <c r="L365" t="n">
        <v>59</v>
      </c>
      <c r="M365" t="n">
        <v>69</v>
      </c>
      <c r="N365" t="n">
        <v>152</v>
      </c>
      <c r="O365" t="inlineStr">
        <is>
          <t>2026-10-05 UTC (WFM pull 02:52-04:00)</t>
        </is>
      </c>
      <c r="P365" t="inlineStr">
        <is>
          <t>OK</t>
        </is>
      </c>
      <c r="R365" t="inlineStr">
        <is>
          <t>Every current tradeable mod at MAX RANK (WFM catalogue, rivens/locators excluded)</t>
        </is>
      </c>
      <c r="S365" t="inlineStr">
        <is>
          <t>astral_autopsy</t>
        </is>
      </c>
      <c r="T365" t="n">
        <v>5</v>
      </c>
      <c r="U365" t="n">
        <v>5</v>
      </c>
      <c r="V365" t="n">
        <v>62</v>
      </c>
      <c r="W365" t="n">
        <v>62</v>
      </c>
      <c r="X365" t="n">
        <v>61.1</v>
      </c>
      <c r="Y365" t="n">
        <v>109</v>
      </c>
      <c r="Z365" t="n">
        <v>4</v>
      </c>
      <c r="AA365" t="n">
        <v>25</v>
      </c>
      <c r="AB365" t="n">
        <v>34</v>
      </c>
      <c r="AN365" t="inlineStr">
        <is>
          <t>Archmelee</t>
        </is>
      </c>
      <c r="AO365" t="n">
        <v>0</v>
      </c>
      <c r="AP365" t="n">
        <v>0</v>
      </c>
      <c r="AS365" t="inlineStr">
        <is>
          <t>Yes</t>
        </is>
      </c>
    </row>
    <row r="366">
      <c r="A366" t="inlineStr">
        <is>
          <t>Mod</t>
        </is>
      </c>
      <c r="B366" t="inlineStr">
        <is>
          <t>Astral Bond</t>
        </is>
      </c>
      <c r="E366" t="inlineStr">
        <is>
          <t>Companion</t>
        </is>
      </c>
      <c r="F366" t="n">
        <v>5</v>
      </c>
      <c r="G366" t="n">
        <v>1</v>
      </c>
      <c r="H366" t="inlineStr">
        <is>
          <t>Player trade (max rank)</t>
        </is>
      </c>
      <c r="I366" t="inlineStr">
        <is>
          <t>Yes</t>
        </is>
      </c>
      <c r="K366" t="inlineStr">
        <is>
          <t>Collection</t>
        </is>
      </c>
      <c r="L366" t="n">
        <v>19</v>
      </c>
      <c r="M366" t="n">
        <v>20</v>
      </c>
      <c r="N366" t="n">
        <v>28</v>
      </c>
      <c r="O366" t="inlineStr">
        <is>
          <t>2026-10-05 UTC (WFM pull 02:52-04:00)</t>
        </is>
      </c>
      <c r="P366" t="inlineStr">
        <is>
          <t>OK</t>
        </is>
      </c>
      <c r="R366" t="inlineStr">
        <is>
          <t>Every current tradeable mod at MAX RANK (WFM catalogue, rivens/locators excluded)</t>
        </is>
      </c>
      <c r="S366" t="inlineStr">
        <is>
          <t>astral_bond</t>
        </is>
      </c>
      <c r="T366" t="n">
        <v>9</v>
      </c>
      <c r="U366" t="n">
        <v>9</v>
      </c>
      <c r="V366" t="n">
        <v>19</v>
      </c>
      <c r="W366" t="n">
        <v>19</v>
      </c>
      <c r="X366" t="n">
        <v>18.5</v>
      </c>
      <c r="Y366" t="n">
        <v>50</v>
      </c>
      <c r="Z366" t="n">
        <v>0</v>
      </c>
      <c r="AN366" t="inlineStr">
        <is>
          <t>Companion</t>
        </is>
      </c>
      <c r="AO366" t="n">
        <v>930</v>
      </c>
      <c r="AP366" t="n">
        <v>44919</v>
      </c>
      <c r="AQ366" t="n">
        <v>20</v>
      </c>
      <c r="AS366" t="inlineStr">
        <is>
          <t>Yes</t>
        </is>
      </c>
    </row>
    <row r="367">
      <c r="A367" t="inlineStr">
        <is>
          <t>Mod</t>
        </is>
      </c>
      <c r="B367" t="inlineStr">
        <is>
          <t>Astral Slash</t>
        </is>
      </c>
      <c r="E367" t="inlineStr">
        <is>
          <t>Archmelee</t>
        </is>
      </c>
      <c r="F367" t="n">
        <v>5</v>
      </c>
      <c r="G367" t="n">
        <v>1</v>
      </c>
      <c r="H367" t="inlineStr">
        <is>
          <t>Player trade (max rank)</t>
        </is>
      </c>
      <c r="I367" t="inlineStr">
        <is>
          <t>Yes</t>
        </is>
      </c>
      <c r="K367" t="inlineStr">
        <is>
          <t>Collection</t>
        </is>
      </c>
      <c r="L367" t="n">
        <v>15</v>
      </c>
      <c r="M367" t="n">
        <v>24.8</v>
      </c>
      <c r="N367" t="n">
        <v>55</v>
      </c>
      <c r="O367" t="inlineStr">
        <is>
          <t>2026-10-05 UTC (WFM pull 02:52-04:00)</t>
        </is>
      </c>
      <c r="P367" t="inlineStr">
        <is>
          <t>OK</t>
        </is>
      </c>
      <c r="R367" t="inlineStr">
        <is>
          <t>Every current tradeable mod at MAX RANK (WFM catalogue, rivens/locators excluded)</t>
        </is>
      </c>
      <c r="S367" t="inlineStr">
        <is>
          <t>astral_slash</t>
        </is>
      </c>
      <c r="T367" t="n">
        <v>4</v>
      </c>
      <c r="U367" t="n">
        <v>4</v>
      </c>
      <c r="V367" t="n">
        <v>16.5</v>
      </c>
      <c r="W367" t="n">
        <v>18</v>
      </c>
      <c r="X367" t="n">
        <v>17.2</v>
      </c>
      <c r="Y367" t="n">
        <v>101</v>
      </c>
      <c r="Z367" t="n">
        <v>0</v>
      </c>
      <c r="AN367" t="inlineStr">
        <is>
          <t>Archmelee</t>
        </is>
      </c>
      <c r="AO367" t="n">
        <v>930</v>
      </c>
      <c r="AP367" t="n">
        <v>44919</v>
      </c>
      <c r="AQ367" t="n">
        <v>7.5</v>
      </c>
      <c r="AS367" t="inlineStr">
        <is>
          <t>Yes</t>
        </is>
      </c>
    </row>
    <row r="368">
      <c r="A368" t="inlineStr">
        <is>
          <t>Mod</t>
        </is>
      </c>
      <c r="B368" t="inlineStr">
        <is>
          <t>Astral Twilight</t>
        </is>
      </c>
      <c r="E368" t="inlineStr">
        <is>
          <t>Stance</t>
        </is>
      </c>
      <c r="F368" t="n">
        <v>3</v>
      </c>
      <c r="G368" t="n">
        <v>1</v>
      </c>
      <c r="H368" t="inlineStr">
        <is>
          <t>Player trade (max rank)</t>
        </is>
      </c>
      <c r="I368" t="inlineStr">
        <is>
          <t>Yes</t>
        </is>
      </c>
      <c r="K368" t="inlineStr">
        <is>
          <t>Collection</t>
        </is>
      </c>
      <c r="L368" t="n">
        <v>18</v>
      </c>
      <c r="M368" t="n">
        <v>19</v>
      </c>
      <c r="N368" t="n">
        <v>21</v>
      </c>
      <c r="O368" t="inlineStr">
        <is>
          <t>2026-10-05 UTC (WFM pull 02:52-04:00)</t>
        </is>
      </c>
      <c r="P368" t="inlineStr">
        <is>
          <t>OK</t>
        </is>
      </c>
      <c r="R368" t="inlineStr">
        <is>
          <t>Every current tradeable mod at MAX RANK (WFM catalogue, rivens/locators excluded)</t>
        </is>
      </c>
      <c r="S368" t="inlineStr">
        <is>
          <t>astral_twilight</t>
        </is>
      </c>
      <c r="T368" t="n">
        <v>19</v>
      </c>
      <c r="U368" t="n">
        <v>19</v>
      </c>
      <c r="V368" t="n">
        <v>14</v>
      </c>
      <c r="W368" t="n">
        <v>12</v>
      </c>
      <c r="X368" t="n">
        <v>12.5</v>
      </c>
      <c r="Y368" t="n">
        <v>719</v>
      </c>
      <c r="Z368" t="n">
        <v>19</v>
      </c>
      <c r="AN368" t="inlineStr">
        <is>
          <t>Stance</t>
        </is>
      </c>
      <c r="AO368" t="n">
        <v>210</v>
      </c>
      <c r="AP368" t="n">
        <v>10143</v>
      </c>
      <c r="AQ368" t="n">
        <v>10</v>
      </c>
      <c r="AS368" t="inlineStr">
        <is>
          <t>Yes</t>
        </is>
      </c>
    </row>
    <row r="369">
      <c r="A369" t="inlineStr">
        <is>
          <t>Mod</t>
        </is>
      </c>
      <c r="B369" t="inlineStr">
        <is>
          <t>Atlantis Vulcan</t>
        </is>
      </c>
      <c r="E369" t="inlineStr">
        <is>
          <t>Stance</t>
        </is>
      </c>
      <c r="F369" t="n">
        <v>3</v>
      </c>
      <c r="G369" t="n">
        <v>1</v>
      </c>
      <c r="H369" t="inlineStr">
        <is>
          <t>Player trade (max rank)</t>
        </is>
      </c>
      <c r="I369" t="inlineStr">
        <is>
          <t>Yes</t>
        </is>
      </c>
      <c r="K369" t="inlineStr">
        <is>
          <t>Collection</t>
        </is>
      </c>
      <c r="L369" t="n">
        <v>3</v>
      </c>
      <c r="M369" t="n">
        <v>5</v>
      </c>
      <c r="N369" t="n">
        <v>11</v>
      </c>
      <c r="O369" t="inlineStr">
        <is>
          <t>2026-10-05 UTC (WFM pull 02:52-04:00)</t>
        </is>
      </c>
      <c r="P369" t="inlineStr">
        <is>
          <t>OK</t>
        </is>
      </c>
      <c r="R369" t="inlineStr">
        <is>
          <t>Every current tradeable mod at MAX RANK (WFM catalogue, rivens/locators excluded)</t>
        </is>
      </c>
      <c r="S369" t="inlineStr">
        <is>
          <t>atlantis_vulcan</t>
        </is>
      </c>
      <c r="T369" t="n">
        <v>104</v>
      </c>
      <c r="U369" t="n">
        <v>2</v>
      </c>
      <c r="V369" t="n">
        <v>10</v>
      </c>
      <c r="W369" t="n">
        <v>10</v>
      </c>
      <c r="X369" t="n">
        <v>9.1</v>
      </c>
      <c r="Y369" t="n">
        <v>27</v>
      </c>
      <c r="Z369" t="n">
        <v>0</v>
      </c>
      <c r="AN369" t="inlineStr">
        <is>
          <t>Stance</t>
        </is>
      </c>
      <c r="AO369" t="n">
        <v>140</v>
      </c>
      <c r="AP369" t="n">
        <v>6762</v>
      </c>
      <c r="AQ369" t="n">
        <v>3</v>
      </c>
      <c r="AS369" t="inlineStr">
        <is>
          <t>Yes</t>
        </is>
      </c>
    </row>
    <row r="370">
      <c r="A370" t="inlineStr">
        <is>
          <t>Mod</t>
        </is>
      </c>
      <c r="B370" t="inlineStr">
        <is>
          <t>Atomic Fallout</t>
        </is>
      </c>
      <c r="E370" t="inlineStr">
        <is>
          <t>Shotgun</t>
        </is>
      </c>
      <c r="F370" t="n">
        <v>3</v>
      </c>
      <c r="G370" t="n">
        <v>1</v>
      </c>
      <c r="H370" t="inlineStr">
        <is>
          <t>Player trade (max rank)</t>
        </is>
      </c>
      <c r="I370" t="inlineStr">
        <is>
          <t>Yes</t>
        </is>
      </c>
      <c r="K370" t="inlineStr">
        <is>
          <t>Collection</t>
        </is>
      </c>
      <c r="L370" t="n">
        <v>5</v>
      </c>
      <c r="M370" t="n">
        <v>5</v>
      </c>
      <c r="N370" t="n">
        <v>11</v>
      </c>
      <c r="O370" t="inlineStr">
        <is>
          <t>2026-10-05 UTC (WFM pull 02:52-04:00)</t>
        </is>
      </c>
      <c r="P370" t="inlineStr">
        <is>
          <t>OK</t>
        </is>
      </c>
      <c r="R370" t="inlineStr">
        <is>
          <t>Every current tradeable mod at MAX RANK (WFM catalogue, rivens/locators excluded)</t>
        </is>
      </c>
      <c r="S370" t="inlineStr">
        <is>
          <t>atomic_fallout</t>
        </is>
      </c>
      <c r="T370" t="n">
        <v>11</v>
      </c>
      <c r="U370" t="n">
        <v>11</v>
      </c>
      <c r="V370" t="n">
        <v>5</v>
      </c>
      <c r="W370" t="n">
        <v>5</v>
      </c>
      <c r="X370" t="n">
        <v>5.5</v>
      </c>
      <c r="Y370" t="n">
        <v>99</v>
      </c>
      <c r="Z370" t="n">
        <v>0</v>
      </c>
      <c r="AN370" t="inlineStr">
        <is>
          <t>Shotgun</t>
        </is>
      </c>
      <c r="AO370" t="n">
        <v>210</v>
      </c>
      <c r="AP370" t="n">
        <v>10143</v>
      </c>
      <c r="AQ370" t="n">
        <v>2</v>
      </c>
      <c r="AS370" t="inlineStr">
        <is>
          <t>Yes</t>
        </is>
      </c>
    </row>
    <row r="371">
      <c r="A371" t="inlineStr">
        <is>
          <t>Mod</t>
        </is>
      </c>
      <c r="B371" t="inlineStr">
        <is>
          <t>Auger Strike</t>
        </is>
      </c>
      <c r="E371" t="inlineStr">
        <is>
          <t>Melee</t>
        </is>
      </c>
      <c r="F371" t="n">
        <v>5</v>
      </c>
      <c r="G371" t="n">
        <v>1</v>
      </c>
      <c r="H371" t="inlineStr">
        <is>
          <t>Player trade (max rank)</t>
        </is>
      </c>
      <c r="I371" t="inlineStr">
        <is>
          <t>Yes</t>
        </is>
      </c>
      <c r="K371" t="inlineStr">
        <is>
          <t>Collection</t>
        </is>
      </c>
      <c r="L371" t="n">
        <v>30</v>
      </c>
      <c r="M371" t="n">
        <v>45</v>
      </c>
      <c r="N371" t="n">
        <v>100</v>
      </c>
      <c r="O371" t="inlineStr">
        <is>
          <t>2026-10-05 UTC (WFM pull 02:52-04:00)</t>
        </is>
      </c>
      <c r="P371" t="inlineStr">
        <is>
          <t>OK</t>
        </is>
      </c>
      <c r="R371" t="inlineStr">
        <is>
          <t>Every current tradeable mod at MAX RANK (WFM catalogue, rivens/locators excluded)</t>
        </is>
      </c>
      <c r="S371" t="inlineStr">
        <is>
          <t>auger_strike</t>
        </is>
      </c>
      <c r="T371" t="n">
        <v>5</v>
      </c>
      <c r="U371" t="n">
        <v>5</v>
      </c>
      <c r="V371" t="n">
        <v>30</v>
      </c>
      <c r="W371" t="n">
        <v>25</v>
      </c>
      <c r="X371" t="n">
        <v>26.7</v>
      </c>
      <c r="Y371" t="n">
        <v>126</v>
      </c>
      <c r="Z371" t="n">
        <v>5</v>
      </c>
      <c r="AN371" t="inlineStr">
        <is>
          <t>Melee</t>
        </is>
      </c>
      <c r="AO371" t="n">
        <v>930</v>
      </c>
      <c r="AP371" t="n">
        <v>44919</v>
      </c>
      <c r="AQ371" t="n">
        <v>33</v>
      </c>
      <c r="AS371" t="inlineStr">
        <is>
          <t>Yes</t>
        </is>
      </c>
    </row>
    <row r="372">
      <c r="A372" t="inlineStr">
        <is>
          <t>Mod</t>
        </is>
      </c>
      <c r="B372" t="inlineStr">
        <is>
          <t>Augur Accord</t>
        </is>
      </c>
      <c r="E372" t="inlineStr">
        <is>
          <t>Warframe</t>
        </is>
      </c>
      <c r="F372" t="n">
        <v>5</v>
      </c>
      <c r="G372" t="n">
        <v>1</v>
      </c>
      <c r="H372" t="inlineStr">
        <is>
          <t>Player trade (max rank)</t>
        </is>
      </c>
      <c r="I372" t="inlineStr">
        <is>
          <t>Yes</t>
        </is>
      </c>
      <c r="K372" t="inlineStr">
        <is>
          <t>Collection</t>
        </is>
      </c>
      <c r="L372" t="n">
        <v>8</v>
      </c>
      <c r="M372" t="n">
        <v>10</v>
      </c>
      <c r="N372" t="n">
        <v>17</v>
      </c>
      <c r="O372" t="inlineStr">
        <is>
          <t>2026-10-05 UTC (WFM pull 02:52-04:00)</t>
        </is>
      </c>
      <c r="P372" t="inlineStr">
        <is>
          <t>OK</t>
        </is>
      </c>
      <c r="R372" t="inlineStr">
        <is>
          <t>Every current tradeable mod at MAX RANK (WFM catalogue, rivens/locators excluded)</t>
        </is>
      </c>
      <c r="S372" t="inlineStr">
        <is>
          <t>augur_accord</t>
        </is>
      </c>
      <c r="T372" t="n">
        <v>9</v>
      </c>
      <c r="U372" t="n">
        <v>9</v>
      </c>
      <c r="V372" t="n">
        <v>9.5</v>
      </c>
      <c r="W372" t="n">
        <v>9.5</v>
      </c>
      <c r="X372" t="n">
        <v>9.300000000000001</v>
      </c>
      <c r="Y372" t="n">
        <v>110</v>
      </c>
      <c r="Z372" t="n">
        <v>3</v>
      </c>
      <c r="AN372" t="inlineStr">
        <is>
          <t>Warframe</t>
        </is>
      </c>
      <c r="AO372" t="n">
        <v>620</v>
      </c>
      <c r="AP372" t="n">
        <v>29946</v>
      </c>
      <c r="AQ372" t="n">
        <v>4</v>
      </c>
      <c r="AS372" t="inlineStr">
        <is>
          <t>Yes</t>
        </is>
      </c>
    </row>
    <row r="373">
      <c r="A373" t="inlineStr">
        <is>
          <t>Mod</t>
        </is>
      </c>
      <c r="B373" t="inlineStr">
        <is>
          <t>Augur Message</t>
        </is>
      </c>
      <c r="E373" t="inlineStr">
        <is>
          <t>Warframe</t>
        </is>
      </c>
      <c r="F373" t="n">
        <v>5</v>
      </c>
      <c r="G373" t="n">
        <v>1</v>
      </c>
      <c r="H373" t="inlineStr">
        <is>
          <t>Player trade (max rank)</t>
        </is>
      </c>
      <c r="I373" t="inlineStr">
        <is>
          <t>Yes</t>
        </is>
      </c>
      <c r="K373" t="inlineStr">
        <is>
          <t>Collection</t>
        </is>
      </c>
      <c r="L373" t="n">
        <v>4</v>
      </c>
      <c r="M373" t="n">
        <v>9</v>
      </c>
      <c r="N373" t="n">
        <v>11</v>
      </c>
      <c r="O373" t="inlineStr">
        <is>
          <t>2026-10-05 UTC (WFM pull 02:52-04:00)</t>
        </is>
      </c>
      <c r="P373" t="inlineStr">
        <is>
          <t>OK</t>
        </is>
      </c>
      <c r="R373" t="inlineStr">
        <is>
          <t>Every current tradeable mod at MAX RANK (WFM catalogue, rivens/locators excluded)</t>
        </is>
      </c>
      <c r="S373" t="inlineStr">
        <is>
          <t>augur_message</t>
        </is>
      </c>
      <c r="T373" t="n">
        <v>20</v>
      </c>
      <c r="U373" t="n">
        <v>20</v>
      </c>
      <c r="V373" t="n">
        <v>9.5</v>
      </c>
      <c r="W373" t="n">
        <v>10</v>
      </c>
      <c r="X373" t="n">
        <v>9.699999999999999</v>
      </c>
      <c r="Y373" t="n">
        <v>789</v>
      </c>
      <c r="Z373" t="n">
        <v>16</v>
      </c>
      <c r="AN373" t="inlineStr">
        <is>
          <t>Warframe</t>
        </is>
      </c>
      <c r="AO373" t="n">
        <v>310</v>
      </c>
      <c r="AP373" t="n">
        <v>14973</v>
      </c>
      <c r="AQ373" t="n">
        <v>3</v>
      </c>
      <c r="AS373" t="inlineStr">
        <is>
          <t>Yes</t>
        </is>
      </c>
    </row>
    <row r="374">
      <c r="A374" t="inlineStr">
        <is>
          <t>Mod</t>
        </is>
      </c>
      <c r="B374" t="inlineStr">
        <is>
          <t>Augur Pact</t>
        </is>
      </c>
      <c r="E374" t="inlineStr">
        <is>
          <t>Pistol</t>
        </is>
      </c>
      <c r="F374" t="n">
        <v>5</v>
      </c>
      <c r="G374" t="n">
        <v>1</v>
      </c>
      <c r="H374" t="inlineStr">
        <is>
          <t>Player trade (max rank)</t>
        </is>
      </c>
      <c r="I374" t="inlineStr">
        <is>
          <t>Yes</t>
        </is>
      </c>
      <c r="K374" t="inlineStr">
        <is>
          <t>Collection</t>
        </is>
      </c>
      <c r="L374" t="n">
        <v>10</v>
      </c>
      <c r="M374" t="n">
        <v>13.5</v>
      </c>
      <c r="N374" t="n">
        <v>28</v>
      </c>
      <c r="O374" t="inlineStr">
        <is>
          <t>2026-10-05 UTC (WFM pull 02:52-04:00)</t>
        </is>
      </c>
      <c r="P374" t="inlineStr">
        <is>
          <t>OK</t>
        </is>
      </c>
      <c r="R374" t="inlineStr">
        <is>
          <t>Every current tradeable mod at MAX RANK (WFM catalogue, rivens/locators excluded)</t>
        </is>
      </c>
      <c r="S374" t="inlineStr">
        <is>
          <t>augur_pact</t>
        </is>
      </c>
      <c r="T374" t="n">
        <v>10</v>
      </c>
      <c r="U374" t="n">
        <v>10</v>
      </c>
      <c r="V374" t="n">
        <v>9</v>
      </c>
      <c r="W374" t="n">
        <v>9.5</v>
      </c>
      <c r="X374" t="n">
        <v>9.4</v>
      </c>
      <c r="Y374" t="n">
        <v>255</v>
      </c>
      <c r="Z374" t="n">
        <v>6</v>
      </c>
      <c r="AN374" t="inlineStr">
        <is>
          <t>Pistol</t>
        </is>
      </c>
      <c r="AO374" t="n">
        <v>310</v>
      </c>
      <c r="AP374" t="n">
        <v>14973</v>
      </c>
      <c r="AQ374" t="n">
        <v>5</v>
      </c>
      <c r="AS374" t="inlineStr">
        <is>
          <t>Yes</t>
        </is>
      </c>
    </row>
    <row r="375">
      <c r="A375" t="inlineStr">
        <is>
          <t>Mod</t>
        </is>
      </c>
      <c r="B375" t="inlineStr">
        <is>
          <t>Augur Reach</t>
        </is>
      </c>
      <c r="E375" t="inlineStr">
        <is>
          <t>Warframe</t>
        </is>
      </c>
      <c r="F375" t="n">
        <v>5</v>
      </c>
      <c r="G375" t="n">
        <v>1</v>
      </c>
      <c r="H375" t="inlineStr">
        <is>
          <t>Player trade (max rank)</t>
        </is>
      </c>
      <c r="I375" t="inlineStr">
        <is>
          <t>Yes</t>
        </is>
      </c>
      <c r="K375" t="inlineStr">
        <is>
          <t>Collection</t>
        </is>
      </c>
      <c r="L375" t="n">
        <v>25</v>
      </c>
      <c r="M375" t="n">
        <v>30</v>
      </c>
      <c r="N375" t="n">
        <v>66</v>
      </c>
      <c r="O375" t="inlineStr">
        <is>
          <t>2026-10-05 UTC (WFM pull 02:52-04:00)</t>
        </is>
      </c>
      <c r="P375" t="inlineStr">
        <is>
          <t>OK</t>
        </is>
      </c>
      <c r="R375" t="inlineStr">
        <is>
          <t>Every current tradeable mod at MAX RANK (WFM catalogue, rivens/locators excluded)</t>
        </is>
      </c>
      <c r="S375" t="inlineStr">
        <is>
          <t>augur_reach</t>
        </is>
      </c>
      <c r="T375" t="n">
        <v>7</v>
      </c>
      <c r="U375" t="n">
        <v>7</v>
      </c>
      <c r="V375" t="n">
        <v>20</v>
      </c>
      <c r="W375" t="n">
        <v>20</v>
      </c>
      <c r="X375" t="n">
        <v>21.2</v>
      </c>
      <c r="Y375" t="n">
        <v>2648</v>
      </c>
      <c r="Z375" t="n">
        <v>73</v>
      </c>
      <c r="AA375" t="n">
        <v>9</v>
      </c>
      <c r="AB375" t="n">
        <v>16</v>
      </c>
      <c r="AN375" t="inlineStr">
        <is>
          <t>Warframe</t>
        </is>
      </c>
      <c r="AO375" t="n">
        <v>620</v>
      </c>
      <c r="AP375" t="n">
        <v>29946</v>
      </c>
      <c r="AQ375" t="n">
        <v>19</v>
      </c>
      <c r="AS375" t="inlineStr">
        <is>
          <t>Yes</t>
        </is>
      </c>
    </row>
    <row r="376">
      <c r="A376" t="inlineStr">
        <is>
          <t>Mod</t>
        </is>
      </c>
      <c r="B376" t="inlineStr">
        <is>
          <t>Augur Secrets</t>
        </is>
      </c>
      <c r="E376" t="inlineStr">
        <is>
          <t>Warframe</t>
        </is>
      </c>
      <c r="F376" t="n">
        <v>5</v>
      </c>
      <c r="G376" t="n">
        <v>1</v>
      </c>
      <c r="H376" t="inlineStr">
        <is>
          <t>Player trade (max rank)</t>
        </is>
      </c>
      <c r="I376" t="inlineStr">
        <is>
          <t>Yes</t>
        </is>
      </c>
      <c r="K376" t="inlineStr">
        <is>
          <t>Collection</t>
        </is>
      </c>
      <c r="L376" t="n">
        <v>20</v>
      </c>
      <c r="M376" t="n">
        <v>29</v>
      </c>
      <c r="N376" t="n">
        <v>33</v>
      </c>
      <c r="O376" t="inlineStr">
        <is>
          <t>2026-10-05 UTC (WFM pull 02:52-04:00)</t>
        </is>
      </c>
      <c r="P376" t="inlineStr">
        <is>
          <t>OK</t>
        </is>
      </c>
      <c r="R376" t="inlineStr">
        <is>
          <t>Every current tradeable mod at MAX RANK (WFM catalogue, rivens/locators excluded)</t>
        </is>
      </c>
      <c r="S376" t="inlineStr">
        <is>
          <t>augur_secrets</t>
        </is>
      </c>
      <c r="T376" t="n">
        <v>19</v>
      </c>
      <c r="U376" t="n">
        <v>19</v>
      </c>
      <c r="V376" t="n">
        <v>25</v>
      </c>
      <c r="W376" t="n">
        <v>26</v>
      </c>
      <c r="X376" t="n">
        <v>26.7</v>
      </c>
      <c r="Y376" t="n">
        <v>3142</v>
      </c>
      <c r="Z376" t="n">
        <v>25</v>
      </c>
      <c r="AA376" t="n">
        <v>12</v>
      </c>
      <c r="AB376" t="n">
        <v>8</v>
      </c>
      <c r="AN376" t="inlineStr">
        <is>
          <t>Warframe</t>
        </is>
      </c>
      <c r="AO376" t="n">
        <v>930</v>
      </c>
      <c r="AP376" t="n">
        <v>44919</v>
      </c>
      <c r="AQ376" t="n">
        <v>19</v>
      </c>
      <c r="AS376" t="inlineStr">
        <is>
          <t>Yes</t>
        </is>
      </c>
    </row>
    <row r="377">
      <c r="A377" t="inlineStr">
        <is>
          <t>Mod</t>
        </is>
      </c>
      <c r="B377" t="inlineStr">
        <is>
          <t>Augur Seeker</t>
        </is>
      </c>
      <c r="E377" t="inlineStr">
        <is>
          <t>Pistol</t>
        </is>
      </c>
      <c r="F377" t="n">
        <v>5</v>
      </c>
      <c r="G377" t="n">
        <v>1</v>
      </c>
      <c r="H377" t="inlineStr">
        <is>
          <t>Player trade (max rank)</t>
        </is>
      </c>
      <c r="I377" t="inlineStr">
        <is>
          <t>Yes</t>
        </is>
      </c>
      <c r="K377" t="inlineStr">
        <is>
          <t>Collection</t>
        </is>
      </c>
      <c r="L377" t="n">
        <v>13</v>
      </c>
      <c r="M377" t="n">
        <v>13</v>
      </c>
      <c r="N377" t="n">
        <v>17</v>
      </c>
      <c r="O377" t="inlineStr">
        <is>
          <t>2026-10-05 UTC (WFM pull 02:52-04:00)</t>
        </is>
      </c>
      <c r="P377" t="inlineStr">
        <is>
          <t>OK</t>
        </is>
      </c>
      <c r="R377" t="inlineStr">
        <is>
          <t>Every current tradeable mod at MAX RANK (WFM catalogue, rivens/locators excluded)</t>
        </is>
      </c>
      <c r="S377" t="inlineStr">
        <is>
          <t>augur_seeker</t>
        </is>
      </c>
      <c r="T377" t="n">
        <v>23</v>
      </c>
      <c r="U377" t="n">
        <v>23</v>
      </c>
      <c r="V377" t="n">
        <v>10</v>
      </c>
      <c r="W377" t="n">
        <v>12</v>
      </c>
      <c r="X377" t="n">
        <v>12.1</v>
      </c>
      <c r="Y377" t="n">
        <v>432</v>
      </c>
      <c r="Z377" t="n">
        <v>13</v>
      </c>
      <c r="AN377" t="inlineStr">
        <is>
          <t>Pistol</t>
        </is>
      </c>
      <c r="AO377" t="n">
        <v>930</v>
      </c>
      <c r="AP377" t="n">
        <v>44919</v>
      </c>
      <c r="AQ377" t="n">
        <v>9</v>
      </c>
      <c r="AS377" t="inlineStr">
        <is>
          <t>Yes</t>
        </is>
      </c>
    </row>
    <row r="378">
      <c r="A378" t="inlineStr">
        <is>
          <t>Mod</t>
        </is>
      </c>
      <c r="B378" t="inlineStr">
        <is>
          <t>Auto Breach</t>
        </is>
      </c>
      <c r="E378" t="inlineStr">
        <is>
          <t>Parazon</t>
        </is>
      </c>
      <c r="G378" t="n">
        <v>1</v>
      </c>
      <c r="H378" t="inlineStr">
        <is>
          <t>Player trade (max rank)</t>
        </is>
      </c>
      <c r="I378" t="inlineStr">
        <is>
          <t>Yes</t>
        </is>
      </c>
      <c r="K378" t="inlineStr">
        <is>
          <t>Collection</t>
        </is>
      </c>
      <c r="L378" t="n">
        <v>7</v>
      </c>
      <c r="M378" t="n">
        <v>10</v>
      </c>
      <c r="N378" t="n">
        <v>11</v>
      </c>
      <c r="O378" t="inlineStr">
        <is>
          <t>2026-10-05 UTC (WFM pull 02:52-04:00)</t>
        </is>
      </c>
      <c r="P378" t="inlineStr">
        <is>
          <t>OK</t>
        </is>
      </c>
      <c r="R378" t="inlineStr">
        <is>
          <t>Every current tradeable mod at MAX RANK (WFM catalogue, rivens/locators excluded)</t>
        </is>
      </c>
      <c r="S378" t="inlineStr">
        <is>
          <t>auto_breach</t>
        </is>
      </c>
      <c r="T378" t="n">
        <v>11</v>
      </c>
      <c r="U378" t="n">
        <v>11</v>
      </c>
      <c r="V378" t="n">
        <v>8</v>
      </c>
      <c r="W378" t="n">
        <v>8</v>
      </c>
      <c r="X378" t="n">
        <v>8.5</v>
      </c>
      <c r="Y378" t="n">
        <v>930</v>
      </c>
      <c r="Z378" t="n">
        <v>22</v>
      </c>
      <c r="AN378" t="inlineStr">
        <is>
          <t>Parazon</t>
        </is>
      </c>
      <c r="AO378" t="n">
        <v>0</v>
      </c>
      <c r="AP378" t="n">
        <v>0</v>
      </c>
      <c r="AS378" t="inlineStr">
        <is>
          <t>Yes</t>
        </is>
      </c>
    </row>
    <row r="379">
      <c r="A379" t="inlineStr">
        <is>
          <t>Mod</t>
        </is>
      </c>
      <c r="B379" t="inlineStr">
        <is>
          <t>Auto Omni</t>
        </is>
      </c>
      <c r="E379" t="inlineStr">
        <is>
          <t>Nautilus</t>
        </is>
      </c>
      <c r="F379" t="n">
        <v>5</v>
      </c>
      <c r="G379" t="n">
        <v>1</v>
      </c>
      <c r="H379" t="inlineStr">
        <is>
          <t>Player trade (max rank)</t>
        </is>
      </c>
      <c r="I379" t="inlineStr">
        <is>
          <t>Yes</t>
        </is>
      </c>
      <c r="K379" t="inlineStr">
        <is>
          <t>Collection</t>
        </is>
      </c>
      <c r="L379" t="n">
        <v>10</v>
      </c>
      <c r="M379" t="n">
        <v>12</v>
      </c>
      <c r="N379" t="n">
        <v>17</v>
      </c>
      <c r="O379" t="inlineStr">
        <is>
          <t>2026-10-05 UTC (WFM pull 02:52-04:00)</t>
        </is>
      </c>
      <c r="P379" t="inlineStr">
        <is>
          <t>OK</t>
        </is>
      </c>
      <c r="R379" t="inlineStr">
        <is>
          <t>Every current tradeable mod at MAX RANK (WFM catalogue, rivens/locators excluded)</t>
        </is>
      </c>
      <c r="S379" t="inlineStr">
        <is>
          <t>auto_omni</t>
        </is>
      </c>
      <c r="T379" t="n">
        <v>53</v>
      </c>
      <c r="U379" t="n">
        <v>1</v>
      </c>
      <c r="W379" t="n">
        <v>14</v>
      </c>
      <c r="X379" t="n">
        <v>24.2</v>
      </c>
      <c r="Y379" t="n">
        <v>4</v>
      </c>
      <c r="Z379" t="n">
        <v>0</v>
      </c>
      <c r="AN379" t="inlineStr">
        <is>
          <t>Nautilus</t>
        </is>
      </c>
      <c r="AO379" t="n">
        <v>310</v>
      </c>
      <c r="AP379" t="n">
        <v>14973</v>
      </c>
      <c r="AQ379" t="n">
        <v>14</v>
      </c>
      <c r="AS379" t="inlineStr">
        <is>
          <t>Yes</t>
        </is>
      </c>
    </row>
    <row r="380">
      <c r="A380" t="inlineStr">
        <is>
          <t>Mod</t>
        </is>
      </c>
      <c r="B380" t="inlineStr">
        <is>
          <t>Automatic Trigger</t>
        </is>
      </c>
      <c r="E380" t="inlineStr">
        <is>
          <t>Archgun</t>
        </is>
      </c>
      <c r="F380" t="n">
        <v>5</v>
      </c>
      <c r="G380" t="n">
        <v>1</v>
      </c>
      <c r="H380" t="inlineStr">
        <is>
          <t>Player trade (max rank)</t>
        </is>
      </c>
      <c r="I380" t="inlineStr">
        <is>
          <t>Yes</t>
        </is>
      </c>
      <c r="K380" t="inlineStr">
        <is>
          <t>Collection</t>
        </is>
      </c>
      <c r="L380" t="n">
        <v>14</v>
      </c>
      <c r="M380" t="n">
        <v>15</v>
      </c>
      <c r="N380" t="n">
        <v>22</v>
      </c>
      <c r="O380" t="inlineStr">
        <is>
          <t>2026-10-05 UTC (WFM pull 02:52-04:00)</t>
        </is>
      </c>
      <c r="P380" t="inlineStr">
        <is>
          <t>OK</t>
        </is>
      </c>
      <c r="R380" t="inlineStr">
        <is>
          <t>Every current tradeable mod at MAX RANK (WFM catalogue, rivens/locators excluded)</t>
        </is>
      </c>
      <c r="S380" t="inlineStr">
        <is>
          <t>automatic_trigger</t>
        </is>
      </c>
      <c r="T380" t="n">
        <v>9</v>
      </c>
      <c r="U380" t="n">
        <v>9</v>
      </c>
      <c r="V380" t="n">
        <v>13.5</v>
      </c>
      <c r="W380" t="n">
        <v>14</v>
      </c>
      <c r="X380" t="n">
        <v>13</v>
      </c>
      <c r="Y380" t="n">
        <v>220</v>
      </c>
      <c r="Z380" t="n">
        <v>7</v>
      </c>
      <c r="AN380" t="inlineStr">
        <is>
          <t>Archgun</t>
        </is>
      </c>
      <c r="AO380" t="n">
        <v>930</v>
      </c>
      <c r="AP380" t="n">
        <v>44919</v>
      </c>
      <c r="AQ380" t="n">
        <v>6</v>
      </c>
      <c r="AS380" t="inlineStr">
        <is>
          <t>Yes</t>
        </is>
      </c>
    </row>
    <row r="381">
      <c r="A381" t="inlineStr">
        <is>
          <t>Mod</t>
        </is>
      </c>
      <c r="B381" t="inlineStr">
        <is>
          <t>Auxiliary Power</t>
        </is>
      </c>
      <c r="E381" t="inlineStr">
        <is>
          <t>Archwing</t>
        </is>
      </c>
      <c r="F381" t="n">
        <v>5</v>
      </c>
      <c r="G381" t="n">
        <v>1</v>
      </c>
      <c r="H381" t="inlineStr">
        <is>
          <t>Player trade (max rank)</t>
        </is>
      </c>
      <c r="I381" t="inlineStr">
        <is>
          <t>Yes</t>
        </is>
      </c>
      <c r="K381" t="inlineStr">
        <is>
          <t>Collection</t>
        </is>
      </c>
      <c r="L381" t="n">
        <v>12</v>
      </c>
      <c r="M381" t="n">
        <v>24.8</v>
      </c>
      <c r="N381" t="n">
        <v>33</v>
      </c>
      <c r="O381" t="inlineStr">
        <is>
          <t>2026-10-05 UTC (WFM pull 02:52-04:00)</t>
        </is>
      </c>
      <c r="P381" t="inlineStr">
        <is>
          <t>OK</t>
        </is>
      </c>
      <c r="R381" t="inlineStr">
        <is>
          <t>Every current tradeable mod at MAX RANK (WFM catalogue, rivens/locators excluded)</t>
        </is>
      </c>
      <c r="S381" t="inlineStr">
        <is>
          <t>auxiliary_power</t>
        </is>
      </c>
      <c r="T381" t="n">
        <v>4</v>
      </c>
      <c r="U381" t="n">
        <v>4</v>
      </c>
      <c r="V381" t="n">
        <v>16.5</v>
      </c>
      <c r="W381" t="n">
        <v>15</v>
      </c>
      <c r="X381" t="n">
        <v>15.9</v>
      </c>
      <c r="Y381" t="n">
        <v>98</v>
      </c>
      <c r="Z381" t="n">
        <v>2</v>
      </c>
      <c r="AN381" t="inlineStr">
        <is>
          <t>Archwing</t>
        </is>
      </c>
      <c r="AO381" t="n">
        <v>620</v>
      </c>
      <c r="AP381" t="n">
        <v>29946</v>
      </c>
      <c r="AQ381" t="n">
        <v>8</v>
      </c>
      <c r="AS381" t="inlineStr">
        <is>
          <t>Yes</t>
        </is>
      </c>
    </row>
    <row r="382">
      <c r="A382" t="inlineStr">
        <is>
          <t>Mod</t>
        </is>
      </c>
      <c r="B382" t="inlineStr">
        <is>
          <t>Avenging Truth</t>
        </is>
      </c>
      <c r="E382" t="inlineStr">
        <is>
          <t>Augment Silva &amp; Aegis</t>
        </is>
      </c>
      <c r="F382" t="n">
        <v>3</v>
      </c>
      <c r="G382" t="n">
        <v>1</v>
      </c>
      <c r="H382" t="inlineStr">
        <is>
          <t>Player trade (max rank)</t>
        </is>
      </c>
      <c r="I382" t="inlineStr">
        <is>
          <t>Yes</t>
        </is>
      </c>
      <c r="K382" t="inlineStr">
        <is>
          <t>Collection</t>
        </is>
      </c>
      <c r="L382" t="n">
        <v>8</v>
      </c>
      <c r="M382" t="n">
        <v>10</v>
      </c>
      <c r="N382" t="n">
        <v>17</v>
      </c>
      <c r="O382" t="inlineStr">
        <is>
          <t>2026-10-05 UTC (WFM pull 02:52-04:00)</t>
        </is>
      </c>
      <c r="P382" t="inlineStr">
        <is>
          <t>OK</t>
        </is>
      </c>
      <c r="R382" t="inlineStr">
        <is>
          <t>Every current tradeable mod at MAX RANK (WFM catalogue, rivens/locators excluded)</t>
        </is>
      </c>
      <c r="S382" t="inlineStr">
        <is>
          <t>avenging_truth</t>
        </is>
      </c>
      <c r="T382" t="n">
        <v>58</v>
      </c>
      <c r="U382" t="n">
        <v>2</v>
      </c>
      <c r="V382" t="n">
        <v>15</v>
      </c>
      <c r="W382" t="n">
        <v>15</v>
      </c>
      <c r="X382" t="n">
        <v>14.1</v>
      </c>
      <c r="Y382" t="n">
        <v>30</v>
      </c>
      <c r="Z382" t="n">
        <v>0</v>
      </c>
      <c r="AN382" t="inlineStr">
        <is>
          <t>Augment Silva &amp; Aegis</t>
        </is>
      </c>
      <c r="AO382" t="n">
        <v>210</v>
      </c>
      <c r="AP382" t="n">
        <v>10143</v>
      </c>
      <c r="AQ382" t="n">
        <v>15</v>
      </c>
      <c r="AS382" t="inlineStr">
        <is>
          <t>Yes</t>
        </is>
      </c>
    </row>
    <row r="383">
      <c r="A383" t="inlineStr">
        <is>
          <t>Mod</t>
        </is>
      </c>
      <c r="B383" t="inlineStr">
        <is>
          <t>Aviator</t>
        </is>
      </c>
      <c r="E383" t="inlineStr">
        <is>
          <t>Warframe</t>
        </is>
      </c>
      <c r="F383" t="n">
        <v>3</v>
      </c>
      <c r="G383" t="n">
        <v>1</v>
      </c>
      <c r="H383" t="inlineStr">
        <is>
          <t>Player trade (max rank)</t>
        </is>
      </c>
      <c r="I383" t="inlineStr">
        <is>
          <t>Yes</t>
        </is>
      </c>
      <c r="K383" t="inlineStr">
        <is>
          <t>Collection</t>
        </is>
      </c>
      <c r="L383" t="n">
        <v>10</v>
      </c>
      <c r="M383" t="n">
        <v>11.2</v>
      </c>
      <c r="N383" t="n">
        <v>25</v>
      </c>
      <c r="O383" t="inlineStr">
        <is>
          <t>2026-10-05 UTC (WFM pull 02:52-04:00)</t>
        </is>
      </c>
      <c r="P383" t="inlineStr">
        <is>
          <t>OK</t>
        </is>
      </c>
      <c r="R383" t="inlineStr">
        <is>
          <t>Every current tradeable mod at MAX RANK (WFM catalogue, rivens/locators excluded)</t>
        </is>
      </c>
      <c r="S383" t="inlineStr">
        <is>
          <t>aviator</t>
        </is>
      </c>
      <c r="T383" t="n">
        <v>6</v>
      </c>
      <c r="U383" t="n">
        <v>6</v>
      </c>
      <c r="V383" t="n">
        <v>7.5</v>
      </c>
      <c r="W383" t="n">
        <v>9</v>
      </c>
      <c r="X383" t="n">
        <v>8.4</v>
      </c>
      <c r="Y383" t="n">
        <v>92</v>
      </c>
      <c r="Z383" t="n">
        <v>3</v>
      </c>
      <c r="AN383" t="inlineStr">
        <is>
          <t>Warframe</t>
        </is>
      </c>
      <c r="AO383" t="n">
        <v>70</v>
      </c>
      <c r="AP383" t="n">
        <v>3381</v>
      </c>
      <c r="AQ383" t="n">
        <v>4</v>
      </c>
      <c r="AS383" t="inlineStr">
        <is>
          <t>Yes</t>
        </is>
      </c>
    </row>
    <row r="384">
      <c r="A384" t="inlineStr">
        <is>
          <t>Mod</t>
        </is>
      </c>
      <c r="B384" t="inlineStr">
        <is>
          <t>Axios Javelineers</t>
        </is>
      </c>
      <c r="E384" t="inlineStr">
        <is>
          <t>Augment Styanax</t>
        </is>
      </c>
      <c r="F384" t="n">
        <v>3</v>
      </c>
      <c r="G384" t="n">
        <v>1</v>
      </c>
      <c r="H384" t="inlineStr">
        <is>
          <t>Player trade (max rank)</t>
        </is>
      </c>
      <c r="I384" t="inlineStr">
        <is>
          <t>Yes</t>
        </is>
      </c>
      <c r="K384" t="inlineStr">
        <is>
          <t>Collection</t>
        </is>
      </c>
      <c r="L384" t="n">
        <v>15</v>
      </c>
      <c r="M384" t="n">
        <v>20</v>
      </c>
      <c r="N384" t="n">
        <v>24</v>
      </c>
      <c r="O384" t="inlineStr">
        <is>
          <t>2026-10-05 UTC (WFM pull 02:52-04:00)</t>
        </is>
      </c>
      <c r="P384" t="inlineStr">
        <is>
          <t>OK</t>
        </is>
      </c>
      <c r="R384" t="inlineStr">
        <is>
          <t>Every current tradeable mod at MAX RANK (WFM catalogue, rivens/locators excluded)</t>
        </is>
      </c>
      <c r="S384" t="inlineStr">
        <is>
          <t>axios_javelineers</t>
        </is>
      </c>
      <c r="T384" t="n">
        <v>8</v>
      </c>
      <c r="U384" t="n">
        <v>8</v>
      </c>
      <c r="V384" t="n">
        <v>14</v>
      </c>
      <c r="W384" t="n">
        <v>14</v>
      </c>
      <c r="X384" t="n">
        <v>13.9</v>
      </c>
      <c r="Y384" t="n">
        <v>111</v>
      </c>
      <c r="Z384" t="n">
        <v>0</v>
      </c>
      <c r="AN384" t="inlineStr">
        <is>
          <t>Augment Styanax</t>
        </is>
      </c>
      <c r="AO384" t="n">
        <v>210</v>
      </c>
      <c r="AP384" t="n">
        <v>10143</v>
      </c>
      <c r="AQ384" t="n">
        <v>14</v>
      </c>
      <c r="AS384" t="inlineStr">
        <is>
          <t>Yes</t>
        </is>
      </c>
    </row>
    <row r="385">
      <c r="A385" t="inlineStr">
        <is>
          <t>Mod</t>
        </is>
      </c>
      <c r="B385" t="inlineStr">
        <is>
          <t>Balanced Posture</t>
        </is>
      </c>
      <c r="E385" t="inlineStr">
        <is>
          <t>Stance</t>
        </is>
      </c>
      <c r="F385" t="n">
        <v>3</v>
      </c>
      <c r="G385" t="n">
        <v>1</v>
      </c>
      <c r="H385" t="inlineStr">
        <is>
          <t>Player trade (max rank)</t>
        </is>
      </c>
      <c r="I385" t="inlineStr">
        <is>
          <t>Yes</t>
        </is>
      </c>
      <c r="K385" t="inlineStr">
        <is>
          <t>Collection</t>
        </is>
      </c>
      <c r="L385" t="n">
        <v>7</v>
      </c>
      <c r="M385" t="n">
        <v>10</v>
      </c>
      <c r="N385" t="n">
        <v>17</v>
      </c>
      <c r="O385" t="inlineStr">
        <is>
          <t>2026-10-05 UTC (WFM pull 02:52-04:00)</t>
        </is>
      </c>
      <c r="P385" t="inlineStr">
        <is>
          <t>OK</t>
        </is>
      </c>
      <c r="R385" t="inlineStr">
        <is>
          <t>Every current tradeable mod at MAX RANK (WFM catalogue, rivens/locators excluded)</t>
        </is>
      </c>
      <c r="S385" t="inlineStr">
        <is>
          <t>balanced_posture</t>
        </is>
      </c>
      <c r="T385" t="n">
        <v>9</v>
      </c>
      <c r="U385" t="n">
        <v>9</v>
      </c>
      <c r="V385" t="n">
        <v>7</v>
      </c>
      <c r="W385" t="n">
        <v>5.5</v>
      </c>
      <c r="X385" t="n">
        <v>7</v>
      </c>
      <c r="Y385" t="n">
        <v>19</v>
      </c>
      <c r="Z385" t="n">
        <v>2</v>
      </c>
      <c r="AN385" t="inlineStr">
        <is>
          <t>Stance</t>
        </is>
      </c>
      <c r="AO385" t="n">
        <v>70</v>
      </c>
      <c r="AP385" t="n">
        <v>3381</v>
      </c>
      <c r="AQ385" t="n">
        <v>6</v>
      </c>
      <c r="AS385" t="inlineStr">
        <is>
          <t>Yes</t>
        </is>
      </c>
    </row>
    <row r="386">
      <c r="A386" t="inlineStr">
        <is>
          <t>Mod</t>
        </is>
      </c>
      <c r="B386" t="inlineStr">
        <is>
          <t>Balefire Surge</t>
        </is>
      </c>
      <c r="E386" t="inlineStr">
        <is>
          <t>Augment Hildryn</t>
        </is>
      </c>
      <c r="F386" t="n">
        <v>3</v>
      </c>
      <c r="G386" t="n">
        <v>1</v>
      </c>
      <c r="H386" t="inlineStr">
        <is>
          <t>Player trade (max rank)</t>
        </is>
      </c>
      <c r="I386" t="inlineStr">
        <is>
          <t>Yes</t>
        </is>
      </c>
      <c r="K386" t="inlineStr">
        <is>
          <t>Collection</t>
        </is>
      </c>
      <c r="L386" t="n">
        <v>10</v>
      </c>
      <c r="M386" t="n">
        <v>10</v>
      </c>
      <c r="N386" t="n">
        <v>11</v>
      </c>
      <c r="O386" t="inlineStr">
        <is>
          <t>2026-10-05 UTC (WFM pull 02:52-04:00)</t>
        </is>
      </c>
      <c r="P386" t="inlineStr">
        <is>
          <t>OK</t>
        </is>
      </c>
      <c r="R386" t="inlineStr">
        <is>
          <t>Every current tradeable mod at MAX RANK (WFM catalogue, rivens/locators excluded)</t>
        </is>
      </c>
      <c r="S386" t="inlineStr">
        <is>
          <t>balefire_surge</t>
        </is>
      </c>
      <c r="T386" t="n">
        <v>91</v>
      </c>
      <c r="U386" t="n">
        <v>2</v>
      </c>
      <c r="V386" t="n">
        <v>10</v>
      </c>
      <c r="W386" t="n">
        <v>10</v>
      </c>
      <c r="X386" t="n">
        <v>12.4</v>
      </c>
      <c r="Y386" t="n">
        <v>47</v>
      </c>
      <c r="Z386" t="n">
        <v>0</v>
      </c>
      <c r="AN386" t="inlineStr">
        <is>
          <t>Augment Hildryn</t>
        </is>
      </c>
      <c r="AO386" t="n">
        <v>210</v>
      </c>
      <c r="AP386" t="n">
        <v>10143</v>
      </c>
      <c r="AQ386" t="n">
        <v>11</v>
      </c>
      <c r="AS386" t="inlineStr">
        <is>
          <t>Yes</t>
        </is>
      </c>
    </row>
    <row r="387">
      <c r="A387" t="inlineStr">
        <is>
          <t>Mod</t>
        </is>
      </c>
      <c r="B387" t="inlineStr">
        <is>
          <t>Ballista Measure</t>
        </is>
      </c>
      <c r="E387" t="inlineStr">
        <is>
          <t>Archgun</t>
        </is>
      </c>
      <c r="F387" t="n">
        <v>3</v>
      </c>
      <c r="G387" t="n">
        <v>1</v>
      </c>
      <c r="H387" t="inlineStr">
        <is>
          <t>Player trade (max rank)</t>
        </is>
      </c>
      <c r="I387" t="inlineStr">
        <is>
          <t>Yes</t>
        </is>
      </c>
      <c r="K387" t="inlineStr">
        <is>
          <t>Collection</t>
        </is>
      </c>
      <c r="L387" t="n">
        <v>75</v>
      </c>
      <c r="M387" t="n">
        <v>80</v>
      </c>
      <c r="N387" t="n">
        <v>111</v>
      </c>
      <c r="O387" t="inlineStr">
        <is>
          <t>2026-10-05 UTC (WFM pull 02:52-04:00)</t>
        </is>
      </c>
      <c r="P387" t="inlineStr">
        <is>
          <t>OK</t>
        </is>
      </c>
      <c r="R387" t="inlineStr">
        <is>
          <t>Every current tradeable mod at MAX RANK (WFM catalogue, rivens/locators excluded)</t>
        </is>
      </c>
      <c r="S387" t="inlineStr">
        <is>
          <t>ballista_measure</t>
        </is>
      </c>
      <c r="T387" t="n">
        <v>7</v>
      </c>
      <c r="U387" t="n">
        <v>7</v>
      </c>
      <c r="V387" t="n">
        <v>64.5</v>
      </c>
      <c r="W387" t="n">
        <v>60</v>
      </c>
      <c r="X387" t="n">
        <v>60.4</v>
      </c>
      <c r="Y387" t="n">
        <v>44</v>
      </c>
      <c r="Z387" t="n">
        <v>1</v>
      </c>
      <c r="AN387" t="inlineStr">
        <is>
          <t>Archgun</t>
        </is>
      </c>
      <c r="AO387" t="n">
        <v>210</v>
      </c>
      <c r="AP387" t="n">
        <v>10143</v>
      </c>
      <c r="AQ387" t="n">
        <v>90</v>
      </c>
      <c r="AS387" t="inlineStr">
        <is>
          <t>Yes</t>
        </is>
      </c>
    </row>
    <row r="388">
      <c r="A388" t="inlineStr">
        <is>
          <t>Mod</t>
        </is>
      </c>
      <c r="B388" t="inlineStr">
        <is>
          <t>Ballistic Bullseye</t>
        </is>
      </c>
      <c r="E388" t="inlineStr">
        <is>
          <t>Augment Mesa</t>
        </is>
      </c>
      <c r="F388" t="n">
        <v>3</v>
      </c>
      <c r="G388" t="n">
        <v>1</v>
      </c>
      <c r="H388" t="inlineStr">
        <is>
          <t>Player trade (max rank)</t>
        </is>
      </c>
      <c r="I388" t="inlineStr">
        <is>
          <t>Yes</t>
        </is>
      </c>
      <c r="K388" t="inlineStr">
        <is>
          <t>Collection</t>
        </is>
      </c>
      <c r="L388" t="n">
        <v>15</v>
      </c>
      <c r="M388" t="n">
        <v>15</v>
      </c>
      <c r="N388" t="n">
        <v>22</v>
      </c>
      <c r="O388" t="inlineStr">
        <is>
          <t>2026-10-05 UTC (WFM pull 02:52-04:00)</t>
        </is>
      </c>
      <c r="P388" t="inlineStr">
        <is>
          <t>OK</t>
        </is>
      </c>
      <c r="R388" t="inlineStr">
        <is>
          <t>Every current tradeable mod at MAX RANK (WFM catalogue, rivens/locators excluded)</t>
        </is>
      </c>
      <c r="S388" t="inlineStr">
        <is>
          <t>ballistic_bullseye</t>
        </is>
      </c>
      <c r="T388" t="n">
        <v>6</v>
      </c>
      <c r="U388" t="n">
        <v>6</v>
      </c>
      <c r="V388" t="n">
        <v>10</v>
      </c>
      <c r="W388" t="n">
        <v>10</v>
      </c>
      <c r="X388" t="n">
        <v>11</v>
      </c>
      <c r="Y388" t="n">
        <v>51</v>
      </c>
      <c r="Z388" t="n">
        <v>0</v>
      </c>
      <c r="AN388" t="inlineStr">
        <is>
          <t>Augment Mesa</t>
        </is>
      </c>
      <c r="AO388" t="n">
        <v>210</v>
      </c>
      <c r="AP388" t="n">
        <v>10143</v>
      </c>
      <c r="AQ388" t="n">
        <v>9</v>
      </c>
      <c r="AS388" t="inlineStr">
        <is>
          <t>Yes</t>
        </is>
      </c>
    </row>
    <row r="389">
      <c r="A389" t="inlineStr">
        <is>
          <t>Mod</t>
        </is>
      </c>
      <c r="B389" t="inlineStr">
        <is>
          <t>Bane Of Corpus</t>
        </is>
      </c>
      <c r="E389" t="inlineStr">
        <is>
          <t>Rifle</t>
        </is>
      </c>
      <c r="F389" t="n">
        <v>5</v>
      </c>
      <c r="G389" t="n">
        <v>1</v>
      </c>
      <c r="H389" t="inlineStr">
        <is>
          <t>Player trade (max rank)</t>
        </is>
      </c>
      <c r="I389" t="inlineStr">
        <is>
          <t>Yes</t>
        </is>
      </c>
      <c r="K389" t="inlineStr">
        <is>
          <t>Collection</t>
        </is>
      </c>
      <c r="L389" t="n">
        <v>5</v>
      </c>
      <c r="M389" t="n">
        <v>7.5</v>
      </c>
      <c r="N389" t="n">
        <v>17</v>
      </c>
      <c r="O389" t="inlineStr">
        <is>
          <t>2026-10-05 UTC (WFM pull 02:52-04:00)</t>
        </is>
      </c>
      <c r="P389" t="inlineStr">
        <is>
          <t>OK</t>
        </is>
      </c>
      <c r="R389" t="inlineStr">
        <is>
          <t>Every current tradeable mod at MAX RANK (WFM catalogue, rivens/locators excluded)</t>
        </is>
      </c>
      <c r="S389" t="inlineStr">
        <is>
          <t>bane_of_corpus</t>
        </is>
      </c>
      <c r="T389" t="n">
        <v>5</v>
      </c>
      <c r="U389" t="n">
        <v>5</v>
      </c>
      <c r="V389" t="n">
        <v>5</v>
      </c>
      <c r="W389" t="n">
        <v>10</v>
      </c>
      <c r="X389" t="n">
        <v>10</v>
      </c>
      <c r="Y389" t="n">
        <v>5</v>
      </c>
      <c r="Z389" t="n">
        <v>0</v>
      </c>
      <c r="AN389" t="inlineStr">
        <is>
          <t>Rifle</t>
        </is>
      </c>
      <c r="AO389" t="n">
        <v>620</v>
      </c>
      <c r="AP389" t="n">
        <v>29946</v>
      </c>
      <c r="AQ389" t="n">
        <v>4.5</v>
      </c>
      <c r="AS389" t="inlineStr">
        <is>
          <t>Yes</t>
        </is>
      </c>
    </row>
    <row r="390">
      <c r="A390" t="inlineStr">
        <is>
          <t>Mod</t>
        </is>
      </c>
      <c r="B390" t="inlineStr">
        <is>
          <t>Bane Of Grineer</t>
        </is>
      </c>
      <c r="E390" t="inlineStr">
        <is>
          <t>Rifle</t>
        </is>
      </c>
      <c r="F390" t="n">
        <v>5</v>
      </c>
      <c r="G390" t="n">
        <v>1</v>
      </c>
      <c r="H390" t="inlineStr">
        <is>
          <t>Player trade (max rank)</t>
        </is>
      </c>
      <c r="I390" t="inlineStr">
        <is>
          <t>Yes</t>
        </is>
      </c>
      <c r="K390" t="inlineStr">
        <is>
          <t>Collection</t>
        </is>
      </c>
      <c r="L390" t="n">
        <v>9</v>
      </c>
      <c r="M390" t="n">
        <v>9</v>
      </c>
      <c r="N390" t="n">
        <v>20</v>
      </c>
      <c r="O390" t="inlineStr">
        <is>
          <t>2026-10-05 UTC (WFM pull 02:52-04:00)</t>
        </is>
      </c>
      <c r="P390" t="inlineStr">
        <is>
          <t>OK</t>
        </is>
      </c>
      <c r="R390" t="inlineStr">
        <is>
          <t>Every current tradeable mod at MAX RANK (WFM catalogue, rivens/locators excluded)</t>
        </is>
      </c>
      <c r="S390" t="inlineStr">
        <is>
          <t>bane_of_grineer</t>
        </is>
      </c>
      <c r="T390" t="n">
        <v>7</v>
      </c>
      <c r="U390" t="n">
        <v>7</v>
      </c>
      <c r="V390" t="n">
        <v>5</v>
      </c>
      <c r="W390" t="n">
        <v>10</v>
      </c>
      <c r="X390" t="n">
        <v>12.2</v>
      </c>
      <c r="Y390" t="n">
        <v>12</v>
      </c>
      <c r="Z390" t="n">
        <v>1</v>
      </c>
      <c r="AN390" t="inlineStr">
        <is>
          <t>Rifle</t>
        </is>
      </c>
      <c r="AO390" t="n">
        <v>620</v>
      </c>
      <c r="AP390" t="n">
        <v>29946</v>
      </c>
      <c r="AQ390" t="n">
        <v>4</v>
      </c>
      <c r="AS390" t="inlineStr">
        <is>
          <t>Yes</t>
        </is>
      </c>
    </row>
    <row r="391">
      <c r="A391" t="inlineStr">
        <is>
          <t>Mod</t>
        </is>
      </c>
      <c r="B391" t="inlineStr">
        <is>
          <t>Bane Of Infested</t>
        </is>
      </c>
      <c r="E391" t="inlineStr">
        <is>
          <t>Rifle</t>
        </is>
      </c>
      <c r="F391" t="n">
        <v>5</v>
      </c>
      <c r="G391" t="n">
        <v>1</v>
      </c>
      <c r="H391" t="inlineStr">
        <is>
          <t>Player trade (max rank)</t>
        </is>
      </c>
      <c r="I391" t="inlineStr">
        <is>
          <t>Yes</t>
        </is>
      </c>
      <c r="K391" t="inlineStr">
        <is>
          <t>Collection</t>
        </is>
      </c>
      <c r="L391" t="n">
        <v>9</v>
      </c>
      <c r="M391" t="n">
        <v>10</v>
      </c>
      <c r="N391" t="n">
        <v>17</v>
      </c>
      <c r="O391" t="inlineStr">
        <is>
          <t>2026-10-05 UTC (WFM pull 02:52-04:00)</t>
        </is>
      </c>
      <c r="P391" t="inlineStr">
        <is>
          <t>OK</t>
        </is>
      </c>
      <c r="R391" t="inlineStr">
        <is>
          <t>Every current tradeable mod at MAX RANK (WFM catalogue, rivens/locators excluded)</t>
        </is>
      </c>
      <c r="S391" t="inlineStr">
        <is>
          <t>bane_of_infested</t>
        </is>
      </c>
      <c r="T391" t="n">
        <v>4</v>
      </c>
      <c r="U391" t="n">
        <v>4</v>
      </c>
      <c r="V391" t="n">
        <v>13.5</v>
      </c>
      <c r="W391" t="n">
        <v>10</v>
      </c>
      <c r="X391" t="n">
        <v>12.2</v>
      </c>
      <c r="Y391" t="n">
        <v>12</v>
      </c>
      <c r="Z391" t="n">
        <v>0</v>
      </c>
      <c r="AN391" t="inlineStr">
        <is>
          <t>Rifle</t>
        </is>
      </c>
      <c r="AO391" t="n">
        <v>620</v>
      </c>
      <c r="AP391" t="n">
        <v>29946</v>
      </c>
      <c r="AQ391" t="n">
        <v>3</v>
      </c>
      <c r="AS391" t="inlineStr">
        <is>
          <t>Yes</t>
        </is>
      </c>
    </row>
    <row r="392">
      <c r="A392" t="inlineStr">
        <is>
          <t>Mod</t>
        </is>
      </c>
      <c r="B392" t="inlineStr">
        <is>
          <t>Bane Of Orokin</t>
        </is>
      </c>
      <c r="E392" t="inlineStr">
        <is>
          <t>Rifle</t>
        </is>
      </c>
      <c r="F392" t="n">
        <v>5</v>
      </c>
      <c r="G392" t="n">
        <v>1</v>
      </c>
      <c r="H392" t="inlineStr">
        <is>
          <t>Player trade (max rank)</t>
        </is>
      </c>
      <c r="I392" t="inlineStr">
        <is>
          <t>Yes</t>
        </is>
      </c>
      <c r="K392" t="inlineStr">
        <is>
          <t>Collection</t>
        </is>
      </c>
      <c r="L392" t="n">
        <v>20</v>
      </c>
      <c r="M392" t="n">
        <v>25</v>
      </c>
      <c r="N392" t="n">
        <v>33</v>
      </c>
      <c r="O392" t="inlineStr">
        <is>
          <t>2026-10-05 UTC (WFM pull 02:52-04:00)</t>
        </is>
      </c>
      <c r="P392" t="inlineStr">
        <is>
          <t>OK</t>
        </is>
      </c>
      <c r="R392" t="inlineStr">
        <is>
          <t>Every current tradeable mod at MAX RANK (WFM catalogue, rivens/locators excluded)</t>
        </is>
      </c>
      <c r="S392" t="inlineStr">
        <is>
          <t>bane_of_orokin</t>
        </is>
      </c>
      <c r="T392" t="n">
        <v>30</v>
      </c>
      <c r="U392" t="n">
        <v>1</v>
      </c>
      <c r="V392" t="n">
        <v>20</v>
      </c>
      <c r="W392" t="n">
        <v>25</v>
      </c>
      <c r="X392" t="n">
        <v>24.6</v>
      </c>
      <c r="Y392" t="n">
        <v>36</v>
      </c>
      <c r="Z392" t="n">
        <v>1</v>
      </c>
      <c r="AN392" t="inlineStr">
        <is>
          <t>Rifle</t>
        </is>
      </c>
      <c r="AO392" t="n">
        <v>620</v>
      </c>
      <c r="AP392" t="n">
        <v>29946</v>
      </c>
      <c r="AQ392" t="n">
        <v>28.5</v>
      </c>
      <c r="AS392" t="inlineStr">
        <is>
          <t>Yes</t>
        </is>
      </c>
    </row>
    <row r="393">
      <c r="A393" t="inlineStr">
        <is>
          <t>Mod</t>
        </is>
      </c>
      <c r="B393" t="inlineStr">
        <is>
          <t>Bane Of The Murmur</t>
        </is>
      </c>
      <c r="E393" t="inlineStr">
        <is>
          <t>Rifle</t>
        </is>
      </c>
      <c r="F393" t="n">
        <v>5</v>
      </c>
      <c r="G393" t="n">
        <v>1</v>
      </c>
      <c r="H393" t="inlineStr">
        <is>
          <t>Player trade (max rank)</t>
        </is>
      </c>
      <c r="I393" t="inlineStr">
        <is>
          <t>Yes</t>
        </is>
      </c>
      <c r="K393" t="inlineStr">
        <is>
          <t>Collection</t>
        </is>
      </c>
      <c r="L393" t="n">
        <v>10</v>
      </c>
      <c r="M393" t="n">
        <v>14</v>
      </c>
      <c r="N393" t="n">
        <v>17</v>
      </c>
      <c r="O393" t="inlineStr">
        <is>
          <t>2026-10-05 UTC (WFM pull 02:52-04:00)</t>
        </is>
      </c>
      <c r="P393" t="inlineStr">
        <is>
          <t>OK</t>
        </is>
      </c>
      <c r="R393" t="inlineStr">
        <is>
          <t>Every current tradeable mod at MAX RANK (WFM catalogue, rivens/locators excluded)</t>
        </is>
      </c>
      <c r="S393" t="inlineStr">
        <is>
          <t>bane_of_the_murmur</t>
        </is>
      </c>
      <c r="T393" t="n">
        <v>7</v>
      </c>
      <c r="U393" t="n">
        <v>7</v>
      </c>
      <c r="V393" t="n">
        <v>10</v>
      </c>
      <c r="W393" t="n">
        <v>10</v>
      </c>
      <c r="X393" t="n">
        <v>12.1</v>
      </c>
      <c r="Y393" t="n">
        <v>7</v>
      </c>
      <c r="Z393" t="n">
        <v>0</v>
      </c>
      <c r="AN393" t="inlineStr">
        <is>
          <t>Rifle</t>
        </is>
      </c>
      <c r="AO393" t="n">
        <v>620</v>
      </c>
      <c r="AP393" t="n">
        <v>29946</v>
      </c>
      <c r="AQ393" t="n">
        <v>5</v>
      </c>
      <c r="AS393" t="inlineStr">
        <is>
          <t>Yes</t>
        </is>
      </c>
    </row>
    <row r="394">
      <c r="A394" t="inlineStr">
        <is>
          <t>Mod</t>
        </is>
      </c>
      <c r="B394" t="inlineStr">
        <is>
          <t>Barrel Diffusion</t>
        </is>
      </c>
      <c r="E394" t="inlineStr">
        <is>
          <t>Pistol</t>
        </is>
      </c>
      <c r="F394" t="n">
        <v>5</v>
      </c>
      <c r="G394" t="n">
        <v>1</v>
      </c>
      <c r="H394" t="inlineStr">
        <is>
          <t>Player trade (max rank)</t>
        </is>
      </c>
      <c r="I394" t="inlineStr">
        <is>
          <t>Yes</t>
        </is>
      </c>
      <c r="K394" t="inlineStr">
        <is>
          <t>Collection</t>
        </is>
      </c>
      <c r="L394" t="n">
        <v>15</v>
      </c>
      <c r="M394" t="n">
        <v>15</v>
      </c>
      <c r="N394" t="n">
        <v>28</v>
      </c>
      <c r="O394" t="inlineStr">
        <is>
          <t>2026-10-05 UTC (WFM pull 02:52-04:00)</t>
        </is>
      </c>
      <c r="P394" t="inlineStr">
        <is>
          <t>OK</t>
        </is>
      </c>
      <c r="R394" t="inlineStr">
        <is>
          <t>Every current tradeable mod at MAX RANK (WFM catalogue, rivens/locators excluded)</t>
        </is>
      </c>
      <c r="S394" t="inlineStr">
        <is>
          <t>barrel_diffusion</t>
        </is>
      </c>
      <c r="T394" t="n">
        <v>7</v>
      </c>
      <c r="U394" t="n">
        <v>7</v>
      </c>
      <c r="V394" t="n">
        <v>9.5</v>
      </c>
      <c r="W394" t="n">
        <v>10</v>
      </c>
      <c r="X394" t="n">
        <v>9.4</v>
      </c>
      <c r="Y394" t="n">
        <v>307</v>
      </c>
      <c r="Z394" t="n">
        <v>4</v>
      </c>
      <c r="AN394" t="inlineStr">
        <is>
          <t>Pistol</t>
        </is>
      </c>
      <c r="AO394" t="n">
        <v>930</v>
      </c>
      <c r="AP394" t="n">
        <v>44919</v>
      </c>
      <c r="AQ394" t="n">
        <v>5</v>
      </c>
      <c r="AS394" t="inlineStr">
        <is>
          <t>Yes</t>
        </is>
      </c>
    </row>
    <row r="395">
      <c r="A395" t="inlineStr">
        <is>
          <t>Mod</t>
        </is>
      </c>
      <c r="B395" t="inlineStr">
        <is>
          <t>Battering Maneuver</t>
        </is>
      </c>
      <c r="E395" t="inlineStr">
        <is>
          <t>Warframe</t>
        </is>
      </c>
      <c r="F395" t="n">
        <v>5</v>
      </c>
      <c r="G395" t="n">
        <v>1</v>
      </c>
      <c r="H395" t="inlineStr">
        <is>
          <t>Player trade (max rank)</t>
        </is>
      </c>
      <c r="I395" t="inlineStr">
        <is>
          <t>Yes</t>
        </is>
      </c>
      <c r="K395" t="inlineStr">
        <is>
          <t>Collection</t>
        </is>
      </c>
      <c r="L395" t="n">
        <v>14</v>
      </c>
      <c r="M395" t="n">
        <v>21.8</v>
      </c>
      <c r="N395" t="n">
        <v>48</v>
      </c>
      <c r="O395" t="inlineStr">
        <is>
          <t>2026-10-05 UTC (WFM pull 02:52-04:00)</t>
        </is>
      </c>
      <c r="P395" t="inlineStr">
        <is>
          <t>OK</t>
        </is>
      </c>
      <c r="R395" t="inlineStr">
        <is>
          <t>Every current tradeable mod at MAX RANK (WFM catalogue, rivens/locators excluded)</t>
        </is>
      </c>
      <c r="S395" t="inlineStr">
        <is>
          <t>battering_maneuver</t>
        </is>
      </c>
      <c r="T395" t="n">
        <v>3</v>
      </c>
      <c r="U395" t="n">
        <v>3</v>
      </c>
      <c r="V395" t="n">
        <v>14.5</v>
      </c>
      <c r="W395" t="n">
        <v>14.5</v>
      </c>
      <c r="X395" t="n">
        <v>12.8</v>
      </c>
      <c r="Y395" t="n">
        <v>8</v>
      </c>
      <c r="Z395" t="n">
        <v>0</v>
      </c>
      <c r="AN395" t="inlineStr">
        <is>
          <t>Warframe</t>
        </is>
      </c>
      <c r="AO395" t="n">
        <v>620</v>
      </c>
      <c r="AP395" t="n">
        <v>29946</v>
      </c>
      <c r="AQ395" t="n">
        <v>6</v>
      </c>
      <c r="AS395" t="inlineStr">
        <is>
          <t>Yes</t>
        </is>
      </c>
    </row>
    <row r="396">
      <c r="A396" t="inlineStr">
        <is>
          <t>Mod</t>
        </is>
      </c>
      <c r="B396" t="inlineStr">
        <is>
          <t>Battle Forge</t>
        </is>
      </c>
      <c r="E396" t="inlineStr">
        <is>
          <t>Railjack (Tactical, Slot 3)</t>
        </is>
      </c>
      <c r="F396" t="n">
        <v>5</v>
      </c>
      <c r="G396" t="n">
        <v>1</v>
      </c>
      <c r="H396" t="inlineStr">
        <is>
          <t>Player trade (max rank)</t>
        </is>
      </c>
      <c r="I396" t="inlineStr">
        <is>
          <t>Yes</t>
        </is>
      </c>
      <c r="K396" t="inlineStr">
        <is>
          <t>Collection</t>
        </is>
      </c>
      <c r="L396" t="n">
        <v>7</v>
      </c>
      <c r="M396" t="n">
        <v>12</v>
      </c>
      <c r="N396" t="n">
        <v>21</v>
      </c>
      <c r="O396" t="inlineStr">
        <is>
          <t>2026-10-05 UTC (WFM pull 02:52-04:00)</t>
        </is>
      </c>
      <c r="P396" t="inlineStr">
        <is>
          <t>OK</t>
        </is>
      </c>
      <c r="R396" t="inlineStr">
        <is>
          <t>Every current tradeable mod at MAX RANK (WFM catalogue, rivens/locators excluded)</t>
        </is>
      </c>
      <c r="S396" t="inlineStr">
        <is>
          <t>battle_forge</t>
        </is>
      </c>
      <c r="T396" t="n">
        <v>51</v>
      </c>
      <c r="U396" t="n">
        <v>1</v>
      </c>
      <c r="V396" t="n">
        <v>19</v>
      </c>
      <c r="W396" t="n">
        <v>20</v>
      </c>
      <c r="X396" t="n">
        <v>21.5</v>
      </c>
      <c r="Y396" t="n">
        <v>28</v>
      </c>
      <c r="Z396" t="n">
        <v>1</v>
      </c>
      <c r="AN396" t="inlineStr">
        <is>
          <t>Railjack (Tactical, Slot 3)</t>
        </is>
      </c>
      <c r="AO396" t="n">
        <v>620</v>
      </c>
      <c r="AP396" t="n">
        <v>29946</v>
      </c>
      <c r="AQ396" t="n">
        <v>7.5</v>
      </c>
      <c r="AS396" t="inlineStr">
        <is>
          <t>Yes</t>
        </is>
      </c>
    </row>
    <row r="397">
      <c r="A397" t="inlineStr">
        <is>
          <t>Mod</t>
        </is>
      </c>
      <c r="B397" t="inlineStr">
        <is>
          <t>Battle Stations</t>
        </is>
      </c>
      <c r="E397" t="inlineStr">
        <is>
          <t>Railjack (Tactical, Slot 2)</t>
        </is>
      </c>
      <c r="F397" t="n">
        <v>5</v>
      </c>
      <c r="G397" t="n">
        <v>1</v>
      </c>
      <c r="H397" t="inlineStr">
        <is>
          <t>Player trade (max rank)</t>
        </is>
      </c>
      <c r="I397" t="inlineStr">
        <is>
          <t>Yes</t>
        </is>
      </c>
      <c r="K397" t="inlineStr">
        <is>
          <t>Collection</t>
        </is>
      </c>
      <c r="L397" t="n">
        <v>19</v>
      </c>
      <c r="M397" t="n">
        <v>28.5</v>
      </c>
      <c r="N397" t="n">
        <v>56</v>
      </c>
      <c r="O397" t="inlineStr">
        <is>
          <t>2026-10-05 UTC (WFM pull 02:52-04:00)</t>
        </is>
      </c>
      <c r="P397" t="inlineStr">
        <is>
          <t>OK</t>
        </is>
      </c>
      <c r="R397" t="inlineStr">
        <is>
          <t>Every current tradeable mod at MAX RANK (WFM catalogue, rivens/locators excluded)</t>
        </is>
      </c>
      <c r="S397" t="inlineStr">
        <is>
          <t>battle_stations</t>
        </is>
      </c>
      <c r="T397" t="n">
        <v>3</v>
      </c>
      <c r="U397" t="n">
        <v>3</v>
      </c>
      <c r="V397" t="n">
        <v>19</v>
      </c>
      <c r="W397" t="n">
        <v>20</v>
      </c>
      <c r="X397" t="n">
        <v>21.2</v>
      </c>
      <c r="Y397" t="n">
        <v>62</v>
      </c>
      <c r="Z397" t="n">
        <v>1</v>
      </c>
      <c r="AN397" t="inlineStr">
        <is>
          <t>Railjack (Tactical, Slot 2)</t>
        </is>
      </c>
      <c r="AO397" t="n">
        <v>620</v>
      </c>
      <c r="AP397" t="n">
        <v>29946</v>
      </c>
      <c r="AQ397" t="n">
        <v>13.5</v>
      </c>
      <c r="AS397" t="inlineStr">
        <is>
          <t>Yes</t>
        </is>
      </c>
    </row>
    <row r="398">
      <c r="A398" t="inlineStr">
        <is>
          <t>Mod</t>
        </is>
      </c>
      <c r="B398" t="inlineStr">
        <is>
          <t>Beguiling Lantern</t>
        </is>
      </c>
      <c r="E398" t="inlineStr">
        <is>
          <t>Augment Titania</t>
        </is>
      </c>
      <c r="F398" t="n">
        <v>3</v>
      </c>
      <c r="G398" t="n">
        <v>1</v>
      </c>
      <c r="H398" t="inlineStr">
        <is>
          <t>Player trade (max rank)</t>
        </is>
      </c>
      <c r="I398" t="inlineStr">
        <is>
          <t>Yes</t>
        </is>
      </c>
      <c r="K398" t="inlineStr">
        <is>
          <t>Collection</t>
        </is>
      </c>
      <c r="L398" t="n">
        <v>12</v>
      </c>
      <c r="M398" t="n">
        <v>18</v>
      </c>
      <c r="N398" t="n">
        <v>22</v>
      </c>
      <c r="O398" t="inlineStr">
        <is>
          <t>2026-10-05 UTC (WFM pull 02:52-04:00)</t>
        </is>
      </c>
      <c r="P398" t="inlineStr">
        <is>
          <t>OK</t>
        </is>
      </c>
      <c r="R398" t="inlineStr">
        <is>
          <t>Every current tradeable mod at MAX RANK (WFM catalogue, rivens/locators excluded)</t>
        </is>
      </c>
      <c r="S398" t="inlineStr">
        <is>
          <t>beguiling_lantern</t>
        </is>
      </c>
      <c r="T398" t="n">
        <v>3</v>
      </c>
      <c r="U398" t="n">
        <v>3</v>
      </c>
      <c r="V398" t="n">
        <v>13</v>
      </c>
      <c r="W398" t="n">
        <v>11</v>
      </c>
      <c r="X398" t="n">
        <v>12.4</v>
      </c>
      <c r="Y398" t="n">
        <v>31</v>
      </c>
      <c r="Z398" t="n">
        <v>1</v>
      </c>
      <c r="AN398" t="inlineStr">
        <is>
          <t>Augment Titania</t>
        </is>
      </c>
      <c r="AO398" t="n">
        <v>210</v>
      </c>
      <c r="AP398" t="n">
        <v>10143</v>
      </c>
      <c r="AQ398" t="n">
        <v>12</v>
      </c>
      <c r="AS398" t="inlineStr">
        <is>
          <t>Yes</t>
        </is>
      </c>
    </row>
    <row r="399">
      <c r="A399" t="inlineStr">
        <is>
          <t>Mod</t>
        </is>
      </c>
      <c r="B399" t="inlineStr">
        <is>
          <t>Bell Ringer</t>
        </is>
      </c>
      <c r="E399" t="inlineStr">
        <is>
          <t>Claws</t>
        </is>
      </c>
      <c r="F399" t="n">
        <v>3</v>
      </c>
      <c r="G399" t="n">
        <v>1</v>
      </c>
      <c r="H399" t="inlineStr">
        <is>
          <t>Player trade (max rank)</t>
        </is>
      </c>
      <c r="I399" t="inlineStr">
        <is>
          <t>Yes</t>
        </is>
      </c>
      <c r="K399" t="inlineStr">
        <is>
          <t>Collection</t>
        </is>
      </c>
      <c r="L399" t="n">
        <v>18</v>
      </c>
      <c r="M399" t="n">
        <v>26.2</v>
      </c>
      <c r="N399" t="n">
        <v>58</v>
      </c>
      <c r="O399" t="inlineStr">
        <is>
          <t>2026-10-05 UTC (WFM pull 02:52-04:00)</t>
        </is>
      </c>
      <c r="P399" t="inlineStr">
        <is>
          <t>OK</t>
        </is>
      </c>
      <c r="R399" t="inlineStr">
        <is>
          <t>Every current tradeable mod at MAX RANK (WFM catalogue, rivens/locators excluded)</t>
        </is>
      </c>
      <c r="S399" t="inlineStr">
        <is>
          <t>bell_ringer</t>
        </is>
      </c>
      <c r="T399" t="n">
        <v>6</v>
      </c>
      <c r="U399" t="n">
        <v>6</v>
      </c>
      <c r="V399" t="n">
        <v>17.5</v>
      </c>
      <c r="W399" t="n">
        <v>15</v>
      </c>
      <c r="X399" t="n">
        <v>15.8</v>
      </c>
      <c r="Y399" t="n">
        <v>121</v>
      </c>
      <c r="Z399" t="n">
        <v>2</v>
      </c>
      <c r="AN399" t="inlineStr">
        <is>
          <t>Claws</t>
        </is>
      </c>
      <c r="AO399" t="n">
        <v>140</v>
      </c>
      <c r="AP399" t="n">
        <v>6762</v>
      </c>
      <c r="AQ399" t="n">
        <v>15</v>
      </c>
      <c r="AS399" t="inlineStr">
        <is>
          <t>Yes</t>
        </is>
      </c>
    </row>
    <row r="400">
      <c r="A400" t="inlineStr">
        <is>
          <t>Mod</t>
        </is>
      </c>
      <c r="B400" t="inlineStr">
        <is>
          <t>Berserker Fury</t>
        </is>
      </c>
      <c r="E400" t="inlineStr">
        <is>
          <t>Melee</t>
        </is>
      </c>
      <c r="F400" t="n">
        <v>5</v>
      </c>
      <c r="G400" t="n">
        <v>1</v>
      </c>
      <c r="H400" t="inlineStr">
        <is>
          <t>Player trade (max rank)</t>
        </is>
      </c>
      <c r="I400" t="inlineStr">
        <is>
          <t>Yes</t>
        </is>
      </c>
      <c r="K400" t="inlineStr">
        <is>
          <t>Collection</t>
        </is>
      </c>
      <c r="L400" t="n">
        <v>10</v>
      </c>
      <c r="M400" t="n">
        <v>15</v>
      </c>
      <c r="N400" t="n">
        <v>21</v>
      </c>
      <c r="O400" t="inlineStr">
        <is>
          <t>2026-10-05 UTC (WFM pull 02:52-04:00)</t>
        </is>
      </c>
      <c r="P400" t="inlineStr">
        <is>
          <t>OK</t>
        </is>
      </c>
      <c r="R400" t="inlineStr">
        <is>
          <t>Every current tradeable mod at MAX RANK (WFM catalogue, rivens/locators excluded)</t>
        </is>
      </c>
      <c r="S400" t="inlineStr">
        <is>
          <t>berserker_fury</t>
        </is>
      </c>
      <c r="T400" t="n">
        <v>12</v>
      </c>
      <c r="U400" t="n">
        <v>12</v>
      </c>
      <c r="V400" t="n">
        <v>10</v>
      </c>
      <c r="W400" t="n">
        <v>10</v>
      </c>
      <c r="X400" t="n">
        <v>10.2</v>
      </c>
      <c r="Y400" t="n">
        <v>853</v>
      </c>
      <c r="Z400" t="n">
        <v>15</v>
      </c>
      <c r="AN400" t="inlineStr">
        <is>
          <t>Melee</t>
        </is>
      </c>
      <c r="AO400" t="n">
        <v>930</v>
      </c>
      <c r="AP400" t="n">
        <v>44919</v>
      </c>
      <c r="AQ400" t="n">
        <v>5</v>
      </c>
      <c r="AS400" t="inlineStr">
        <is>
          <t>Yes</t>
        </is>
      </c>
    </row>
    <row r="401">
      <c r="A401" t="inlineStr">
        <is>
          <t>Mod</t>
        </is>
      </c>
      <c r="B401" t="inlineStr">
        <is>
          <t>Bhisaj-Bal</t>
        </is>
      </c>
      <c r="E401" t="inlineStr">
        <is>
          <t>Augment Paris Prime</t>
        </is>
      </c>
      <c r="F401" t="n">
        <v>5</v>
      </c>
      <c r="G401" t="n">
        <v>1</v>
      </c>
      <c r="H401" t="inlineStr">
        <is>
          <t>Player trade (max rank)</t>
        </is>
      </c>
      <c r="I401" t="inlineStr">
        <is>
          <t>Yes</t>
        </is>
      </c>
      <c r="K401" t="inlineStr">
        <is>
          <t>Collection</t>
        </is>
      </c>
      <c r="L401" t="n">
        <v>19</v>
      </c>
      <c r="M401" t="n">
        <v>36</v>
      </c>
      <c r="N401" t="n">
        <v>80</v>
      </c>
      <c r="O401" t="inlineStr">
        <is>
          <t>2026-10-05 UTC (WFM pull 02:52-04:00)</t>
        </is>
      </c>
      <c r="P401" t="inlineStr">
        <is>
          <t>OK</t>
        </is>
      </c>
      <c r="R401" t="inlineStr">
        <is>
          <t>Every current tradeable mod at MAX RANK (WFM catalogue, rivens/locators excluded)</t>
        </is>
      </c>
      <c r="S401" t="inlineStr">
        <is>
          <t>bhisaj_bal</t>
        </is>
      </c>
      <c r="T401" t="n">
        <v>4</v>
      </c>
      <c r="U401" t="n">
        <v>4</v>
      </c>
      <c r="V401" t="n">
        <v>24</v>
      </c>
      <c r="W401" t="n">
        <v>21.5</v>
      </c>
      <c r="X401" t="n">
        <v>21.9</v>
      </c>
      <c r="Y401" t="n">
        <v>183</v>
      </c>
      <c r="Z401" t="n">
        <v>7</v>
      </c>
      <c r="AN401" t="inlineStr">
        <is>
          <t>Augment Paris Prime</t>
        </is>
      </c>
      <c r="AO401" t="n">
        <v>930</v>
      </c>
      <c r="AP401" t="n">
        <v>44919</v>
      </c>
      <c r="AQ401" t="n">
        <v>10</v>
      </c>
      <c r="AS401" t="inlineStr">
        <is>
          <t>Yes</t>
        </is>
      </c>
    </row>
    <row r="402">
      <c r="A402" t="inlineStr">
        <is>
          <t>Mod</t>
        </is>
      </c>
      <c r="B402" t="inlineStr">
        <is>
          <t>Biotic Rounds</t>
        </is>
      </c>
      <c r="E402" t="inlineStr">
        <is>
          <t>AX-52</t>
        </is>
      </c>
      <c r="F402" t="n">
        <v>5</v>
      </c>
      <c r="G402" t="n">
        <v>1</v>
      </c>
      <c r="H402" t="inlineStr">
        <is>
          <t>Player trade (max rank)</t>
        </is>
      </c>
      <c r="I402" t="inlineStr">
        <is>
          <t>Yes</t>
        </is>
      </c>
      <c r="K402" t="inlineStr">
        <is>
          <t>Collection</t>
        </is>
      </c>
      <c r="L402" t="n">
        <v>15</v>
      </c>
      <c r="M402" t="n">
        <v>25</v>
      </c>
      <c r="N402" t="n">
        <v>43</v>
      </c>
      <c r="O402" t="inlineStr">
        <is>
          <t>2026-10-05 UTC (WFM pull 02:52-04:00)</t>
        </is>
      </c>
      <c r="P402" t="inlineStr">
        <is>
          <t>OK</t>
        </is>
      </c>
      <c r="R402" t="inlineStr">
        <is>
          <t>Every current tradeable mod at MAX RANK (WFM catalogue, rivens/locators excluded)</t>
        </is>
      </c>
      <c r="S402" t="inlineStr">
        <is>
          <t>biotic_rounds</t>
        </is>
      </c>
      <c r="T402" t="n">
        <v>17</v>
      </c>
      <c r="U402" t="n">
        <v>17</v>
      </c>
      <c r="V402" t="n">
        <v>38.5</v>
      </c>
      <c r="W402" t="n">
        <v>100</v>
      </c>
      <c r="X402" t="n">
        <v>100.5</v>
      </c>
      <c r="Y402" t="n">
        <v>1871</v>
      </c>
      <c r="Z402" t="n">
        <v>5</v>
      </c>
      <c r="AN402" t="inlineStr">
        <is>
          <t>AX-52</t>
        </is>
      </c>
      <c r="AO402" t="n">
        <v>930</v>
      </c>
      <c r="AP402" t="n">
        <v>44919</v>
      </c>
      <c r="AQ402" t="n">
        <v>20</v>
      </c>
      <c r="AS402" t="inlineStr">
        <is>
          <t>Yes</t>
        </is>
      </c>
    </row>
    <row r="403">
      <c r="A403" t="inlineStr">
        <is>
          <t>Mod</t>
        </is>
      </c>
      <c r="B403" t="inlineStr">
        <is>
          <t>Bite</t>
        </is>
      </c>
      <c r="E403" t="inlineStr">
        <is>
          <t>Claws</t>
        </is>
      </c>
      <c r="F403" t="n">
        <v>10</v>
      </c>
      <c r="G403" t="n">
        <v>1</v>
      </c>
      <c r="H403" t="inlineStr">
        <is>
          <t>Player trade (max rank)</t>
        </is>
      </c>
      <c r="I403" t="inlineStr">
        <is>
          <t>Yes</t>
        </is>
      </c>
      <c r="K403" t="inlineStr">
        <is>
          <t>Collection</t>
        </is>
      </c>
      <c r="L403" t="n">
        <v>110</v>
      </c>
      <c r="M403" t="n">
        <v>120</v>
      </c>
      <c r="N403" t="n">
        <v>154</v>
      </c>
      <c r="O403" t="inlineStr">
        <is>
          <t>2026-10-05 UTC (WFM pull 02:52-04:00)</t>
        </is>
      </c>
      <c r="P403" t="inlineStr">
        <is>
          <t>OK</t>
        </is>
      </c>
      <c r="R403" t="inlineStr">
        <is>
          <t>Every current tradeable mod at MAX RANK (WFM catalogue, rivens/locators excluded)</t>
        </is>
      </c>
      <c r="S403" t="inlineStr">
        <is>
          <t>bite</t>
        </is>
      </c>
      <c r="T403" t="n">
        <v>13</v>
      </c>
      <c r="U403" t="n">
        <v>13</v>
      </c>
      <c r="V403" t="n">
        <v>100</v>
      </c>
      <c r="W403" t="n">
        <v>100</v>
      </c>
      <c r="X403" t="n">
        <v>101.1</v>
      </c>
      <c r="Y403" t="n">
        <v>5106</v>
      </c>
      <c r="Z403" t="n">
        <v>159</v>
      </c>
      <c r="AA403" t="n">
        <v>88</v>
      </c>
      <c r="AB403" t="n">
        <v>22</v>
      </c>
      <c r="AN403" t="inlineStr">
        <is>
          <t>Claws</t>
        </is>
      </c>
      <c r="AO403" t="n">
        <v>30690</v>
      </c>
      <c r="AP403" t="n">
        <v>1482327</v>
      </c>
      <c r="AQ403" t="n">
        <v>66</v>
      </c>
      <c r="AS403" t="inlineStr">
        <is>
          <t>Yes</t>
        </is>
      </c>
    </row>
    <row r="404">
      <c r="A404" t="inlineStr">
        <is>
          <t>Mod</t>
        </is>
      </c>
      <c r="B404" t="inlineStr">
        <is>
          <t>Biting Frost</t>
        </is>
      </c>
      <c r="E404" t="inlineStr">
        <is>
          <t>Augment Frost</t>
        </is>
      </c>
      <c r="F404" t="n">
        <v>3</v>
      </c>
      <c r="G404" t="n">
        <v>1</v>
      </c>
      <c r="H404" t="inlineStr">
        <is>
          <t>Player trade (max rank)</t>
        </is>
      </c>
      <c r="I404" t="inlineStr">
        <is>
          <t>Yes</t>
        </is>
      </c>
      <c r="K404" t="inlineStr">
        <is>
          <t>Collection</t>
        </is>
      </c>
      <c r="L404" t="n">
        <v>19</v>
      </c>
      <c r="M404" t="n">
        <v>19.5</v>
      </c>
      <c r="N404" t="n">
        <v>43</v>
      </c>
      <c r="O404" t="inlineStr">
        <is>
          <t>2026-10-05 UTC (WFM pull 02:52-04:00)</t>
        </is>
      </c>
      <c r="P404" t="inlineStr">
        <is>
          <t>OK</t>
        </is>
      </c>
      <c r="R404" t="inlineStr">
        <is>
          <t>Every current tradeable mod at MAX RANK (WFM catalogue, rivens/locators excluded)</t>
        </is>
      </c>
      <c r="S404" t="inlineStr">
        <is>
          <t>biting_frost</t>
        </is>
      </c>
      <c r="T404" t="n">
        <v>4</v>
      </c>
      <c r="U404" t="n">
        <v>4</v>
      </c>
      <c r="V404" t="n">
        <v>13</v>
      </c>
      <c r="W404" t="n">
        <v>13.5</v>
      </c>
      <c r="X404" t="n">
        <v>13.2</v>
      </c>
      <c r="Y404" t="n">
        <v>313</v>
      </c>
      <c r="Z404" t="n">
        <v>15</v>
      </c>
      <c r="AN404" t="inlineStr">
        <is>
          <t>Augment Frost</t>
        </is>
      </c>
      <c r="AO404" t="n">
        <v>210</v>
      </c>
      <c r="AP404" t="n">
        <v>10143</v>
      </c>
      <c r="AQ404" t="n">
        <v>14.5</v>
      </c>
      <c r="AS404" t="inlineStr">
        <is>
          <t>Yes</t>
        </is>
      </c>
    </row>
    <row r="405">
      <c r="A405" t="inlineStr">
        <is>
          <t>Mod</t>
        </is>
      </c>
      <c r="B405" t="inlineStr">
        <is>
          <t>Biting Piranha</t>
        </is>
      </c>
      <c r="E405" t="inlineStr">
        <is>
          <t>Conclave (PvP)</t>
        </is>
      </c>
      <c r="F405" t="n">
        <v>3</v>
      </c>
      <c r="G405" t="n">
        <v>1</v>
      </c>
      <c r="H405" t="inlineStr">
        <is>
          <t>Player trade (max rank)</t>
        </is>
      </c>
      <c r="I405" t="inlineStr">
        <is>
          <t>Yes</t>
        </is>
      </c>
      <c r="K405" t="inlineStr">
        <is>
          <t>Collection (PvP)</t>
        </is>
      </c>
      <c r="L405" t="n">
        <v>200</v>
      </c>
      <c r="M405" t="n">
        <v>200</v>
      </c>
      <c r="N405" t="n">
        <v>248</v>
      </c>
      <c r="O405" t="inlineStr">
        <is>
          <t>2026-10-05 UTC (WFM pull 02:52-04:00)</t>
        </is>
      </c>
      <c r="P405" t="inlineStr">
        <is>
          <t>OK</t>
        </is>
      </c>
      <c r="R405" t="inlineStr">
        <is>
          <t>Every current tradeable mod at MAX RANK (WFM catalogue, rivens/locators excluded)</t>
        </is>
      </c>
      <c r="S405" t="inlineStr">
        <is>
          <t>biting_piranha</t>
        </is>
      </c>
      <c r="T405" t="n">
        <v>3</v>
      </c>
      <c r="U405" t="n">
        <v>0</v>
      </c>
      <c r="V405" t="n">
        <v>20</v>
      </c>
      <c r="W405" t="n">
        <v>20</v>
      </c>
      <c r="X405" t="n">
        <v>20</v>
      </c>
      <c r="Y405" t="n">
        <v>1</v>
      </c>
      <c r="Z405" t="n">
        <v>0</v>
      </c>
      <c r="AN405" t="inlineStr">
        <is>
          <t>Conclave (PvP)</t>
        </is>
      </c>
      <c r="AO405" t="n">
        <v>140</v>
      </c>
      <c r="AP405" t="n">
        <v>6762</v>
      </c>
      <c r="AQ405" t="n">
        <v>20</v>
      </c>
      <c r="AS405" t="inlineStr">
        <is>
          <t>PvP subtotal</t>
        </is>
      </c>
    </row>
    <row r="406">
      <c r="A406" t="inlineStr">
        <is>
          <t>Mod</t>
        </is>
      </c>
      <c r="B406" t="inlineStr">
        <is>
          <t>Blackout Pulse</t>
        </is>
      </c>
      <c r="E406" t="inlineStr">
        <is>
          <t>Railjack (Battle, Slot 1)</t>
        </is>
      </c>
      <c r="F406" t="n">
        <v>10</v>
      </c>
      <c r="G406" t="n">
        <v>1</v>
      </c>
      <c r="H406" t="inlineStr">
        <is>
          <t>Player trade (max rank)</t>
        </is>
      </c>
      <c r="I406" t="inlineStr">
        <is>
          <t>Yes</t>
        </is>
      </c>
      <c r="K406" t="inlineStr">
        <is>
          <t>Collection</t>
        </is>
      </c>
      <c r="L406" t="n">
        <v>68</v>
      </c>
      <c r="M406" t="n">
        <v>75</v>
      </c>
      <c r="N406" t="n">
        <v>83</v>
      </c>
      <c r="O406" t="inlineStr">
        <is>
          <t>2026-10-05 UTC (WFM pull 02:52-04:00)</t>
        </is>
      </c>
      <c r="P406" t="inlineStr">
        <is>
          <t>OK</t>
        </is>
      </c>
      <c r="R406" t="inlineStr">
        <is>
          <t>Every current tradeable mod at MAX RANK (WFM catalogue, rivens/locators excluded)</t>
        </is>
      </c>
      <c r="S406" t="inlineStr">
        <is>
          <t>blackout_pulse</t>
        </is>
      </c>
      <c r="T406" t="n">
        <v>16</v>
      </c>
      <c r="U406" t="n">
        <v>16</v>
      </c>
      <c r="V406" t="n">
        <v>72.5</v>
      </c>
      <c r="W406" t="n">
        <v>75</v>
      </c>
      <c r="X406" t="n">
        <v>74.7</v>
      </c>
      <c r="Y406" t="n">
        <v>170</v>
      </c>
      <c r="Z406" t="n">
        <v>4</v>
      </c>
      <c r="AN406" t="inlineStr">
        <is>
          <t>Railjack (Battle, Slot 1)</t>
        </is>
      </c>
      <c r="AO406" t="n">
        <v>30690</v>
      </c>
      <c r="AP406" t="n">
        <v>1482327</v>
      </c>
      <c r="AQ406" t="n">
        <v>7</v>
      </c>
      <c r="AS406" t="inlineStr">
        <is>
          <t>Yes</t>
        </is>
      </c>
    </row>
    <row r="407">
      <c r="A407" t="inlineStr">
        <is>
          <t>Mod</t>
        </is>
      </c>
      <c r="B407" t="inlineStr">
        <is>
          <t>Blade Of Truth</t>
        </is>
      </c>
      <c r="E407" t="inlineStr">
        <is>
          <t>Augment Jaw Sword</t>
        </is>
      </c>
      <c r="F407" t="n">
        <v>3</v>
      </c>
      <c r="G407" t="n">
        <v>1</v>
      </c>
      <c r="H407" t="inlineStr">
        <is>
          <t>Player trade (max rank)</t>
        </is>
      </c>
      <c r="I407" t="inlineStr">
        <is>
          <t>Yes</t>
        </is>
      </c>
      <c r="K407" t="inlineStr">
        <is>
          <t>Collection</t>
        </is>
      </c>
      <c r="L407" t="n">
        <v>5</v>
      </c>
      <c r="M407" t="n">
        <v>9</v>
      </c>
      <c r="N407" t="n">
        <v>11</v>
      </c>
      <c r="O407" t="inlineStr">
        <is>
          <t>2026-10-05 UTC (WFM pull 02:52-04:00)</t>
        </is>
      </c>
      <c r="P407" t="inlineStr">
        <is>
          <t>OK</t>
        </is>
      </c>
      <c r="R407" t="inlineStr">
        <is>
          <t>Every current tradeable mod at MAX RANK (WFM catalogue, rivens/locators excluded)</t>
        </is>
      </c>
      <c r="S407" t="inlineStr">
        <is>
          <t>blade_of_truth</t>
        </is>
      </c>
      <c r="T407" t="n">
        <v>61</v>
      </c>
      <c r="U407" t="n">
        <v>1</v>
      </c>
      <c r="V407" t="n">
        <v>8.5</v>
      </c>
      <c r="W407" t="n">
        <v>10</v>
      </c>
      <c r="X407" t="n">
        <v>12.6</v>
      </c>
      <c r="Y407" t="n">
        <v>16</v>
      </c>
      <c r="Z407" t="n">
        <v>2</v>
      </c>
      <c r="AN407" t="inlineStr">
        <is>
          <t>Augment Jaw Sword</t>
        </is>
      </c>
      <c r="AO407" t="n">
        <v>210</v>
      </c>
      <c r="AP407" t="n">
        <v>10143</v>
      </c>
      <c r="AQ407" t="n">
        <v>12</v>
      </c>
      <c r="AS407" t="inlineStr">
        <is>
          <t>Yes</t>
        </is>
      </c>
    </row>
    <row r="408">
      <c r="A408" t="inlineStr">
        <is>
          <t>Mod</t>
        </is>
      </c>
      <c r="B408" t="inlineStr">
        <is>
          <t>Bladed Rounds</t>
        </is>
      </c>
      <c r="E408" t="inlineStr">
        <is>
          <t>Rifle</t>
        </is>
      </c>
      <c r="F408" t="n">
        <v>5</v>
      </c>
      <c r="G408" t="n">
        <v>1</v>
      </c>
      <c r="H408" t="inlineStr">
        <is>
          <t>Player trade (max rank)</t>
        </is>
      </c>
      <c r="I408" t="inlineStr">
        <is>
          <t>Yes</t>
        </is>
      </c>
      <c r="K408" t="inlineStr">
        <is>
          <t>Collection</t>
        </is>
      </c>
      <c r="L408" t="n">
        <v>30</v>
      </c>
      <c r="M408" t="n">
        <v>30</v>
      </c>
      <c r="N408" t="n">
        <v>66</v>
      </c>
      <c r="O408" t="inlineStr">
        <is>
          <t>2026-10-05 UTC (WFM pull 02:52-04:00)</t>
        </is>
      </c>
      <c r="P408" t="inlineStr">
        <is>
          <t>OK</t>
        </is>
      </c>
      <c r="R408" t="inlineStr">
        <is>
          <t>Every current tradeable mod at MAX RANK (WFM catalogue, rivens/locators excluded)</t>
        </is>
      </c>
      <c r="S408" t="inlineStr">
        <is>
          <t>bladed_rounds</t>
        </is>
      </c>
      <c r="T408" t="n">
        <v>3</v>
      </c>
      <c r="U408" t="n">
        <v>3</v>
      </c>
      <c r="V408" t="n">
        <v>20</v>
      </c>
      <c r="W408" t="n">
        <v>20</v>
      </c>
      <c r="X408" t="n">
        <v>21.3</v>
      </c>
      <c r="Y408" t="n">
        <v>533</v>
      </c>
      <c r="Z408" t="n">
        <v>8</v>
      </c>
      <c r="AN408" t="inlineStr">
        <is>
          <t>Rifle</t>
        </is>
      </c>
      <c r="AO408" t="n">
        <v>620</v>
      </c>
      <c r="AP408" t="n">
        <v>29946</v>
      </c>
      <c r="AQ408" t="n">
        <v>17</v>
      </c>
      <c r="AS408" t="inlineStr">
        <is>
          <t>Yes</t>
        </is>
      </c>
    </row>
    <row r="409">
      <c r="A409" t="inlineStr">
        <is>
          <t>Mod</t>
        </is>
      </c>
      <c r="B409" t="inlineStr">
        <is>
          <t>Blast Shield</t>
        </is>
      </c>
      <c r="E409" t="inlineStr">
        <is>
          <t>MOA</t>
        </is>
      </c>
      <c r="F409" t="n">
        <v>5</v>
      </c>
      <c r="G409" t="n">
        <v>1</v>
      </c>
      <c r="H409" t="inlineStr">
        <is>
          <t>Player trade (max rank)</t>
        </is>
      </c>
      <c r="I409" t="inlineStr">
        <is>
          <t>Yes</t>
        </is>
      </c>
      <c r="K409" t="inlineStr">
        <is>
          <t>Collection</t>
        </is>
      </c>
      <c r="L409" t="n">
        <v>100</v>
      </c>
      <c r="M409" t="n">
        <v>179</v>
      </c>
      <c r="N409" t="n">
        <v>281</v>
      </c>
      <c r="O409" t="inlineStr">
        <is>
          <t>2026-10-05 UTC (WFM pull 02:52-04:00)</t>
        </is>
      </c>
      <c r="P409" t="inlineStr">
        <is>
          <t>OK</t>
        </is>
      </c>
      <c r="R409" t="inlineStr">
        <is>
          <t>Every current tradeable mod at MAX RANK (WFM catalogue, rivens/locators excluded)</t>
        </is>
      </c>
      <c r="S409" t="inlineStr">
        <is>
          <t>blast_shield</t>
        </is>
      </c>
      <c r="T409" t="n">
        <v>10</v>
      </c>
      <c r="U409" t="n">
        <v>0</v>
      </c>
      <c r="V409" t="n">
        <v>150</v>
      </c>
      <c r="W409" t="n">
        <v>130</v>
      </c>
      <c r="X409" t="n">
        <v>129.3</v>
      </c>
      <c r="Y409" t="n">
        <v>13</v>
      </c>
      <c r="Z409" t="n">
        <v>1</v>
      </c>
      <c r="AN409" t="inlineStr">
        <is>
          <t>MOA</t>
        </is>
      </c>
      <c r="AO409" t="n">
        <v>310</v>
      </c>
      <c r="AP409" t="n">
        <v>14973</v>
      </c>
      <c r="AQ409" t="n">
        <v>80</v>
      </c>
      <c r="AS409" t="inlineStr">
        <is>
          <t>Yes</t>
        </is>
      </c>
    </row>
    <row r="410">
      <c r="A410" t="inlineStr">
        <is>
          <t>Mod</t>
        </is>
      </c>
      <c r="B410" t="inlineStr">
        <is>
          <t>Blaze</t>
        </is>
      </c>
      <c r="E410" t="inlineStr">
        <is>
          <t>Shotgun</t>
        </is>
      </c>
      <c r="F410" t="n">
        <v>3</v>
      </c>
      <c r="G410" t="n">
        <v>1</v>
      </c>
      <c r="H410" t="inlineStr">
        <is>
          <t>Player trade (max rank)</t>
        </is>
      </c>
      <c r="I410" t="inlineStr">
        <is>
          <t>Yes</t>
        </is>
      </c>
      <c r="K410" t="inlineStr">
        <is>
          <t>Collection</t>
        </is>
      </c>
      <c r="L410" t="n">
        <v>50</v>
      </c>
      <c r="M410" t="n">
        <v>50</v>
      </c>
      <c r="N410" t="n">
        <v>61</v>
      </c>
      <c r="O410" t="inlineStr">
        <is>
          <t>2026-10-05 UTC (WFM pull 02:52-04:00)</t>
        </is>
      </c>
      <c r="P410" t="inlineStr">
        <is>
          <t>OK</t>
        </is>
      </c>
      <c r="R410" t="inlineStr">
        <is>
          <t>Every current tradeable mod at MAX RANK (WFM catalogue, rivens/locators excluded)</t>
        </is>
      </c>
      <c r="S410" t="inlineStr">
        <is>
          <t>blaze</t>
        </is>
      </c>
      <c r="T410" t="n">
        <v>19</v>
      </c>
      <c r="U410" t="n">
        <v>19</v>
      </c>
      <c r="V410" t="n">
        <v>50</v>
      </c>
      <c r="W410" t="n">
        <v>42</v>
      </c>
      <c r="X410" t="n">
        <v>45</v>
      </c>
      <c r="Y410" t="n">
        <v>1542</v>
      </c>
      <c r="Z410" t="n">
        <v>27</v>
      </c>
      <c r="AA410" t="n">
        <v>25</v>
      </c>
      <c r="AB410" t="n">
        <v>25</v>
      </c>
      <c r="AN410" t="inlineStr">
        <is>
          <t>Shotgun</t>
        </is>
      </c>
      <c r="AO410" t="n">
        <v>210</v>
      </c>
      <c r="AP410" t="n">
        <v>10143</v>
      </c>
      <c r="AQ410" t="n">
        <v>55</v>
      </c>
      <c r="AS410" t="inlineStr">
        <is>
          <t>Yes</t>
        </is>
      </c>
    </row>
    <row r="411">
      <c r="A411" t="inlineStr">
        <is>
          <t>Mod</t>
        </is>
      </c>
      <c r="B411" t="inlineStr">
        <is>
          <t>Blazing Pillage</t>
        </is>
      </c>
      <c r="E411" t="inlineStr">
        <is>
          <t>Augment Hildryn</t>
        </is>
      </c>
      <c r="F411" t="n">
        <v>3</v>
      </c>
      <c r="G411" t="n">
        <v>1</v>
      </c>
      <c r="H411" t="inlineStr">
        <is>
          <t>Player trade (max rank)</t>
        </is>
      </c>
      <c r="I411" t="inlineStr">
        <is>
          <t>Yes</t>
        </is>
      </c>
      <c r="K411" t="inlineStr">
        <is>
          <t>Collection</t>
        </is>
      </c>
      <c r="L411" t="n">
        <v>8</v>
      </c>
      <c r="M411" t="n">
        <v>12</v>
      </c>
      <c r="N411" t="n">
        <v>17</v>
      </c>
      <c r="O411" t="inlineStr">
        <is>
          <t>2026-10-05 UTC (WFM pull 02:52-04:00)</t>
        </is>
      </c>
      <c r="P411" t="inlineStr">
        <is>
          <t>OK</t>
        </is>
      </c>
      <c r="R411" t="inlineStr">
        <is>
          <t>Every current tradeable mod at MAX RANK (WFM catalogue, rivens/locators excluded)</t>
        </is>
      </c>
      <c r="S411" t="inlineStr">
        <is>
          <t>blazing_pillage</t>
        </is>
      </c>
      <c r="T411" t="n">
        <v>11</v>
      </c>
      <c r="U411" t="n">
        <v>11</v>
      </c>
      <c r="V411" t="n">
        <v>10</v>
      </c>
      <c r="W411" t="n">
        <v>10</v>
      </c>
      <c r="X411" t="n">
        <v>11</v>
      </c>
      <c r="Y411" t="n">
        <v>165</v>
      </c>
      <c r="Z411" t="n">
        <v>3</v>
      </c>
      <c r="AN411" t="inlineStr">
        <is>
          <t>Augment Hildryn</t>
        </is>
      </c>
      <c r="AO411" t="n">
        <v>210</v>
      </c>
      <c r="AP411" t="n">
        <v>10143</v>
      </c>
      <c r="AQ411" t="n">
        <v>12</v>
      </c>
      <c r="AS411" t="inlineStr">
        <is>
          <t>Yes</t>
        </is>
      </c>
    </row>
    <row r="412">
      <c r="A412" t="inlineStr">
        <is>
          <t>Mod</t>
        </is>
      </c>
      <c r="B412" t="inlineStr">
        <is>
          <t>Blazing Steel</t>
        </is>
      </c>
      <c r="E412" t="inlineStr">
        <is>
          <t>Archmelee</t>
        </is>
      </c>
      <c r="F412" t="n">
        <v>5</v>
      </c>
      <c r="G412" t="n">
        <v>1</v>
      </c>
      <c r="H412" t="inlineStr">
        <is>
          <t>Player trade (max rank)</t>
        </is>
      </c>
      <c r="I412" t="inlineStr">
        <is>
          <t>Yes</t>
        </is>
      </c>
      <c r="K412" t="inlineStr">
        <is>
          <t>Collection</t>
        </is>
      </c>
      <c r="L412" t="n">
        <v>12</v>
      </c>
      <c r="M412" t="n">
        <v>20</v>
      </c>
      <c r="N412" t="n">
        <v>44</v>
      </c>
      <c r="O412" t="inlineStr">
        <is>
          <t>2026-10-05 UTC (WFM pull 02:52-04:00)</t>
        </is>
      </c>
      <c r="P412" t="inlineStr">
        <is>
          <t>OK</t>
        </is>
      </c>
      <c r="R412" t="inlineStr">
        <is>
          <t>Every current tradeable mod at MAX RANK (WFM catalogue, rivens/locators excluded)</t>
        </is>
      </c>
      <c r="S412" t="inlineStr">
        <is>
          <t>blazing_steel</t>
        </is>
      </c>
      <c r="T412" t="n">
        <v>8</v>
      </c>
      <c r="U412" t="n">
        <v>8</v>
      </c>
      <c r="V412" t="n">
        <v>14</v>
      </c>
      <c r="W412" t="n">
        <v>14</v>
      </c>
      <c r="X412" t="n">
        <v>14.2</v>
      </c>
      <c r="Y412" t="n">
        <v>13</v>
      </c>
      <c r="Z412" t="n">
        <v>0</v>
      </c>
      <c r="AN412" t="inlineStr">
        <is>
          <t>Archmelee</t>
        </is>
      </c>
      <c r="AO412" t="n">
        <v>620</v>
      </c>
      <c r="AP412" t="n">
        <v>29946</v>
      </c>
      <c r="AQ412" t="n">
        <v>5</v>
      </c>
      <c r="AS412" t="inlineStr">
        <is>
          <t>Yes</t>
        </is>
      </c>
    </row>
    <row r="413">
      <c r="A413" t="inlineStr">
        <is>
          <t>Mod</t>
        </is>
      </c>
      <c r="B413" t="inlineStr">
        <is>
          <t>Bleeding Edge</t>
        </is>
      </c>
      <c r="E413" t="inlineStr">
        <is>
          <t>Archmelee</t>
        </is>
      </c>
      <c r="F413" t="n">
        <v>10</v>
      </c>
      <c r="G413" t="n">
        <v>1</v>
      </c>
      <c r="H413" t="inlineStr">
        <is>
          <t>Player trade (max rank)</t>
        </is>
      </c>
      <c r="I413" t="inlineStr">
        <is>
          <t>Yes</t>
        </is>
      </c>
      <c r="K413" t="inlineStr">
        <is>
          <t>Collection</t>
        </is>
      </c>
      <c r="L413" t="n">
        <v>30</v>
      </c>
      <c r="M413" t="n">
        <v>35</v>
      </c>
      <c r="N413" t="n">
        <v>43</v>
      </c>
      <c r="O413" t="inlineStr">
        <is>
          <t>2026-10-05 UTC (WFM pull 02:52-04:00)</t>
        </is>
      </c>
      <c r="P413" t="inlineStr">
        <is>
          <t>OK</t>
        </is>
      </c>
      <c r="R413" t="inlineStr">
        <is>
          <t>Every current tradeable mod at MAX RANK (WFM catalogue, rivens/locators excluded)</t>
        </is>
      </c>
      <c r="S413" t="inlineStr">
        <is>
          <t>bleeding_edge</t>
        </is>
      </c>
      <c r="T413" t="n">
        <v>68</v>
      </c>
      <c r="U413" t="n">
        <v>1</v>
      </c>
      <c r="V413" t="n">
        <v>35</v>
      </c>
      <c r="W413" t="n">
        <v>35</v>
      </c>
      <c r="X413" t="n">
        <v>38.1</v>
      </c>
      <c r="Y413" t="n">
        <v>27</v>
      </c>
      <c r="Z413" t="n">
        <v>0</v>
      </c>
      <c r="AN413" t="inlineStr">
        <is>
          <t>Archmelee</t>
        </is>
      </c>
      <c r="AO413" t="n">
        <v>10230</v>
      </c>
      <c r="AP413" t="n">
        <v>494109</v>
      </c>
      <c r="AQ413" t="n">
        <v>2</v>
      </c>
      <c r="AS413" t="inlineStr">
        <is>
          <t>Yes</t>
        </is>
      </c>
    </row>
    <row r="414">
      <c r="A414" t="inlineStr">
        <is>
          <t>Mod</t>
        </is>
      </c>
      <c r="B414" t="inlineStr">
        <is>
          <t>Bleeding Willow</t>
        </is>
      </c>
      <c r="E414" t="inlineStr">
        <is>
          <t>Stance</t>
        </is>
      </c>
      <c r="F414" t="n">
        <v>3</v>
      </c>
      <c r="G414" t="n">
        <v>1</v>
      </c>
      <c r="H414" t="inlineStr">
        <is>
          <t>Player trade (max rank)</t>
        </is>
      </c>
      <c r="I414" t="inlineStr">
        <is>
          <t>Yes</t>
        </is>
      </c>
      <c r="K414" t="inlineStr">
        <is>
          <t>Collection</t>
        </is>
      </c>
      <c r="L414" t="n">
        <v>8</v>
      </c>
      <c r="M414" t="n">
        <v>9</v>
      </c>
      <c r="N414" t="n">
        <v>11</v>
      </c>
      <c r="O414" t="inlineStr">
        <is>
          <t>2026-10-05 UTC (WFM pull 02:52-04:00)</t>
        </is>
      </c>
      <c r="P414" t="inlineStr">
        <is>
          <t>OK</t>
        </is>
      </c>
      <c r="R414" t="inlineStr">
        <is>
          <t>Every current tradeable mod at MAX RANK (WFM catalogue, rivens/locators excluded)</t>
        </is>
      </c>
      <c r="S414" t="inlineStr">
        <is>
          <t>bleeding_willow</t>
        </is>
      </c>
      <c r="T414" t="n">
        <v>9</v>
      </c>
      <c r="U414" t="n">
        <v>9</v>
      </c>
      <c r="V414" t="n">
        <v>9</v>
      </c>
      <c r="W414" t="n">
        <v>9</v>
      </c>
      <c r="X414" t="n">
        <v>8.5</v>
      </c>
      <c r="Y414" t="n">
        <v>78</v>
      </c>
      <c r="Z414" t="n">
        <v>3</v>
      </c>
      <c r="AN414" t="inlineStr">
        <is>
          <t>Stance</t>
        </is>
      </c>
      <c r="AO414" t="n">
        <v>210</v>
      </c>
      <c r="AP414" t="n">
        <v>10143</v>
      </c>
      <c r="AQ414" t="n">
        <v>4</v>
      </c>
      <c r="AS414" t="inlineStr">
        <is>
          <t>Yes</t>
        </is>
      </c>
    </row>
    <row r="415">
      <c r="A415" t="inlineStr">
        <is>
          <t>Mod</t>
        </is>
      </c>
      <c r="B415" t="inlineStr">
        <is>
          <t>Blending Talons</t>
        </is>
      </c>
      <c r="E415" t="inlineStr">
        <is>
          <t>Augment Garuda</t>
        </is>
      </c>
      <c r="F415" t="n">
        <v>3</v>
      </c>
      <c r="G415" t="n">
        <v>1</v>
      </c>
      <c r="H415" t="inlineStr">
        <is>
          <t>Player trade (max rank)</t>
        </is>
      </c>
      <c r="I415" t="inlineStr">
        <is>
          <t>Yes</t>
        </is>
      </c>
      <c r="K415" t="inlineStr">
        <is>
          <t>Collection</t>
        </is>
      </c>
      <c r="L415" t="n">
        <v>10</v>
      </c>
      <c r="M415" t="n">
        <v>10</v>
      </c>
      <c r="N415" t="n">
        <v>17</v>
      </c>
      <c r="O415" t="inlineStr">
        <is>
          <t>2026-10-05 UTC (WFM pull 02:52-04:00)</t>
        </is>
      </c>
      <c r="P415" t="inlineStr">
        <is>
          <t>OK</t>
        </is>
      </c>
      <c r="R415" t="inlineStr">
        <is>
          <t>Every current tradeable mod at MAX RANK (WFM catalogue, rivens/locators excluded)</t>
        </is>
      </c>
      <c r="S415" t="inlineStr">
        <is>
          <t>blending_talons</t>
        </is>
      </c>
      <c r="T415" t="n">
        <v>90</v>
      </c>
      <c r="U415" t="n">
        <v>2</v>
      </c>
      <c r="V415" t="n">
        <v>15</v>
      </c>
      <c r="W415" t="n">
        <v>14.5</v>
      </c>
      <c r="X415" t="n">
        <v>13.9</v>
      </c>
      <c r="Y415" t="n">
        <v>243</v>
      </c>
      <c r="Z415" t="n">
        <v>5</v>
      </c>
      <c r="AN415" t="inlineStr">
        <is>
          <t>Augment Garuda</t>
        </is>
      </c>
      <c r="AO415" t="n">
        <v>210</v>
      </c>
      <c r="AP415" t="n">
        <v>10143</v>
      </c>
      <c r="AQ415" t="n">
        <v>14</v>
      </c>
      <c r="AS415" t="inlineStr">
        <is>
          <t>Yes</t>
        </is>
      </c>
    </row>
    <row r="416">
      <c r="A416" t="inlineStr">
        <is>
          <t>Mod</t>
        </is>
      </c>
      <c r="B416" t="inlineStr">
        <is>
          <t>Blind Justice</t>
        </is>
      </c>
      <c r="E416" t="inlineStr">
        <is>
          <t>Stance</t>
        </is>
      </c>
      <c r="F416" t="n">
        <v>3</v>
      </c>
      <c r="G416" t="n">
        <v>1</v>
      </c>
      <c r="H416" t="inlineStr">
        <is>
          <t>Player trade (max rank)</t>
        </is>
      </c>
      <c r="I416" t="inlineStr">
        <is>
          <t>Yes</t>
        </is>
      </c>
      <c r="K416" t="inlineStr">
        <is>
          <t>Collection</t>
        </is>
      </c>
      <c r="L416" t="n">
        <v>3</v>
      </c>
      <c r="M416" t="n">
        <v>10</v>
      </c>
      <c r="N416" t="n">
        <v>17</v>
      </c>
      <c r="O416" t="inlineStr">
        <is>
          <t>2026-10-05 UTC (WFM pull 02:52-04:00)</t>
        </is>
      </c>
      <c r="P416" t="inlineStr">
        <is>
          <t>OK</t>
        </is>
      </c>
      <c r="R416" t="inlineStr">
        <is>
          <t>Every current tradeable mod at MAX RANK (WFM catalogue, rivens/locators excluded)</t>
        </is>
      </c>
      <c r="S416" t="inlineStr">
        <is>
          <t>blind_justice</t>
        </is>
      </c>
      <c r="T416" t="n">
        <v>7</v>
      </c>
      <c r="U416" t="n">
        <v>7</v>
      </c>
      <c r="V416" t="n">
        <v>9</v>
      </c>
      <c r="W416" t="n">
        <v>8</v>
      </c>
      <c r="X416" t="n">
        <v>7.8</v>
      </c>
      <c r="Y416" t="n">
        <v>66</v>
      </c>
      <c r="Z416" t="n">
        <v>1</v>
      </c>
      <c r="AN416" t="inlineStr">
        <is>
          <t>Stance</t>
        </is>
      </c>
      <c r="AO416" t="n">
        <v>140</v>
      </c>
      <c r="AP416" t="n">
        <v>6762</v>
      </c>
      <c r="AQ416" t="n">
        <v>3</v>
      </c>
      <c r="AS416" t="inlineStr">
        <is>
          <t>Yes</t>
        </is>
      </c>
    </row>
    <row r="417">
      <c r="A417" t="inlineStr">
        <is>
          <t>Mod</t>
        </is>
      </c>
      <c r="B417" t="inlineStr">
        <is>
          <t>Blind Rage</t>
        </is>
      </c>
      <c r="E417" t="inlineStr">
        <is>
          <t>Warframe</t>
        </is>
      </c>
      <c r="F417" t="n">
        <v>10</v>
      </c>
      <c r="G417" t="n">
        <v>1</v>
      </c>
      <c r="H417" t="inlineStr">
        <is>
          <t>Player trade (max rank)</t>
        </is>
      </c>
      <c r="I417" t="inlineStr">
        <is>
          <t>Yes</t>
        </is>
      </c>
      <c r="K417" t="inlineStr">
        <is>
          <t>Collection</t>
        </is>
      </c>
      <c r="L417" t="n">
        <v>84</v>
      </c>
      <c r="M417" t="n">
        <v>90</v>
      </c>
      <c r="N417" t="n">
        <v>111</v>
      </c>
      <c r="O417" t="inlineStr">
        <is>
          <t>2026-10-05 UTC (WFM pull 02:52-04:00)</t>
        </is>
      </c>
      <c r="P417" t="inlineStr">
        <is>
          <t>OK</t>
        </is>
      </c>
      <c r="R417" t="inlineStr">
        <is>
          <t>Every current tradeable mod at MAX RANK (WFM catalogue, rivens/locators excluded)</t>
        </is>
      </c>
      <c r="S417" t="inlineStr">
        <is>
          <t>blind_rage</t>
        </is>
      </c>
      <c r="T417" t="n">
        <v>17</v>
      </c>
      <c r="U417" t="n">
        <v>17</v>
      </c>
      <c r="V417" t="n">
        <v>70</v>
      </c>
      <c r="W417" t="n">
        <v>70</v>
      </c>
      <c r="X417" t="n">
        <v>71.40000000000001</v>
      </c>
      <c r="Y417" t="n">
        <v>6427</v>
      </c>
      <c r="Z417" t="n">
        <v>75</v>
      </c>
      <c r="AA417" t="n">
        <v>60</v>
      </c>
      <c r="AB417" t="n">
        <v>24</v>
      </c>
      <c r="AN417" t="inlineStr">
        <is>
          <t>Warframe</t>
        </is>
      </c>
      <c r="AO417" t="n">
        <v>30690</v>
      </c>
      <c r="AP417" t="n">
        <v>1482327</v>
      </c>
      <c r="AQ417" t="n">
        <v>20</v>
      </c>
      <c r="AS417" t="inlineStr">
        <is>
          <t>Yes</t>
        </is>
      </c>
    </row>
    <row r="418">
      <c r="A418" t="inlineStr">
        <is>
          <t>Mod</t>
        </is>
      </c>
      <c r="B418" t="inlineStr">
        <is>
          <t>Blind Shot</t>
        </is>
      </c>
      <c r="E418" t="inlineStr">
        <is>
          <t>Conclave (PvP)</t>
        </is>
      </c>
      <c r="F418" t="n">
        <v>3</v>
      </c>
      <c r="G418" t="n">
        <v>1</v>
      </c>
      <c r="H418" t="inlineStr">
        <is>
          <t>Player trade (max rank)</t>
        </is>
      </c>
      <c r="I418" t="inlineStr">
        <is>
          <t>Yes</t>
        </is>
      </c>
      <c r="K418" t="inlineStr">
        <is>
          <t>Collection (PvP)</t>
        </is>
      </c>
      <c r="L418" t="n">
        <v>6</v>
      </c>
      <c r="M418" t="n">
        <v>25</v>
      </c>
      <c r="N418" t="n">
        <v>32</v>
      </c>
      <c r="O418" t="inlineStr">
        <is>
          <t>2026-10-05 UTC (WFM pull 02:52-04:00)</t>
        </is>
      </c>
      <c r="P418" t="inlineStr">
        <is>
          <t>OK</t>
        </is>
      </c>
      <c r="R418" t="inlineStr">
        <is>
          <t>Every current tradeable mod at MAX RANK (WFM catalogue, rivens/locators excluded)</t>
        </is>
      </c>
      <c r="S418" t="inlineStr">
        <is>
          <t>blind_shot</t>
        </is>
      </c>
      <c r="T418" t="n">
        <v>16</v>
      </c>
      <c r="U418" t="n">
        <v>1</v>
      </c>
      <c r="Y418" t="n">
        <v>0</v>
      </c>
      <c r="Z418" t="n">
        <v>0</v>
      </c>
      <c r="AN418" t="inlineStr">
        <is>
          <t>Conclave (PvP)</t>
        </is>
      </c>
      <c r="AO418" t="n">
        <v>210</v>
      </c>
      <c r="AP418" t="n">
        <v>10143</v>
      </c>
      <c r="AQ418" t="n">
        <v>10</v>
      </c>
      <c r="AS418" t="inlineStr">
        <is>
          <t>PvP subtotal</t>
        </is>
      </c>
    </row>
    <row r="419">
      <c r="A419" t="inlineStr">
        <is>
          <t>Mod</t>
        </is>
      </c>
      <c r="B419" t="inlineStr">
        <is>
          <t>Blinding Reave</t>
        </is>
      </c>
      <c r="E419" t="inlineStr">
        <is>
          <t>Augment Revenant</t>
        </is>
      </c>
      <c r="F419" t="n">
        <v>3</v>
      </c>
      <c r="G419" t="n">
        <v>1</v>
      </c>
      <c r="H419" t="inlineStr">
        <is>
          <t>Player trade (max rank)</t>
        </is>
      </c>
      <c r="I419" t="inlineStr">
        <is>
          <t>Yes</t>
        </is>
      </c>
      <c r="K419" t="inlineStr">
        <is>
          <t>Collection</t>
        </is>
      </c>
      <c r="L419" t="n">
        <v>19</v>
      </c>
      <c r="M419" t="n">
        <v>21.8</v>
      </c>
      <c r="N419" t="n">
        <v>48</v>
      </c>
      <c r="O419" t="inlineStr">
        <is>
          <t>2026-10-05 UTC (WFM pull 02:52-04:00)</t>
        </is>
      </c>
      <c r="P419" t="inlineStr">
        <is>
          <t>OK</t>
        </is>
      </c>
      <c r="R419" t="inlineStr">
        <is>
          <t>Every current tradeable mod at MAX RANK (WFM catalogue, rivens/locators excluded)</t>
        </is>
      </c>
      <c r="S419" t="inlineStr">
        <is>
          <t>blinding_reave</t>
        </is>
      </c>
      <c r="T419" t="n">
        <v>6</v>
      </c>
      <c r="U419" t="n">
        <v>6</v>
      </c>
      <c r="V419" t="n">
        <v>14.5</v>
      </c>
      <c r="W419" t="n">
        <v>14.5</v>
      </c>
      <c r="X419" t="n">
        <v>14</v>
      </c>
      <c r="Y419" t="n">
        <v>47</v>
      </c>
      <c r="Z419" t="n">
        <v>1</v>
      </c>
      <c r="AN419" t="inlineStr">
        <is>
          <t>Augment Revenant</t>
        </is>
      </c>
      <c r="AO419" t="n">
        <v>210</v>
      </c>
      <c r="AP419" t="n">
        <v>10143</v>
      </c>
      <c r="AQ419" t="n">
        <v>15</v>
      </c>
      <c r="AS419" t="inlineStr">
        <is>
          <t>Yes</t>
        </is>
      </c>
    </row>
    <row r="420">
      <c r="A420" t="inlineStr">
        <is>
          <t>Mod</t>
        </is>
      </c>
      <c r="B420" t="inlineStr">
        <is>
          <t>Blood For Ammo</t>
        </is>
      </c>
      <c r="E420" t="inlineStr">
        <is>
          <t>Parazon</t>
        </is>
      </c>
      <c r="G420" t="n">
        <v>1</v>
      </c>
      <c r="H420" t="inlineStr">
        <is>
          <t>Player trade (max rank)</t>
        </is>
      </c>
      <c r="I420" t="inlineStr">
        <is>
          <t>Yes</t>
        </is>
      </c>
      <c r="K420" t="inlineStr">
        <is>
          <t>Collection</t>
        </is>
      </c>
      <c r="L420" t="n">
        <v>4</v>
      </c>
      <c r="M420" t="n">
        <v>4.5</v>
      </c>
      <c r="N420" t="n">
        <v>10</v>
      </c>
      <c r="O420" t="inlineStr">
        <is>
          <t>2026-10-05 UTC (WFM pull 02:52-04:00)</t>
        </is>
      </c>
      <c r="P420" t="inlineStr">
        <is>
          <t>OK</t>
        </is>
      </c>
      <c r="R420" t="inlineStr">
        <is>
          <t>Every current tradeable mod at MAX RANK (WFM catalogue, rivens/locators excluded)</t>
        </is>
      </c>
      <c r="S420" t="inlineStr">
        <is>
          <t>blood_for_ammo</t>
        </is>
      </c>
      <c r="T420" t="n">
        <v>9</v>
      </c>
      <c r="U420" t="n">
        <v>9</v>
      </c>
      <c r="V420" t="n">
        <v>3</v>
      </c>
      <c r="W420" t="n">
        <v>3</v>
      </c>
      <c r="X420" t="n">
        <v>3</v>
      </c>
      <c r="Y420" t="n">
        <v>57</v>
      </c>
      <c r="Z420" t="n">
        <v>1</v>
      </c>
      <c r="AN420" t="inlineStr">
        <is>
          <t>Parazon</t>
        </is>
      </c>
      <c r="AO420" t="n">
        <v>0</v>
      </c>
      <c r="AP420" t="n">
        <v>0</v>
      </c>
      <c r="AS420" t="inlineStr">
        <is>
          <t>Yes</t>
        </is>
      </c>
    </row>
    <row r="421">
      <c r="A421" t="inlineStr">
        <is>
          <t>Mod</t>
        </is>
      </c>
      <c r="B421" t="inlineStr">
        <is>
          <t>Blood For Energy</t>
        </is>
      </c>
      <c r="E421" t="inlineStr">
        <is>
          <t>Parazon</t>
        </is>
      </c>
      <c r="G421" t="n">
        <v>1</v>
      </c>
      <c r="H421" t="inlineStr">
        <is>
          <t>Player trade (max rank)</t>
        </is>
      </c>
      <c r="I421" t="inlineStr">
        <is>
          <t>Yes</t>
        </is>
      </c>
      <c r="K421" t="inlineStr">
        <is>
          <t>Collection</t>
        </is>
      </c>
      <c r="L421" t="n">
        <v>10</v>
      </c>
      <c r="M421" t="n">
        <v>13.5</v>
      </c>
      <c r="N421" t="n">
        <v>30</v>
      </c>
      <c r="O421" t="inlineStr">
        <is>
          <t>2026-10-05 UTC (WFM pull 02:52-04:00)</t>
        </is>
      </c>
      <c r="P421" t="inlineStr">
        <is>
          <t>OK</t>
        </is>
      </c>
      <c r="R421" t="inlineStr">
        <is>
          <t>Every current tradeable mod at MAX RANK (WFM catalogue, rivens/locators excluded)</t>
        </is>
      </c>
      <c r="S421" t="inlineStr">
        <is>
          <t>blood_for_energy</t>
        </is>
      </c>
      <c r="T421" t="n">
        <v>4</v>
      </c>
      <c r="U421" t="n">
        <v>4</v>
      </c>
      <c r="V421" t="n">
        <v>9</v>
      </c>
      <c r="W421" t="n">
        <v>9.5</v>
      </c>
      <c r="X421" t="n">
        <v>9.300000000000001</v>
      </c>
      <c r="Y421" t="n">
        <v>338</v>
      </c>
      <c r="Z421" t="n">
        <v>10</v>
      </c>
      <c r="AN421" t="inlineStr">
        <is>
          <t>Parazon</t>
        </is>
      </c>
      <c r="AO421" t="n">
        <v>0</v>
      </c>
      <c r="AP421" t="n">
        <v>0</v>
      </c>
      <c r="AS421" t="inlineStr">
        <is>
          <t>Yes</t>
        </is>
      </c>
    </row>
    <row r="422">
      <c r="A422" t="inlineStr">
        <is>
          <t>Mod</t>
        </is>
      </c>
      <c r="B422" t="inlineStr">
        <is>
          <t>Blood For Life</t>
        </is>
      </c>
      <c r="E422" t="inlineStr">
        <is>
          <t>Parazon</t>
        </is>
      </c>
      <c r="G422" t="n">
        <v>1</v>
      </c>
      <c r="H422" t="inlineStr">
        <is>
          <t>Player trade (max rank)</t>
        </is>
      </c>
      <c r="I422" t="inlineStr">
        <is>
          <t>Yes</t>
        </is>
      </c>
      <c r="K422" t="inlineStr">
        <is>
          <t>Collection</t>
        </is>
      </c>
      <c r="L422" t="n">
        <v>3</v>
      </c>
      <c r="M422" t="n">
        <v>5</v>
      </c>
      <c r="N422" t="n">
        <v>11</v>
      </c>
      <c r="O422" t="inlineStr">
        <is>
          <t>2026-10-05 UTC (WFM pull 02:52-04:00)</t>
        </is>
      </c>
      <c r="P422" t="inlineStr">
        <is>
          <t>OK</t>
        </is>
      </c>
      <c r="R422" t="inlineStr">
        <is>
          <t>Every current tradeable mod at MAX RANK (WFM catalogue, rivens/locators excluded)</t>
        </is>
      </c>
      <c r="S422" t="inlineStr">
        <is>
          <t>blood_for_life</t>
        </is>
      </c>
      <c r="T422" t="n">
        <v>6</v>
      </c>
      <c r="U422" t="n">
        <v>6</v>
      </c>
      <c r="V422" t="n">
        <v>4.5</v>
      </c>
      <c r="W422" t="n">
        <v>4</v>
      </c>
      <c r="X422" t="n">
        <v>3.9</v>
      </c>
      <c r="Y422" t="n">
        <v>72</v>
      </c>
      <c r="Z422" t="n">
        <v>1</v>
      </c>
      <c r="AN422" t="inlineStr">
        <is>
          <t>Parazon</t>
        </is>
      </c>
      <c r="AO422" t="n">
        <v>0</v>
      </c>
      <c r="AP422" t="n">
        <v>0</v>
      </c>
      <c r="AS422" t="inlineStr">
        <is>
          <t>Yes</t>
        </is>
      </c>
    </row>
    <row r="423">
      <c r="A423" t="inlineStr">
        <is>
          <t>Mod</t>
        </is>
      </c>
      <c r="B423" t="inlineStr">
        <is>
          <t>Blood Forge</t>
        </is>
      </c>
      <c r="E423" t="inlineStr">
        <is>
          <t>Augment Garuda</t>
        </is>
      </c>
      <c r="F423" t="n">
        <v>3</v>
      </c>
      <c r="G423" t="n">
        <v>1</v>
      </c>
      <c r="H423" t="inlineStr">
        <is>
          <t>Player trade (max rank)</t>
        </is>
      </c>
      <c r="I423" t="inlineStr">
        <is>
          <t>Yes</t>
        </is>
      </c>
      <c r="K423" t="inlineStr">
        <is>
          <t>Collection</t>
        </is>
      </c>
      <c r="L423" t="n">
        <v>20</v>
      </c>
      <c r="M423" t="n">
        <v>22.5</v>
      </c>
      <c r="N423" t="n">
        <v>50</v>
      </c>
      <c r="O423" t="inlineStr">
        <is>
          <t>2026-10-05 UTC (WFM pull 02:52-04:00)</t>
        </is>
      </c>
      <c r="P423" t="inlineStr">
        <is>
          <t>OK</t>
        </is>
      </c>
      <c r="R423" t="inlineStr">
        <is>
          <t>Every current tradeable mod at MAX RANK (WFM catalogue, rivens/locators excluded)</t>
        </is>
      </c>
      <c r="S423" t="inlineStr">
        <is>
          <t>blood_forge</t>
        </is>
      </c>
      <c r="T423" t="n">
        <v>3</v>
      </c>
      <c r="U423" t="n">
        <v>3</v>
      </c>
      <c r="V423" t="n">
        <v>15</v>
      </c>
      <c r="W423" t="n">
        <v>10</v>
      </c>
      <c r="X423" t="n">
        <v>12.6</v>
      </c>
      <c r="Y423" t="n">
        <v>30</v>
      </c>
      <c r="Z423" t="n">
        <v>0</v>
      </c>
      <c r="AN423" t="inlineStr">
        <is>
          <t>Augment Garuda</t>
        </is>
      </c>
      <c r="AO423" t="n">
        <v>210</v>
      </c>
      <c r="AP423" t="n">
        <v>10143</v>
      </c>
      <c r="AQ423" t="n">
        <v>12</v>
      </c>
      <c r="AS423" t="inlineStr">
        <is>
          <t>Yes</t>
        </is>
      </c>
    </row>
    <row r="424">
      <c r="A424" t="inlineStr">
        <is>
          <t>Mod</t>
        </is>
      </c>
      <c r="B424" t="inlineStr">
        <is>
          <t>Blood Rush</t>
        </is>
      </c>
      <c r="E424" t="inlineStr">
        <is>
          <t>Melee</t>
        </is>
      </c>
      <c r="F424" t="n">
        <v>10</v>
      </c>
      <c r="G424" t="n">
        <v>1</v>
      </c>
      <c r="H424" t="inlineStr">
        <is>
          <t>Player trade (max rank)</t>
        </is>
      </c>
      <c r="I424" t="inlineStr">
        <is>
          <t>Yes</t>
        </is>
      </c>
      <c r="K424" t="inlineStr">
        <is>
          <t>Collection</t>
        </is>
      </c>
      <c r="L424" t="n">
        <v>65</v>
      </c>
      <c r="M424" t="n">
        <v>68</v>
      </c>
      <c r="N424" t="n">
        <v>77</v>
      </c>
      <c r="O424" t="inlineStr">
        <is>
          <t>2026-10-05 UTC (WFM pull 02:52-04:00)</t>
        </is>
      </c>
      <c r="P424" t="inlineStr">
        <is>
          <t>OK</t>
        </is>
      </c>
      <c r="R424" t="inlineStr">
        <is>
          <t>Every current tradeable mod at MAX RANK (WFM catalogue, rivens/locators excluded)</t>
        </is>
      </c>
      <c r="S424" t="inlineStr">
        <is>
          <t>blood_rush</t>
        </is>
      </c>
      <c r="T424" t="n">
        <v>11</v>
      </c>
      <c r="U424" t="n">
        <v>11</v>
      </c>
      <c r="V424" t="n">
        <v>59</v>
      </c>
      <c r="W424" t="n">
        <v>57</v>
      </c>
      <c r="X424" t="n">
        <v>56.5</v>
      </c>
      <c r="Y424" t="n">
        <v>2846</v>
      </c>
      <c r="Z424" t="n">
        <v>48</v>
      </c>
      <c r="AN424" t="inlineStr">
        <is>
          <t>Melee</t>
        </is>
      </c>
      <c r="AO424" t="n">
        <v>20460</v>
      </c>
      <c r="AP424" t="n">
        <v>988218</v>
      </c>
      <c r="AQ424" t="n">
        <v>10</v>
      </c>
      <c r="AS424" t="inlineStr">
        <is>
          <t>Yes</t>
        </is>
      </c>
    </row>
    <row r="425">
      <c r="A425" t="inlineStr">
        <is>
          <t>Mod</t>
        </is>
      </c>
      <c r="B425" t="inlineStr">
        <is>
          <t>Bloodthirst</t>
        </is>
      </c>
      <c r="E425" t="inlineStr">
        <is>
          <t>Claws</t>
        </is>
      </c>
      <c r="F425" t="n">
        <v>3</v>
      </c>
      <c r="G425" t="n">
        <v>1</v>
      </c>
      <c r="H425" t="inlineStr">
        <is>
          <t>Player trade (max rank)</t>
        </is>
      </c>
      <c r="I425" t="inlineStr">
        <is>
          <t>Yes</t>
        </is>
      </c>
      <c r="K425" t="inlineStr">
        <is>
          <t>Collection</t>
        </is>
      </c>
      <c r="L425" t="n">
        <v>10</v>
      </c>
      <c r="M425" t="n">
        <v>13.5</v>
      </c>
      <c r="N425" t="n">
        <v>30</v>
      </c>
      <c r="O425" t="inlineStr">
        <is>
          <t>2026-10-05 UTC (WFM pull 02:52-04:00)</t>
        </is>
      </c>
      <c r="P425" t="inlineStr">
        <is>
          <t>OK</t>
        </is>
      </c>
      <c r="R425" t="inlineStr">
        <is>
          <t>Every current tradeable mod at MAX RANK (WFM catalogue, rivens/locators excluded)</t>
        </is>
      </c>
      <c r="S425" t="inlineStr">
        <is>
          <t>bloodthirst</t>
        </is>
      </c>
      <c r="T425" t="n">
        <v>4</v>
      </c>
      <c r="U425" t="n">
        <v>4</v>
      </c>
      <c r="V425" t="n">
        <v>9</v>
      </c>
      <c r="W425" t="n">
        <v>9</v>
      </c>
      <c r="X425" t="n">
        <v>8.6</v>
      </c>
      <c r="Y425" t="n">
        <v>60</v>
      </c>
      <c r="Z425" t="n">
        <v>1</v>
      </c>
      <c r="AN425" t="inlineStr">
        <is>
          <t>Claws</t>
        </is>
      </c>
      <c r="AO425" t="n">
        <v>70</v>
      </c>
      <c r="AP425" t="n">
        <v>3381</v>
      </c>
      <c r="AQ425" t="n">
        <v>6</v>
      </c>
      <c r="AS425" t="inlineStr">
        <is>
          <t>Yes</t>
        </is>
      </c>
    </row>
    <row r="426">
      <c r="A426" t="inlineStr">
        <is>
          <t>Mod</t>
        </is>
      </c>
      <c r="B426" t="inlineStr">
        <is>
          <t>Blunderbuss</t>
        </is>
      </c>
      <c r="E426" t="inlineStr">
        <is>
          <t>Shotgun</t>
        </is>
      </c>
      <c r="F426" t="n">
        <v>5</v>
      </c>
      <c r="G426" t="n">
        <v>1</v>
      </c>
      <c r="H426" t="inlineStr">
        <is>
          <t>Player trade (max rank)</t>
        </is>
      </c>
      <c r="I426" t="inlineStr">
        <is>
          <t>Yes</t>
        </is>
      </c>
      <c r="K426" t="inlineStr">
        <is>
          <t>Collection</t>
        </is>
      </c>
      <c r="L426" t="n">
        <v>6</v>
      </c>
      <c r="M426" t="n">
        <v>15</v>
      </c>
      <c r="N426" t="n">
        <v>33</v>
      </c>
      <c r="O426" t="inlineStr">
        <is>
          <t>2026-10-05 UTC (WFM pull 02:52-04:00)</t>
        </is>
      </c>
      <c r="P426" t="inlineStr">
        <is>
          <t>OK</t>
        </is>
      </c>
      <c r="R426" t="inlineStr">
        <is>
          <t>Every current tradeable mod at MAX RANK (WFM catalogue, rivens/locators excluded)</t>
        </is>
      </c>
      <c r="S426" t="inlineStr">
        <is>
          <t>blunderbuss</t>
        </is>
      </c>
      <c r="T426" t="n">
        <v>6</v>
      </c>
      <c r="U426" t="n">
        <v>6</v>
      </c>
      <c r="W426" t="n">
        <v>10</v>
      </c>
      <c r="X426" t="n">
        <v>10</v>
      </c>
      <c r="Y426" t="n">
        <v>2</v>
      </c>
      <c r="Z426" t="n">
        <v>0</v>
      </c>
      <c r="AN426" t="inlineStr">
        <is>
          <t>Shotgun</t>
        </is>
      </c>
      <c r="AO426" t="n">
        <v>310</v>
      </c>
      <c r="AP426" t="n">
        <v>14973</v>
      </c>
      <c r="AQ426" t="n">
        <v>2</v>
      </c>
      <c r="AS426" t="inlineStr">
        <is>
          <t>Yes</t>
        </is>
      </c>
    </row>
    <row r="427">
      <c r="A427" t="inlineStr">
        <is>
          <t>Mod</t>
        </is>
      </c>
      <c r="B427" t="inlineStr">
        <is>
          <t>Body Count</t>
        </is>
      </c>
      <c r="E427" t="inlineStr">
        <is>
          <t>Melee</t>
        </is>
      </c>
      <c r="F427" t="n">
        <v>5</v>
      </c>
      <c r="G427" t="n">
        <v>1</v>
      </c>
      <c r="H427" t="inlineStr">
        <is>
          <t>Player trade (max rank)</t>
        </is>
      </c>
      <c r="I427" t="inlineStr">
        <is>
          <t>Yes</t>
        </is>
      </c>
      <c r="K427" t="inlineStr">
        <is>
          <t>Collection</t>
        </is>
      </c>
      <c r="L427" t="n">
        <v>10</v>
      </c>
      <c r="M427" t="n">
        <v>15</v>
      </c>
      <c r="N427" t="n">
        <v>22</v>
      </c>
      <c r="O427" t="inlineStr">
        <is>
          <t>2026-10-05 UTC (WFM pull 02:52-04:00)</t>
        </is>
      </c>
      <c r="P427" t="inlineStr">
        <is>
          <t>OK</t>
        </is>
      </c>
      <c r="R427" t="inlineStr">
        <is>
          <t>Every current tradeable mod at MAX RANK (WFM catalogue, rivens/locators excluded)</t>
        </is>
      </c>
      <c r="S427" t="inlineStr">
        <is>
          <t>body_count</t>
        </is>
      </c>
      <c r="T427" t="n">
        <v>22</v>
      </c>
      <c r="U427" t="n">
        <v>1</v>
      </c>
      <c r="V427" t="n">
        <v>15.5</v>
      </c>
      <c r="W427" t="n">
        <v>20</v>
      </c>
      <c r="X427" t="n">
        <v>20.8</v>
      </c>
      <c r="Y427" t="n">
        <v>46</v>
      </c>
      <c r="Z427" t="n">
        <v>1</v>
      </c>
      <c r="AN427" t="inlineStr">
        <is>
          <t>Melee</t>
        </is>
      </c>
      <c r="AO427" t="n">
        <v>310</v>
      </c>
      <c r="AP427" t="n">
        <v>14973</v>
      </c>
      <c r="AQ427" t="n">
        <v>9</v>
      </c>
      <c r="AS427" t="inlineStr">
        <is>
          <t>Yes</t>
        </is>
      </c>
    </row>
    <row r="428">
      <c r="A428" t="inlineStr">
        <is>
          <t>Mod</t>
        </is>
      </c>
      <c r="B428" t="inlineStr">
        <is>
          <t>Bomb The Landin'</t>
        </is>
      </c>
      <c r="E428" t="inlineStr">
        <is>
          <t>K-Drive</t>
        </is>
      </c>
      <c r="F428" t="n">
        <v>3</v>
      </c>
      <c r="G428" t="n">
        <v>1</v>
      </c>
      <c r="H428" t="inlineStr">
        <is>
          <t>Player trade (max rank)</t>
        </is>
      </c>
      <c r="I428" t="inlineStr">
        <is>
          <t>Yes</t>
        </is>
      </c>
      <c r="K428" t="inlineStr">
        <is>
          <t>Collection</t>
        </is>
      </c>
      <c r="L428" t="n">
        <v>17</v>
      </c>
      <c r="M428" t="n">
        <v>24</v>
      </c>
      <c r="N428" t="n">
        <v>28</v>
      </c>
      <c r="O428" t="inlineStr">
        <is>
          <t>2026-10-05 UTC (WFM pull 02:52-04:00)</t>
        </is>
      </c>
      <c r="P428" t="inlineStr">
        <is>
          <t>OK</t>
        </is>
      </c>
      <c r="R428" t="inlineStr">
        <is>
          <t>Every current tradeable mod at MAX RANK (WFM catalogue, rivens/locators excluded)</t>
        </is>
      </c>
      <c r="S428" t="inlineStr">
        <is>
          <t>bomb_the_landin</t>
        </is>
      </c>
      <c r="T428" t="n">
        <v>27</v>
      </c>
      <c r="U428" t="n">
        <v>2</v>
      </c>
      <c r="W428" t="n">
        <v>30</v>
      </c>
      <c r="X428" t="n">
        <v>26</v>
      </c>
      <c r="Y428" t="n">
        <v>3</v>
      </c>
      <c r="Z428" t="n">
        <v>0</v>
      </c>
      <c r="AN428" t="inlineStr">
        <is>
          <t>K-Drive</t>
        </is>
      </c>
      <c r="AO428" t="n">
        <v>210</v>
      </c>
      <c r="AP428" t="n">
        <v>10143</v>
      </c>
      <c r="AQ428" t="n">
        <v>18</v>
      </c>
      <c r="AS428" t="inlineStr">
        <is>
          <t>Yes</t>
        </is>
      </c>
    </row>
    <row r="429">
      <c r="A429" t="inlineStr">
        <is>
          <t>Mod</t>
        </is>
      </c>
      <c r="B429" t="inlineStr">
        <is>
          <t>Bore</t>
        </is>
      </c>
      <c r="E429" t="inlineStr">
        <is>
          <t>Pistol</t>
        </is>
      </c>
      <c r="F429" t="n">
        <v>5</v>
      </c>
      <c r="G429" t="n">
        <v>1</v>
      </c>
      <c r="H429" t="inlineStr">
        <is>
          <t>Player trade (max rank)</t>
        </is>
      </c>
      <c r="I429" t="inlineStr">
        <is>
          <t>Yes</t>
        </is>
      </c>
      <c r="K429" t="inlineStr">
        <is>
          <t>Collection</t>
        </is>
      </c>
      <c r="L429" t="n">
        <v>30</v>
      </c>
      <c r="M429" t="n">
        <v>30</v>
      </c>
      <c r="N429" t="n">
        <v>66</v>
      </c>
      <c r="O429" t="inlineStr">
        <is>
          <t>2026-10-05 UTC (WFM pull 02:52-04:00)</t>
        </is>
      </c>
      <c r="P429" t="inlineStr">
        <is>
          <t>OK</t>
        </is>
      </c>
      <c r="R429" t="inlineStr">
        <is>
          <t>Every current tradeable mod at MAX RANK (WFM catalogue, rivens/locators excluded)</t>
        </is>
      </c>
      <c r="S429" t="inlineStr">
        <is>
          <t>bore</t>
        </is>
      </c>
      <c r="T429" t="n">
        <v>6</v>
      </c>
      <c r="U429" t="n">
        <v>6</v>
      </c>
      <c r="V429" t="n">
        <v>19</v>
      </c>
      <c r="W429" t="n">
        <v>15</v>
      </c>
      <c r="X429" t="n">
        <v>15.9</v>
      </c>
      <c r="Y429" t="n">
        <v>21</v>
      </c>
      <c r="Z429" t="n">
        <v>1</v>
      </c>
      <c r="AN429" t="inlineStr">
        <is>
          <t>Pistol</t>
        </is>
      </c>
      <c r="AO429" t="n">
        <v>930</v>
      </c>
      <c r="AP429" t="n">
        <v>44919</v>
      </c>
      <c r="AQ429" t="n">
        <v>10</v>
      </c>
      <c r="AS429" t="inlineStr">
        <is>
          <t>Yes</t>
        </is>
      </c>
    </row>
    <row r="430">
      <c r="A430" t="inlineStr">
        <is>
          <t>Mod</t>
        </is>
      </c>
      <c r="B430" t="inlineStr">
        <is>
          <t>Boreal's Anguish</t>
        </is>
      </c>
      <c r="E430" t="inlineStr">
        <is>
          <t>Warframe</t>
        </is>
      </c>
      <c r="F430" t="n">
        <v>5</v>
      </c>
      <c r="G430" t="n">
        <v>1</v>
      </c>
      <c r="H430" t="inlineStr">
        <is>
          <t>Player trade (max rank)</t>
        </is>
      </c>
      <c r="I430" t="inlineStr">
        <is>
          <t>Yes</t>
        </is>
      </c>
      <c r="K430" t="inlineStr">
        <is>
          <t>Collection</t>
        </is>
      </c>
      <c r="L430" t="n">
        <v>9</v>
      </c>
      <c r="M430" t="n">
        <v>10</v>
      </c>
      <c r="N430" t="n">
        <v>22</v>
      </c>
      <c r="O430" t="inlineStr">
        <is>
          <t>2026-10-05 UTC (WFM pull 02:52-04:00)</t>
        </is>
      </c>
      <c r="P430" t="inlineStr">
        <is>
          <t>OK</t>
        </is>
      </c>
      <c r="R430" t="inlineStr">
        <is>
          <t>Every current tradeable mod at MAX RANK (WFM catalogue, rivens/locators excluded)</t>
        </is>
      </c>
      <c r="S430" t="inlineStr">
        <is>
          <t>boreals_anguish</t>
        </is>
      </c>
      <c r="T430" t="n">
        <v>9</v>
      </c>
      <c r="U430" t="n">
        <v>9</v>
      </c>
      <c r="V430" t="n">
        <v>10</v>
      </c>
      <c r="W430" t="n">
        <v>10</v>
      </c>
      <c r="X430" t="n">
        <v>11.1</v>
      </c>
      <c r="Y430" t="n">
        <v>60</v>
      </c>
      <c r="Z430" t="n">
        <v>1</v>
      </c>
      <c r="AN430" t="inlineStr">
        <is>
          <t>Warframe</t>
        </is>
      </c>
      <c r="AO430" t="n">
        <v>310</v>
      </c>
      <c r="AP430" t="n">
        <v>14973</v>
      </c>
      <c r="AQ430" t="n">
        <v>4</v>
      </c>
      <c r="AS430" t="inlineStr">
        <is>
          <t>Yes</t>
        </is>
      </c>
    </row>
    <row r="431">
      <c r="A431" t="inlineStr">
        <is>
          <t>Mod</t>
        </is>
      </c>
      <c r="B431" t="inlineStr">
        <is>
          <t>Boreal's Contempt</t>
        </is>
      </c>
      <c r="E431" t="inlineStr">
        <is>
          <t>Polearms</t>
        </is>
      </c>
      <c r="F431" t="n">
        <v>5</v>
      </c>
      <c r="G431" t="n">
        <v>1</v>
      </c>
      <c r="H431" t="inlineStr">
        <is>
          <t>Player trade (max rank)</t>
        </is>
      </c>
      <c r="I431" t="inlineStr">
        <is>
          <t>Yes</t>
        </is>
      </c>
      <c r="K431" t="inlineStr">
        <is>
          <t>Collection</t>
        </is>
      </c>
      <c r="L431" t="n">
        <v>14</v>
      </c>
      <c r="M431" t="n">
        <v>18</v>
      </c>
      <c r="N431" t="n">
        <v>40</v>
      </c>
      <c r="O431" t="inlineStr">
        <is>
          <t>2026-10-05 UTC (WFM pull 02:52-04:00)</t>
        </is>
      </c>
      <c r="P431" t="inlineStr">
        <is>
          <t>OK</t>
        </is>
      </c>
      <c r="R431" t="inlineStr">
        <is>
          <t>Every current tradeable mod at MAX RANK (WFM catalogue, rivens/locators excluded)</t>
        </is>
      </c>
      <c r="S431" t="inlineStr">
        <is>
          <t>boreals_contempt</t>
        </is>
      </c>
      <c r="T431" t="n">
        <v>6</v>
      </c>
      <c r="U431" t="n">
        <v>6</v>
      </c>
      <c r="V431" t="n">
        <v>12</v>
      </c>
      <c r="W431" t="n">
        <v>10</v>
      </c>
      <c r="X431" t="n">
        <v>11</v>
      </c>
      <c r="Y431" t="n">
        <v>59</v>
      </c>
      <c r="Z431" t="n">
        <v>2</v>
      </c>
      <c r="AN431" t="inlineStr">
        <is>
          <t>Polearms</t>
        </is>
      </c>
      <c r="AO431" t="n">
        <v>930</v>
      </c>
      <c r="AP431" t="n">
        <v>44919</v>
      </c>
      <c r="AQ431" t="n">
        <v>6.8</v>
      </c>
      <c r="AS431" t="inlineStr">
        <is>
          <t>Yes</t>
        </is>
      </c>
    </row>
    <row r="432">
      <c r="A432" t="inlineStr">
        <is>
          <t>Mod</t>
        </is>
      </c>
      <c r="B432" t="inlineStr">
        <is>
          <t>Boreal's Hatred</t>
        </is>
      </c>
      <c r="E432" t="inlineStr">
        <is>
          <t>Warframe</t>
        </is>
      </c>
      <c r="F432" t="n">
        <v>5</v>
      </c>
      <c r="G432" t="n">
        <v>1</v>
      </c>
      <c r="H432" t="inlineStr">
        <is>
          <t>Player trade (max rank)</t>
        </is>
      </c>
      <c r="I432" t="inlineStr">
        <is>
          <t>Yes</t>
        </is>
      </c>
      <c r="K432" t="inlineStr">
        <is>
          <t>Collection</t>
        </is>
      </c>
      <c r="L432" t="n">
        <v>13</v>
      </c>
      <c r="M432" t="n">
        <v>15</v>
      </c>
      <c r="N432" t="n">
        <v>33</v>
      </c>
      <c r="O432" t="inlineStr">
        <is>
          <t>2026-10-05 UTC (WFM pull 02:52-04:00)</t>
        </is>
      </c>
      <c r="P432" t="inlineStr">
        <is>
          <t>OK</t>
        </is>
      </c>
      <c r="R432" t="inlineStr">
        <is>
          <t>Every current tradeable mod at MAX RANK (WFM catalogue, rivens/locators excluded)</t>
        </is>
      </c>
      <c r="S432" t="inlineStr">
        <is>
          <t>boreals_hatred</t>
        </is>
      </c>
      <c r="T432" t="n">
        <v>10</v>
      </c>
      <c r="U432" t="n">
        <v>10</v>
      </c>
      <c r="V432" t="n">
        <v>14.5</v>
      </c>
      <c r="W432" t="n">
        <v>15</v>
      </c>
      <c r="X432" t="n">
        <v>14.5</v>
      </c>
      <c r="Y432" t="n">
        <v>686</v>
      </c>
      <c r="Z432" t="n">
        <v>10</v>
      </c>
      <c r="AN432" t="inlineStr">
        <is>
          <t>Warframe</t>
        </is>
      </c>
      <c r="AO432" t="n">
        <v>620</v>
      </c>
      <c r="AP432" t="n">
        <v>29946</v>
      </c>
      <c r="AQ432" t="n">
        <v>8</v>
      </c>
      <c r="AS432" t="inlineStr">
        <is>
          <t>Yes</t>
        </is>
      </c>
    </row>
    <row r="433">
      <c r="A433" t="inlineStr">
        <is>
          <t>Mod</t>
        </is>
      </c>
      <c r="B433" t="inlineStr">
        <is>
          <t>Botanist</t>
        </is>
      </c>
      <c r="E433" t="inlineStr">
        <is>
          <t>Oxylus</t>
        </is>
      </c>
      <c r="F433" t="n">
        <v>5</v>
      </c>
      <c r="G433" t="n">
        <v>1</v>
      </c>
      <c r="H433" t="inlineStr">
        <is>
          <t>Player trade (max rank)</t>
        </is>
      </c>
      <c r="I433" t="inlineStr">
        <is>
          <t>Yes</t>
        </is>
      </c>
      <c r="K433" t="inlineStr">
        <is>
          <t>Collection</t>
        </is>
      </c>
      <c r="L433" t="n">
        <v>50</v>
      </c>
      <c r="M433" t="n">
        <v>60</v>
      </c>
      <c r="N433" t="n">
        <v>132</v>
      </c>
      <c r="O433" t="inlineStr">
        <is>
          <t>2026-10-05 UTC (WFM pull 02:52-04:00)</t>
        </is>
      </c>
      <c r="P433" t="inlineStr">
        <is>
          <t>OK</t>
        </is>
      </c>
      <c r="R433" t="inlineStr">
        <is>
          <t>Every current tradeable mod at MAX RANK (WFM catalogue, rivens/locators excluded)</t>
        </is>
      </c>
      <c r="S433" t="inlineStr">
        <is>
          <t>botanist</t>
        </is>
      </c>
      <c r="T433" t="n">
        <v>6</v>
      </c>
      <c r="U433" t="n">
        <v>6</v>
      </c>
      <c r="V433" t="n">
        <v>50</v>
      </c>
      <c r="W433" t="n">
        <v>52.5</v>
      </c>
      <c r="X433" t="n">
        <v>53.4</v>
      </c>
      <c r="Y433" t="n">
        <v>169</v>
      </c>
      <c r="Z433" t="n">
        <v>3</v>
      </c>
      <c r="AN433" t="inlineStr">
        <is>
          <t>Oxylus</t>
        </is>
      </c>
      <c r="AO433" t="n">
        <v>930</v>
      </c>
      <c r="AP433" t="n">
        <v>44919</v>
      </c>
      <c r="AQ433" t="n">
        <v>45</v>
      </c>
      <c r="AS433" t="inlineStr">
        <is>
          <t>Yes</t>
        </is>
      </c>
    </row>
    <row r="434">
      <c r="A434" t="inlineStr">
        <is>
          <t>Mod</t>
        </is>
      </c>
      <c r="B434" t="inlineStr">
        <is>
          <t>Bounty Hunter</t>
        </is>
      </c>
      <c r="E434" t="inlineStr">
        <is>
          <t>Conclave (PvP)</t>
        </is>
      </c>
      <c r="F434" t="n">
        <v>5</v>
      </c>
      <c r="G434" t="n">
        <v>1</v>
      </c>
      <c r="H434" t="inlineStr">
        <is>
          <t>Player trade (max rank)</t>
        </is>
      </c>
      <c r="I434" t="inlineStr">
        <is>
          <t>Yes</t>
        </is>
      </c>
      <c r="K434" t="inlineStr">
        <is>
          <t>Collection (PvP)</t>
        </is>
      </c>
      <c r="L434" t="n">
        <v>200</v>
      </c>
      <c r="M434" t="n">
        <v>200</v>
      </c>
      <c r="N434" t="n">
        <v>275</v>
      </c>
      <c r="O434" t="inlineStr">
        <is>
          <t>2026-10-05 UTC (WFM pull 02:52-04:00)</t>
        </is>
      </c>
      <c r="P434" t="inlineStr">
        <is>
          <t>THIN</t>
        </is>
      </c>
      <c r="R434" t="inlineStr">
        <is>
          <t>Every current tradeable mod at MAX RANK (WFM catalogue, rivens/locators excluded)</t>
        </is>
      </c>
      <c r="S434" t="inlineStr">
        <is>
          <t>bounty_hunter</t>
        </is>
      </c>
      <c r="T434" t="n">
        <v>2</v>
      </c>
      <c r="U434" t="n">
        <v>0</v>
      </c>
      <c r="W434" t="n">
        <v>20</v>
      </c>
      <c r="X434" t="n">
        <v>20</v>
      </c>
      <c r="Y434" t="n">
        <v>1</v>
      </c>
      <c r="Z434" t="n">
        <v>0</v>
      </c>
      <c r="AN434" t="inlineStr">
        <is>
          <t>Conclave (PvP)</t>
        </is>
      </c>
      <c r="AO434" t="n">
        <v>620</v>
      </c>
      <c r="AP434" t="n">
        <v>29946</v>
      </c>
      <c r="AQ434" t="n">
        <v>47.5</v>
      </c>
      <c r="AS434" t="inlineStr">
        <is>
          <t>PvP subtotal</t>
        </is>
      </c>
    </row>
    <row r="435">
      <c r="A435" t="inlineStr">
        <is>
          <t>Mod</t>
        </is>
      </c>
      <c r="B435" t="inlineStr">
        <is>
          <t>Brain Storm</t>
        </is>
      </c>
      <c r="E435" t="inlineStr">
        <is>
          <t>Conclave (PvP)</t>
        </is>
      </c>
      <c r="F435" t="n">
        <v>3</v>
      </c>
      <c r="G435" t="n">
        <v>1</v>
      </c>
      <c r="H435" t="inlineStr">
        <is>
          <t>Player trade (max rank)</t>
        </is>
      </c>
      <c r="I435" t="inlineStr">
        <is>
          <t>Yes</t>
        </is>
      </c>
      <c r="K435" t="inlineStr">
        <is>
          <t>Collection (PvP)</t>
        </is>
      </c>
      <c r="L435" t="n">
        <v>10</v>
      </c>
      <c r="M435" t="n">
        <v>10</v>
      </c>
      <c r="N435" t="n">
        <v>17</v>
      </c>
      <c r="O435" t="inlineStr">
        <is>
          <t>2026-10-05 UTC (WFM pull 02:52-04:00)</t>
        </is>
      </c>
      <c r="P435" t="inlineStr">
        <is>
          <t>OK</t>
        </is>
      </c>
      <c r="R435" t="inlineStr">
        <is>
          <t>Every current tradeable mod at MAX RANK (WFM catalogue, rivens/locators excluded)</t>
        </is>
      </c>
      <c r="S435" t="inlineStr">
        <is>
          <t>brain_storm</t>
        </is>
      </c>
      <c r="T435" t="n">
        <v>59</v>
      </c>
      <c r="U435" t="n">
        <v>2</v>
      </c>
      <c r="V435" t="n">
        <v>15</v>
      </c>
      <c r="W435" t="n">
        <v>14</v>
      </c>
      <c r="X435" t="n">
        <v>14.6</v>
      </c>
      <c r="Y435" t="n">
        <v>33</v>
      </c>
      <c r="Z435" t="n">
        <v>1</v>
      </c>
      <c r="AN435" t="inlineStr">
        <is>
          <t>Conclave (PvP)</t>
        </is>
      </c>
      <c r="AO435" t="n">
        <v>210</v>
      </c>
      <c r="AP435" t="n">
        <v>10143</v>
      </c>
      <c r="AQ435" t="n">
        <v>9</v>
      </c>
      <c r="AS435" t="inlineStr">
        <is>
          <t>PvP subtotal</t>
        </is>
      </c>
    </row>
    <row r="436">
      <c r="A436" t="inlineStr">
        <is>
          <t>Mod</t>
        </is>
      </c>
      <c r="B436" t="inlineStr">
        <is>
          <t>Breach Loader</t>
        </is>
      </c>
      <c r="E436" t="inlineStr">
        <is>
          <t>Shotgun</t>
        </is>
      </c>
      <c r="F436" t="n">
        <v>5</v>
      </c>
      <c r="G436" t="n">
        <v>1</v>
      </c>
      <c r="H436" t="inlineStr">
        <is>
          <t>Player trade (max rank)</t>
        </is>
      </c>
      <c r="I436" t="inlineStr">
        <is>
          <t>Yes</t>
        </is>
      </c>
      <c r="K436" t="inlineStr">
        <is>
          <t>Collection</t>
        </is>
      </c>
      <c r="L436" t="n">
        <v>50</v>
      </c>
      <c r="M436" t="n">
        <v>50</v>
      </c>
      <c r="N436" t="n">
        <v>88</v>
      </c>
      <c r="O436" t="inlineStr">
        <is>
          <t>2026-10-05 UTC (WFM pull 02:52-04:00)</t>
        </is>
      </c>
      <c r="P436" t="inlineStr">
        <is>
          <t>OK</t>
        </is>
      </c>
      <c r="R436" t="inlineStr">
        <is>
          <t>Every current tradeable mod at MAX RANK (WFM catalogue, rivens/locators excluded)</t>
        </is>
      </c>
      <c r="S436" t="inlineStr">
        <is>
          <t>breach_loader</t>
        </is>
      </c>
      <c r="T436" t="n">
        <v>3</v>
      </c>
      <c r="U436" t="n">
        <v>3</v>
      </c>
      <c r="V436" t="n">
        <v>10</v>
      </c>
      <c r="W436" t="n">
        <v>25</v>
      </c>
      <c r="X436" t="n">
        <v>28.1</v>
      </c>
      <c r="Y436" t="n">
        <v>9</v>
      </c>
      <c r="Z436" t="n">
        <v>0</v>
      </c>
      <c r="AN436" t="inlineStr">
        <is>
          <t>Shotgun</t>
        </is>
      </c>
      <c r="AO436" t="n">
        <v>930</v>
      </c>
      <c r="AP436" t="n">
        <v>44919</v>
      </c>
      <c r="AQ436" t="n">
        <v>10.5</v>
      </c>
      <c r="AS436" t="inlineStr">
        <is>
          <t>Yes</t>
        </is>
      </c>
    </row>
    <row r="437">
      <c r="A437" t="inlineStr">
        <is>
          <t>Mod</t>
        </is>
      </c>
      <c r="B437" t="inlineStr">
        <is>
          <t>Breach Quanta</t>
        </is>
      </c>
      <c r="E437" t="inlineStr">
        <is>
          <t>Railjack (Tactical, Slot 1)</t>
        </is>
      </c>
      <c r="F437" t="n">
        <v>5</v>
      </c>
      <c r="G437" t="n">
        <v>1</v>
      </c>
      <c r="H437" t="inlineStr">
        <is>
          <t>Player trade (max rank)</t>
        </is>
      </c>
      <c r="I437" t="inlineStr">
        <is>
          <t>Yes</t>
        </is>
      </c>
      <c r="K437" t="inlineStr">
        <is>
          <t>Collection</t>
        </is>
      </c>
      <c r="L437" t="n">
        <v>3</v>
      </c>
      <c r="M437" t="n">
        <v>9</v>
      </c>
      <c r="N437" t="n">
        <v>17</v>
      </c>
      <c r="O437" t="inlineStr">
        <is>
          <t>2026-10-05 UTC (WFM pull 02:52-04:00)</t>
        </is>
      </c>
      <c r="P437" t="inlineStr">
        <is>
          <t>OK</t>
        </is>
      </c>
      <c r="R437" t="inlineStr">
        <is>
          <t>Every current tradeable mod at MAX RANK (WFM catalogue, rivens/locators excluded)</t>
        </is>
      </c>
      <c r="S437" t="inlineStr">
        <is>
          <t>breach_quanta</t>
        </is>
      </c>
      <c r="T437" t="n">
        <v>61</v>
      </c>
      <c r="U437" t="n">
        <v>1</v>
      </c>
      <c r="V437" t="n">
        <v>15</v>
      </c>
      <c r="W437" t="n">
        <v>11.5</v>
      </c>
      <c r="X437" t="n">
        <v>14.5</v>
      </c>
      <c r="Y437" t="n">
        <v>17</v>
      </c>
      <c r="Z437" t="n">
        <v>0</v>
      </c>
      <c r="AN437" t="inlineStr">
        <is>
          <t>Railjack (Tactical, Slot 1)</t>
        </is>
      </c>
      <c r="AO437" t="n">
        <v>310</v>
      </c>
      <c r="AP437" t="n">
        <v>14973</v>
      </c>
      <c r="AQ437" t="n">
        <v>5</v>
      </c>
      <c r="AS437" t="inlineStr">
        <is>
          <t>Yes</t>
        </is>
      </c>
    </row>
    <row r="438">
      <c r="A438" t="inlineStr">
        <is>
          <t>Mod</t>
        </is>
      </c>
      <c r="B438" t="inlineStr">
        <is>
          <t>Brief Respite</t>
        </is>
      </c>
      <c r="E438" t="inlineStr">
        <is>
          <t>Aura</t>
        </is>
      </c>
      <c r="F438" t="n">
        <v>5</v>
      </c>
      <c r="G438" t="n">
        <v>1</v>
      </c>
      <c r="H438" t="inlineStr">
        <is>
          <t>Player trade (max rank)</t>
        </is>
      </c>
      <c r="I438" t="inlineStr">
        <is>
          <t>Yes</t>
        </is>
      </c>
      <c r="K438" t="inlineStr">
        <is>
          <t>Collection</t>
        </is>
      </c>
      <c r="L438" t="n">
        <v>19</v>
      </c>
      <c r="M438" t="n">
        <v>22.5</v>
      </c>
      <c r="N438" t="n">
        <v>33</v>
      </c>
      <c r="O438" t="inlineStr">
        <is>
          <t>2026-10-05 UTC (WFM pull 02:52-04:00)</t>
        </is>
      </c>
      <c r="P438" t="inlineStr">
        <is>
          <t>OK</t>
        </is>
      </c>
      <c r="R438" t="inlineStr">
        <is>
          <t>Every current tradeable mod at MAX RANK (WFM catalogue, rivens/locators excluded)</t>
        </is>
      </c>
      <c r="S438" t="inlineStr">
        <is>
          <t>brief_respite</t>
        </is>
      </c>
      <c r="T438" t="n">
        <v>8</v>
      </c>
      <c r="U438" t="n">
        <v>8</v>
      </c>
      <c r="V438" t="n">
        <v>15</v>
      </c>
      <c r="W438" t="n">
        <v>16</v>
      </c>
      <c r="X438" t="n">
        <v>15.8</v>
      </c>
      <c r="Y438" t="n">
        <v>2632</v>
      </c>
      <c r="Z438" t="n">
        <v>37</v>
      </c>
      <c r="AN438" t="inlineStr">
        <is>
          <t>Aura</t>
        </is>
      </c>
      <c r="AO438" t="n">
        <v>620</v>
      </c>
      <c r="AP438" t="n">
        <v>29946</v>
      </c>
      <c r="AQ438" t="n">
        <v>14</v>
      </c>
      <c r="AS438" t="inlineStr">
        <is>
          <t>Yes</t>
        </is>
      </c>
    </row>
    <row r="439">
      <c r="A439" t="inlineStr">
        <is>
          <t>Mod</t>
        </is>
      </c>
      <c r="B439" t="inlineStr">
        <is>
          <t>Bright Purity</t>
        </is>
      </c>
      <c r="E439" t="inlineStr">
        <is>
          <t>Augment Skana</t>
        </is>
      </c>
      <c r="F439" t="n">
        <v>3</v>
      </c>
      <c r="G439" t="n">
        <v>1</v>
      </c>
      <c r="H439" t="inlineStr">
        <is>
          <t>Player trade (max rank)</t>
        </is>
      </c>
      <c r="I439" t="inlineStr">
        <is>
          <t>Yes</t>
        </is>
      </c>
      <c r="K439" t="inlineStr">
        <is>
          <t>Collection</t>
        </is>
      </c>
      <c r="L439" t="n">
        <v>6</v>
      </c>
      <c r="M439" t="n">
        <v>8</v>
      </c>
      <c r="N439" t="n">
        <v>11</v>
      </c>
      <c r="O439" t="inlineStr">
        <is>
          <t>2026-10-05 UTC (WFM pull 02:52-04:00)</t>
        </is>
      </c>
      <c r="P439" t="inlineStr">
        <is>
          <t>OK</t>
        </is>
      </c>
      <c r="R439" t="inlineStr">
        <is>
          <t>Every current tradeable mod at MAX RANK (WFM catalogue, rivens/locators excluded)</t>
        </is>
      </c>
      <c r="S439" t="inlineStr">
        <is>
          <t>bright_purity</t>
        </is>
      </c>
      <c r="T439" t="n">
        <v>54</v>
      </c>
      <c r="U439" t="n">
        <v>2</v>
      </c>
      <c r="V439" t="n">
        <v>10</v>
      </c>
      <c r="W439" t="n">
        <v>10</v>
      </c>
      <c r="X439" t="n">
        <v>11.7</v>
      </c>
      <c r="Y439" t="n">
        <v>14</v>
      </c>
      <c r="Z439" t="n">
        <v>1</v>
      </c>
      <c r="AN439" t="inlineStr">
        <is>
          <t>Augment Skana</t>
        </is>
      </c>
      <c r="AO439" t="n">
        <v>210</v>
      </c>
      <c r="AP439" t="n">
        <v>10143</v>
      </c>
      <c r="AQ439" t="n">
        <v>10</v>
      </c>
      <c r="AS439" t="inlineStr">
        <is>
          <t>Yes</t>
        </is>
      </c>
    </row>
    <row r="440">
      <c r="A440" t="inlineStr">
        <is>
          <t>Mod</t>
        </is>
      </c>
      <c r="B440" t="inlineStr">
        <is>
          <t>Broad Eye</t>
        </is>
      </c>
      <c r="E440" t="inlineStr">
        <is>
          <t>Conclave (PvP)</t>
        </is>
      </c>
      <c r="F440" t="n">
        <v>5</v>
      </c>
      <c r="G440" t="n">
        <v>1</v>
      </c>
      <c r="H440" t="inlineStr">
        <is>
          <t>Player trade (max rank)</t>
        </is>
      </c>
      <c r="I440" t="inlineStr">
        <is>
          <t>Yes</t>
        </is>
      </c>
      <c r="K440" t="inlineStr">
        <is>
          <t>Collection (PvP)</t>
        </is>
      </c>
      <c r="L440" t="n">
        <v>14</v>
      </c>
      <c r="M440" t="n">
        <v>15</v>
      </c>
      <c r="N440" t="n">
        <v>33</v>
      </c>
      <c r="O440" t="inlineStr">
        <is>
          <t>2026-10-05 UTC (WFM pull 02:52-04:00)</t>
        </is>
      </c>
      <c r="P440" t="inlineStr">
        <is>
          <t>OK</t>
        </is>
      </c>
      <c r="R440" t="inlineStr">
        <is>
          <t>Every current tradeable mod at MAX RANK (WFM catalogue, rivens/locators excluded)</t>
        </is>
      </c>
      <c r="S440" t="inlineStr">
        <is>
          <t>broad_eye</t>
        </is>
      </c>
      <c r="T440" t="n">
        <v>3</v>
      </c>
      <c r="U440" t="n">
        <v>3</v>
      </c>
      <c r="Y440" t="n">
        <v>0</v>
      </c>
      <c r="Z440" t="n">
        <v>0</v>
      </c>
      <c r="AN440" t="inlineStr">
        <is>
          <t>Conclave (PvP)</t>
        </is>
      </c>
      <c r="AO440" t="n">
        <v>620</v>
      </c>
      <c r="AP440" t="n">
        <v>29946</v>
      </c>
      <c r="AQ440" t="n">
        <v>4</v>
      </c>
      <c r="AS440" t="inlineStr">
        <is>
          <t>PvP subtotal</t>
        </is>
      </c>
    </row>
    <row r="441">
      <c r="A441" t="inlineStr">
        <is>
          <t>Mod</t>
        </is>
      </c>
      <c r="B441" t="inlineStr">
        <is>
          <t>Brood's Oversurge</t>
        </is>
      </c>
      <c r="E441" t="inlineStr">
        <is>
          <t>Augment Oraxia</t>
        </is>
      </c>
      <c r="F441" t="n">
        <v>3</v>
      </c>
      <c r="G441" t="n">
        <v>1</v>
      </c>
      <c r="H441" t="inlineStr">
        <is>
          <t>Player trade (max rank)</t>
        </is>
      </c>
      <c r="I441" t="inlineStr">
        <is>
          <t>Yes</t>
        </is>
      </c>
      <c r="K441" t="inlineStr">
        <is>
          <t>Collection</t>
        </is>
      </c>
      <c r="L441" t="n">
        <v>19</v>
      </c>
      <c r="M441" t="n">
        <v>22.5</v>
      </c>
      <c r="N441" t="n">
        <v>39</v>
      </c>
      <c r="O441" t="inlineStr">
        <is>
          <t>2026-10-05 UTC (WFM pull 02:52-04:00)</t>
        </is>
      </c>
      <c r="P441" t="inlineStr">
        <is>
          <t>OK</t>
        </is>
      </c>
      <c r="R441" t="inlineStr">
        <is>
          <t>Every current tradeable mod at MAX RANK (WFM catalogue, rivens/locators excluded)</t>
        </is>
      </c>
      <c r="S441" t="inlineStr">
        <is>
          <t>broods_oversurge</t>
        </is>
      </c>
      <c r="T441" t="n">
        <v>5</v>
      </c>
      <c r="U441" t="n">
        <v>5</v>
      </c>
      <c r="V441" t="n">
        <v>15</v>
      </c>
      <c r="W441" t="n">
        <v>15</v>
      </c>
      <c r="X441" t="n">
        <v>16.4</v>
      </c>
      <c r="Y441" t="n">
        <v>281</v>
      </c>
      <c r="Z441" t="n">
        <v>34</v>
      </c>
      <c r="AN441" t="inlineStr">
        <is>
          <t>Augment Oraxia</t>
        </is>
      </c>
      <c r="AO441" t="n">
        <v>210</v>
      </c>
      <c r="AP441" t="n">
        <v>10143</v>
      </c>
      <c r="AQ441" t="n">
        <v>15</v>
      </c>
      <c r="AS441" t="inlineStr">
        <is>
          <t>Yes</t>
        </is>
      </c>
    </row>
    <row r="442">
      <c r="A442" t="inlineStr">
        <is>
          <t>Mod</t>
        </is>
      </c>
      <c r="B442" t="inlineStr">
        <is>
          <t>Brutal Tide</t>
        </is>
      </c>
      <c r="E442" t="inlineStr">
        <is>
          <t>Stance</t>
        </is>
      </c>
      <c r="F442" t="n">
        <v>3</v>
      </c>
      <c r="G442" t="n">
        <v>1</v>
      </c>
      <c r="H442" t="inlineStr">
        <is>
          <t>Player trade (max rank)</t>
        </is>
      </c>
      <c r="I442" t="inlineStr">
        <is>
          <t>Yes</t>
        </is>
      </c>
      <c r="K442" t="inlineStr">
        <is>
          <t>Collection</t>
        </is>
      </c>
      <c r="L442" t="n">
        <v>7</v>
      </c>
      <c r="M442" t="n">
        <v>10</v>
      </c>
      <c r="N442" t="n">
        <v>22</v>
      </c>
      <c r="O442" t="inlineStr">
        <is>
          <t>2026-10-05 UTC (WFM pull 02:52-04:00)</t>
        </is>
      </c>
      <c r="P442" t="inlineStr">
        <is>
          <t>OK</t>
        </is>
      </c>
      <c r="R442" t="inlineStr">
        <is>
          <t>Every current tradeable mod at MAX RANK (WFM catalogue, rivens/locators excluded)</t>
        </is>
      </c>
      <c r="S442" t="inlineStr">
        <is>
          <t>brutal_tide</t>
        </is>
      </c>
      <c r="T442" t="n">
        <v>3</v>
      </c>
      <c r="U442" t="n">
        <v>3</v>
      </c>
      <c r="V442" t="n">
        <v>10</v>
      </c>
      <c r="W442" t="n">
        <v>8</v>
      </c>
      <c r="X442" t="n">
        <v>7.7</v>
      </c>
      <c r="Y442" t="n">
        <v>59</v>
      </c>
      <c r="Z442" t="n">
        <v>1</v>
      </c>
      <c r="AN442" t="inlineStr">
        <is>
          <t>Stance</t>
        </is>
      </c>
      <c r="AO442" t="n">
        <v>210</v>
      </c>
      <c r="AP442" t="n">
        <v>10143</v>
      </c>
      <c r="AQ442" t="n">
        <v>4</v>
      </c>
      <c r="AS442" t="inlineStr">
        <is>
          <t>Yes</t>
        </is>
      </c>
    </row>
    <row r="443">
      <c r="A443" t="inlineStr">
        <is>
          <t>Mod</t>
        </is>
      </c>
      <c r="B443" t="inlineStr">
        <is>
          <t>Brute Conditioning</t>
        </is>
      </c>
      <c r="E443" t="inlineStr">
        <is>
          <t>Claws</t>
        </is>
      </c>
      <c r="F443" t="n">
        <v>10</v>
      </c>
      <c r="G443" t="n">
        <v>1</v>
      </c>
      <c r="H443" t="inlineStr">
        <is>
          <t>Player trade (max rank)</t>
        </is>
      </c>
      <c r="I443" t="inlineStr">
        <is>
          <t>Yes</t>
        </is>
      </c>
      <c r="K443" t="inlineStr">
        <is>
          <t>Collection</t>
        </is>
      </c>
      <c r="L443" t="n">
        <v>69</v>
      </c>
      <c r="M443" t="n">
        <v>90</v>
      </c>
      <c r="N443" t="n">
        <v>119</v>
      </c>
      <c r="O443" t="inlineStr">
        <is>
          <t>2026-10-05 UTC (WFM pull 02:52-04:00)</t>
        </is>
      </c>
      <c r="P443" t="inlineStr">
        <is>
          <t>OK</t>
        </is>
      </c>
      <c r="R443" t="inlineStr">
        <is>
          <t>Every current tradeable mod at MAX RANK (WFM catalogue, rivens/locators excluded)</t>
        </is>
      </c>
      <c r="S443" t="inlineStr">
        <is>
          <t>brute_conditioning</t>
        </is>
      </c>
      <c r="T443" t="n">
        <v>7</v>
      </c>
      <c r="U443" t="n">
        <v>7</v>
      </c>
      <c r="V443" t="n">
        <v>72.5</v>
      </c>
      <c r="W443" t="n">
        <v>40</v>
      </c>
      <c r="X443" t="n">
        <v>54.7</v>
      </c>
      <c r="Y443" t="n">
        <v>165</v>
      </c>
      <c r="Z443" t="n">
        <v>4</v>
      </c>
      <c r="AA443" t="n">
        <v>40</v>
      </c>
      <c r="AB443" t="n">
        <v>29</v>
      </c>
      <c r="AN443" t="inlineStr">
        <is>
          <t>Claws</t>
        </is>
      </c>
      <c r="AO443" t="n">
        <v>20460</v>
      </c>
      <c r="AP443" t="n">
        <v>988218</v>
      </c>
      <c r="AQ443" t="n">
        <v>12.5</v>
      </c>
      <c r="AS443" t="inlineStr">
        <is>
          <t>Yes</t>
        </is>
      </c>
    </row>
    <row r="444">
      <c r="A444" t="inlineStr">
        <is>
          <t>Mod</t>
        </is>
      </c>
      <c r="B444" t="inlineStr">
        <is>
          <t>Bullet Dance</t>
        </is>
      </c>
      <c r="E444" t="inlineStr">
        <is>
          <t>Stance</t>
        </is>
      </c>
      <c r="F444" t="n">
        <v>3</v>
      </c>
      <c r="G444" t="n">
        <v>1</v>
      </c>
      <c r="H444" t="inlineStr">
        <is>
          <t>Player trade (max rank)</t>
        </is>
      </c>
      <c r="I444" t="inlineStr">
        <is>
          <t>Yes</t>
        </is>
      </c>
      <c r="K444" t="inlineStr">
        <is>
          <t>Collection</t>
        </is>
      </c>
      <c r="L444" t="n">
        <v>25</v>
      </c>
      <c r="M444" t="n">
        <v>48</v>
      </c>
      <c r="N444" t="n">
        <v>65</v>
      </c>
      <c r="O444" t="inlineStr">
        <is>
          <t>2026-10-05 UTC (WFM pull 02:52-04:00)</t>
        </is>
      </c>
      <c r="P444" t="inlineStr">
        <is>
          <t>OK</t>
        </is>
      </c>
      <c r="R444" t="inlineStr">
        <is>
          <t>Every current tradeable mod at MAX RANK (WFM catalogue, rivens/locators excluded)</t>
        </is>
      </c>
      <c r="S444" t="inlineStr">
        <is>
          <t>bullet_dance</t>
        </is>
      </c>
      <c r="T444" t="n">
        <v>6</v>
      </c>
      <c r="U444" t="n">
        <v>6</v>
      </c>
      <c r="V444" t="n">
        <v>35</v>
      </c>
      <c r="W444" t="n">
        <v>25</v>
      </c>
      <c r="X444" t="n">
        <v>30</v>
      </c>
      <c r="Y444" t="n">
        <v>357</v>
      </c>
      <c r="Z444" t="n">
        <v>2</v>
      </c>
      <c r="AN444" t="inlineStr">
        <is>
          <t>Stance</t>
        </is>
      </c>
      <c r="AO444" t="n">
        <v>210</v>
      </c>
      <c r="AP444" t="n">
        <v>10143</v>
      </c>
      <c r="AQ444" t="n">
        <v>25</v>
      </c>
      <c r="AS444" t="inlineStr">
        <is>
          <t>Yes</t>
        </is>
      </c>
    </row>
    <row r="445">
      <c r="A445" t="inlineStr">
        <is>
          <t>Mod</t>
        </is>
      </c>
      <c r="B445" t="inlineStr">
        <is>
          <t>Burdened Magazine</t>
        </is>
      </c>
      <c r="E445" t="inlineStr">
        <is>
          <t>Shotgun</t>
        </is>
      </c>
      <c r="F445" t="n">
        <v>5</v>
      </c>
      <c r="G445" t="n">
        <v>1</v>
      </c>
      <c r="H445" t="inlineStr">
        <is>
          <t>Player trade (max rank)</t>
        </is>
      </c>
      <c r="I445" t="inlineStr">
        <is>
          <t>Yes</t>
        </is>
      </c>
      <c r="K445" t="inlineStr">
        <is>
          <t>Collection</t>
        </is>
      </c>
      <c r="L445" t="n">
        <v>7</v>
      </c>
      <c r="M445" t="n">
        <v>10</v>
      </c>
      <c r="N445" t="n">
        <v>17</v>
      </c>
      <c r="O445" t="inlineStr">
        <is>
          <t>2026-10-05 UTC (WFM pull 02:52-04:00)</t>
        </is>
      </c>
      <c r="P445" t="inlineStr">
        <is>
          <t>OK</t>
        </is>
      </c>
      <c r="R445" t="inlineStr">
        <is>
          <t>Every current tradeable mod at MAX RANK (WFM catalogue, rivens/locators excluded)</t>
        </is>
      </c>
      <c r="S445" t="inlineStr">
        <is>
          <t>burdened_magazine</t>
        </is>
      </c>
      <c r="T445" t="n">
        <v>7</v>
      </c>
      <c r="U445" t="n">
        <v>7</v>
      </c>
      <c r="V445" t="n">
        <v>10</v>
      </c>
      <c r="W445" t="n">
        <v>9</v>
      </c>
      <c r="X445" t="n">
        <v>8.199999999999999</v>
      </c>
      <c r="Y445" t="n">
        <v>39</v>
      </c>
      <c r="Z445" t="n">
        <v>1</v>
      </c>
      <c r="AN445" t="inlineStr">
        <is>
          <t>Shotgun</t>
        </is>
      </c>
      <c r="AO445" t="n">
        <v>930</v>
      </c>
      <c r="AP445" t="n">
        <v>44919</v>
      </c>
      <c r="AQ445" t="n">
        <v>2</v>
      </c>
      <c r="AS445" t="inlineStr">
        <is>
          <t>Yes</t>
        </is>
      </c>
    </row>
    <row r="446">
      <c r="A446" t="inlineStr">
        <is>
          <t>Mod</t>
        </is>
      </c>
      <c r="B446" t="inlineStr">
        <is>
          <t>Burning Claws</t>
        </is>
      </c>
      <c r="E446" t="inlineStr">
        <is>
          <t>Claws</t>
        </is>
      </c>
      <c r="F446" t="n">
        <v>10</v>
      </c>
      <c r="G446" t="n">
        <v>1</v>
      </c>
      <c r="H446" t="inlineStr">
        <is>
          <t>Player trade (max rank)</t>
        </is>
      </c>
      <c r="I446" t="inlineStr">
        <is>
          <t>Yes</t>
        </is>
      </c>
      <c r="K446" t="inlineStr">
        <is>
          <t>Collection</t>
        </is>
      </c>
      <c r="L446" t="n">
        <v>85</v>
      </c>
      <c r="M446" t="n">
        <v>90</v>
      </c>
      <c r="N446" t="n">
        <v>111</v>
      </c>
      <c r="O446" t="inlineStr">
        <is>
          <t>2026-10-05 UTC (WFM pull 02:52-04:00)</t>
        </is>
      </c>
      <c r="P446" t="inlineStr">
        <is>
          <t>OK</t>
        </is>
      </c>
      <c r="R446" t="inlineStr">
        <is>
          <t>Every current tradeable mod at MAX RANK (WFM catalogue, rivens/locators excluded)</t>
        </is>
      </c>
      <c r="S446" t="inlineStr">
        <is>
          <t>burning_claws</t>
        </is>
      </c>
      <c r="T446" t="n">
        <v>13</v>
      </c>
      <c r="U446" t="n">
        <v>13</v>
      </c>
      <c r="V446" t="n">
        <v>78</v>
      </c>
      <c r="W446" t="n">
        <v>74.5</v>
      </c>
      <c r="X446" t="n">
        <v>73.09999999999999</v>
      </c>
      <c r="Y446" t="n">
        <v>1406</v>
      </c>
      <c r="Z446" t="n">
        <v>33</v>
      </c>
      <c r="AA446" t="n">
        <v>60</v>
      </c>
      <c r="AB446" t="n">
        <v>25</v>
      </c>
      <c r="AN446" t="inlineStr">
        <is>
          <t>Claws</t>
        </is>
      </c>
      <c r="AO446" t="n">
        <v>30690</v>
      </c>
      <c r="AP446" t="n">
        <v>1482327</v>
      </c>
      <c r="AQ446" t="n">
        <v>15</v>
      </c>
      <c r="AS446" t="inlineStr">
        <is>
          <t>Yes</t>
        </is>
      </c>
    </row>
    <row r="447">
      <c r="A447" t="inlineStr">
        <is>
          <t>Mod</t>
        </is>
      </c>
      <c r="B447" t="inlineStr">
        <is>
          <t>Burning Hate</t>
        </is>
      </c>
      <c r="E447" t="inlineStr">
        <is>
          <t>Augment Hate</t>
        </is>
      </c>
      <c r="F447" t="n">
        <v>5</v>
      </c>
      <c r="G447" t="n">
        <v>1</v>
      </c>
      <c r="H447" t="inlineStr">
        <is>
          <t>Player trade (max rank)</t>
        </is>
      </c>
      <c r="I447" t="inlineStr">
        <is>
          <t>Yes</t>
        </is>
      </c>
      <c r="K447" t="inlineStr">
        <is>
          <t>Collection</t>
        </is>
      </c>
      <c r="L447" t="n">
        <v>35</v>
      </c>
      <c r="M447" t="n">
        <v>50</v>
      </c>
      <c r="N447" t="n">
        <v>66</v>
      </c>
      <c r="O447" t="inlineStr">
        <is>
          <t>2026-10-05 UTC (WFM pull 02:52-04:00)</t>
        </is>
      </c>
      <c r="P447" t="inlineStr">
        <is>
          <t>OK</t>
        </is>
      </c>
      <c r="R447" t="inlineStr">
        <is>
          <t>Every current tradeable mod at MAX RANK (WFM catalogue, rivens/locators excluded)</t>
        </is>
      </c>
      <c r="S447" t="inlineStr">
        <is>
          <t>burning_hate</t>
        </is>
      </c>
      <c r="T447" t="n">
        <v>15</v>
      </c>
      <c r="U447" t="n">
        <v>15</v>
      </c>
      <c r="V447" t="n">
        <v>34.5</v>
      </c>
      <c r="W447" t="n">
        <v>30</v>
      </c>
      <c r="X447" t="n">
        <v>29</v>
      </c>
      <c r="Y447" t="n">
        <v>738</v>
      </c>
      <c r="Z447" t="n">
        <v>9</v>
      </c>
      <c r="AN447" t="inlineStr">
        <is>
          <t>Augment Hate</t>
        </is>
      </c>
      <c r="AO447" t="n">
        <v>930</v>
      </c>
      <c r="AP447" t="n">
        <v>44919</v>
      </c>
      <c r="AQ447" t="n">
        <v>28</v>
      </c>
      <c r="AS447" t="inlineStr">
        <is>
          <t>Yes</t>
        </is>
      </c>
    </row>
    <row r="448">
      <c r="A448" t="inlineStr">
        <is>
          <t>Mod</t>
        </is>
      </c>
      <c r="B448" t="inlineStr">
        <is>
          <t>Burning Wasp</t>
        </is>
      </c>
      <c r="E448" t="inlineStr">
        <is>
          <t>Stance</t>
        </is>
      </c>
      <c r="F448" t="n">
        <v>3</v>
      </c>
      <c r="G448" t="n">
        <v>1</v>
      </c>
      <c r="H448" t="inlineStr">
        <is>
          <t>Player trade (max rank)</t>
        </is>
      </c>
      <c r="I448" t="inlineStr">
        <is>
          <t>Yes</t>
        </is>
      </c>
      <c r="K448" t="inlineStr">
        <is>
          <t>Collection</t>
        </is>
      </c>
      <c r="L448" t="n">
        <v>5</v>
      </c>
      <c r="M448" t="n">
        <v>5</v>
      </c>
      <c r="N448" t="n">
        <v>11</v>
      </c>
      <c r="O448" t="inlineStr">
        <is>
          <t>2026-10-05 UTC (WFM pull 02:52-04:00)</t>
        </is>
      </c>
      <c r="P448" t="inlineStr">
        <is>
          <t>OK</t>
        </is>
      </c>
      <c r="R448" t="inlineStr">
        <is>
          <t>Every current tradeable mod at MAX RANK (WFM catalogue, rivens/locators excluded)</t>
        </is>
      </c>
      <c r="S448" t="inlineStr">
        <is>
          <t>burning_wasp</t>
        </is>
      </c>
      <c r="T448" t="n">
        <v>5</v>
      </c>
      <c r="U448" t="n">
        <v>5</v>
      </c>
      <c r="V448" t="n">
        <v>2</v>
      </c>
      <c r="W448" t="n">
        <v>6</v>
      </c>
      <c r="X448" t="n">
        <v>4.9</v>
      </c>
      <c r="Y448" t="n">
        <v>16</v>
      </c>
      <c r="Z448" t="n">
        <v>0</v>
      </c>
      <c r="AN448" t="inlineStr">
        <is>
          <t>Stance</t>
        </is>
      </c>
      <c r="AO448" t="n">
        <v>140</v>
      </c>
      <c r="AP448" t="n">
        <v>6762</v>
      </c>
      <c r="AQ448" t="n">
        <v>2</v>
      </c>
      <c r="AS448" t="inlineStr">
        <is>
          <t>Yes</t>
        </is>
      </c>
    </row>
    <row r="449">
      <c r="A449" t="inlineStr">
        <is>
          <t>Mod</t>
        </is>
      </c>
      <c r="B449" t="inlineStr">
        <is>
          <t>Bursting Mass</t>
        </is>
      </c>
      <c r="E449" t="inlineStr">
        <is>
          <t>Augment Mutalist Quanta</t>
        </is>
      </c>
      <c r="F449" t="n">
        <v>5</v>
      </c>
      <c r="G449" t="n">
        <v>1</v>
      </c>
      <c r="H449" t="inlineStr">
        <is>
          <t>Player trade (max rank)</t>
        </is>
      </c>
      <c r="I449" t="inlineStr">
        <is>
          <t>Yes</t>
        </is>
      </c>
      <c r="K449" t="inlineStr">
        <is>
          <t>Collection</t>
        </is>
      </c>
      <c r="L449" t="n">
        <v>15</v>
      </c>
      <c r="M449" t="n">
        <v>15</v>
      </c>
      <c r="N449" t="n">
        <v>33</v>
      </c>
      <c r="O449" t="inlineStr">
        <is>
          <t>2026-10-05 UTC (WFM pull 02:52-04:00)</t>
        </is>
      </c>
      <c r="P449" t="inlineStr">
        <is>
          <t>OK</t>
        </is>
      </c>
      <c r="R449" t="inlineStr">
        <is>
          <t>Every current tradeable mod at MAX RANK (WFM catalogue, rivens/locators excluded)</t>
        </is>
      </c>
      <c r="S449" t="inlineStr">
        <is>
          <t>bursting_mass</t>
        </is>
      </c>
      <c r="T449" t="n">
        <v>5</v>
      </c>
      <c r="U449" t="n">
        <v>5</v>
      </c>
      <c r="V449" t="n">
        <v>10</v>
      </c>
      <c r="W449" t="n">
        <v>15</v>
      </c>
      <c r="X449" t="n">
        <v>17.1</v>
      </c>
      <c r="Y449" t="n">
        <v>9</v>
      </c>
      <c r="Z449" t="n">
        <v>0</v>
      </c>
      <c r="AN449" t="inlineStr">
        <is>
          <t>Augment Mutalist Quanta</t>
        </is>
      </c>
      <c r="AO449" t="n">
        <v>930</v>
      </c>
      <c r="AP449" t="n">
        <v>44919</v>
      </c>
      <c r="AQ449" t="n">
        <v>15</v>
      </c>
      <c r="AS449" t="inlineStr">
        <is>
          <t>Yes</t>
        </is>
      </c>
    </row>
    <row r="450">
      <c r="A450" t="inlineStr">
        <is>
          <t>Mod</t>
        </is>
      </c>
      <c r="B450" t="inlineStr">
        <is>
          <t>Butcher's Revelry</t>
        </is>
      </c>
      <c r="E450" t="inlineStr">
        <is>
          <t>Stance</t>
        </is>
      </c>
      <c r="F450" t="n">
        <v>3</v>
      </c>
      <c r="G450" t="n">
        <v>1</v>
      </c>
      <c r="H450" t="inlineStr">
        <is>
          <t>Player trade (max rank)</t>
        </is>
      </c>
      <c r="I450" t="inlineStr">
        <is>
          <t>Yes</t>
        </is>
      </c>
      <c r="K450" t="inlineStr">
        <is>
          <t>Collection</t>
        </is>
      </c>
      <c r="L450" t="n">
        <v>12</v>
      </c>
      <c r="M450" t="n">
        <v>15</v>
      </c>
      <c r="N450" t="n">
        <v>17</v>
      </c>
      <c r="O450" t="inlineStr">
        <is>
          <t>2026-10-05 UTC (WFM pull 02:52-04:00)</t>
        </is>
      </c>
      <c r="P450" t="inlineStr">
        <is>
          <t>OK</t>
        </is>
      </c>
      <c r="R450" t="inlineStr">
        <is>
          <t>Every current tradeable mod at MAX RANK (WFM catalogue, rivens/locators excluded)</t>
        </is>
      </c>
      <c r="S450" t="inlineStr">
        <is>
          <t>butchers_revelry</t>
        </is>
      </c>
      <c r="T450" t="n">
        <v>92</v>
      </c>
      <c r="U450" t="n">
        <v>2</v>
      </c>
      <c r="V450" t="n">
        <v>15</v>
      </c>
      <c r="W450" t="n">
        <v>15</v>
      </c>
      <c r="X450" t="n">
        <v>15.9</v>
      </c>
      <c r="Y450" t="n">
        <v>84</v>
      </c>
      <c r="Z450" t="n">
        <v>2</v>
      </c>
      <c r="AN450" t="inlineStr">
        <is>
          <t>Stance</t>
        </is>
      </c>
      <c r="AO450" t="n">
        <v>210</v>
      </c>
      <c r="AP450" t="n">
        <v>10143</v>
      </c>
      <c r="AQ450" t="n">
        <v>17</v>
      </c>
      <c r="AS450" t="inlineStr">
        <is>
          <t>Yes</t>
        </is>
      </c>
    </row>
    <row r="451">
      <c r="A451" t="inlineStr">
        <is>
          <t>Mod</t>
        </is>
      </c>
      <c r="B451" t="inlineStr">
        <is>
          <t>Buzz Kill</t>
        </is>
      </c>
      <c r="E451" t="inlineStr">
        <is>
          <t>Melee</t>
        </is>
      </c>
      <c r="F451" t="n">
        <v>5</v>
      </c>
      <c r="G451" t="n">
        <v>1</v>
      </c>
      <c r="H451" t="inlineStr">
        <is>
          <t>Player trade (max rank)</t>
        </is>
      </c>
      <c r="I451" t="inlineStr">
        <is>
          <t>Yes</t>
        </is>
      </c>
      <c r="K451" t="inlineStr">
        <is>
          <t>Collection</t>
        </is>
      </c>
      <c r="L451" t="n">
        <v>24</v>
      </c>
      <c r="M451" t="n">
        <v>30</v>
      </c>
      <c r="N451" t="n">
        <v>66</v>
      </c>
      <c r="O451" t="inlineStr">
        <is>
          <t>2026-10-05 UTC (WFM pull 02:52-04:00)</t>
        </is>
      </c>
      <c r="P451" t="inlineStr">
        <is>
          <t>OK</t>
        </is>
      </c>
      <c r="R451" t="inlineStr">
        <is>
          <t>Every current tradeable mod at MAX RANK (WFM catalogue, rivens/locators excluded)</t>
        </is>
      </c>
      <c r="S451" t="inlineStr">
        <is>
          <t>buzz_kill</t>
        </is>
      </c>
      <c r="T451" t="n">
        <v>7</v>
      </c>
      <c r="U451" t="n">
        <v>7</v>
      </c>
      <c r="V451" t="n">
        <v>20</v>
      </c>
      <c r="W451" t="n">
        <v>20</v>
      </c>
      <c r="X451" t="n">
        <v>20.4</v>
      </c>
      <c r="Y451" t="n">
        <v>323</v>
      </c>
      <c r="Z451" t="n">
        <v>4</v>
      </c>
      <c r="AN451" t="inlineStr">
        <is>
          <t>Melee</t>
        </is>
      </c>
      <c r="AO451" t="n">
        <v>930</v>
      </c>
      <c r="AP451" t="n">
        <v>44919</v>
      </c>
      <c r="AQ451" t="n">
        <v>15</v>
      </c>
      <c r="AS451" t="inlineStr">
        <is>
          <t>Yes</t>
        </is>
      </c>
    </row>
    <row r="452">
      <c r="A452" t="inlineStr">
        <is>
          <t>Mod</t>
        </is>
      </c>
      <c r="B452" t="inlineStr">
        <is>
          <t>ByteRyte</t>
        </is>
      </c>
      <c r="E452" t="inlineStr">
        <is>
          <t>Parazon</t>
        </is>
      </c>
      <c r="F452" t="n">
        <v>3</v>
      </c>
      <c r="G452" t="n">
        <v>1</v>
      </c>
      <c r="H452" t="inlineStr">
        <is>
          <t>Player trade (max rank)</t>
        </is>
      </c>
      <c r="I452" t="inlineStr">
        <is>
          <t>Yes</t>
        </is>
      </c>
      <c r="K452" t="inlineStr">
        <is>
          <t>Collection</t>
        </is>
      </c>
      <c r="L452" t="n">
        <v>4</v>
      </c>
      <c r="M452" t="n">
        <v>5</v>
      </c>
      <c r="N452" t="n">
        <v>6</v>
      </c>
      <c r="O452" t="inlineStr">
        <is>
          <t>2026-10-05 UTC (WFM pull 02:52-04:00)</t>
        </is>
      </c>
      <c r="P452" t="inlineStr">
        <is>
          <t>OK</t>
        </is>
      </c>
      <c r="R452" t="inlineStr">
        <is>
          <t>Every current tradeable mod at MAX RANK (WFM catalogue, rivens/locators excluded)</t>
        </is>
      </c>
      <c r="S452" t="inlineStr">
        <is>
          <t>byteryte</t>
        </is>
      </c>
      <c r="T452" t="n">
        <v>7</v>
      </c>
      <c r="U452" t="n">
        <v>7</v>
      </c>
      <c r="V452" t="n">
        <v>5</v>
      </c>
      <c r="W452" t="n">
        <v>5</v>
      </c>
      <c r="X452" t="n">
        <v>5</v>
      </c>
      <c r="Y452" t="n">
        <v>1183</v>
      </c>
      <c r="Z452" t="n">
        <v>26</v>
      </c>
      <c r="AN452" t="inlineStr">
        <is>
          <t>Parazon</t>
        </is>
      </c>
      <c r="AO452" t="n">
        <v>210</v>
      </c>
      <c r="AP452" t="n">
        <v>10143</v>
      </c>
      <c r="AQ452" t="n">
        <v>5</v>
      </c>
      <c r="AS452" t="inlineStr">
        <is>
          <t>Yes</t>
        </is>
      </c>
    </row>
    <row r="453">
      <c r="A453" t="inlineStr">
        <is>
          <t>Mod</t>
        </is>
      </c>
      <c r="B453" t="inlineStr">
        <is>
          <t>Calculated Redirection</t>
        </is>
      </c>
      <c r="E453" t="inlineStr">
        <is>
          <t>Companion</t>
        </is>
      </c>
      <c r="F453" t="n">
        <v>10</v>
      </c>
      <c r="G453" t="n">
        <v>1</v>
      </c>
      <c r="H453" t="inlineStr">
        <is>
          <t>Player trade (max rank)</t>
        </is>
      </c>
      <c r="I453" t="inlineStr">
        <is>
          <t>Yes</t>
        </is>
      </c>
      <c r="K453" t="inlineStr">
        <is>
          <t>Collection</t>
        </is>
      </c>
      <c r="L453" t="n">
        <v>28</v>
      </c>
      <c r="M453" t="n">
        <v>35</v>
      </c>
      <c r="N453" t="n">
        <v>44</v>
      </c>
      <c r="O453" t="inlineStr">
        <is>
          <t>2026-10-05 UTC (WFM pull 02:52-04:00)</t>
        </is>
      </c>
      <c r="P453" t="inlineStr">
        <is>
          <t>OK</t>
        </is>
      </c>
      <c r="R453" t="inlineStr">
        <is>
          <t>Every current tradeable mod at MAX RANK (WFM catalogue, rivens/locators excluded)</t>
        </is>
      </c>
      <c r="S453" t="inlineStr">
        <is>
          <t>calculated_redirection</t>
        </is>
      </c>
      <c r="T453" t="n">
        <v>7</v>
      </c>
      <c r="U453" t="n">
        <v>7</v>
      </c>
      <c r="V453" t="n">
        <v>34.5</v>
      </c>
      <c r="W453" t="n">
        <v>34.5</v>
      </c>
      <c r="X453" t="n">
        <v>33.6</v>
      </c>
      <c r="Y453" t="n">
        <v>189</v>
      </c>
      <c r="Z453" t="n">
        <v>5</v>
      </c>
      <c r="AA453" t="n">
        <v>20</v>
      </c>
      <c r="AB453" t="n">
        <v>8</v>
      </c>
      <c r="AN453" t="inlineStr">
        <is>
          <t>Companion</t>
        </is>
      </c>
      <c r="AO453" t="n">
        <v>10230</v>
      </c>
      <c r="AP453" t="n">
        <v>494109</v>
      </c>
      <c r="AQ453" t="n">
        <v>3</v>
      </c>
      <c r="AS453" t="inlineStr">
        <is>
          <t>Yes</t>
        </is>
      </c>
    </row>
    <row r="454">
      <c r="A454" t="inlineStr">
        <is>
          <t>Mod</t>
        </is>
      </c>
      <c r="B454" t="inlineStr">
        <is>
          <t>Calculated Shot</t>
        </is>
      </c>
      <c r="E454" t="inlineStr">
        <is>
          <t>Diriga</t>
        </is>
      </c>
      <c r="F454" t="n">
        <v>5</v>
      </c>
      <c r="G454" t="n">
        <v>1</v>
      </c>
      <c r="H454" t="inlineStr">
        <is>
          <t>Player trade (max rank)</t>
        </is>
      </c>
      <c r="I454" t="inlineStr">
        <is>
          <t>Yes</t>
        </is>
      </c>
      <c r="K454" t="inlineStr">
        <is>
          <t>Collection</t>
        </is>
      </c>
      <c r="L454" t="n">
        <v>10</v>
      </c>
      <c r="M454" t="n">
        <v>23</v>
      </c>
      <c r="N454" t="n">
        <v>33</v>
      </c>
      <c r="O454" t="inlineStr">
        <is>
          <t>2026-10-05 UTC (WFM pull 02:52-04:00)</t>
        </is>
      </c>
      <c r="P454" t="inlineStr">
        <is>
          <t>OK</t>
        </is>
      </c>
      <c r="R454" t="inlineStr">
        <is>
          <t>Every current tradeable mod at MAX RANK (WFM catalogue, rivens/locators excluded)</t>
        </is>
      </c>
      <c r="S454" t="inlineStr">
        <is>
          <t>calculated_shot</t>
        </is>
      </c>
      <c r="T454" t="n">
        <v>23</v>
      </c>
      <c r="U454" t="n">
        <v>1</v>
      </c>
      <c r="Y454" t="n">
        <v>0</v>
      </c>
      <c r="Z454" t="n">
        <v>0</v>
      </c>
      <c r="AN454" t="inlineStr">
        <is>
          <t>Diriga</t>
        </is>
      </c>
      <c r="AO454" t="n">
        <v>310</v>
      </c>
      <c r="AP454" t="n">
        <v>14973</v>
      </c>
      <c r="AQ454" t="n">
        <v>15</v>
      </c>
      <c r="AS454" t="inlineStr">
        <is>
          <t>Yes</t>
        </is>
      </c>
    </row>
    <row r="455">
      <c r="A455" t="inlineStr">
        <is>
          <t>Mod</t>
        </is>
      </c>
      <c r="B455" t="inlineStr">
        <is>
          <t>Calculated Spring</t>
        </is>
      </c>
      <c r="E455" t="inlineStr">
        <is>
          <t>Conclave (PvP)</t>
        </is>
      </c>
      <c r="F455" t="n">
        <v>3</v>
      </c>
      <c r="G455" t="n">
        <v>1</v>
      </c>
      <c r="H455" t="inlineStr">
        <is>
          <t>Player trade (max rank)</t>
        </is>
      </c>
      <c r="I455" t="inlineStr">
        <is>
          <t>Yes</t>
        </is>
      </c>
      <c r="K455" t="inlineStr">
        <is>
          <t>Collection (PvP)</t>
        </is>
      </c>
      <c r="L455" t="n">
        <v>70</v>
      </c>
      <c r="M455" t="n">
        <v>70</v>
      </c>
      <c r="N455" t="n">
        <v>154</v>
      </c>
      <c r="O455" t="inlineStr">
        <is>
          <t>2026-10-05 UTC (WFM pull 02:52-04:00)</t>
        </is>
      </c>
      <c r="P455" t="inlineStr">
        <is>
          <t>OK</t>
        </is>
      </c>
      <c r="R455" t="inlineStr">
        <is>
          <t>Every current tradeable mod at MAX RANK (WFM catalogue, rivens/locators excluded)</t>
        </is>
      </c>
      <c r="S455" t="inlineStr">
        <is>
          <t>calculated_spring</t>
        </is>
      </c>
      <c r="T455" t="n">
        <v>6</v>
      </c>
      <c r="U455" t="n">
        <v>0</v>
      </c>
      <c r="W455" t="n">
        <v>10</v>
      </c>
      <c r="X455" t="n">
        <v>10</v>
      </c>
      <c r="Y455" t="n">
        <v>1</v>
      </c>
      <c r="Z455" t="n">
        <v>0</v>
      </c>
      <c r="AN455" t="inlineStr">
        <is>
          <t>Conclave (PvP)</t>
        </is>
      </c>
      <c r="AO455" t="n">
        <v>140</v>
      </c>
      <c r="AP455" t="n">
        <v>6762</v>
      </c>
      <c r="AQ455" t="n">
        <v>30</v>
      </c>
      <c r="AS455" t="inlineStr">
        <is>
          <t>PvP subtotal</t>
        </is>
      </c>
    </row>
    <row r="456">
      <c r="A456" t="inlineStr">
        <is>
          <t>Mod</t>
        </is>
      </c>
      <c r="B456" t="inlineStr">
        <is>
          <t>Calculated Victory</t>
        </is>
      </c>
      <c r="E456" t="inlineStr">
        <is>
          <t>Conclave (PvP)</t>
        </is>
      </c>
      <c r="F456" t="n">
        <v>3</v>
      </c>
      <c r="G456" t="n">
        <v>1</v>
      </c>
      <c r="H456" t="inlineStr">
        <is>
          <t>Player trade (max rank)</t>
        </is>
      </c>
      <c r="I456" t="inlineStr">
        <is>
          <t>Yes</t>
        </is>
      </c>
      <c r="K456" t="inlineStr">
        <is>
          <t>Collection (PvP)</t>
        </is>
      </c>
      <c r="L456" t="n">
        <v>50</v>
      </c>
      <c r="M456" t="n">
        <v>75</v>
      </c>
      <c r="N456" t="n">
        <v>165</v>
      </c>
      <c r="O456" t="inlineStr">
        <is>
          <t>2026-10-05 UTC (WFM pull 02:52-04:00)</t>
        </is>
      </c>
      <c r="P456" t="inlineStr">
        <is>
          <t>THIN</t>
        </is>
      </c>
      <c r="R456" t="inlineStr">
        <is>
          <t>Every current tradeable mod at MAX RANK (WFM catalogue, rivens/locators excluded)</t>
        </is>
      </c>
      <c r="S456" t="inlineStr">
        <is>
          <t>calculated_victory</t>
        </is>
      </c>
      <c r="T456" t="n">
        <v>2</v>
      </c>
      <c r="U456" t="n">
        <v>0</v>
      </c>
      <c r="V456" t="n">
        <v>50</v>
      </c>
      <c r="W456" t="n">
        <v>50</v>
      </c>
      <c r="X456" t="n">
        <v>50</v>
      </c>
      <c r="Y456" t="n">
        <v>1</v>
      </c>
      <c r="Z456" t="n">
        <v>0</v>
      </c>
      <c r="AN456" t="inlineStr">
        <is>
          <t>Conclave (PvP)</t>
        </is>
      </c>
      <c r="AO456" t="n">
        <v>210</v>
      </c>
      <c r="AP456" t="n">
        <v>10143</v>
      </c>
      <c r="AQ456" t="n">
        <v>90</v>
      </c>
      <c r="AS456" t="inlineStr">
        <is>
          <t>PvP subtotal</t>
        </is>
      </c>
    </row>
    <row r="457">
      <c r="A457" t="inlineStr">
        <is>
          <t>Mod</t>
        </is>
      </c>
      <c r="B457" t="inlineStr">
        <is>
          <t>Calm &amp; Frenzy</t>
        </is>
      </c>
      <c r="E457" t="inlineStr">
        <is>
          <t>Augment Equinox</t>
        </is>
      </c>
      <c r="F457" t="n">
        <v>3</v>
      </c>
      <c r="G457" t="n">
        <v>1</v>
      </c>
      <c r="H457" t="inlineStr">
        <is>
          <t>Player trade (max rank)</t>
        </is>
      </c>
      <c r="I457" t="inlineStr">
        <is>
          <t>Yes</t>
        </is>
      </c>
      <c r="K457" t="inlineStr">
        <is>
          <t>Collection</t>
        </is>
      </c>
      <c r="L457" t="n">
        <v>12</v>
      </c>
      <c r="M457" t="n">
        <v>16.5</v>
      </c>
      <c r="N457" t="n">
        <v>37</v>
      </c>
      <c r="O457" t="inlineStr">
        <is>
          <t>2026-10-05 UTC (WFM pull 02:52-04:00)</t>
        </is>
      </c>
      <c r="P457" t="inlineStr">
        <is>
          <t>OK</t>
        </is>
      </c>
      <c r="R457" t="inlineStr">
        <is>
          <t>Every current tradeable mod at MAX RANK (WFM catalogue, rivens/locators excluded)</t>
        </is>
      </c>
      <c r="S457" t="inlineStr">
        <is>
          <t>calm_and_frenzy</t>
        </is>
      </c>
      <c r="T457" t="n">
        <v>6</v>
      </c>
      <c r="U457" t="n">
        <v>6</v>
      </c>
      <c r="V457" t="n">
        <v>11</v>
      </c>
      <c r="W457" t="n">
        <v>12</v>
      </c>
      <c r="X457" t="n">
        <v>11.9</v>
      </c>
      <c r="Y457" t="n">
        <v>44</v>
      </c>
      <c r="Z457" t="n">
        <v>1</v>
      </c>
      <c r="AN457" t="inlineStr">
        <is>
          <t>Augment Equinox</t>
        </is>
      </c>
      <c r="AO457" t="n">
        <v>210</v>
      </c>
      <c r="AP457" t="n">
        <v>10143</v>
      </c>
      <c r="AQ457" t="n">
        <v>18</v>
      </c>
      <c r="AS457" t="inlineStr">
        <is>
          <t>Yes</t>
        </is>
      </c>
    </row>
    <row r="458">
      <c r="A458" t="inlineStr">
        <is>
          <t>Mod</t>
        </is>
      </c>
      <c r="B458" t="inlineStr">
        <is>
          <t>Capacitance</t>
        </is>
      </c>
      <c r="E458" t="inlineStr">
        <is>
          <t>Augment Volt</t>
        </is>
      </c>
      <c r="F458" t="n">
        <v>3</v>
      </c>
      <c r="G458" t="n">
        <v>1</v>
      </c>
      <c r="H458" t="inlineStr">
        <is>
          <t>Player trade (max rank)</t>
        </is>
      </c>
      <c r="I458" t="inlineStr">
        <is>
          <t>Yes</t>
        </is>
      </c>
      <c r="K458" t="inlineStr">
        <is>
          <t>Collection</t>
        </is>
      </c>
      <c r="L458" t="n">
        <v>20</v>
      </c>
      <c r="M458" t="n">
        <v>21.8</v>
      </c>
      <c r="N458" t="n">
        <v>48</v>
      </c>
      <c r="O458" t="inlineStr">
        <is>
          <t>2026-10-05 UTC (WFM pull 02:52-04:00)</t>
        </is>
      </c>
      <c r="P458" t="inlineStr">
        <is>
          <t>OK</t>
        </is>
      </c>
      <c r="R458" t="inlineStr">
        <is>
          <t>Every current tradeable mod at MAX RANK (WFM catalogue, rivens/locators excluded)</t>
        </is>
      </c>
      <c r="S458" t="inlineStr">
        <is>
          <t>capacitance</t>
        </is>
      </c>
      <c r="T458" t="n">
        <v>3</v>
      </c>
      <c r="U458" t="n">
        <v>3</v>
      </c>
      <c r="V458" t="n">
        <v>14.5</v>
      </c>
      <c r="W458" t="n">
        <v>12.5</v>
      </c>
      <c r="X458" t="n">
        <v>12.9</v>
      </c>
      <c r="Y458" t="n">
        <v>376</v>
      </c>
      <c r="Z458" t="n">
        <v>3</v>
      </c>
      <c r="AN458" t="inlineStr">
        <is>
          <t>Augment Volt</t>
        </is>
      </c>
      <c r="AO458" t="n">
        <v>210</v>
      </c>
      <c r="AP458" t="n">
        <v>10143</v>
      </c>
      <c r="AQ458" t="n">
        <v>14</v>
      </c>
      <c r="AS458" t="inlineStr">
        <is>
          <t>Yes</t>
        </is>
      </c>
    </row>
    <row r="459">
      <c r="A459" t="inlineStr">
        <is>
          <t>Mod</t>
        </is>
      </c>
      <c r="B459" t="inlineStr">
        <is>
          <t>Carnis Carapace</t>
        </is>
      </c>
      <c r="E459" t="inlineStr">
        <is>
          <t>Warframe</t>
        </is>
      </c>
      <c r="F459" t="n">
        <v>5</v>
      </c>
      <c r="G459" t="n">
        <v>1</v>
      </c>
      <c r="H459" t="inlineStr">
        <is>
          <t>Player trade (max rank)</t>
        </is>
      </c>
      <c r="I459" t="inlineStr">
        <is>
          <t>Yes</t>
        </is>
      </c>
      <c r="K459" t="inlineStr">
        <is>
          <t>Collection</t>
        </is>
      </c>
      <c r="L459" t="n">
        <v>8</v>
      </c>
      <c r="M459" t="n">
        <v>10</v>
      </c>
      <c r="N459" t="n">
        <v>22</v>
      </c>
      <c r="O459" t="inlineStr">
        <is>
          <t>2026-10-05 UTC (WFM pull 02:52-04:00)</t>
        </is>
      </c>
      <c r="P459" t="inlineStr">
        <is>
          <t>OK</t>
        </is>
      </c>
      <c r="R459" t="inlineStr">
        <is>
          <t>Every current tradeable mod at MAX RANK (WFM catalogue, rivens/locators excluded)</t>
        </is>
      </c>
      <c r="S459" t="inlineStr">
        <is>
          <t>carnis_carapace</t>
        </is>
      </c>
      <c r="T459" t="n">
        <v>5</v>
      </c>
      <c r="U459" t="n">
        <v>5</v>
      </c>
      <c r="V459" t="n">
        <v>8.5</v>
      </c>
      <c r="W459" t="n">
        <v>9</v>
      </c>
      <c r="X459" t="n">
        <v>8.699999999999999</v>
      </c>
      <c r="Y459" t="n">
        <v>59</v>
      </c>
      <c r="Z459" t="n">
        <v>1</v>
      </c>
      <c r="AN459" t="inlineStr">
        <is>
          <t>Warframe</t>
        </is>
      </c>
      <c r="AO459" t="n">
        <v>620</v>
      </c>
      <c r="AP459" t="n">
        <v>29946</v>
      </c>
      <c r="AQ459" t="n">
        <v>3.8</v>
      </c>
      <c r="AS459" t="inlineStr">
        <is>
          <t>Yes</t>
        </is>
      </c>
    </row>
    <row r="460">
      <c r="A460" t="inlineStr">
        <is>
          <t>Mod</t>
        </is>
      </c>
      <c r="B460" t="inlineStr">
        <is>
          <t>Carnis Mandible</t>
        </is>
      </c>
      <c r="E460" t="inlineStr">
        <is>
          <t>Melee</t>
        </is>
      </c>
      <c r="F460" t="n">
        <v>5</v>
      </c>
      <c r="G460" t="n">
        <v>1</v>
      </c>
      <c r="H460" t="inlineStr">
        <is>
          <t>Player trade (max rank)</t>
        </is>
      </c>
      <c r="I460" t="inlineStr">
        <is>
          <t>Yes</t>
        </is>
      </c>
      <c r="K460" t="inlineStr">
        <is>
          <t>Collection</t>
        </is>
      </c>
      <c r="L460" t="n">
        <v>14</v>
      </c>
      <c r="M460" t="n">
        <v>14</v>
      </c>
      <c r="N460" t="n">
        <v>31</v>
      </c>
      <c r="O460" t="inlineStr">
        <is>
          <t>2026-10-05 UTC (WFM pull 02:52-04:00)</t>
        </is>
      </c>
      <c r="P460" t="inlineStr">
        <is>
          <t>OK</t>
        </is>
      </c>
      <c r="R460" t="inlineStr">
        <is>
          <t>Every current tradeable mod at MAX RANK (WFM catalogue, rivens/locators excluded)</t>
        </is>
      </c>
      <c r="S460" t="inlineStr">
        <is>
          <t>carnis_mandible</t>
        </is>
      </c>
      <c r="T460" t="n">
        <v>3</v>
      </c>
      <c r="U460" t="n">
        <v>3</v>
      </c>
      <c r="V460" t="n">
        <v>7</v>
      </c>
      <c r="W460" t="n">
        <v>7</v>
      </c>
      <c r="X460" t="n">
        <v>7.1</v>
      </c>
      <c r="Y460" t="n">
        <v>60</v>
      </c>
      <c r="Z460" t="n">
        <v>4</v>
      </c>
      <c r="AN460" t="inlineStr">
        <is>
          <t>Melee</t>
        </is>
      </c>
      <c r="AO460" t="n">
        <v>310</v>
      </c>
      <c r="AP460" t="n">
        <v>14973</v>
      </c>
      <c r="AQ460" t="n">
        <v>2</v>
      </c>
      <c r="AS460" t="inlineStr">
        <is>
          <t>Yes</t>
        </is>
      </c>
    </row>
    <row r="461">
      <c r="A461" t="inlineStr">
        <is>
          <t>Mod</t>
        </is>
      </c>
      <c r="B461" t="inlineStr">
        <is>
          <t>Carnis Stinger</t>
        </is>
      </c>
      <c r="E461" t="inlineStr">
        <is>
          <t>Pistol</t>
        </is>
      </c>
      <c r="F461" t="n">
        <v>5</v>
      </c>
      <c r="G461" t="n">
        <v>1</v>
      </c>
      <c r="H461" t="inlineStr">
        <is>
          <t>Player trade (max rank)</t>
        </is>
      </c>
      <c r="I461" t="inlineStr">
        <is>
          <t>Yes</t>
        </is>
      </c>
      <c r="K461" t="inlineStr">
        <is>
          <t>Collection</t>
        </is>
      </c>
      <c r="L461" t="n">
        <v>20</v>
      </c>
      <c r="M461" t="n">
        <v>22.5</v>
      </c>
      <c r="N461" t="n">
        <v>50</v>
      </c>
      <c r="O461" t="inlineStr">
        <is>
          <t>2026-10-05 UTC (WFM pull 02:52-04:00)</t>
        </is>
      </c>
      <c r="P461" t="inlineStr">
        <is>
          <t>OK</t>
        </is>
      </c>
      <c r="R461" t="inlineStr">
        <is>
          <t>Every current tradeable mod at MAX RANK (WFM catalogue, rivens/locators excluded)</t>
        </is>
      </c>
      <c r="S461" t="inlineStr">
        <is>
          <t>carnis_stinger</t>
        </is>
      </c>
      <c r="T461" t="n">
        <v>5</v>
      </c>
      <c r="U461" t="n">
        <v>5</v>
      </c>
      <c r="V461" t="n">
        <v>15</v>
      </c>
      <c r="W461" t="n">
        <v>15</v>
      </c>
      <c r="X461" t="n">
        <v>16.4</v>
      </c>
      <c r="Y461" t="n">
        <v>210</v>
      </c>
      <c r="Z461" t="n">
        <v>5</v>
      </c>
      <c r="AN461" t="inlineStr">
        <is>
          <t>Pistol</t>
        </is>
      </c>
      <c r="AO461" t="n">
        <v>930</v>
      </c>
      <c r="AP461" t="n">
        <v>44919</v>
      </c>
      <c r="AQ461" t="n">
        <v>10</v>
      </c>
      <c r="AS461" t="inlineStr">
        <is>
          <t>Yes</t>
        </is>
      </c>
    </row>
    <row r="462">
      <c r="A462" t="inlineStr">
        <is>
          <t>Mod</t>
        </is>
      </c>
      <c r="B462" t="inlineStr">
        <is>
          <t>Carving Mantis</t>
        </is>
      </c>
      <c r="E462" t="inlineStr">
        <is>
          <t>Stance</t>
        </is>
      </c>
      <c r="F462" t="n">
        <v>3</v>
      </c>
      <c r="G462" t="n">
        <v>1</v>
      </c>
      <c r="H462" t="inlineStr">
        <is>
          <t>Player trade (max rank)</t>
        </is>
      </c>
      <c r="I462" t="inlineStr">
        <is>
          <t>Yes</t>
        </is>
      </c>
      <c r="K462" t="inlineStr">
        <is>
          <t>Collection</t>
        </is>
      </c>
      <c r="L462" t="n">
        <v>5</v>
      </c>
      <c r="M462" t="n">
        <v>9</v>
      </c>
      <c r="N462" t="n">
        <v>11</v>
      </c>
      <c r="O462" t="inlineStr">
        <is>
          <t>2026-10-05 UTC (WFM pull 02:52-04:00)</t>
        </is>
      </c>
      <c r="P462" t="inlineStr">
        <is>
          <t>OK</t>
        </is>
      </c>
      <c r="R462" t="inlineStr">
        <is>
          <t>Every current tradeable mod at MAX RANK (WFM catalogue, rivens/locators excluded)</t>
        </is>
      </c>
      <c r="S462" t="inlineStr">
        <is>
          <t>carving_mantis</t>
        </is>
      </c>
      <c r="T462" t="n">
        <v>85</v>
      </c>
      <c r="U462" t="n">
        <v>1</v>
      </c>
      <c r="V462" t="n">
        <v>10</v>
      </c>
      <c r="W462" t="n">
        <v>9.5</v>
      </c>
      <c r="X462" t="n">
        <v>9.800000000000001</v>
      </c>
      <c r="Y462" t="n">
        <v>36</v>
      </c>
      <c r="Z462" t="n">
        <v>0</v>
      </c>
      <c r="AN462" t="inlineStr">
        <is>
          <t>Stance</t>
        </is>
      </c>
      <c r="AO462" t="n">
        <v>210</v>
      </c>
      <c r="AP462" t="n">
        <v>10143</v>
      </c>
      <c r="AQ462" t="n">
        <v>5</v>
      </c>
      <c r="AS462" t="inlineStr">
        <is>
          <t>Yes</t>
        </is>
      </c>
    </row>
    <row r="463">
      <c r="A463" t="inlineStr">
        <is>
          <t>Mod</t>
        </is>
      </c>
      <c r="B463" t="inlineStr">
        <is>
          <t>Cataclysmic Continuum</t>
        </is>
      </c>
      <c r="E463" t="inlineStr">
        <is>
          <t>Augment Limbo</t>
        </is>
      </c>
      <c r="F463" t="n">
        <v>3</v>
      </c>
      <c r="G463" t="n">
        <v>1</v>
      </c>
      <c r="H463" t="inlineStr">
        <is>
          <t>Player trade (max rank)</t>
        </is>
      </c>
      <c r="I463" t="inlineStr">
        <is>
          <t>Yes</t>
        </is>
      </c>
      <c r="K463" t="inlineStr">
        <is>
          <t>Collection</t>
        </is>
      </c>
      <c r="L463" t="n">
        <v>15</v>
      </c>
      <c r="M463" t="n">
        <v>18.8</v>
      </c>
      <c r="N463" t="n">
        <v>42</v>
      </c>
      <c r="O463" t="inlineStr">
        <is>
          <t>2026-10-05 UTC (WFM pull 02:52-04:00)</t>
        </is>
      </c>
      <c r="P463" t="inlineStr">
        <is>
          <t>OK</t>
        </is>
      </c>
      <c r="R463" t="inlineStr">
        <is>
          <t>Every current tradeable mod at MAX RANK (WFM catalogue, rivens/locators excluded)</t>
        </is>
      </c>
      <c r="S463" t="inlineStr">
        <is>
          <t>cataclysmic_continuum</t>
        </is>
      </c>
      <c r="T463" t="n">
        <v>3</v>
      </c>
      <c r="U463" t="n">
        <v>3</v>
      </c>
      <c r="V463" t="n">
        <v>12.5</v>
      </c>
      <c r="W463" t="n">
        <v>13</v>
      </c>
      <c r="X463" t="n">
        <v>14.3</v>
      </c>
      <c r="Y463" t="n">
        <v>31</v>
      </c>
      <c r="Z463" t="n">
        <v>0</v>
      </c>
      <c r="AN463" t="inlineStr">
        <is>
          <t>Augment Limbo</t>
        </is>
      </c>
      <c r="AO463" t="n">
        <v>210</v>
      </c>
      <c r="AP463" t="n">
        <v>10143</v>
      </c>
      <c r="AQ463" t="n">
        <v>15</v>
      </c>
      <c r="AS463" t="inlineStr">
        <is>
          <t>Yes</t>
        </is>
      </c>
    </row>
    <row r="464">
      <c r="A464" t="inlineStr">
        <is>
          <t>Mod</t>
        </is>
      </c>
      <c r="B464" t="inlineStr">
        <is>
          <t>Cataclysmic Gate</t>
        </is>
      </c>
      <c r="E464" t="inlineStr">
        <is>
          <t>Augment Wisp</t>
        </is>
      </c>
      <c r="F464" t="n">
        <v>3</v>
      </c>
      <c r="G464" t="n">
        <v>1</v>
      </c>
      <c r="H464" t="inlineStr">
        <is>
          <t>Player trade (max rank)</t>
        </is>
      </c>
      <c r="I464" t="inlineStr">
        <is>
          <t>Yes</t>
        </is>
      </c>
      <c r="K464" t="inlineStr">
        <is>
          <t>Collection</t>
        </is>
      </c>
      <c r="L464" t="n">
        <v>15</v>
      </c>
      <c r="M464" t="n">
        <v>20</v>
      </c>
      <c r="N464" t="n">
        <v>28</v>
      </c>
      <c r="O464" t="inlineStr">
        <is>
          <t>2026-10-05 UTC (WFM pull 02:52-04:00)</t>
        </is>
      </c>
      <c r="P464" t="inlineStr">
        <is>
          <t>OK</t>
        </is>
      </c>
      <c r="R464" t="inlineStr">
        <is>
          <t>Every current tradeable mod at MAX RANK (WFM catalogue, rivens/locators excluded)</t>
        </is>
      </c>
      <c r="S464" t="inlineStr">
        <is>
          <t>cataclysmic_gate</t>
        </is>
      </c>
      <c r="T464" t="n">
        <v>8</v>
      </c>
      <c r="U464" t="n">
        <v>8</v>
      </c>
      <c r="V464" t="n">
        <v>15</v>
      </c>
      <c r="W464" t="n">
        <v>15</v>
      </c>
      <c r="X464" t="n">
        <v>15.6</v>
      </c>
      <c r="Y464" t="n">
        <v>398</v>
      </c>
      <c r="Z464" t="n">
        <v>5</v>
      </c>
      <c r="AN464" t="inlineStr">
        <is>
          <t>Augment Wisp</t>
        </is>
      </c>
      <c r="AO464" t="n">
        <v>210</v>
      </c>
      <c r="AP464" t="n">
        <v>10143</v>
      </c>
      <c r="AQ464" t="n">
        <v>15</v>
      </c>
      <c r="AS464" t="inlineStr">
        <is>
          <t>Yes</t>
        </is>
      </c>
    </row>
    <row r="465">
      <c r="A465" t="inlineStr">
        <is>
          <t>Mod</t>
        </is>
      </c>
      <c r="B465" t="inlineStr">
        <is>
          <t>Catalyzer Link</t>
        </is>
      </c>
      <c r="E465" t="inlineStr">
        <is>
          <t>Rifle</t>
        </is>
      </c>
      <c r="F465" t="n">
        <v>5</v>
      </c>
      <c r="G465" t="n">
        <v>1</v>
      </c>
      <c r="H465" t="inlineStr">
        <is>
          <t>Player trade (max rank)</t>
        </is>
      </c>
      <c r="I465" t="inlineStr">
        <is>
          <t>Yes</t>
        </is>
      </c>
      <c r="K465" t="inlineStr">
        <is>
          <t>Collection</t>
        </is>
      </c>
      <c r="L465" t="n">
        <v>15</v>
      </c>
      <c r="M465" t="n">
        <v>15</v>
      </c>
      <c r="N465" t="n">
        <v>33</v>
      </c>
      <c r="O465" t="inlineStr">
        <is>
          <t>2026-10-05 UTC (WFM pull 02:52-04:00)</t>
        </is>
      </c>
      <c r="P465" t="inlineStr">
        <is>
          <t>OK</t>
        </is>
      </c>
      <c r="R465" t="inlineStr">
        <is>
          <t>Every current tradeable mod at MAX RANK (WFM catalogue, rivens/locators excluded)</t>
        </is>
      </c>
      <c r="S465" t="inlineStr">
        <is>
          <t>catalyzer_link</t>
        </is>
      </c>
      <c r="T465" t="n">
        <v>5</v>
      </c>
      <c r="U465" t="n">
        <v>5</v>
      </c>
      <c r="V465" t="n">
        <v>10</v>
      </c>
      <c r="W465" t="n">
        <v>2</v>
      </c>
      <c r="X465" t="n">
        <v>6</v>
      </c>
      <c r="Y465" t="n">
        <v>2</v>
      </c>
      <c r="Z465" t="n">
        <v>0</v>
      </c>
      <c r="AN465" t="inlineStr">
        <is>
          <t>Rifle</t>
        </is>
      </c>
      <c r="AO465" t="n">
        <v>310</v>
      </c>
      <c r="AP465" t="n">
        <v>14973</v>
      </c>
      <c r="AQ465" t="n">
        <v>7.5</v>
      </c>
      <c r="AS465" t="inlineStr">
        <is>
          <t>Yes</t>
        </is>
      </c>
    </row>
    <row r="466">
      <c r="A466" t="inlineStr">
        <is>
          <t>Mod</t>
        </is>
      </c>
      <c r="B466" t="inlineStr">
        <is>
          <t>Catalyzing Shields</t>
        </is>
      </c>
      <c r="E466" t="inlineStr">
        <is>
          <t>Warframe</t>
        </is>
      </c>
      <c r="F466" t="n">
        <v>3</v>
      </c>
      <c r="G466" t="n">
        <v>1</v>
      </c>
      <c r="H466" t="inlineStr">
        <is>
          <t>Player trade (max rank)</t>
        </is>
      </c>
      <c r="I466" t="inlineStr">
        <is>
          <t>Yes</t>
        </is>
      </c>
      <c r="K466" t="inlineStr">
        <is>
          <t>Collection</t>
        </is>
      </c>
      <c r="L466" t="n">
        <v>20</v>
      </c>
      <c r="M466" t="n">
        <v>24</v>
      </c>
      <c r="N466" t="n">
        <v>28</v>
      </c>
      <c r="O466" t="inlineStr">
        <is>
          <t>2026-10-05 UTC (WFM pull 02:52-04:00)</t>
        </is>
      </c>
      <c r="P466" t="inlineStr">
        <is>
          <t>OK</t>
        </is>
      </c>
      <c r="R466" t="inlineStr">
        <is>
          <t>Every current tradeable mod at MAX RANK (WFM catalogue, rivens/locators excluded)</t>
        </is>
      </c>
      <c r="S466" t="inlineStr">
        <is>
          <t>catalyzing_shields</t>
        </is>
      </c>
      <c r="T466" t="n">
        <v>20</v>
      </c>
      <c r="U466" t="n">
        <v>20</v>
      </c>
      <c r="V466" t="n">
        <v>20</v>
      </c>
      <c r="W466" t="n">
        <v>20</v>
      </c>
      <c r="X466" t="n">
        <v>19.5</v>
      </c>
      <c r="Y466" t="n">
        <v>3863</v>
      </c>
      <c r="Z466" t="n">
        <v>93</v>
      </c>
      <c r="AA466" t="n">
        <v>10</v>
      </c>
      <c r="AB466" t="n">
        <v>10</v>
      </c>
      <c r="AN466" t="inlineStr">
        <is>
          <t>Warframe</t>
        </is>
      </c>
      <c r="AO466" t="n">
        <v>210</v>
      </c>
      <c r="AP466" t="n">
        <v>10143</v>
      </c>
      <c r="AQ466" t="n">
        <v>20</v>
      </c>
      <c r="AS466" t="inlineStr">
        <is>
          <t>Yes</t>
        </is>
      </c>
    </row>
    <row r="467">
      <c r="A467" t="inlineStr">
        <is>
          <t>Mod</t>
        </is>
      </c>
      <c r="B467" t="inlineStr">
        <is>
          <t>Catapult</t>
        </is>
      </c>
      <c r="E467" t="inlineStr">
        <is>
          <t>Augment Grendel</t>
        </is>
      </c>
      <c r="F467" t="n">
        <v>3</v>
      </c>
      <c r="G467" t="n">
        <v>1</v>
      </c>
      <c r="H467" t="inlineStr">
        <is>
          <t>Player trade (max rank)</t>
        </is>
      </c>
      <c r="I467" t="inlineStr">
        <is>
          <t>Yes</t>
        </is>
      </c>
      <c r="K467" t="inlineStr">
        <is>
          <t>Collection</t>
        </is>
      </c>
      <c r="L467" t="n">
        <v>14</v>
      </c>
      <c r="M467" t="n">
        <v>20.2</v>
      </c>
      <c r="N467" t="n">
        <v>45</v>
      </c>
      <c r="O467" t="inlineStr">
        <is>
          <t>2026-10-05 UTC (WFM pull 02:52-04:00)</t>
        </is>
      </c>
      <c r="P467" t="inlineStr">
        <is>
          <t>OK</t>
        </is>
      </c>
      <c r="R467" t="inlineStr">
        <is>
          <t>Every current tradeable mod at MAX RANK (WFM catalogue, rivens/locators excluded)</t>
        </is>
      </c>
      <c r="S467" t="inlineStr">
        <is>
          <t>catapult</t>
        </is>
      </c>
      <c r="T467" t="n">
        <v>4</v>
      </c>
      <c r="U467" t="n">
        <v>4</v>
      </c>
      <c r="V467" t="n">
        <v>13.5</v>
      </c>
      <c r="W467" t="n">
        <v>12.5</v>
      </c>
      <c r="X467" t="n">
        <v>13.2</v>
      </c>
      <c r="Y467" t="n">
        <v>49</v>
      </c>
      <c r="Z467" t="n">
        <v>2</v>
      </c>
      <c r="AN467" t="inlineStr">
        <is>
          <t>Augment Grendel</t>
        </is>
      </c>
      <c r="AO467" t="n">
        <v>210</v>
      </c>
      <c r="AP467" t="n">
        <v>10143</v>
      </c>
      <c r="AQ467" t="n">
        <v>15</v>
      </c>
      <c r="AS467" t="inlineStr">
        <is>
          <t>Yes</t>
        </is>
      </c>
    </row>
    <row r="468">
      <c r="A468" t="inlineStr">
        <is>
          <t>Mod</t>
        </is>
      </c>
      <c r="B468" t="inlineStr">
        <is>
          <t>Cathode Current</t>
        </is>
      </c>
      <c r="E468" t="inlineStr">
        <is>
          <t>Augment Gyre</t>
        </is>
      </c>
      <c r="F468" t="n">
        <v>3</v>
      </c>
      <c r="G468" t="n">
        <v>1</v>
      </c>
      <c r="H468" t="inlineStr">
        <is>
          <t>Player trade (max rank)</t>
        </is>
      </c>
      <c r="I468" t="inlineStr">
        <is>
          <t>Yes</t>
        </is>
      </c>
      <c r="K468" t="inlineStr">
        <is>
          <t>Collection</t>
        </is>
      </c>
      <c r="L468" t="n">
        <v>20</v>
      </c>
      <c r="M468" t="n">
        <v>21.8</v>
      </c>
      <c r="N468" t="n">
        <v>44</v>
      </c>
      <c r="O468" t="inlineStr">
        <is>
          <t>2026-10-05 UTC (WFM pull 02:52-04:00)</t>
        </is>
      </c>
      <c r="P468" t="inlineStr">
        <is>
          <t>OK</t>
        </is>
      </c>
      <c r="R468" t="inlineStr">
        <is>
          <t>Every current tradeable mod at MAX RANK (WFM catalogue, rivens/locators excluded)</t>
        </is>
      </c>
      <c r="S468" t="inlineStr">
        <is>
          <t>cathode_current</t>
        </is>
      </c>
      <c r="T468" t="n">
        <v>7</v>
      </c>
      <c r="U468" t="n">
        <v>7</v>
      </c>
      <c r="V468" t="n">
        <v>14.5</v>
      </c>
      <c r="W468" t="n">
        <v>14.5</v>
      </c>
      <c r="X468" t="n">
        <v>14.1</v>
      </c>
      <c r="Y468" t="n">
        <v>855</v>
      </c>
      <c r="Z468" t="n">
        <v>23</v>
      </c>
      <c r="AN468" t="inlineStr">
        <is>
          <t>Augment Gyre</t>
        </is>
      </c>
      <c r="AO468" t="n">
        <v>210</v>
      </c>
      <c r="AP468" t="n">
        <v>10143</v>
      </c>
      <c r="AQ468" t="n">
        <v>13</v>
      </c>
      <c r="AS468" t="inlineStr">
        <is>
          <t>Yes</t>
        </is>
      </c>
    </row>
    <row r="469">
      <c r="A469" t="inlineStr">
        <is>
          <t>Mod</t>
        </is>
      </c>
      <c r="B469" t="inlineStr">
        <is>
          <t>Cat's Eye</t>
        </is>
      </c>
      <c r="E469" t="inlineStr">
        <is>
          <t>Adarza Kavat</t>
        </is>
      </c>
      <c r="F469" t="n">
        <v>3</v>
      </c>
      <c r="G469" t="n">
        <v>1</v>
      </c>
      <c r="H469" t="inlineStr">
        <is>
          <t>Player trade (max rank)</t>
        </is>
      </c>
      <c r="I469" t="inlineStr">
        <is>
          <t>Yes</t>
        </is>
      </c>
      <c r="K469" t="inlineStr">
        <is>
          <t>Collection</t>
        </is>
      </c>
      <c r="L469" t="n">
        <v>7</v>
      </c>
      <c r="M469" t="n">
        <v>10</v>
      </c>
      <c r="N469" t="n">
        <v>22</v>
      </c>
      <c r="O469" t="inlineStr">
        <is>
          <t>2026-10-05 UTC (WFM pull 02:52-04:00)</t>
        </is>
      </c>
      <c r="P469" t="inlineStr">
        <is>
          <t>OK</t>
        </is>
      </c>
      <c r="R469" t="inlineStr">
        <is>
          <t>Every current tradeable mod at MAX RANK (WFM catalogue, rivens/locators excluded)</t>
        </is>
      </c>
      <c r="S469" t="inlineStr">
        <is>
          <t>cats_eye</t>
        </is>
      </c>
      <c r="T469" t="n">
        <v>6</v>
      </c>
      <c r="U469" t="n">
        <v>6</v>
      </c>
      <c r="V469" t="n">
        <v>7</v>
      </c>
      <c r="W469" t="n">
        <v>8</v>
      </c>
      <c r="X469" t="n">
        <v>8.9</v>
      </c>
      <c r="Y469" t="n">
        <v>30</v>
      </c>
      <c r="Z469" t="n">
        <v>1</v>
      </c>
      <c r="AN469" t="inlineStr">
        <is>
          <t>Adarza Kavat</t>
        </is>
      </c>
      <c r="AO469" t="n">
        <v>210</v>
      </c>
      <c r="AP469" t="n">
        <v>10143</v>
      </c>
      <c r="AQ469" t="n">
        <v>3</v>
      </c>
      <c r="AS469" t="inlineStr">
        <is>
          <t>Yes</t>
        </is>
      </c>
    </row>
    <row r="470">
      <c r="A470" t="inlineStr">
        <is>
          <t>Mod</t>
        </is>
      </c>
      <c r="B470" t="inlineStr">
        <is>
          <t>Cautious Shot</t>
        </is>
      </c>
      <c r="E470" t="inlineStr">
        <is>
          <t>Rifle</t>
        </is>
      </c>
      <c r="F470" t="n">
        <v>10</v>
      </c>
      <c r="G470" t="n">
        <v>1</v>
      </c>
      <c r="H470" t="inlineStr">
        <is>
          <t>Player trade (max rank)</t>
        </is>
      </c>
      <c r="I470" t="inlineStr">
        <is>
          <t>Yes</t>
        </is>
      </c>
      <c r="K470" t="inlineStr">
        <is>
          <t>Collection</t>
        </is>
      </c>
      <c r="L470" t="n">
        <v>83</v>
      </c>
      <c r="M470" t="n">
        <v>90</v>
      </c>
      <c r="N470" t="n">
        <v>109</v>
      </c>
      <c r="O470" t="inlineStr">
        <is>
          <t>2026-10-05 UTC (WFM pull 02:52-04:00)</t>
        </is>
      </c>
      <c r="P470" t="inlineStr">
        <is>
          <t>OK</t>
        </is>
      </c>
      <c r="R470" t="inlineStr">
        <is>
          <t>Every current tradeable mod at MAX RANK (WFM catalogue, rivens/locators excluded)</t>
        </is>
      </c>
      <c r="S470" t="inlineStr">
        <is>
          <t>cautious_shot</t>
        </is>
      </c>
      <c r="T470" t="n">
        <v>9</v>
      </c>
      <c r="U470" t="n">
        <v>9</v>
      </c>
      <c r="V470" t="n">
        <v>80</v>
      </c>
      <c r="W470" t="n">
        <v>80</v>
      </c>
      <c r="X470" t="n">
        <v>80.7</v>
      </c>
      <c r="Y470" t="n">
        <v>83</v>
      </c>
      <c r="Z470" t="n">
        <v>0</v>
      </c>
      <c r="AA470" t="n">
        <v>30</v>
      </c>
      <c r="AB470" t="n">
        <v>53</v>
      </c>
      <c r="AN470" t="inlineStr">
        <is>
          <t>Rifle</t>
        </is>
      </c>
      <c r="AO470" t="n">
        <v>30690</v>
      </c>
      <c r="AP470" t="n">
        <v>1482327</v>
      </c>
      <c r="AQ470" t="n">
        <v>9</v>
      </c>
      <c r="AS470" t="inlineStr">
        <is>
          <t>Yes</t>
        </is>
      </c>
    </row>
    <row r="471">
      <c r="A471" t="inlineStr">
        <is>
          <t>Mod</t>
        </is>
      </c>
      <c r="B471" t="inlineStr">
        <is>
          <t>Celestial Nightfall</t>
        </is>
      </c>
      <c r="E471" t="inlineStr">
        <is>
          <t>Conclave (PvP)</t>
        </is>
      </c>
      <c r="F471" t="n">
        <v>3</v>
      </c>
      <c r="G471" t="n">
        <v>1</v>
      </c>
      <c r="H471" t="inlineStr">
        <is>
          <t>Player trade (max rank)</t>
        </is>
      </c>
      <c r="I471" t="inlineStr">
        <is>
          <t>Yes</t>
        </is>
      </c>
      <c r="K471" t="inlineStr">
        <is>
          <t>Collection (PvP)</t>
        </is>
      </c>
      <c r="L471" t="n">
        <v>180</v>
      </c>
      <c r="M471" t="n">
        <v>180</v>
      </c>
      <c r="N471" t="n">
        <v>221</v>
      </c>
      <c r="O471" t="inlineStr">
        <is>
          <t>2026-10-05 UTC (WFM pull 02:52-04:00)</t>
        </is>
      </c>
      <c r="P471" t="inlineStr">
        <is>
          <t>OK</t>
        </is>
      </c>
      <c r="R471" t="inlineStr">
        <is>
          <t>Every current tradeable mod at MAX RANK (WFM catalogue, rivens/locators excluded)</t>
        </is>
      </c>
      <c r="S471" t="inlineStr">
        <is>
          <t>celestial_nightfall</t>
        </is>
      </c>
      <c r="T471" t="n">
        <v>7</v>
      </c>
      <c r="U471" t="n">
        <v>0</v>
      </c>
      <c r="V471" t="n">
        <v>20</v>
      </c>
      <c r="W471" t="n">
        <v>20</v>
      </c>
      <c r="X471" t="n">
        <v>20</v>
      </c>
      <c r="Y471" t="n">
        <v>1</v>
      </c>
      <c r="Z471" t="n">
        <v>0</v>
      </c>
      <c r="AN471" t="inlineStr">
        <is>
          <t>Conclave (PvP)</t>
        </is>
      </c>
      <c r="AO471" t="n">
        <v>140</v>
      </c>
      <c r="AP471" t="n">
        <v>6762</v>
      </c>
      <c r="AQ471" t="n">
        <v>20</v>
      </c>
      <c r="AS471" t="inlineStr">
        <is>
          <t>PvP subtotal</t>
        </is>
      </c>
    </row>
    <row r="472">
      <c r="A472" t="inlineStr">
        <is>
          <t>Mod</t>
        </is>
      </c>
      <c r="B472" t="inlineStr">
        <is>
          <t>Celestial Stomp</t>
        </is>
      </c>
      <c r="E472" t="inlineStr">
        <is>
          <t>Augment Wukong</t>
        </is>
      </c>
      <c r="F472" t="n">
        <v>3</v>
      </c>
      <c r="G472" t="n">
        <v>1</v>
      </c>
      <c r="H472" t="inlineStr">
        <is>
          <t>Player trade (max rank)</t>
        </is>
      </c>
      <c r="I472" t="inlineStr">
        <is>
          <t>Yes</t>
        </is>
      </c>
      <c r="K472" t="inlineStr">
        <is>
          <t>Collection</t>
        </is>
      </c>
      <c r="L472" t="n">
        <v>20</v>
      </c>
      <c r="M472" t="n">
        <v>22.5</v>
      </c>
      <c r="N472" t="n">
        <v>50</v>
      </c>
      <c r="O472" t="inlineStr">
        <is>
          <t>2026-10-05 UTC (WFM pull 02:52-04:00)</t>
        </is>
      </c>
      <c r="P472" t="inlineStr">
        <is>
          <t>OK</t>
        </is>
      </c>
      <c r="R472" t="inlineStr">
        <is>
          <t>Every current tradeable mod at MAX RANK (WFM catalogue, rivens/locators excluded)</t>
        </is>
      </c>
      <c r="S472" t="inlineStr">
        <is>
          <t>celestial_stomp</t>
        </is>
      </c>
      <c r="T472" t="n">
        <v>3</v>
      </c>
      <c r="U472" t="n">
        <v>3</v>
      </c>
      <c r="V472" t="n">
        <v>15</v>
      </c>
      <c r="W472" t="n">
        <v>14</v>
      </c>
      <c r="X472" t="n">
        <v>14.2</v>
      </c>
      <c r="Y472" t="n">
        <v>107</v>
      </c>
      <c r="Z472" t="n">
        <v>2</v>
      </c>
      <c r="AN472" t="inlineStr">
        <is>
          <t>Augment Wukong</t>
        </is>
      </c>
      <c r="AO472" t="n">
        <v>210</v>
      </c>
      <c r="AP472" t="n">
        <v>10143</v>
      </c>
      <c r="AQ472" t="n">
        <v>9</v>
      </c>
      <c r="AS472" t="inlineStr">
        <is>
          <t>Yes</t>
        </is>
      </c>
    </row>
    <row r="473">
      <c r="A473" t="inlineStr">
        <is>
          <t>Mod</t>
        </is>
      </c>
      <c r="B473" t="inlineStr">
        <is>
          <t>Champion's Blessing</t>
        </is>
      </c>
      <c r="E473" t="inlineStr">
        <is>
          <t>Augment Trinity</t>
        </is>
      </c>
      <c r="F473" t="n">
        <v>3</v>
      </c>
      <c r="G473" t="n">
        <v>1</v>
      </c>
      <c r="H473" t="inlineStr">
        <is>
          <t>Player trade (max rank)</t>
        </is>
      </c>
      <c r="I473" t="inlineStr">
        <is>
          <t>Yes</t>
        </is>
      </c>
      <c r="K473" t="inlineStr">
        <is>
          <t>Collection</t>
        </is>
      </c>
      <c r="L473" t="n">
        <v>24</v>
      </c>
      <c r="M473" t="n">
        <v>24</v>
      </c>
      <c r="N473" t="n">
        <v>53</v>
      </c>
      <c r="O473" t="inlineStr">
        <is>
          <t>2026-10-05 UTC (WFM pull 02:52-04:00)</t>
        </is>
      </c>
      <c r="P473" t="inlineStr">
        <is>
          <t>OK</t>
        </is>
      </c>
      <c r="R473" t="inlineStr">
        <is>
          <t>Every current tradeable mod at MAX RANK (WFM catalogue, rivens/locators excluded)</t>
        </is>
      </c>
      <c r="S473" t="inlineStr">
        <is>
          <t>champions_blessing</t>
        </is>
      </c>
      <c r="T473" t="n">
        <v>4</v>
      </c>
      <c r="U473" t="n">
        <v>4</v>
      </c>
      <c r="V473" t="n">
        <v>15</v>
      </c>
      <c r="W473" t="n">
        <v>15</v>
      </c>
      <c r="X473" t="n">
        <v>16.2</v>
      </c>
      <c r="Y473" t="n">
        <v>75</v>
      </c>
      <c r="Z473" t="n">
        <v>4</v>
      </c>
      <c r="AN473" t="inlineStr">
        <is>
          <t>Augment Trinity</t>
        </is>
      </c>
      <c r="AO473" t="n">
        <v>210</v>
      </c>
      <c r="AP473" t="n">
        <v>10143</v>
      </c>
      <c r="AQ473" t="n">
        <v>20</v>
      </c>
      <c r="AS473" t="inlineStr">
        <is>
          <t>Yes</t>
        </is>
      </c>
    </row>
    <row r="474">
      <c r="A474" t="inlineStr">
        <is>
          <t>Mod</t>
        </is>
      </c>
      <c r="B474" t="inlineStr">
        <is>
          <t>Chaos Sphere</t>
        </is>
      </c>
      <c r="E474" t="inlineStr">
        <is>
          <t>Augment Nyx</t>
        </is>
      </c>
      <c r="F474" t="n">
        <v>3</v>
      </c>
      <c r="G474" t="n">
        <v>1</v>
      </c>
      <c r="H474" t="inlineStr">
        <is>
          <t>Player trade (max rank)</t>
        </is>
      </c>
      <c r="I474" t="inlineStr">
        <is>
          <t>Yes</t>
        </is>
      </c>
      <c r="K474" t="inlineStr">
        <is>
          <t>Collection</t>
        </is>
      </c>
      <c r="L474" t="n">
        <v>10</v>
      </c>
      <c r="M474" t="n">
        <v>15</v>
      </c>
      <c r="N474" t="n">
        <v>33</v>
      </c>
      <c r="O474" t="inlineStr">
        <is>
          <t>2026-10-05 UTC (WFM pull 02:52-04:00)</t>
        </is>
      </c>
      <c r="P474" t="inlineStr">
        <is>
          <t>OK</t>
        </is>
      </c>
      <c r="R474" t="inlineStr">
        <is>
          <t>Every current tradeable mod at MAX RANK (WFM catalogue, rivens/locators excluded)</t>
        </is>
      </c>
      <c r="S474" t="inlineStr">
        <is>
          <t>chaos_sphere</t>
        </is>
      </c>
      <c r="T474" t="n">
        <v>5</v>
      </c>
      <c r="U474" t="n">
        <v>5</v>
      </c>
      <c r="V474" t="n">
        <v>14</v>
      </c>
      <c r="W474" t="n">
        <v>15</v>
      </c>
      <c r="X474" t="n">
        <v>15.3</v>
      </c>
      <c r="Y474" t="n">
        <v>26</v>
      </c>
      <c r="Z474" t="n">
        <v>0</v>
      </c>
      <c r="AN474" t="inlineStr">
        <is>
          <t>Augment Nyx</t>
        </is>
      </c>
      <c r="AO474" t="n">
        <v>210</v>
      </c>
      <c r="AP474" t="n">
        <v>10143</v>
      </c>
      <c r="AQ474" t="n">
        <v>9</v>
      </c>
      <c r="AS474" t="inlineStr">
        <is>
          <t>Yes</t>
        </is>
      </c>
    </row>
    <row r="475">
      <c r="A475" t="inlineStr">
        <is>
          <t>Mod</t>
        </is>
      </c>
      <c r="B475" t="inlineStr">
        <is>
          <t>Charged Bullets</t>
        </is>
      </c>
      <c r="E475" t="inlineStr">
        <is>
          <t>Archgun</t>
        </is>
      </c>
      <c r="F475" t="n">
        <v>3</v>
      </c>
      <c r="G475" t="n">
        <v>1</v>
      </c>
      <c r="H475" t="inlineStr">
        <is>
          <t>Player trade (max rank)</t>
        </is>
      </c>
      <c r="I475" t="inlineStr">
        <is>
          <t>Yes</t>
        </is>
      </c>
      <c r="K475" t="inlineStr">
        <is>
          <t>Collection</t>
        </is>
      </c>
      <c r="L475" t="n">
        <v>15</v>
      </c>
      <c r="M475" t="n">
        <v>15</v>
      </c>
      <c r="N475" t="n">
        <v>22</v>
      </c>
      <c r="O475" t="inlineStr">
        <is>
          <t>2026-10-05 UTC (WFM pull 02:52-04:00)</t>
        </is>
      </c>
      <c r="P475" t="inlineStr">
        <is>
          <t>OK</t>
        </is>
      </c>
      <c r="R475" t="inlineStr">
        <is>
          <t>Every current tradeable mod at MAX RANK (WFM catalogue, rivens/locators excluded)</t>
        </is>
      </c>
      <c r="S475" t="inlineStr">
        <is>
          <t>charged_bullets</t>
        </is>
      </c>
      <c r="T475" t="n">
        <v>9</v>
      </c>
      <c r="U475" t="n">
        <v>9</v>
      </c>
      <c r="V475" t="n">
        <v>15</v>
      </c>
      <c r="W475" t="n">
        <v>15</v>
      </c>
      <c r="X475" t="n">
        <v>14.4</v>
      </c>
      <c r="Y475" t="n">
        <v>173</v>
      </c>
      <c r="Z475" t="n">
        <v>1</v>
      </c>
      <c r="AN475" t="inlineStr">
        <is>
          <t>Archgun</t>
        </is>
      </c>
      <c r="AO475" t="n">
        <v>210</v>
      </c>
      <c r="AP475" t="n">
        <v>10143</v>
      </c>
      <c r="AQ475" t="n">
        <v>10</v>
      </c>
      <c r="AS475" t="inlineStr">
        <is>
          <t>Yes</t>
        </is>
      </c>
    </row>
    <row r="476">
      <c r="A476" t="inlineStr">
        <is>
          <t>Mod</t>
        </is>
      </c>
      <c r="B476" t="inlineStr">
        <is>
          <t>Charged Chamber</t>
        </is>
      </c>
      <c r="E476" t="inlineStr">
        <is>
          <t>Sniper</t>
        </is>
      </c>
      <c r="F476" t="n">
        <v>3</v>
      </c>
      <c r="G476" t="n">
        <v>1</v>
      </c>
      <c r="H476" t="inlineStr">
        <is>
          <t>Player trade (max rank)</t>
        </is>
      </c>
      <c r="I476" t="inlineStr">
        <is>
          <t>Yes</t>
        </is>
      </c>
      <c r="K476" t="inlineStr">
        <is>
          <t>Collection</t>
        </is>
      </c>
      <c r="L476" t="n">
        <v>9</v>
      </c>
      <c r="M476" t="n">
        <v>9</v>
      </c>
      <c r="N476" t="n">
        <v>20</v>
      </c>
      <c r="O476" t="inlineStr">
        <is>
          <t>2026-10-05 UTC (WFM pull 02:52-04:00)</t>
        </is>
      </c>
      <c r="P476" t="inlineStr">
        <is>
          <t>OK</t>
        </is>
      </c>
      <c r="R476" t="inlineStr">
        <is>
          <t>Every current tradeable mod at MAX RANK (WFM catalogue, rivens/locators excluded)</t>
        </is>
      </c>
      <c r="S476" t="inlineStr">
        <is>
          <t>charged_chamber</t>
        </is>
      </c>
      <c r="T476" t="n">
        <v>4</v>
      </c>
      <c r="U476" t="n">
        <v>4</v>
      </c>
      <c r="V476" t="n">
        <v>5</v>
      </c>
      <c r="W476" t="n">
        <v>10</v>
      </c>
      <c r="X476" t="n">
        <v>10</v>
      </c>
      <c r="Y476" t="n">
        <v>13</v>
      </c>
      <c r="Z476" t="n">
        <v>1</v>
      </c>
      <c r="AN476" t="inlineStr">
        <is>
          <t>Sniper</t>
        </is>
      </c>
      <c r="AO476" t="n">
        <v>140</v>
      </c>
      <c r="AP476" t="n">
        <v>6762</v>
      </c>
      <c r="AQ476" t="n">
        <v>4</v>
      </c>
      <c r="AS476" t="inlineStr">
        <is>
          <t>Yes</t>
        </is>
      </c>
    </row>
    <row r="477">
      <c r="A477" t="inlineStr">
        <is>
          <t>Mod</t>
        </is>
      </c>
      <c r="B477" t="inlineStr">
        <is>
          <t>Charged Shell</t>
        </is>
      </c>
      <c r="E477" t="inlineStr">
        <is>
          <t>Shotgun</t>
        </is>
      </c>
      <c r="F477" t="n">
        <v>5</v>
      </c>
      <c r="G477" t="n">
        <v>1</v>
      </c>
      <c r="H477" t="inlineStr">
        <is>
          <t>Player trade (max rank)</t>
        </is>
      </c>
      <c r="I477" t="inlineStr">
        <is>
          <t>Yes</t>
        </is>
      </c>
      <c r="K477" t="inlineStr">
        <is>
          <t>Collection</t>
        </is>
      </c>
      <c r="L477" t="n">
        <v>10</v>
      </c>
      <c r="M477" t="n">
        <v>12</v>
      </c>
      <c r="N477" t="n">
        <v>27</v>
      </c>
      <c r="O477" t="inlineStr">
        <is>
          <t>2026-10-05 UTC (WFM pull 02:52-04:00)</t>
        </is>
      </c>
      <c r="P477" t="inlineStr">
        <is>
          <t>OK</t>
        </is>
      </c>
      <c r="R477" t="inlineStr">
        <is>
          <t>Every current tradeable mod at MAX RANK (WFM catalogue, rivens/locators excluded)</t>
        </is>
      </c>
      <c r="S477" t="inlineStr">
        <is>
          <t>charged_shell</t>
        </is>
      </c>
      <c r="T477" t="n">
        <v>6</v>
      </c>
      <c r="U477" t="n">
        <v>6</v>
      </c>
      <c r="V477" t="n">
        <v>8</v>
      </c>
      <c r="W477" t="n">
        <v>9.5</v>
      </c>
      <c r="X477" t="n">
        <v>8.699999999999999</v>
      </c>
      <c r="Y477" t="n">
        <v>62</v>
      </c>
      <c r="Z477" t="n">
        <v>2</v>
      </c>
      <c r="AN477" t="inlineStr">
        <is>
          <t>Shotgun</t>
        </is>
      </c>
      <c r="AO477" t="n">
        <v>620</v>
      </c>
      <c r="AP477" t="n">
        <v>29946</v>
      </c>
      <c r="AQ477" t="n">
        <v>4</v>
      </c>
      <c r="AS477" t="inlineStr">
        <is>
          <t>Yes</t>
        </is>
      </c>
    </row>
    <row r="478">
      <c r="A478" t="inlineStr">
        <is>
          <t>Mod</t>
        </is>
      </c>
      <c r="B478" t="inlineStr">
        <is>
          <t>Charm</t>
        </is>
      </c>
      <c r="E478" t="inlineStr">
        <is>
          <t>Smeeta Kavat</t>
        </is>
      </c>
      <c r="F478" t="n">
        <v>3</v>
      </c>
      <c r="G478" t="n">
        <v>1</v>
      </c>
      <c r="H478" t="inlineStr">
        <is>
          <t>Player trade (max rank)</t>
        </is>
      </c>
      <c r="I478" t="inlineStr">
        <is>
          <t>Yes</t>
        </is>
      </c>
      <c r="K478" t="inlineStr">
        <is>
          <t>Collection</t>
        </is>
      </c>
      <c r="L478" t="n">
        <v>15</v>
      </c>
      <c r="M478" t="n">
        <v>15</v>
      </c>
      <c r="N478" t="n">
        <v>33</v>
      </c>
      <c r="O478" t="inlineStr">
        <is>
          <t>2026-10-05 UTC (WFM pull 02:52-04:00)</t>
        </is>
      </c>
      <c r="P478" t="inlineStr">
        <is>
          <t>OK</t>
        </is>
      </c>
      <c r="R478" t="inlineStr">
        <is>
          <t>Every current tradeable mod at MAX RANK (WFM catalogue, rivens/locators excluded)</t>
        </is>
      </c>
      <c r="S478" t="inlineStr">
        <is>
          <t>charm</t>
        </is>
      </c>
      <c r="T478" t="n">
        <v>4</v>
      </c>
      <c r="U478" t="n">
        <v>4</v>
      </c>
      <c r="V478" t="n">
        <v>6</v>
      </c>
      <c r="W478" t="n">
        <v>6</v>
      </c>
      <c r="X478" t="n">
        <v>6.8</v>
      </c>
      <c r="Y478" t="n">
        <v>56</v>
      </c>
      <c r="Z478" t="n">
        <v>1</v>
      </c>
      <c r="AN478" t="inlineStr">
        <is>
          <t>Smeeta Kavat</t>
        </is>
      </c>
      <c r="AO478" t="n">
        <v>210</v>
      </c>
      <c r="AP478" t="n">
        <v>10143</v>
      </c>
      <c r="AQ478" t="n">
        <v>3</v>
      </c>
      <c r="AS478" t="inlineStr">
        <is>
          <t>Yes</t>
        </is>
      </c>
    </row>
    <row r="479">
      <c r="A479" t="inlineStr">
        <is>
          <t>Mod</t>
        </is>
      </c>
      <c r="B479" t="inlineStr">
        <is>
          <t>Chilling Claws</t>
        </is>
      </c>
      <c r="E479" t="inlineStr">
        <is>
          <t>Claws</t>
        </is>
      </c>
      <c r="F479" t="n">
        <v>10</v>
      </c>
      <c r="G479" t="n">
        <v>1</v>
      </c>
      <c r="H479" t="inlineStr">
        <is>
          <t>Player trade (max rank)</t>
        </is>
      </c>
      <c r="I479" t="inlineStr">
        <is>
          <t>Yes</t>
        </is>
      </c>
      <c r="K479" t="inlineStr">
        <is>
          <t>Collection</t>
        </is>
      </c>
      <c r="L479" t="n">
        <v>80</v>
      </c>
      <c r="M479" t="n">
        <v>85</v>
      </c>
      <c r="N479" t="n">
        <v>105</v>
      </c>
      <c r="O479" t="inlineStr">
        <is>
          <t>2026-10-05 UTC (WFM pull 02:52-04:00)</t>
        </is>
      </c>
      <c r="P479" t="inlineStr">
        <is>
          <t>OK</t>
        </is>
      </c>
      <c r="R479" t="inlineStr">
        <is>
          <t>Every current tradeable mod at MAX RANK (WFM catalogue, rivens/locators excluded)</t>
        </is>
      </c>
      <c r="S479" t="inlineStr">
        <is>
          <t>chilling_claws</t>
        </is>
      </c>
      <c r="T479" t="n">
        <v>12</v>
      </c>
      <c r="U479" t="n">
        <v>12</v>
      </c>
      <c r="V479" t="n">
        <v>80</v>
      </c>
      <c r="W479" t="n">
        <v>80</v>
      </c>
      <c r="X479" t="n">
        <v>79.8</v>
      </c>
      <c r="Y479" t="n">
        <v>172</v>
      </c>
      <c r="Z479" t="n">
        <v>3</v>
      </c>
      <c r="AA479" t="n">
        <v>50</v>
      </c>
      <c r="AB479" t="n">
        <v>30</v>
      </c>
      <c r="AN479" t="inlineStr">
        <is>
          <t>Claws</t>
        </is>
      </c>
      <c r="AO479" t="n">
        <v>30690</v>
      </c>
      <c r="AP479" t="n">
        <v>1482327</v>
      </c>
      <c r="AQ479" t="n">
        <v>10</v>
      </c>
      <c r="AS479" t="inlineStr">
        <is>
          <t>Yes</t>
        </is>
      </c>
    </row>
    <row r="480">
      <c r="A480" t="inlineStr">
        <is>
          <t>Mod</t>
        </is>
      </c>
      <c r="B480" t="inlineStr">
        <is>
          <t>Chilling Globe</t>
        </is>
      </c>
      <c r="E480" t="inlineStr">
        <is>
          <t>Augment Frost</t>
        </is>
      </c>
      <c r="F480" t="n">
        <v>3</v>
      </c>
      <c r="G480" t="n">
        <v>1</v>
      </c>
      <c r="H480" t="inlineStr">
        <is>
          <t>Player trade (max rank)</t>
        </is>
      </c>
      <c r="I480" t="inlineStr">
        <is>
          <t>Yes</t>
        </is>
      </c>
      <c r="K480" t="inlineStr">
        <is>
          <t>Collection</t>
        </is>
      </c>
      <c r="L480" t="n">
        <v>18</v>
      </c>
      <c r="M480" t="n">
        <v>18</v>
      </c>
      <c r="N480" t="n">
        <v>28</v>
      </c>
      <c r="O480" t="inlineStr">
        <is>
          <t>2026-10-05 UTC (WFM pull 02:52-04:00)</t>
        </is>
      </c>
      <c r="P480" t="inlineStr">
        <is>
          <t>OK</t>
        </is>
      </c>
      <c r="R480" t="inlineStr">
        <is>
          <t>Every current tradeable mod at MAX RANK (WFM catalogue, rivens/locators excluded)</t>
        </is>
      </c>
      <c r="S480" t="inlineStr">
        <is>
          <t>chilling_globe</t>
        </is>
      </c>
      <c r="T480" t="n">
        <v>7</v>
      </c>
      <c r="U480" t="n">
        <v>7</v>
      </c>
      <c r="V480" t="n">
        <v>9</v>
      </c>
      <c r="W480" t="n">
        <v>9.5</v>
      </c>
      <c r="X480" t="n">
        <v>10</v>
      </c>
      <c r="Y480" t="n">
        <v>65</v>
      </c>
      <c r="Z480" t="n">
        <v>2</v>
      </c>
      <c r="AN480" t="inlineStr">
        <is>
          <t>Augment Frost</t>
        </is>
      </c>
      <c r="AO480" t="n">
        <v>210</v>
      </c>
      <c r="AP480" t="n">
        <v>10143</v>
      </c>
      <c r="AQ480" t="n">
        <v>10</v>
      </c>
      <c r="AS480" t="inlineStr">
        <is>
          <t>Yes</t>
        </is>
      </c>
    </row>
    <row r="481">
      <c r="A481" t="inlineStr">
        <is>
          <t>Mod</t>
        </is>
      </c>
      <c r="B481" t="inlineStr">
        <is>
          <t>Chilling Grasp</t>
        </is>
      </c>
      <c r="E481" t="inlineStr">
        <is>
          <t>Shotgun</t>
        </is>
      </c>
      <c r="F481" t="n">
        <v>5</v>
      </c>
      <c r="G481" t="n">
        <v>1</v>
      </c>
      <c r="H481" t="inlineStr">
        <is>
          <t>Player trade (max rank)</t>
        </is>
      </c>
      <c r="I481" t="inlineStr">
        <is>
          <t>Yes</t>
        </is>
      </c>
      <c r="K481" t="inlineStr">
        <is>
          <t>Collection</t>
        </is>
      </c>
      <c r="L481" t="n">
        <v>10</v>
      </c>
      <c r="M481" t="n">
        <v>12</v>
      </c>
      <c r="N481" t="n">
        <v>27</v>
      </c>
      <c r="O481" t="inlineStr">
        <is>
          <t>2026-10-05 UTC (WFM pull 02:52-04:00)</t>
        </is>
      </c>
      <c r="P481" t="inlineStr">
        <is>
          <t>OK</t>
        </is>
      </c>
      <c r="R481" t="inlineStr">
        <is>
          <t>Every current tradeable mod at MAX RANK (WFM catalogue, rivens/locators excluded)</t>
        </is>
      </c>
      <c r="S481" t="inlineStr">
        <is>
          <t>chilling_grasp</t>
        </is>
      </c>
      <c r="T481" t="n">
        <v>5</v>
      </c>
      <c r="U481" t="n">
        <v>5</v>
      </c>
      <c r="V481" t="n">
        <v>8</v>
      </c>
      <c r="W481" t="n">
        <v>8</v>
      </c>
      <c r="X481" t="n">
        <v>8.300000000000001</v>
      </c>
      <c r="Y481" t="n">
        <v>29</v>
      </c>
      <c r="Z481" t="n">
        <v>0</v>
      </c>
      <c r="AN481" t="inlineStr">
        <is>
          <t>Shotgun</t>
        </is>
      </c>
      <c r="AO481" t="n">
        <v>620</v>
      </c>
      <c r="AP481" t="n">
        <v>29946</v>
      </c>
      <c r="AQ481" t="n">
        <v>3</v>
      </c>
      <c r="AS481" t="inlineStr">
        <is>
          <t>Yes</t>
        </is>
      </c>
    </row>
    <row r="482">
      <c r="A482" t="inlineStr">
        <is>
          <t>Mod</t>
        </is>
      </c>
      <c r="B482" t="inlineStr">
        <is>
          <t>Chilling Reload</t>
        </is>
      </c>
      <c r="E482" t="inlineStr">
        <is>
          <t>Shotgun</t>
        </is>
      </c>
      <c r="F482" t="n">
        <v>3</v>
      </c>
      <c r="G482" t="n">
        <v>1</v>
      </c>
      <c r="H482" t="inlineStr">
        <is>
          <t>Player trade (max rank)</t>
        </is>
      </c>
      <c r="I482" t="inlineStr">
        <is>
          <t>Yes</t>
        </is>
      </c>
      <c r="K482" t="inlineStr">
        <is>
          <t>Collection</t>
        </is>
      </c>
      <c r="L482" t="n">
        <v>5</v>
      </c>
      <c r="M482" t="n">
        <v>5</v>
      </c>
      <c r="N482" t="n">
        <v>11</v>
      </c>
      <c r="O482" t="inlineStr">
        <is>
          <t>2026-10-05 UTC (WFM pull 02:52-04:00)</t>
        </is>
      </c>
      <c r="P482" t="inlineStr">
        <is>
          <t>OK</t>
        </is>
      </c>
      <c r="R482" t="inlineStr">
        <is>
          <t>Every current tradeable mod at MAX RANK (WFM catalogue, rivens/locators excluded)</t>
        </is>
      </c>
      <c r="S482" t="inlineStr">
        <is>
          <t>chilling_reload</t>
        </is>
      </c>
      <c r="T482" t="n">
        <v>9</v>
      </c>
      <c r="U482" t="n">
        <v>9</v>
      </c>
      <c r="V482" t="n">
        <v>6</v>
      </c>
      <c r="W482" t="n">
        <v>6</v>
      </c>
      <c r="X482" t="n">
        <v>6</v>
      </c>
      <c r="Y482" t="n">
        <v>175</v>
      </c>
      <c r="Z482" t="n">
        <v>2</v>
      </c>
      <c r="AN482" t="inlineStr">
        <is>
          <t>Shotgun</t>
        </is>
      </c>
      <c r="AO482" t="n">
        <v>210</v>
      </c>
      <c r="AP482" t="n">
        <v>10143</v>
      </c>
      <c r="AQ482" t="n">
        <v>4.5</v>
      </c>
      <c r="AS482" t="inlineStr">
        <is>
          <t>Yes</t>
        </is>
      </c>
    </row>
    <row r="483">
      <c r="A483" t="inlineStr">
        <is>
          <t>Mod</t>
        </is>
      </c>
      <c r="B483" t="inlineStr">
        <is>
          <t>Chromatic Blade</t>
        </is>
      </c>
      <c r="E483" t="inlineStr">
        <is>
          <t>Augment Excalibur</t>
        </is>
      </c>
      <c r="F483" t="n">
        <v>3</v>
      </c>
      <c r="G483" t="n">
        <v>1</v>
      </c>
      <c r="H483" t="inlineStr">
        <is>
          <t>Player trade (max rank)</t>
        </is>
      </c>
      <c r="I483" t="inlineStr">
        <is>
          <t>Yes</t>
        </is>
      </c>
      <c r="K483" t="inlineStr">
        <is>
          <t>Collection</t>
        </is>
      </c>
      <c r="L483" t="n">
        <v>17</v>
      </c>
      <c r="M483" t="n">
        <v>17</v>
      </c>
      <c r="N483" t="n">
        <v>25</v>
      </c>
      <c r="O483" t="inlineStr">
        <is>
          <t>2026-10-05 UTC (WFM pull 02:52-04:00)</t>
        </is>
      </c>
      <c r="P483" t="inlineStr">
        <is>
          <t>OK</t>
        </is>
      </c>
      <c r="R483" t="inlineStr">
        <is>
          <t>Every current tradeable mod at MAX RANK (WFM catalogue, rivens/locators excluded)</t>
        </is>
      </c>
      <c r="S483" t="inlineStr">
        <is>
          <t>chromatic_blade</t>
        </is>
      </c>
      <c r="T483" t="n">
        <v>7</v>
      </c>
      <c r="U483" t="n">
        <v>7</v>
      </c>
      <c r="V483" t="n">
        <v>10</v>
      </c>
      <c r="W483" t="n">
        <v>10</v>
      </c>
      <c r="X483" t="n">
        <v>11.2</v>
      </c>
      <c r="Y483" t="n">
        <v>483</v>
      </c>
      <c r="Z483" t="n">
        <v>11</v>
      </c>
      <c r="AN483" t="inlineStr">
        <is>
          <t>Augment Excalibur</t>
        </is>
      </c>
      <c r="AO483" t="n">
        <v>210</v>
      </c>
      <c r="AP483" t="n">
        <v>10143</v>
      </c>
      <c r="AQ483" t="n">
        <v>10</v>
      </c>
      <c r="AS483" t="inlineStr">
        <is>
          <t>Yes</t>
        </is>
      </c>
    </row>
    <row r="484">
      <c r="A484" t="inlineStr">
        <is>
          <t>Mod</t>
        </is>
      </c>
      <c r="B484" t="inlineStr">
        <is>
          <t>Clashing Forest</t>
        </is>
      </c>
      <c r="E484" t="inlineStr">
        <is>
          <t>Stance</t>
        </is>
      </c>
      <c r="F484" t="n">
        <v>3</v>
      </c>
      <c r="G484" t="n">
        <v>1</v>
      </c>
      <c r="H484" t="inlineStr">
        <is>
          <t>Player trade (max rank)</t>
        </is>
      </c>
      <c r="I484" t="inlineStr">
        <is>
          <t>Yes</t>
        </is>
      </c>
      <c r="K484" t="inlineStr">
        <is>
          <t>Collection</t>
        </is>
      </c>
      <c r="L484" t="n">
        <v>3</v>
      </c>
      <c r="M484" t="n">
        <v>5</v>
      </c>
      <c r="N484" t="n">
        <v>10</v>
      </c>
      <c r="O484" t="inlineStr">
        <is>
          <t>2026-10-05 UTC (WFM pull 02:52-04:00)</t>
        </is>
      </c>
      <c r="P484" t="inlineStr">
        <is>
          <t>OK</t>
        </is>
      </c>
      <c r="R484" t="inlineStr">
        <is>
          <t>Every current tradeable mod at MAX RANK (WFM catalogue, rivens/locators excluded)</t>
        </is>
      </c>
      <c r="S484" t="inlineStr">
        <is>
          <t>clashing_forest</t>
        </is>
      </c>
      <c r="T484" t="n">
        <v>69</v>
      </c>
      <c r="U484" t="n">
        <v>2</v>
      </c>
      <c r="V484" t="n">
        <v>9</v>
      </c>
      <c r="W484" t="n">
        <v>9</v>
      </c>
      <c r="X484" t="n">
        <v>11.7</v>
      </c>
      <c r="Y484" t="n">
        <v>15</v>
      </c>
      <c r="Z484" t="n">
        <v>0</v>
      </c>
      <c r="AN484" t="inlineStr">
        <is>
          <t>Stance</t>
        </is>
      </c>
      <c r="AO484" t="n">
        <v>140</v>
      </c>
      <c r="AP484" t="n">
        <v>6762</v>
      </c>
      <c r="AQ484" t="n">
        <v>2</v>
      </c>
      <c r="AS484" t="inlineStr">
        <is>
          <t>Yes</t>
        </is>
      </c>
    </row>
    <row r="485">
      <c r="A485" t="inlineStr">
        <is>
          <t>Mod</t>
        </is>
      </c>
      <c r="B485" t="inlineStr">
        <is>
          <t>Cleanse Corpus</t>
        </is>
      </c>
      <c r="E485" t="inlineStr">
        <is>
          <t>Shotgun</t>
        </is>
      </c>
      <c r="F485" t="n">
        <v>5</v>
      </c>
      <c r="G485" t="n">
        <v>1</v>
      </c>
      <c r="H485" t="inlineStr">
        <is>
          <t>Player trade (max rank)</t>
        </is>
      </c>
      <c r="I485" t="inlineStr">
        <is>
          <t>Yes</t>
        </is>
      </c>
      <c r="K485" t="inlineStr">
        <is>
          <t>Collection</t>
        </is>
      </c>
      <c r="L485" t="n">
        <v>4</v>
      </c>
      <c r="M485" t="n">
        <v>8</v>
      </c>
      <c r="N485" t="n">
        <v>18</v>
      </c>
      <c r="O485" t="inlineStr">
        <is>
          <t>2026-10-05 UTC (WFM pull 02:52-04:00)</t>
        </is>
      </c>
      <c r="P485" t="inlineStr">
        <is>
          <t>OK</t>
        </is>
      </c>
      <c r="R485" t="inlineStr">
        <is>
          <t>Every current tradeable mod at MAX RANK (WFM catalogue, rivens/locators excluded)</t>
        </is>
      </c>
      <c r="S485" t="inlineStr">
        <is>
          <t>cleanse_corpus</t>
        </is>
      </c>
      <c r="T485" t="n">
        <v>64</v>
      </c>
      <c r="U485" t="n">
        <v>2</v>
      </c>
      <c r="V485" t="n">
        <v>25</v>
      </c>
      <c r="W485" t="n">
        <v>10</v>
      </c>
      <c r="X485" t="n">
        <v>11.8</v>
      </c>
      <c r="Y485" t="n">
        <v>5</v>
      </c>
      <c r="Z485" t="n">
        <v>0</v>
      </c>
      <c r="AN485" t="inlineStr">
        <is>
          <t>Shotgun</t>
        </is>
      </c>
      <c r="AO485" t="n">
        <v>620</v>
      </c>
      <c r="AP485" t="n">
        <v>29946</v>
      </c>
      <c r="AQ485" t="n">
        <v>5.2</v>
      </c>
      <c r="AS485" t="inlineStr">
        <is>
          <t>Yes</t>
        </is>
      </c>
    </row>
    <row r="486">
      <c r="A486" t="inlineStr">
        <is>
          <t>Mod</t>
        </is>
      </c>
      <c r="B486" t="inlineStr">
        <is>
          <t>Cleanse Grineer</t>
        </is>
      </c>
      <c r="E486" t="inlineStr">
        <is>
          <t>Shotgun</t>
        </is>
      </c>
      <c r="F486" t="n">
        <v>5</v>
      </c>
      <c r="G486" t="n">
        <v>1</v>
      </c>
      <c r="H486" t="inlineStr">
        <is>
          <t>Player trade (max rank)</t>
        </is>
      </c>
      <c r="I486" t="inlineStr">
        <is>
          <t>Yes</t>
        </is>
      </c>
      <c r="K486" t="inlineStr">
        <is>
          <t>Collection</t>
        </is>
      </c>
      <c r="L486" t="n">
        <v>9</v>
      </c>
      <c r="M486" t="n">
        <v>12.5</v>
      </c>
      <c r="N486" t="n">
        <v>28</v>
      </c>
      <c r="O486" t="inlineStr">
        <is>
          <t>2026-10-05 UTC (WFM pull 02:52-04:00)</t>
        </is>
      </c>
      <c r="P486" t="inlineStr">
        <is>
          <t>OK</t>
        </is>
      </c>
      <c r="R486" t="inlineStr">
        <is>
          <t>Every current tradeable mod at MAX RANK (WFM catalogue, rivens/locators excluded)</t>
        </is>
      </c>
      <c r="S486" t="inlineStr">
        <is>
          <t>cleanse_grineer</t>
        </is>
      </c>
      <c r="T486" t="n">
        <v>4</v>
      </c>
      <c r="U486" t="n">
        <v>4</v>
      </c>
      <c r="V486" t="n">
        <v>10</v>
      </c>
      <c r="W486" t="n">
        <v>14</v>
      </c>
      <c r="X486" t="n">
        <v>14.8</v>
      </c>
      <c r="Y486" t="n">
        <v>4</v>
      </c>
      <c r="Z486" t="n">
        <v>0</v>
      </c>
      <c r="AN486" t="inlineStr">
        <is>
          <t>Shotgun</t>
        </is>
      </c>
      <c r="AO486" t="n">
        <v>620</v>
      </c>
      <c r="AP486" t="n">
        <v>29946</v>
      </c>
      <c r="AQ486" t="n">
        <v>3</v>
      </c>
      <c r="AS486" t="inlineStr">
        <is>
          <t>Yes</t>
        </is>
      </c>
    </row>
    <row r="487">
      <c r="A487" t="inlineStr">
        <is>
          <t>Mod</t>
        </is>
      </c>
      <c r="B487" t="inlineStr">
        <is>
          <t>Cleanse Infested</t>
        </is>
      </c>
      <c r="E487" t="inlineStr">
        <is>
          <t>Shotgun</t>
        </is>
      </c>
      <c r="F487" t="n">
        <v>5</v>
      </c>
      <c r="G487" t="n">
        <v>1</v>
      </c>
      <c r="H487" t="inlineStr">
        <is>
          <t>Player trade (max rank)</t>
        </is>
      </c>
      <c r="I487" t="inlineStr">
        <is>
          <t>Yes</t>
        </is>
      </c>
      <c r="K487" t="inlineStr">
        <is>
          <t>Collection</t>
        </is>
      </c>
      <c r="L487" t="n">
        <v>9</v>
      </c>
      <c r="M487" t="n">
        <v>15</v>
      </c>
      <c r="N487" t="n">
        <v>33</v>
      </c>
      <c r="O487" t="inlineStr">
        <is>
          <t>2026-10-05 UTC (WFM pull 02:52-04:00)</t>
        </is>
      </c>
      <c r="P487" t="inlineStr">
        <is>
          <t>OK</t>
        </is>
      </c>
      <c r="R487" t="inlineStr">
        <is>
          <t>Every current tradeable mod at MAX RANK (WFM catalogue, rivens/locators excluded)</t>
        </is>
      </c>
      <c r="S487" t="inlineStr">
        <is>
          <t>cleanse_infested</t>
        </is>
      </c>
      <c r="T487" t="n">
        <v>4</v>
      </c>
      <c r="U487" t="n">
        <v>4</v>
      </c>
      <c r="V487" t="n">
        <v>10</v>
      </c>
      <c r="W487" t="n">
        <v>10</v>
      </c>
      <c r="X487" t="n">
        <v>10</v>
      </c>
      <c r="Y487" t="n">
        <v>2</v>
      </c>
      <c r="Z487" t="n">
        <v>0</v>
      </c>
      <c r="AN487" t="inlineStr">
        <is>
          <t>Shotgun</t>
        </is>
      </c>
      <c r="AO487" t="n">
        <v>620</v>
      </c>
      <c r="AP487" t="n">
        <v>29946</v>
      </c>
      <c r="AQ487" t="n">
        <v>3</v>
      </c>
      <c r="AS487" t="inlineStr">
        <is>
          <t>Yes</t>
        </is>
      </c>
    </row>
    <row r="488">
      <c r="A488" t="inlineStr">
        <is>
          <t>Mod</t>
        </is>
      </c>
      <c r="B488" t="inlineStr">
        <is>
          <t>Cleanse Orokin</t>
        </is>
      </c>
      <c r="E488" t="inlineStr">
        <is>
          <t>Shotgun</t>
        </is>
      </c>
      <c r="F488" t="n">
        <v>5</v>
      </c>
      <c r="G488" t="n">
        <v>1</v>
      </c>
      <c r="H488" t="inlineStr">
        <is>
          <t>Player trade (max rank)</t>
        </is>
      </c>
      <c r="I488" t="inlineStr">
        <is>
          <t>Yes</t>
        </is>
      </c>
      <c r="K488" t="inlineStr">
        <is>
          <t>Collection</t>
        </is>
      </c>
      <c r="L488" t="n">
        <v>30</v>
      </c>
      <c r="M488" t="n">
        <v>33.8</v>
      </c>
      <c r="N488" t="n">
        <v>56</v>
      </c>
      <c r="O488" t="inlineStr">
        <is>
          <t>2026-10-05 UTC (WFM pull 02:52-04:00)</t>
        </is>
      </c>
      <c r="P488" t="inlineStr">
        <is>
          <t>OK</t>
        </is>
      </c>
      <c r="R488" t="inlineStr">
        <is>
          <t>Every current tradeable mod at MAX RANK (WFM catalogue, rivens/locators excluded)</t>
        </is>
      </c>
      <c r="S488" t="inlineStr">
        <is>
          <t>cleanse_orokin</t>
        </is>
      </c>
      <c r="T488" t="n">
        <v>3</v>
      </c>
      <c r="U488" t="n">
        <v>3</v>
      </c>
      <c r="W488" t="n">
        <v>22.5</v>
      </c>
      <c r="X488" t="n">
        <v>21.2</v>
      </c>
      <c r="Y488" t="n">
        <v>17</v>
      </c>
      <c r="Z488" t="n">
        <v>0</v>
      </c>
      <c r="AN488" t="inlineStr">
        <is>
          <t>Shotgun</t>
        </is>
      </c>
      <c r="AO488" t="n">
        <v>620</v>
      </c>
      <c r="AP488" t="n">
        <v>29946</v>
      </c>
      <c r="AQ488" t="n">
        <v>20.2</v>
      </c>
      <c r="AS488" t="inlineStr">
        <is>
          <t>Yes</t>
        </is>
      </c>
    </row>
    <row r="489">
      <c r="A489" t="inlineStr">
        <is>
          <t>Mod</t>
        </is>
      </c>
      <c r="B489" t="inlineStr">
        <is>
          <t>Cleanse The Murmur</t>
        </is>
      </c>
      <c r="E489" t="inlineStr">
        <is>
          <t>Shotgun</t>
        </is>
      </c>
      <c r="F489" t="n">
        <v>5</v>
      </c>
      <c r="G489" t="n">
        <v>1</v>
      </c>
      <c r="H489" t="inlineStr">
        <is>
          <t>Player trade (max rank)</t>
        </is>
      </c>
      <c r="I489" t="inlineStr">
        <is>
          <t>Yes</t>
        </is>
      </c>
      <c r="K489" t="inlineStr">
        <is>
          <t>Collection</t>
        </is>
      </c>
      <c r="L489" t="n">
        <v>10</v>
      </c>
      <c r="M489" t="n">
        <v>20</v>
      </c>
      <c r="N489" t="n">
        <v>44</v>
      </c>
      <c r="O489" t="inlineStr">
        <is>
          <t>2026-10-05 UTC (WFM pull 02:52-04:00)</t>
        </is>
      </c>
      <c r="P489" t="inlineStr">
        <is>
          <t>OK</t>
        </is>
      </c>
      <c r="R489" t="inlineStr">
        <is>
          <t>Every current tradeable mod at MAX RANK (WFM catalogue, rivens/locators excluded)</t>
        </is>
      </c>
      <c r="S489" t="inlineStr">
        <is>
          <t>cleanse_the_murmur</t>
        </is>
      </c>
      <c r="T489" t="n">
        <v>5</v>
      </c>
      <c r="U489" t="n">
        <v>5</v>
      </c>
      <c r="V489" t="n">
        <v>20</v>
      </c>
      <c r="W489" t="n">
        <v>15</v>
      </c>
      <c r="X489" t="n">
        <v>17.5</v>
      </c>
      <c r="Y489" t="n">
        <v>2</v>
      </c>
      <c r="Z489" t="n">
        <v>0</v>
      </c>
      <c r="AN489" t="inlineStr">
        <is>
          <t>Shotgun</t>
        </is>
      </c>
      <c r="AO489" t="n">
        <v>620</v>
      </c>
      <c r="AP489" t="n">
        <v>29946</v>
      </c>
      <c r="AQ489" t="n">
        <v>6</v>
      </c>
      <c r="AS489" t="inlineStr">
        <is>
          <t>Yes</t>
        </is>
      </c>
    </row>
    <row r="490">
      <c r="A490" t="inlineStr">
        <is>
          <t>Mod</t>
        </is>
      </c>
      <c r="B490" t="inlineStr">
        <is>
          <t>Cleaving Whirlwind</t>
        </is>
      </c>
      <c r="E490" t="inlineStr">
        <is>
          <t>Stance</t>
        </is>
      </c>
      <c r="F490" t="n">
        <v>3</v>
      </c>
      <c r="G490" t="n">
        <v>1</v>
      </c>
      <c r="H490" t="inlineStr">
        <is>
          <t>Player trade (max rank)</t>
        </is>
      </c>
      <c r="I490" t="inlineStr">
        <is>
          <t>Yes</t>
        </is>
      </c>
      <c r="K490" t="inlineStr">
        <is>
          <t>Collection</t>
        </is>
      </c>
      <c r="L490" t="n">
        <v>8</v>
      </c>
      <c r="M490" t="n">
        <v>10</v>
      </c>
      <c r="N490" t="n">
        <v>22</v>
      </c>
      <c r="O490" t="inlineStr">
        <is>
          <t>2026-10-05 UTC (WFM pull 02:52-04:00)</t>
        </is>
      </c>
      <c r="P490" t="inlineStr">
        <is>
          <t>OK</t>
        </is>
      </c>
      <c r="R490" t="inlineStr">
        <is>
          <t>Every current tradeable mod at MAX RANK (WFM catalogue, rivens/locators excluded)</t>
        </is>
      </c>
      <c r="S490" t="inlineStr">
        <is>
          <t>cleaving_whirlwind</t>
        </is>
      </c>
      <c r="T490" t="n">
        <v>5</v>
      </c>
      <c r="U490" t="n">
        <v>5</v>
      </c>
      <c r="V490" t="n">
        <v>8</v>
      </c>
      <c r="W490" t="n">
        <v>9</v>
      </c>
      <c r="X490" t="n">
        <v>8.4</v>
      </c>
      <c r="Y490" t="n">
        <v>79</v>
      </c>
      <c r="Z490" t="n">
        <v>0</v>
      </c>
      <c r="AN490" t="inlineStr">
        <is>
          <t>Stance</t>
        </is>
      </c>
      <c r="AO490" t="n">
        <v>210</v>
      </c>
      <c r="AP490" t="n">
        <v>10143</v>
      </c>
      <c r="AQ490" t="n">
        <v>4</v>
      </c>
      <c r="AS490" t="inlineStr">
        <is>
          <t>Yes</t>
        </is>
      </c>
    </row>
    <row r="491">
      <c r="A491" t="inlineStr">
        <is>
          <t>Mod</t>
        </is>
      </c>
      <c r="B491" t="inlineStr">
        <is>
          <t>Clip Delegation</t>
        </is>
      </c>
      <c r="E491" t="inlineStr">
        <is>
          <t>Sobek</t>
        </is>
      </c>
      <c r="F491" t="n">
        <v>5</v>
      </c>
      <c r="G491" t="n">
        <v>1</v>
      </c>
      <c r="H491" t="inlineStr">
        <is>
          <t>Player trade (max rank)</t>
        </is>
      </c>
      <c r="I491" t="inlineStr">
        <is>
          <t>Yes</t>
        </is>
      </c>
      <c r="K491" t="inlineStr">
        <is>
          <t>Collection</t>
        </is>
      </c>
      <c r="L491" t="n">
        <v>35</v>
      </c>
      <c r="M491" t="n">
        <v>40</v>
      </c>
      <c r="N491" t="n">
        <v>66</v>
      </c>
      <c r="O491" t="inlineStr">
        <is>
          <t>2026-10-05 UTC (WFM pull 02:52-04:00)</t>
        </is>
      </c>
      <c r="P491" t="inlineStr">
        <is>
          <t>OK</t>
        </is>
      </c>
      <c r="R491" t="inlineStr">
        <is>
          <t>Every current tradeable mod at MAX RANK (WFM catalogue, rivens/locators excluded)</t>
        </is>
      </c>
      <c r="S491" t="inlineStr">
        <is>
          <t>clip_delegation</t>
        </is>
      </c>
      <c r="T491" t="n">
        <v>11</v>
      </c>
      <c r="U491" t="n">
        <v>11</v>
      </c>
      <c r="V491" t="n">
        <v>28</v>
      </c>
      <c r="W491" t="n">
        <v>28</v>
      </c>
      <c r="X491" t="n">
        <v>25.7</v>
      </c>
      <c r="Y491" t="n">
        <v>1041</v>
      </c>
      <c r="Z491" t="n">
        <v>26</v>
      </c>
      <c r="AN491" t="inlineStr">
        <is>
          <t>Sobek</t>
        </is>
      </c>
      <c r="AO491" t="n">
        <v>930</v>
      </c>
      <c r="AP491" t="n">
        <v>44919</v>
      </c>
      <c r="AQ491" t="n">
        <v>34</v>
      </c>
      <c r="AS491" t="inlineStr">
        <is>
          <t>Yes</t>
        </is>
      </c>
    </row>
    <row r="492">
      <c r="A492" t="inlineStr">
        <is>
          <t>Mod</t>
        </is>
      </c>
      <c r="B492" t="inlineStr">
        <is>
          <t>Coaction Drift</t>
        </is>
      </c>
      <c r="E492" t="inlineStr">
        <is>
          <t>Warframe</t>
        </is>
      </c>
      <c r="F492" t="n">
        <v>5</v>
      </c>
      <c r="G492" t="n">
        <v>1</v>
      </c>
      <c r="H492" t="inlineStr">
        <is>
          <t>Player trade (max rank)</t>
        </is>
      </c>
      <c r="I492" t="inlineStr">
        <is>
          <t>Yes</t>
        </is>
      </c>
      <c r="K492" t="inlineStr">
        <is>
          <t>Collection</t>
        </is>
      </c>
      <c r="L492" t="n">
        <v>20</v>
      </c>
      <c r="M492" t="n">
        <v>23</v>
      </c>
      <c r="N492" t="n">
        <v>33</v>
      </c>
      <c r="O492" t="inlineStr">
        <is>
          <t>2026-10-05 UTC (WFM pull 02:52-04:00)</t>
        </is>
      </c>
      <c r="P492" t="inlineStr">
        <is>
          <t>OK</t>
        </is>
      </c>
      <c r="R492" t="inlineStr">
        <is>
          <t>Every current tradeable mod at MAX RANK (WFM catalogue, rivens/locators excluded)</t>
        </is>
      </c>
      <c r="S492" t="inlineStr">
        <is>
          <t>coaction_drift</t>
        </is>
      </c>
      <c r="T492" t="n">
        <v>11</v>
      </c>
      <c r="U492" t="n">
        <v>11</v>
      </c>
      <c r="V492" t="n">
        <v>19</v>
      </c>
      <c r="W492" t="n">
        <v>17</v>
      </c>
      <c r="X492" t="n">
        <v>17.1</v>
      </c>
      <c r="Y492" t="n">
        <v>784</v>
      </c>
      <c r="Z492" t="n">
        <v>19</v>
      </c>
      <c r="AN492" t="inlineStr">
        <is>
          <t>Warframe</t>
        </is>
      </c>
      <c r="AO492" t="n">
        <v>930</v>
      </c>
      <c r="AP492" t="n">
        <v>44919</v>
      </c>
      <c r="AQ492" t="n">
        <v>12</v>
      </c>
      <c r="AS492" t="inlineStr">
        <is>
          <t>Yes</t>
        </is>
      </c>
    </row>
    <row r="493">
      <c r="A493" t="inlineStr">
        <is>
          <t>Mod</t>
        </is>
      </c>
      <c r="B493" t="inlineStr">
        <is>
          <t>Coil Recharge</t>
        </is>
      </c>
      <c r="E493" t="inlineStr">
        <is>
          <t>Augment Gyre</t>
        </is>
      </c>
      <c r="F493" t="n">
        <v>3</v>
      </c>
      <c r="G493" t="n">
        <v>1</v>
      </c>
      <c r="H493" t="inlineStr">
        <is>
          <t>Player trade (max rank)</t>
        </is>
      </c>
      <c r="I493" t="inlineStr">
        <is>
          <t>Yes</t>
        </is>
      </c>
      <c r="K493" t="inlineStr">
        <is>
          <t>Collection</t>
        </is>
      </c>
      <c r="L493" t="n">
        <v>25</v>
      </c>
      <c r="M493" t="n">
        <v>25</v>
      </c>
      <c r="N493" t="n">
        <v>56</v>
      </c>
      <c r="O493" t="inlineStr">
        <is>
          <t>2026-10-05 UTC (WFM pull 02:52-04:00)</t>
        </is>
      </c>
      <c r="P493" t="inlineStr">
        <is>
          <t>OK</t>
        </is>
      </c>
      <c r="R493" t="inlineStr">
        <is>
          <t>Every current tradeable mod at MAX RANK (WFM catalogue, rivens/locators excluded)</t>
        </is>
      </c>
      <c r="S493" t="inlineStr">
        <is>
          <t>coil_recharge</t>
        </is>
      </c>
      <c r="T493" t="n">
        <v>3</v>
      </c>
      <c r="U493" t="n">
        <v>3</v>
      </c>
      <c r="V493" t="n">
        <v>13</v>
      </c>
      <c r="W493" t="n">
        <v>13</v>
      </c>
      <c r="X493" t="n">
        <v>14</v>
      </c>
      <c r="Y493" t="n">
        <v>33</v>
      </c>
      <c r="Z493" t="n">
        <v>0</v>
      </c>
      <c r="AN493" t="inlineStr">
        <is>
          <t>Augment Gyre</t>
        </is>
      </c>
      <c r="AO493" t="n">
        <v>210</v>
      </c>
      <c r="AP493" t="n">
        <v>10143</v>
      </c>
      <c r="AQ493" t="n">
        <v>15</v>
      </c>
      <c r="AS493" t="inlineStr">
        <is>
          <t>Yes</t>
        </is>
      </c>
    </row>
    <row r="494">
      <c r="A494" t="inlineStr">
        <is>
          <t>Mod</t>
        </is>
      </c>
      <c r="B494" t="inlineStr">
        <is>
          <t>Coiling Viper</t>
        </is>
      </c>
      <c r="E494" t="inlineStr">
        <is>
          <t>Stance</t>
        </is>
      </c>
      <c r="F494" t="n">
        <v>3</v>
      </c>
      <c r="G494" t="n">
        <v>1</v>
      </c>
      <c r="H494" t="inlineStr">
        <is>
          <t>Player trade (max rank)</t>
        </is>
      </c>
      <c r="I494" t="inlineStr">
        <is>
          <t>Yes</t>
        </is>
      </c>
      <c r="K494" t="inlineStr">
        <is>
          <t>Collection</t>
        </is>
      </c>
      <c r="L494" t="n">
        <v>5</v>
      </c>
      <c r="M494" t="n">
        <v>9</v>
      </c>
      <c r="N494" t="n">
        <v>11</v>
      </c>
      <c r="O494" t="inlineStr">
        <is>
          <t>2026-10-05 UTC (WFM pull 02:52-04:00)</t>
        </is>
      </c>
      <c r="P494" t="inlineStr">
        <is>
          <t>OK</t>
        </is>
      </c>
      <c r="R494" t="inlineStr">
        <is>
          <t>Every current tradeable mod at MAX RANK (WFM catalogue, rivens/locators excluded)</t>
        </is>
      </c>
      <c r="S494" t="inlineStr">
        <is>
          <t>coiling_viper</t>
        </is>
      </c>
      <c r="T494" t="n">
        <v>9</v>
      </c>
      <c r="U494" t="n">
        <v>9</v>
      </c>
      <c r="V494" t="n">
        <v>9</v>
      </c>
      <c r="W494" t="n">
        <v>8</v>
      </c>
      <c r="X494" t="n">
        <v>7.1</v>
      </c>
      <c r="Y494" t="n">
        <v>28</v>
      </c>
      <c r="Z494" t="n">
        <v>0</v>
      </c>
      <c r="AN494" t="inlineStr">
        <is>
          <t>Stance</t>
        </is>
      </c>
      <c r="AO494" t="n">
        <v>210</v>
      </c>
      <c r="AP494" t="n">
        <v>10143</v>
      </c>
      <c r="AQ494" t="n">
        <v>3</v>
      </c>
      <c r="AS494" t="inlineStr">
        <is>
          <t>Yes</t>
        </is>
      </c>
    </row>
    <row r="495">
      <c r="A495" t="inlineStr">
        <is>
          <t>Mod</t>
        </is>
      </c>
      <c r="B495" t="inlineStr">
        <is>
          <t>Cold Arrival</t>
        </is>
      </c>
      <c r="E495" t="inlineStr">
        <is>
          <t>K-Drive</t>
        </is>
      </c>
      <c r="F495" t="n">
        <v>3</v>
      </c>
      <c r="G495" t="n">
        <v>1</v>
      </c>
      <c r="H495" t="inlineStr">
        <is>
          <t>Player trade (max rank)</t>
        </is>
      </c>
      <c r="I495" t="inlineStr">
        <is>
          <t>Yes</t>
        </is>
      </c>
      <c r="K495" t="inlineStr">
        <is>
          <t>Collection</t>
        </is>
      </c>
      <c r="L495" t="n">
        <v>20</v>
      </c>
      <c r="M495" t="n">
        <v>28</v>
      </c>
      <c r="N495" t="n">
        <v>39</v>
      </c>
      <c r="O495" t="inlineStr">
        <is>
          <t>2026-10-05 UTC (WFM pull 02:52-04:00)</t>
        </is>
      </c>
      <c r="P495" t="inlineStr">
        <is>
          <t>OK</t>
        </is>
      </c>
      <c r="R495" t="inlineStr">
        <is>
          <t>Every current tradeable mod at MAX RANK (WFM catalogue, rivens/locators excluded)</t>
        </is>
      </c>
      <c r="S495" t="inlineStr">
        <is>
          <t>cold_arrival</t>
        </is>
      </c>
      <c r="T495" t="n">
        <v>20</v>
      </c>
      <c r="U495" t="n">
        <v>1</v>
      </c>
      <c r="Y495" t="n">
        <v>0</v>
      </c>
      <c r="Z495" t="n">
        <v>0</v>
      </c>
      <c r="AN495" t="inlineStr">
        <is>
          <t>K-Drive</t>
        </is>
      </c>
      <c r="AO495" t="n">
        <v>140</v>
      </c>
      <c r="AP495" t="n">
        <v>6762</v>
      </c>
      <c r="AQ495" t="n">
        <v>20</v>
      </c>
      <c r="AS495" t="inlineStr">
        <is>
          <t>Yes</t>
        </is>
      </c>
    </row>
    <row r="496">
      <c r="A496" t="inlineStr">
        <is>
          <t>Mod</t>
        </is>
      </c>
      <c r="B496" t="inlineStr">
        <is>
          <t>Cold Front</t>
        </is>
      </c>
      <c r="E496" t="inlineStr">
        <is>
          <t>Augment Frost</t>
        </is>
      </c>
      <c r="F496" t="n">
        <v>3</v>
      </c>
      <c r="G496" t="n">
        <v>1</v>
      </c>
      <c r="H496" t="inlineStr">
        <is>
          <t>Player trade (max rank)</t>
        </is>
      </c>
      <c r="I496" t="inlineStr">
        <is>
          <t>Yes</t>
        </is>
      </c>
      <c r="K496" t="inlineStr">
        <is>
          <t>Collection</t>
        </is>
      </c>
      <c r="L496" t="n">
        <v>25</v>
      </c>
      <c r="M496" t="n">
        <v>28.5</v>
      </c>
      <c r="N496" t="n">
        <v>63</v>
      </c>
      <c r="O496" t="inlineStr">
        <is>
          <t>2026-10-05 UTC (WFM pull 02:52-04:00)</t>
        </is>
      </c>
      <c r="P496" t="inlineStr">
        <is>
          <t>OK</t>
        </is>
      </c>
      <c r="R496" t="inlineStr">
        <is>
          <t>Every current tradeable mod at MAX RANK (WFM catalogue, rivens/locators excluded)</t>
        </is>
      </c>
      <c r="S496" t="inlineStr">
        <is>
          <t>cold_front</t>
        </is>
      </c>
      <c r="T496" t="n">
        <v>5</v>
      </c>
      <c r="U496" t="n">
        <v>5</v>
      </c>
      <c r="V496" t="n">
        <v>19</v>
      </c>
      <c r="W496" t="n">
        <v>19</v>
      </c>
      <c r="X496" t="n">
        <v>18.7</v>
      </c>
      <c r="Y496" t="n">
        <v>168</v>
      </c>
      <c r="Z496" t="n">
        <v>31</v>
      </c>
      <c r="AN496" t="inlineStr">
        <is>
          <t>Augment Frost</t>
        </is>
      </c>
      <c r="AO496" t="n">
        <v>210</v>
      </c>
      <c r="AP496" t="n">
        <v>10143</v>
      </c>
      <c r="AQ496" t="n">
        <v>17</v>
      </c>
      <c r="AS496" t="inlineStr">
        <is>
          <t>Yes</t>
        </is>
      </c>
    </row>
    <row r="497">
      <c r="A497" t="inlineStr">
        <is>
          <t>Mod</t>
        </is>
      </c>
      <c r="B497" t="inlineStr">
        <is>
          <t>Cold Snap</t>
        </is>
      </c>
      <c r="E497" t="inlineStr">
        <is>
          <t>Augment Itzal</t>
        </is>
      </c>
      <c r="F497" t="n">
        <v>3</v>
      </c>
      <c r="G497" t="n">
        <v>1</v>
      </c>
      <c r="H497" t="inlineStr">
        <is>
          <t>Player trade (max rank)</t>
        </is>
      </c>
      <c r="I497" t="inlineStr">
        <is>
          <t>Yes</t>
        </is>
      </c>
      <c r="K497" t="inlineStr">
        <is>
          <t>Collection</t>
        </is>
      </c>
      <c r="L497" t="n">
        <v>7</v>
      </c>
      <c r="M497" t="n">
        <v>9.800000000000001</v>
      </c>
      <c r="N497" t="n">
        <v>22</v>
      </c>
      <c r="O497" t="inlineStr">
        <is>
          <t>2026-10-05 UTC (WFM pull 02:52-04:00)</t>
        </is>
      </c>
      <c r="P497" t="inlineStr">
        <is>
          <t>OK</t>
        </is>
      </c>
      <c r="R497" t="inlineStr">
        <is>
          <t>Every current tradeable mod at MAX RANK (WFM catalogue, rivens/locators excluded)</t>
        </is>
      </c>
      <c r="S497" t="inlineStr">
        <is>
          <t>cold_snap</t>
        </is>
      </c>
      <c r="T497" t="n">
        <v>6</v>
      </c>
      <c r="U497" t="n">
        <v>6</v>
      </c>
      <c r="V497" t="n">
        <v>6.5</v>
      </c>
      <c r="W497" t="n">
        <v>7</v>
      </c>
      <c r="X497" t="n">
        <v>6.6</v>
      </c>
      <c r="Y497" t="n">
        <v>24</v>
      </c>
      <c r="Z497" t="n">
        <v>1</v>
      </c>
      <c r="AN497" t="inlineStr">
        <is>
          <t>Augment Itzal</t>
        </is>
      </c>
      <c r="AO497" t="n">
        <v>210</v>
      </c>
      <c r="AP497" t="n">
        <v>10143</v>
      </c>
      <c r="AQ497" t="n">
        <v>3</v>
      </c>
      <c r="AS497" t="inlineStr">
        <is>
          <t>Yes</t>
        </is>
      </c>
    </row>
    <row r="498">
      <c r="A498" t="inlineStr">
        <is>
          <t>Mod</t>
        </is>
      </c>
      <c r="B498" t="inlineStr">
        <is>
          <t>Collision Force</t>
        </is>
      </c>
      <c r="E498" t="inlineStr">
        <is>
          <t>Melee</t>
        </is>
      </c>
      <c r="F498" t="n">
        <v>5</v>
      </c>
      <c r="G498" t="n">
        <v>1</v>
      </c>
      <c r="H498" t="inlineStr">
        <is>
          <t>Player trade (max rank)</t>
        </is>
      </c>
      <c r="I498" t="inlineStr">
        <is>
          <t>Yes</t>
        </is>
      </c>
      <c r="K498" t="inlineStr">
        <is>
          <t>Collection</t>
        </is>
      </c>
      <c r="L498" t="n">
        <v>20</v>
      </c>
      <c r="M498" t="n">
        <v>20</v>
      </c>
      <c r="N498" t="n">
        <v>44</v>
      </c>
      <c r="O498" t="inlineStr">
        <is>
          <t>2026-10-05 UTC (WFM pull 02:52-04:00)</t>
        </is>
      </c>
      <c r="P498" t="inlineStr">
        <is>
          <t>OK</t>
        </is>
      </c>
      <c r="R498" t="inlineStr">
        <is>
          <t>Every current tradeable mod at MAX RANK (WFM catalogue, rivens/locators excluded)</t>
        </is>
      </c>
      <c r="S498" t="inlineStr">
        <is>
          <t>collision_force</t>
        </is>
      </c>
      <c r="T498" t="n">
        <v>3</v>
      </c>
      <c r="U498" t="n">
        <v>3</v>
      </c>
      <c r="V498" t="n">
        <v>12.5</v>
      </c>
      <c r="W498" t="n">
        <v>10</v>
      </c>
      <c r="X498" t="n">
        <v>12.2</v>
      </c>
      <c r="Y498" t="n">
        <v>24</v>
      </c>
      <c r="Z498" t="n">
        <v>0</v>
      </c>
      <c r="AN498" t="inlineStr">
        <is>
          <t>Melee</t>
        </is>
      </c>
      <c r="AO498" t="n">
        <v>930</v>
      </c>
      <c r="AP498" t="n">
        <v>44919</v>
      </c>
      <c r="AQ498" t="n">
        <v>5</v>
      </c>
      <c r="AS498" t="inlineStr">
        <is>
          <t>Yes</t>
        </is>
      </c>
    </row>
    <row r="499">
      <c r="A499" t="inlineStr">
        <is>
          <t>Mod</t>
        </is>
      </c>
      <c r="B499" t="inlineStr">
        <is>
          <t>Combat Discipline</t>
        </is>
      </c>
      <c r="E499" t="inlineStr">
        <is>
          <t>Aura</t>
        </is>
      </c>
      <c r="F499" t="n">
        <v>5</v>
      </c>
      <c r="G499" t="n">
        <v>1</v>
      </c>
      <c r="H499" t="inlineStr">
        <is>
          <t>Player trade (max rank)</t>
        </is>
      </c>
      <c r="I499" t="inlineStr">
        <is>
          <t>Yes</t>
        </is>
      </c>
      <c r="K499" t="inlineStr">
        <is>
          <t>Collection</t>
        </is>
      </c>
      <c r="L499" t="n">
        <v>9</v>
      </c>
      <c r="M499" t="n">
        <v>10</v>
      </c>
      <c r="N499" t="n">
        <v>11</v>
      </c>
      <c r="O499" t="inlineStr">
        <is>
          <t>2026-10-05 UTC (WFM pull 02:52-04:00)</t>
        </is>
      </c>
      <c r="P499" t="inlineStr">
        <is>
          <t>OK</t>
        </is>
      </c>
      <c r="R499" t="inlineStr">
        <is>
          <t>Every current tradeable mod at MAX RANK (WFM catalogue, rivens/locators excluded)</t>
        </is>
      </c>
      <c r="S499" t="inlineStr">
        <is>
          <t>combat_discipline</t>
        </is>
      </c>
      <c r="T499" t="n">
        <v>10</v>
      </c>
      <c r="U499" t="n">
        <v>10</v>
      </c>
      <c r="V499" t="n">
        <v>9.5</v>
      </c>
      <c r="W499" t="n">
        <v>10</v>
      </c>
      <c r="X499" t="n">
        <v>9.300000000000001</v>
      </c>
      <c r="Y499" t="n">
        <v>390</v>
      </c>
      <c r="Z499" t="n">
        <v>3</v>
      </c>
      <c r="AN499" t="inlineStr">
        <is>
          <t>Aura</t>
        </is>
      </c>
      <c r="AO499" t="n">
        <v>930</v>
      </c>
      <c r="AP499" t="n">
        <v>44919</v>
      </c>
      <c r="AQ499" t="n">
        <v>4</v>
      </c>
      <c r="AS499" t="inlineStr">
        <is>
          <t>Yes</t>
        </is>
      </c>
    </row>
    <row r="500">
      <c r="A500" t="inlineStr">
        <is>
          <t>Mod</t>
        </is>
      </c>
      <c r="B500" t="inlineStr">
        <is>
          <t>Combat Reload</t>
        </is>
      </c>
      <c r="E500" t="inlineStr">
        <is>
          <t>Augment Tigris</t>
        </is>
      </c>
      <c r="F500" t="n">
        <v>5</v>
      </c>
      <c r="G500" t="n">
        <v>1</v>
      </c>
      <c r="H500" t="inlineStr">
        <is>
          <t>Player trade (max rank)</t>
        </is>
      </c>
      <c r="I500" t="inlineStr">
        <is>
          <t>Yes</t>
        </is>
      </c>
      <c r="K500" t="inlineStr">
        <is>
          <t>Collection</t>
        </is>
      </c>
      <c r="L500" t="n">
        <v>40</v>
      </c>
      <c r="M500" t="n">
        <v>40</v>
      </c>
      <c r="N500" t="n">
        <v>88</v>
      </c>
      <c r="O500" t="inlineStr">
        <is>
          <t>2026-10-05 UTC (WFM pull 02:52-04:00)</t>
        </is>
      </c>
      <c r="P500" t="inlineStr">
        <is>
          <t>OK</t>
        </is>
      </c>
      <c r="R500" t="inlineStr">
        <is>
          <t>Every current tradeable mod at MAX RANK (WFM catalogue, rivens/locators excluded)</t>
        </is>
      </c>
      <c r="S500" t="inlineStr">
        <is>
          <t>combat_reload</t>
        </is>
      </c>
      <c r="T500" t="n">
        <v>4</v>
      </c>
      <c r="U500" t="n">
        <v>4</v>
      </c>
      <c r="V500" t="n">
        <v>20</v>
      </c>
      <c r="W500" t="n">
        <v>20</v>
      </c>
      <c r="X500" t="n">
        <v>22.2</v>
      </c>
      <c r="Y500" t="n">
        <v>31</v>
      </c>
      <c r="Z500" t="n">
        <v>1</v>
      </c>
      <c r="AN500" t="inlineStr">
        <is>
          <t>Augment Tigris</t>
        </is>
      </c>
      <c r="AO500" t="n">
        <v>930</v>
      </c>
      <c r="AP500" t="n">
        <v>44919</v>
      </c>
      <c r="AQ500" t="n">
        <v>11</v>
      </c>
      <c r="AS500" t="inlineStr">
        <is>
          <t>Yes</t>
        </is>
      </c>
    </row>
    <row r="501">
      <c r="A501" t="inlineStr">
        <is>
          <t>Mod</t>
        </is>
      </c>
      <c r="B501" t="inlineStr">
        <is>
          <t>Combo Fury</t>
        </is>
      </c>
      <c r="E501" t="inlineStr">
        <is>
          <t>Thrown Melee</t>
        </is>
      </c>
      <c r="F501" t="n">
        <v>5</v>
      </c>
      <c r="G501" t="n">
        <v>1</v>
      </c>
      <c r="H501" t="inlineStr">
        <is>
          <t>Player trade (max rank)</t>
        </is>
      </c>
      <c r="I501" t="inlineStr">
        <is>
          <t>Yes</t>
        </is>
      </c>
      <c r="K501" t="inlineStr">
        <is>
          <t>Collection</t>
        </is>
      </c>
      <c r="L501" t="n">
        <v>50</v>
      </c>
      <c r="M501" t="n">
        <v>50</v>
      </c>
      <c r="N501" t="n">
        <v>111</v>
      </c>
      <c r="O501" t="inlineStr">
        <is>
          <t>2026-10-05 UTC (WFM pull 02:52-04:00)</t>
        </is>
      </c>
      <c r="P501" t="inlineStr">
        <is>
          <t>OK</t>
        </is>
      </c>
      <c r="R501" t="inlineStr">
        <is>
          <t>Every current tradeable mod at MAX RANK (WFM catalogue, rivens/locators excluded)</t>
        </is>
      </c>
      <c r="S501" t="inlineStr">
        <is>
          <t>combo_fury</t>
        </is>
      </c>
      <c r="T501" t="n">
        <v>3</v>
      </c>
      <c r="U501" t="n">
        <v>3</v>
      </c>
      <c r="V501" t="n">
        <v>30</v>
      </c>
      <c r="W501" t="n">
        <v>28.5</v>
      </c>
      <c r="X501" t="n">
        <v>26.6</v>
      </c>
      <c r="Y501" t="n">
        <v>31</v>
      </c>
      <c r="Z501" t="n">
        <v>0</v>
      </c>
      <c r="AN501" t="inlineStr">
        <is>
          <t>Thrown Melee</t>
        </is>
      </c>
      <c r="AO501" t="n">
        <v>930</v>
      </c>
      <c r="AP501" t="n">
        <v>44919</v>
      </c>
      <c r="AQ501" t="n">
        <v>25</v>
      </c>
      <c r="AS501" t="inlineStr">
        <is>
          <t>Yes</t>
        </is>
      </c>
    </row>
    <row r="502">
      <c r="A502" t="inlineStr">
        <is>
          <t>Mod</t>
        </is>
      </c>
      <c r="B502" t="inlineStr">
        <is>
          <t>Combo Killer</t>
        </is>
      </c>
      <c r="E502" t="inlineStr">
        <is>
          <t>Thrown Melee</t>
        </is>
      </c>
      <c r="F502" t="n">
        <v>5</v>
      </c>
      <c r="G502" t="n">
        <v>1</v>
      </c>
      <c r="H502" t="inlineStr">
        <is>
          <t>Player trade (max rank)</t>
        </is>
      </c>
      <c r="I502" t="inlineStr">
        <is>
          <t>Yes</t>
        </is>
      </c>
      <c r="K502" t="inlineStr">
        <is>
          <t>Collection</t>
        </is>
      </c>
      <c r="L502" t="n">
        <v>50</v>
      </c>
      <c r="M502" t="n">
        <v>50</v>
      </c>
      <c r="N502" t="n">
        <v>111</v>
      </c>
      <c r="O502" t="inlineStr">
        <is>
          <t>2026-10-05 UTC (WFM pull 02:52-04:00)</t>
        </is>
      </c>
      <c r="P502" t="inlineStr">
        <is>
          <t>OK</t>
        </is>
      </c>
      <c r="R502" t="inlineStr">
        <is>
          <t>Every current tradeable mod at MAX RANK (WFM catalogue, rivens/locators excluded)</t>
        </is>
      </c>
      <c r="S502" t="inlineStr">
        <is>
          <t>combo_killer</t>
        </is>
      </c>
      <c r="T502" t="n">
        <v>3</v>
      </c>
      <c r="U502" t="n">
        <v>3</v>
      </c>
      <c r="V502" t="n">
        <v>30</v>
      </c>
      <c r="W502" t="n">
        <v>44.5</v>
      </c>
      <c r="X502" t="n">
        <v>41.8</v>
      </c>
      <c r="Y502" t="n">
        <v>15</v>
      </c>
      <c r="Z502" t="n">
        <v>0</v>
      </c>
      <c r="AN502" t="inlineStr">
        <is>
          <t>Thrown Melee</t>
        </is>
      </c>
      <c r="AO502" t="n">
        <v>620</v>
      </c>
      <c r="AP502" t="n">
        <v>29946</v>
      </c>
      <c r="AQ502" t="n">
        <v>30</v>
      </c>
      <c r="AS502" t="inlineStr">
        <is>
          <t>Yes</t>
        </is>
      </c>
    </row>
    <row r="503">
      <c r="A503" t="inlineStr">
        <is>
          <t>Mod</t>
        </is>
      </c>
      <c r="B503" t="inlineStr">
        <is>
          <t>Combustion Beam</t>
        </is>
      </c>
      <c r="E503" t="inlineStr">
        <is>
          <t>Primary</t>
        </is>
      </c>
      <c r="F503" t="n">
        <v>5</v>
      </c>
      <c r="G503" t="n">
        <v>1</v>
      </c>
      <c r="H503" t="inlineStr">
        <is>
          <t>Player trade (max rank)</t>
        </is>
      </c>
      <c r="I503" t="inlineStr">
        <is>
          <t>Yes</t>
        </is>
      </c>
      <c r="K503" t="inlineStr">
        <is>
          <t>Collection</t>
        </is>
      </c>
      <c r="L503" t="n">
        <v>5</v>
      </c>
      <c r="M503" t="n">
        <v>8</v>
      </c>
      <c r="N503" t="n">
        <v>10</v>
      </c>
      <c r="O503" t="inlineStr">
        <is>
          <t>2026-10-05 UTC (WFM pull 02:52-04:00)</t>
        </is>
      </c>
      <c r="P503" t="inlineStr">
        <is>
          <t>OK</t>
        </is>
      </c>
      <c r="R503" t="inlineStr">
        <is>
          <t>Every current tradeable mod at MAX RANK (WFM catalogue, rivens/locators excluded)</t>
        </is>
      </c>
      <c r="S503" t="inlineStr">
        <is>
          <t>combustion_beam</t>
        </is>
      </c>
      <c r="T503" t="n">
        <v>9</v>
      </c>
      <c r="U503" t="n">
        <v>9</v>
      </c>
      <c r="V503" t="n">
        <v>8</v>
      </c>
      <c r="W503" t="n">
        <v>8</v>
      </c>
      <c r="X503" t="n">
        <v>8</v>
      </c>
      <c r="Y503" t="n">
        <v>21</v>
      </c>
      <c r="Z503" t="n">
        <v>0</v>
      </c>
      <c r="AN503" t="inlineStr">
        <is>
          <t>Primary</t>
        </is>
      </c>
      <c r="AO503" t="n">
        <v>930</v>
      </c>
      <c r="AP503" t="n">
        <v>44919</v>
      </c>
      <c r="AQ503" t="n">
        <v>3</v>
      </c>
      <c r="AS503" t="inlineStr">
        <is>
          <t>Yes</t>
        </is>
      </c>
    </row>
    <row r="504">
      <c r="A504" t="inlineStr">
        <is>
          <t>Mod</t>
        </is>
      </c>
      <c r="B504" t="inlineStr">
        <is>
          <t>Combustion Rounds</t>
        </is>
      </c>
      <c r="E504" t="inlineStr">
        <is>
          <t>Archgun</t>
        </is>
      </c>
      <c r="F504" t="n">
        <v>5</v>
      </c>
      <c r="G504" t="n">
        <v>1</v>
      </c>
      <c r="H504" t="inlineStr">
        <is>
          <t>Player trade (max rank)</t>
        </is>
      </c>
      <c r="I504" t="inlineStr">
        <is>
          <t>Yes</t>
        </is>
      </c>
      <c r="K504" t="inlineStr">
        <is>
          <t>Collection</t>
        </is>
      </c>
      <c r="L504" t="n">
        <v>15</v>
      </c>
      <c r="M504" t="n">
        <v>20</v>
      </c>
      <c r="N504" t="n">
        <v>44</v>
      </c>
      <c r="O504" t="inlineStr">
        <is>
          <t>2026-10-05 UTC (WFM pull 02:52-04:00)</t>
        </is>
      </c>
      <c r="P504" t="inlineStr">
        <is>
          <t>OK</t>
        </is>
      </c>
      <c r="R504" t="inlineStr">
        <is>
          <t>Every current tradeable mod at MAX RANK (WFM catalogue, rivens/locators excluded)</t>
        </is>
      </c>
      <c r="S504" t="inlineStr">
        <is>
          <t>combustion_rounds</t>
        </is>
      </c>
      <c r="T504" t="n">
        <v>5</v>
      </c>
      <c r="U504" t="n">
        <v>5</v>
      </c>
      <c r="V504" t="n">
        <v>14</v>
      </c>
      <c r="W504" t="n">
        <v>15</v>
      </c>
      <c r="X504" t="n">
        <v>14.4</v>
      </c>
      <c r="Y504" t="n">
        <v>82</v>
      </c>
      <c r="Z504" t="n">
        <v>1</v>
      </c>
      <c r="AN504" t="inlineStr">
        <is>
          <t>Archgun</t>
        </is>
      </c>
      <c r="AO504" t="n">
        <v>620</v>
      </c>
      <c r="AP504" t="n">
        <v>29946</v>
      </c>
      <c r="AQ504" t="n">
        <v>5</v>
      </c>
      <c r="AS504" t="inlineStr">
        <is>
          <t>Yes</t>
        </is>
      </c>
    </row>
    <row r="505">
      <c r="A505" t="inlineStr">
        <is>
          <t>Mod</t>
        </is>
      </c>
      <c r="B505" t="inlineStr">
        <is>
          <t>Comet Blast</t>
        </is>
      </c>
      <c r="E505" t="inlineStr">
        <is>
          <t>Archgun</t>
        </is>
      </c>
      <c r="F505" t="n">
        <v>5</v>
      </c>
      <c r="G505" t="n">
        <v>1</v>
      </c>
      <c r="H505" t="inlineStr">
        <is>
          <t>Player trade (max rank)</t>
        </is>
      </c>
      <c r="I505" t="inlineStr">
        <is>
          <t>Yes</t>
        </is>
      </c>
      <c r="K505" t="inlineStr">
        <is>
          <t>Collection</t>
        </is>
      </c>
      <c r="L505" t="n">
        <v>15</v>
      </c>
      <c r="M505" t="n">
        <v>15</v>
      </c>
      <c r="N505" t="n">
        <v>33</v>
      </c>
      <c r="O505" t="inlineStr">
        <is>
          <t>2026-10-05 UTC (WFM pull 02:52-04:00)</t>
        </is>
      </c>
      <c r="P505" t="inlineStr">
        <is>
          <t>OK</t>
        </is>
      </c>
      <c r="R505" t="inlineStr">
        <is>
          <t>Every current tradeable mod at MAX RANK (WFM catalogue, rivens/locators excluded)</t>
        </is>
      </c>
      <c r="S505" t="inlineStr">
        <is>
          <t>comet_blast</t>
        </is>
      </c>
      <c r="T505" t="n">
        <v>7</v>
      </c>
      <c r="U505" t="n">
        <v>7</v>
      </c>
      <c r="V505" t="n">
        <v>7.5</v>
      </c>
      <c r="W505" t="n">
        <v>8</v>
      </c>
      <c r="X505" t="n">
        <v>11</v>
      </c>
      <c r="Y505" t="n">
        <v>6</v>
      </c>
      <c r="Z505" t="n">
        <v>0</v>
      </c>
      <c r="AN505" t="inlineStr">
        <is>
          <t>Archgun</t>
        </is>
      </c>
      <c r="AO505" t="n">
        <v>930</v>
      </c>
      <c r="AP505" t="n">
        <v>44919</v>
      </c>
      <c r="AQ505" t="n">
        <v>7.5</v>
      </c>
      <c r="AS505" t="inlineStr">
        <is>
          <t>Yes</t>
        </is>
      </c>
    </row>
    <row r="506">
      <c r="A506" t="inlineStr">
        <is>
          <t>Mod</t>
        </is>
      </c>
      <c r="B506" t="inlineStr">
        <is>
          <t>Comet Rounds</t>
        </is>
      </c>
      <c r="E506" t="inlineStr">
        <is>
          <t>Conclave (PvP)</t>
        </is>
      </c>
      <c r="F506" t="n">
        <v>3</v>
      </c>
      <c r="G506" t="n">
        <v>1</v>
      </c>
      <c r="H506" t="inlineStr">
        <is>
          <t>Player trade (max rank)</t>
        </is>
      </c>
      <c r="I506" t="inlineStr">
        <is>
          <t>Yes</t>
        </is>
      </c>
      <c r="K506" t="inlineStr">
        <is>
          <t>Collection (PvP)</t>
        </is>
      </c>
      <c r="L506" t="n">
        <v>90</v>
      </c>
      <c r="M506" t="n">
        <v>90</v>
      </c>
      <c r="N506" t="n">
        <v>199</v>
      </c>
      <c r="O506" t="inlineStr">
        <is>
          <t>2026-10-05 UTC (WFM pull 02:52-04:00)</t>
        </is>
      </c>
      <c r="P506" t="inlineStr">
        <is>
          <t>OK</t>
        </is>
      </c>
      <c r="R506" t="inlineStr">
        <is>
          <t>Every current tradeable mod at MAX RANK (WFM catalogue, rivens/locators excluded)</t>
        </is>
      </c>
      <c r="S506" t="inlineStr">
        <is>
          <t>comet_rounds</t>
        </is>
      </c>
      <c r="T506" t="n">
        <v>5</v>
      </c>
      <c r="U506" t="n">
        <v>0</v>
      </c>
      <c r="W506" t="n">
        <v>20</v>
      </c>
      <c r="X506" t="n">
        <v>20</v>
      </c>
      <c r="Y506" t="n">
        <v>1</v>
      </c>
      <c r="Z506" t="n">
        <v>0</v>
      </c>
      <c r="AN506" t="inlineStr">
        <is>
          <t>Conclave (PvP)</t>
        </is>
      </c>
      <c r="AO506" t="n">
        <v>140</v>
      </c>
      <c r="AP506" t="n">
        <v>6762</v>
      </c>
      <c r="AQ506" t="n">
        <v>45</v>
      </c>
      <c r="AS506" t="inlineStr">
        <is>
          <t>PvP subtotal</t>
        </is>
      </c>
    </row>
    <row r="507">
      <c r="A507" t="inlineStr">
        <is>
          <t>Mod</t>
        </is>
      </c>
      <c r="B507" t="inlineStr">
        <is>
          <t>Companion Weapon Riven Mod (Veiled)</t>
        </is>
      </c>
      <c r="E507" t="inlineStr">
        <is>
          <t>Other</t>
        </is>
      </c>
      <c r="G507" t="n">
        <v>1</v>
      </c>
      <c r="H507" t="inlineStr">
        <is>
          <t>Player trade (max rank)</t>
        </is>
      </c>
      <c r="I507" t="inlineStr">
        <is>
          <t>Yes</t>
        </is>
      </c>
      <c r="K507" t="inlineStr">
        <is>
          <t>Collection</t>
        </is>
      </c>
      <c r="L507" t="n">
        <v>39</v>
      </c>
      <c r="M507" t="n">
        <v>40</v>
      </c>
      <c r="N507" t="n">
        <v>50</v>
      </c>
      <c r="O507" t="inlineStr">
        <is>
          <t>2026-10-05 UTC (WFM pull 02:52-04:00)</t>
        </is>
      </c>
      <c r="P507" t="inlineStr">
        <is>
          <t>OK</t>
        </is>
      </c>
      <c r="R507" t="inlineStr">
        <is>
          <t>Every current tradeable mod at MAX RANK (WFM catalogue, rivens/locators excluded)</t>
        </is>
      </c>
      <c r="S507" t="inlineStr">
        <is>
          <t>companion_weapon_riven_mod_veiled</t>
        </is>
      </c>
      <c r="T507" t="n">
        <v>12</v>
      </c>
      <c r="U507" t="n">
        <v>12</v>
      </c>
      <c r="V507" t="n">
        <v>40</v>
      </c>
      <c r="W507" t="n">
        <v>40</v>
      </c>
      <c r="X507" t="n">
        <v>39.5</v>
      </c>
      <c r="Y507" t="n">
        <v>5399</v>
      </c>
      <c r="Z507" t="n">
        <v>80</v>
      </c>
      <c r="AA507" t="n">
        <v>36</v>
      </c>
      <c r="AB507" t="n">
        <v>3</v>
      </c>
      <c r="AN507" t="inlineStr">
        <is>
          <t>Other</t>
        </is>
      </c>
      <c r="AO507" t="n">
        <v>0</v>
      </c>
      <c r="AP507" t="n">
        <v>0</v>
      </c>
      <c r="AS507" t="inlineStr">
        <is>
          <t>Yes</t>
        </is>
      </c>
    </row>
    <row r="508">
      <c r="A508" t="inlineStr">
        <is>
          <t>Mod</t>
        </is>
      </c>
      <c r="B508" t="inlineStr">
        <is>
          <t>Computer Cop</t>
        </is>
      </c>
      <c r="E508" t="inlineStr">
        <is>
          <t>Parazon</t>
        </is>
      </c>
      <c r="F508" t="n">
        <v>3</v>
      </c>
      <c r="G508" t="n">
        <v>1</v>
      </c>
      <c r="H508" t="inlineStr">
        <is>
          <t>Player trade (max rank)</t>
        </is>
      </c>
      <c r="I508" t="inlineStr">
        <is>
          <t>Yes</t>
        </is>
      </c>
      <c r="K508" t="inlineStr">
        <is>
          <t>Collection</t>
        </is>
      </c>
      <c r="L508" t="n">
        <v>4</v>
      </c>
      <c r="M508" t="n">
        <v>5</v>
      </c>
      <c r="N508" t="n">
        <v>6</v>
      </c>
      <c r="O508" t="inlineStr">
        <is>
          <t>2026-10-05 UTC (WFM pull 02:52-04:00)</t>
        </is>
      </c>
      <c r="P508" t="inlineStr">
        <is>
          <t>OK</t>
        </is>
      </c>
      <c r="R508" t="inlineStr">
        <is>
          <t>Every current tradeable mod at MAX RANK (WFM catalogue, rivens/locators excluded)</t>
        </is>
      </c>
      <c r="S508" t="inlineStr">
        <is>
          <t>computer_cop</t>
        </is>
      </c>
      <c r="T508" t="n">
        <v>8</v>
      </c>
      <c r="U508" t="n">
        <v>8</v>
      </c>
      <c r="V508" t="n">
        <v>5</v>
      </c>
      <c r="W508" t="n">
        <v>5</v>
      </c>
      <c r="X508" t="n">
        <v>4.8</v>
      </c>
      <c r="Y508" t="n">
        <v>1151</v>
      </c>
      <c r="Z508" t="n">
        <v>30</v>
      </c>
      <c r="AN508" t="inlineStr">
        <is>
          <t>Parazon</t>
        </is>
      </c>
      <c r="AO508" t="n">
        <v>210</v>
      </c>
      <c r="AP508" t="n">
        <v>10143</v>
      </c>
      <c r="AQ508" t="n">
        <v>5</v>
      </c>
      <c r="AS508" t="inlineStr">
        <is>
          <t>Yes</t>
        </is>
      </c>
    </row>
    <row r="509">
      <c r="A509" t="inlineStr">
        <is>
          <t>Mod</t>
        </is>
      </c>
      <c r="B509" t="inlineStr">
        <is>
          <t>Concealed Explosives</t>
        </is>
      </c>
      <c r="E509" t="inlineStr">
        <is>
          <t>Thrown</t>
        </is>
      </c>
      <c r="F509" t="n">
        <v>3</v>
      </c>
      <c r="G509" t="n">
        <v>1</v>
      </c>
      <c r="H509" t="inlineStr">
        <is>
          <t>Player trade (max rank)</t>
        </is>
      </c>
      <c r="I509" t="inlineStr">
        <is>
          <t>Yes</t>
        </is>
      </c>
      <c r="K509" t="inlineStr">
        <is>
          <t>Collection</t>
        </is>
      </c>
      <c r="L509" t="n">
        <v>7</v>
      </c>
      <c r="M509" t="n">
        <v>10</v>
      </c>
      <c r="N509" t="n">
        <v>17</v>
      </c>
      <c r="O509" t="inlineStr">
        <is>
          <t>2026-10-05 UTC (WFM pull 02:52-04:00)</t>
        </is>
      </c>
      <c r="P509" t="inlineStr">
        <is>
          <t>OK</t>
        </is>
      </c>
      <c r="R509" t="inlineStr">
        <is>
          <t>Every current tradeable mod at MAX RANK (WFM catalogue, rivens/locators excluded)</t>
        </is>
      </c>
      <c r="S509" t="inlineStr">
        <is>
          <t>concealed_explosives</t>
        </is>
      </c>
      <c r="T509" t="n">
        <v>8</v>
      </c>
      <c r="U509" t="n">
        <v>8</v>
      </c>
      <c r="V509" t="n">
        <v>10</v>
      </c>
      <c r="W509" t="n">
        <v>9</v>
      </c>
      <c r="X509" t="n">
        <v>8.199999999999999</v>
      </c>
      <c r="Y509" t="n">
        <v>16</v>
      </c>
      <c r="Z509" t="n">
        <v>0</v>
      </c>
      <c r="AN509" t="inlineStr">
        <is>
          <t>Thrown</t>
        </is>
      </c>
      <c r="AO509" t="n">
        <v>210</v>
      </c>
      <c r="AP509" t="n">
        <v>10143</v>
      </c>
      <c r="AQ509" t="n">
        <v>3</v>
      </c>
      <c r="AS509" t="inlineStr">
        <is>
          <t>Yes</t>
        </is>
      </c>
    </row>
    <row r="510">
      <c r="A510" t="inlineStr">
        <is>
          <t>Mod</t>
        </is>
      </c>
      <c r="B510" t="inlineStr">
        <is>
          <t>Concentrated Arrow</t>
        </is>
      </c>
      <c r="E510" t="inlineStr">
        <is>
          <t>Augment Ivara</t>
        </is>
      </c>
      <c r="F510" t="n">
        <v>3</v>
      </c>
      <c r="G510" t="n">
        <v>1</v>
      </c>
      <c r="H510" t="inlineStr">
        <is>
          <t>Player trade (max rank)</t>
        </is>
      </c>
      <c r="I510" t="inlineStr">
        <is>
          <t>Yes</t>
        </is>
      </c>
      <c r="K510" t="inlineStr">
        <is>
          <t>Collection</t>
        </is>
      </c>
      <c r="L510" t="n">
        <v>30</v>
      </c>
      <c r="M510" t="n">
        <v>30</v>
      </c>
      <c r="N510" t="n">
        <v>66</v>
      </c>
      <c r="O510" t="inlineStr">
        <is>
          <t>2026-10-05 UTC (WFM pull 02:52-04:00)</t>
        </is>
      </c>
      <c r="P510" t="inlineStr">
        <is>
          <t>OK</t>
        </is>
      </c>
      <c r="R510" t="inlineStr">
        <is>
          <t>Every current tradeable mod at MAX RANK (WFM catalogue, rivens/locators excluded)</t>
        </is>
      </c>
      <c r="S510" t="inlineStr">
        <is>
          <t>concentrated_arrow</t>
        </is>
      </c>
      <c r="T510" t="n">
        <v>4</v>
      </c>
      <c r="U510" t="n">
        <v>4</v>
      </c>
      <c r="V510" t="n">
        <v>19</v>
      </c>
      <c r="W510" t="n">
        <v>15</v>
      </c>
      <c r="X510" t="n">
        <v>16</v>
      </c>
      <c r="Y510" t="n">
        <v>112</v>
      </c>
      <c r="Z510" t="n">
        <v>3</v>
      </c>
      <c r="AA510" t="n">
        <v>6</v>
      </c>
      <c r="AB510" t="n">
        <v>24</v>
      </c>
      <c r="AN510" t="inlineStr">
        <is>
          <t>Augment Ivara</t>
        </is>
      </c>
      <c r="AO510" t="n">
        <v>210</v>
      </c>
      <c r="AP510" t="n">
        <v>10143</v>
      </c>
      <c r="AQ510" t="n">
        <v>21.8</v>
      </c>
      <c r="AS510" t="inlineStr">
        <is>
          <t>Yes</t>
        </is>
      </c>
    </row>
    <row r="511">
      <c r="A511" t="inlineStr">
        <is>
          <t>Mod</t>
        </is>
      </c>
      <c r="B511" t="inlineStr">
        <is>
          <t>Concussion Rounds</t>
        </is>
      </c>
      <c r="E511" t="inlineStr">
        <is>
          <t>Pistol</t>
        </is>
      </c>
      <c r="F511" t="n">
        <v>5</v>
      </c>
      <c r="G511" t="n">
        <v>1</v>
      </c>
      <c r="H511" t="inlineStr">
        <is>
          <t>Player trade (max rank)</t>
        </is>
      </c>
      <c r="I511" t="inlineStr">
        <is>
          <t>Yes</t>
        </is>
      </c>
      <c r="K511" t="inlineStr">
        <is>
          <t>Collection</t>
        </is>
      </c>
      <c r="L511" t="n">
        <v>5</v>
      </c>
      <c r="M511" t="n">
        <v>15</v>
      </c>
      <c r="N511" t="n">
        <v>33</v>
      </c>
      <c r="O511" t="inlineStr">
        <is>
          <t>2026-10-05 UTC (WFM pull 02:52-04:00)</t>
        </is>
      </c>
      <c r="P511" t="inlineStr">
        <is>
          <t>OK</t>
        </is>
      </c>
      <c r="R511" t="inlineStr">
        <is>
          <t>Every current tradeable mod at MAX RANK (WFM catalogue, rivens/locators excluded)</t>
        </is>
      </c>
      <c r="S511" t="inlineStr">
        <is>
          <t>concussion_rounds</t>
        </is>
      </c>
      <c r="T511" t="n">
        <v>3</v>
      </c>
      <c r="U511" t="n">
        <v>3</v>
      </c>
      <c r="Y511" t="n">
        <v>0</v>
      </c>
      <c r="Z511" t="n">
        <v>0</v>
      </c>
      <c r="AN511" t="inlineStr">
        <is>
          <t>Pistol</t>
        </is>
      </c>
      <c r="AO511" t="n">
        <v>620</v>
      </c>
      <c r="AP511" t="n">
        <v>29946</v>
      </c>
      <c r="AQ511" t="n">
        <v>2</v>
      </c>
      <c r="AS511" t="inlineStr">
        <is>
          <t>Yes</t>
        </is>
      </c>
    </row>
    <row r="512">
      <c r="A512" t="inlineStr">
        <is>
          <t>Mod</t>
        </is>
      </c>
      <c r="B512" t="inlineStr">
        <is>
          <t>Condition Overload</t>
        </is>
      </c>
      <c r="E512" t="inlineStr">
        <is>
          <t>Melee</t>
        </is>
      </c>
      <c r="F512" t="n">
        <v>5</v>
      </c>
      <c r="G512" t="n">
        <v>1</v>
      </c>
      <c r="H512" t="inlineStr">
        <is>
          <t>Player trade (max rank)</t>
        </is>
      </c>
      <c r="I512" t="inlineStr">
        <is>
          <t>Yes</t>
        </is>
      </c>
      <c r="K512" t="inlineStr">
        <is>
          <t>Collection</t>
        </is>
      </c>
      <c r="L512" t="n">
        <v>12</v>
      </c>
      <c r="M512" t="n">
        <v>14</v>
      </c>
      <c r="N512" t="n">
        <v>17</v>
      </c>
      <c r="O512" t="inlineStr">
        <is>
          <t>2026-10-05 UTC (WFM pull 02:52-04:00)</t>
        </is>
      </c>
      <c r="P512" t="inlineStr">
        <is>
          <t>OK</t>
        </is>
      </c>
      <c r="R512" t="inlineStr">
        <is>
          <t>Every current tradeable mod at MAX RANK (WFM catalogue, rivens/locators excluded)</t>
        </is>
      </c>
      <c r="S512" t="inlineStr">
        <is>
          <t>condition_overload</t>
        </is>
      </c>
      <c r="T512" t="n">
        <v>24</v>
      </c>
      <c r="U512" t="n">
        <v>24</v>
      </c>
      <c r="V512" t="n">
        <v>14</v>
      </c>
      <c r="W512" t="n">
        <v>15</v>
      </c>
      <c r="X512" t="n">
        <v>14.2</v>
      </c>
      <c r="Y512" t="n">
        <v>1629</v>
      </c>
      <c r="Z512" t="n">
        <v>19</v>
      </c>
      <c r="AN512" t="inlineStr">
        <is>
          <t>Melee</t>
        </is>
      </c>
      <c r="AO512" t="n">
        <v>930</v>
      </c>
      <c r="AP512" t="n">
        <v>44919</v>
      </c>
      <c r="AQ512" t="n">
        <v>8</v>
      </c>
      <c r="AS512" t="inlineStr">
        <is>
          <t>Yes</t>
        </is>
      </c>
    </row>
    <row r="513">
      <c r="A513" t="inlineStr">
        <is>
          <t>Mod</t>
        </is>
      </c>
      <c r="B513" t="inlineStr">
        <is>
          <t>Condition's Perfection</t>
        </is>
      </c>
      <c r="E513" t="inlineStr">
        <is>
          <t>Melee</t>
        </is>
      </c>
      <c r="F513" t="n">
        <v>3</v>
      </c>
      <c r="G513" t="n">
        <v>1</v>
      </c>
      <c r="H513" t="inlineStr">
        <is>
          <t>Player trade (max rank)</t>
        </is>
      </c>
      <c r="I513" t="inlineStr">
        <is>
          <t>Yes</t>
        </is>
      </c>
      <c r="K513" t="inlineStr">
        <is>
          <t>Collection</t>
        </is>
      </c>
      <c r="L513" t="n">
        <v>10</v>
      </c>
      <c r="M513" t="n">
        <v>15</v>
      </c>
      <c r="N513" t="n">
        <v>22</v>
      </c>
      <c r="O513" t="inlineStr">
        <is>
          <t>2026-10-05 UTC (WFM pull 02:52-04:00)</t>
        </is>
      </c>
      <c r="P513" t="inlineStr">
        <is>
          <t>OK</t>
        </is>
      </c>
      <c r="R513" t="inlineStr">
        <is>
          <t>Every current tradeable mod at MAX RANK (WFM catalogue, rivens/locators excluded)</t>
        </is>
      </c>
      <c r="S513" t="inlineStr">
        <is>
          <t>conditions_perfection</t>
        </is>
      </c>
      <c r="T513" t="n">
        <v>7</v>
      </c>
      <c r="U513" t="n">
        <v>7</v>
      </c>
      <c r="V513" t="n">
        <v>10</v>
      </c>
      <c r="W513" t="n">
        <v>9</v>
      </c>
      <c r="X513" t="n">
        <v>8.300000000000001</v>
      </c>
      <c r="Y513" t="n">
        <v>81</v>
      </c>
      <c r="Z513" t="n">
        <v>0</v>
      </c>
      <c r="AN513" t="inlineStr">
        <is>
          <t>Melee</t>
        </is>
      </c>
      <c r="AO513" t="n">
        <v>140</v>
      </c>
      <c r="AP513" t="n">
        <v>6762</v>
      </c>
      <c r="AQ513" t="n">
        <v>5</v>
      </c>
      <c r="AS513" t="inlineStr">
        <is>
          <t>Yes</t>
        </is>
      </c>
    </row>
    <row r="514">
      <c r="A514" t="inlineStr">
        <is>
          <t>Mod</t>
        </is>
      </c>
      <c r="B514" t="inlineStr">
        <is>
          <t>Conductive Blade</t>
        </is>
      </c>
      <c r="E514" t="inlineStr">
        <is>
          <t>Archmelee</t>
        </is>
      </c>
      <c r="F514" t="n">
        <v>5</v>
      </c>
      <c r="G514" t="n">
        <v>1</v>
      </c>
      <c r="H514" t="inlineStr">
        <is>
          <t>Player trade (max rank)</t>
        </is>
      </c>
      <c r="I514" t="inlineStr">
        <is>
          <t>Yes</t>
        </is>
      </c>
      <c r="K514" t="inlineStr">
        <is>
          <t>Collection</t>
        </is>
      </c>
      <c r="L514" t="n">
        <v>15</v>
      </c>
      <c r="M514" t="n">
        <v>19.5</v>
      </c>
      <c r="N514" t="n">
        <v>43</v>
      </c>
      <c r="O514" t="inlineStr">
        <is>
          <t>2026-10-05 UTC (WFM pull 02:52-04:00)</t>
        </is>
      </c>
      <c r="P514" t="inlineStr">
        <is>
          <t>OK</t>
        </is>
      </c>
      <c r="R514" t="inlineStr">
        <is>
          <t>Every current tradeable mod at MAX RANK (WFM catalogue, rivens/locators excluded)</t>
        </is>
      </c>
      <c r="S514" t="inlineStr">
        <is>
          <t>conductive_blade</t>
        </is>
      </c>
      <c r="T514" t="n">
        <v>3</v>
      </c>
      <c r="U514" t="n">
        <v>3</v>
      </c>
      <c r="V514" t="n">
        <v>13</v>
      </c>
      <c r="W514" t="n">
        <v>12</v>
      </c>
      <c r="X514" t="n">
        <v>10.4</v>
      </c>
      <c r="Y514" t="n">
        <v>11</v>
      </c>
      <c r="Z514" t="n">
        <v>0</v>
      </c>
      <c r="AN514" t="inlineStr">
        <is>
          <t>Archmelee</t>
        </is>
      </c>
      <c r="AO514" t="n">
        <v>620</v>
      </c>
      <c r="AP514" t="n">
        <v>29946</v>
      </c>
      <c r="AQ514" t="n">
        <v>2</v>
      </c>
      <c r="AS514" t="inlineStr">
        <is>
          <t>Yes</t>
        </is>
      </c>
    </row>
    <row r="515">
      <c r="A515" t="inlineStr">
        <is>
          <t>Mod</t>
        </is>
      </c>
      <c r="B515" t="inlineStr">
        <is>
          <t>Conductive Sphere</t>
        </is>
      </c>
      <c r="E515" t="inlineStr">
        <is>
          <t>Augment Gyre</t>
        </is>
      </c>
      <c r="F515" t="n">
        <v>3</v>
      </c>
      <c r="G515" t="n">
        <v>1</v>
      </c>
      <c r="H515" t="inlineStr">
        <is>
          <t>Player trade (max rank)</t>
        </is>
      </c>
      <c r="I515" t="inlineStr">
        <is>
          <t>Yes</t>
        </is>
      </c>
      <c r="K515" t="inlineStr">
        <is>
          <t>Collection</t>
        </is>
      </c>
      <c r="L515" t="n">
        <v>23</v>
      </c>
      <c r="M515" t="n">
        <v>23</v>
      </c>
      <c r="N515" t="n">
        <v>51</v>
      </c>
      <c r="O515" t="inlineStr">
        <is>
          <t>2026-10-05 UTC (WFM pull 02:52-04:00)</t>
        </is>
      </c>
      <c r="P515" t="inlineStr">
        <is>
          <t>OK</t>
        </is>
      </c>
      <c r="R515" t="inlineStr">
        <is>
          <t>Every current tradeable mod at MAX RANK (WFM catalogue, rivens/locators excluded)</t>
        </is>
      </c>
      <c r="S515" t="inlineStr">
        <is>
          <t>conductive_sphere</t>
        </is>
      </c>
      <c r="T515" t="n">
        <v>5</v>
      </c>
      <c r="U515" t="n">
        <v>5</v>
      </c>
      <c r="V515" t="n">
        <v>15</v>
      </c>
      <c r="W515" t="n">
        <v>15</v>
      </c>
      <c r="X515" t="n">
        <v>16</v>
      </c>
      <c r="Y515" t="n">
        <v>274</v>
      </c>
      <c r="Z515" t="n">
        <v>8</v>
      </c>
      <c r="AN515" t="inlineStr">
        <is>
          <t>Augment Gyre</t>
        </is>
      </c>
      <c r="AO515" t="n">
        <v>210</v>
      </c>
      <c r="AP515" t="n">
        <v>10143</v>
      </c>
      <c r="AQ515" t="n">
        <v>10</v>
      </c>
      <c r="AS515" t="inlineStr">
        <is>
          <t>Yes</t>
        </is>
      </c>
    </row>
    <row r="516">
      <c r="A516" t="inlineStr">
        <is>
          <t>Mod</t>
        </is>
      </c>
      <c r="B516" t="inlineStr">
        <is>
          <t>Conductor</t>
        </is>
      </c>
      <c r="E516" t="inlineStr">
        <is>
          <t>Augment Octavia</t>
        </is>
      </c>
      <c r="F516" t="n">
        <v>3</v>
      </c>
      <c r="G516" t="n">
        <v>1</v>
      </c>
      <c r="H516" t="inlineStr">
        <is>
          <t>Player trade (max rank)</t>
        </is>
      </c>
      <c r="I516" t="inlineStr">
        <is>
          <t>Yes</t>
        </is>
      </c>
      <c r="K516" t="inlineStr">
        <is>
          <t>Collection</t>
        </is>
      </c>
      <c r="L516" t="n">
        <v>10</v>
      </c>
      <c r="M516" t="n">
        <v>15</v>
      </c>
      <c r="N516" t="n">
        <v>33</v>
      </c>
      <c r="O516" t="inlineStr">
        <is>
          <t>2026-10-05 UTC (WFM pull 02:52-04:00)</t>
        </is>
      </c>
      <c r="P516" t="inlineStr">
        <is>
          <t>OK</t>
        </is>
      </c>
      <c r="R516" t="inlineStr">
        <is>
          <t>Every current tradeable mod at MAX RANK (WFM catalogue, rivens/locators excluded)</t>
        </is>
      </c>
      <c r="S516" t="inlineStr">
        <is>
          <t>conductor</t>
        </is>
      </c>
      <c r="T516" t="n">
        <v>4</v>
      </c>
      <c r="U516" t="n">
        <v>4</v>
      </c>
      <c r="V516" t="n">
        <v>10</v>
      </c>
      <c r="W516" t="n">
        <v>11</v>
      </c>
      <c r="X516" t="n">
        <v>12</v>
      </c>
      <c r="Y516" t="n">
        <v>51</v>
      </c>
      <c r="Z516" t="n">
        <v>0</v>
      </c>
      <c r="AN516" t="inlineStr">
        <is>
          <t>Augment Octavia</t>
        </is>
      </c>
      <c r="AO516" t="n">
        <v>210</v>
      </c>
      <c r="AP516" t="n">
        <v>10143</v>
      </c>
      <c r="AQ516" t="n">
        <v>13.5</v>
      </c>
      <c r="AS516" t="inlineStr">
        <is>
          <t>Yes</t>
        </is>
      </c>
    </row>
    <row r="517">
      <c r="A517" t="inlineStr">
        <is>
          <t>Mod</t>
        </is>
      </c>
      <c r="B517" t="inlineStr">
        <is>
          <t>Conic Nozzle</t>
        </is>
      </c>
      <c r="E517" t="inlineStr">
        <is>
          <t>Plexus</t>
        </is>
      </c>
      <c r="F517" t="n">
        <v>5</v>
      </c>
      <c r="G517" t="n">
        <v>1</v>
      </c>
      <c r="H517" t="inlineStr">
        <is>
          <t>Player trade (max rank)</t>
        </is>
      </c>
      <c r="I517" t="inlineStr">
        <is>
          <t>Yes</t>
        </is>
      </c>
      <c r="K517" t="inlineStr">
        <is>
          <t>Collection</t>
        </is>
      </c>
      <c r="L517" t="n">
        <v>9</v>
      </c>
      <c r="M517" t="n">
        <v>15</v>
      </c>
      <c r="N517" t="n">
        <v>22</v>
      </c>
      <c r="O517" t="inlineStr">
        <is>
          <t>2026-10-05 UTC (WFM pull 02:52-04:00)</t>
        </is>
      </c>
      <c r="P517" t="inlineStr">
        <is>
          <t>OK</t>
        </is>
      </c>
      <c r="R517" t="inlineStr">
        <is>
          <t>Every current tradeable mod at MAX RANK (WFM catalogue, rivens/locators excluded)</t>
        </is>
      </c>
      <c r="S517" t="inlineStr">
        <is>
          <t>conic_nozzle</t>
        </is>
      </c>
      <c r="T517" t="n">
        <v>6</v>
      </c>
      <c r="U517" t="n">
        <v>6</v>
      </c>
      <c r="V517" t="n">
        <v>15</v>
      </c>
      <c r="W517" t="n">
        <v>15</v>
      </c>
      <c r="X517" t="n">
        <v>16.2</v>
      </c>
      <c r="Y517" t="n">
        <v>212</v>
      </c>
      <c r="Z517" t="n">
        <v>0</v>
      </c>
      <c r="AN517" t="inlineStr">
        <is>
          <t>Plexus</t>
        </is>
      </c>
      <c r="AO517" t="n">
        <v>930</v>
      </c>
      <c r="AP517" t="n">
        <v>44919</v>
      </c>
      <c r="AQ517" t="n">
        <v>7.5</v>
      </c>
      <c r="AS517" t="inlineStr">
        <is>
          <t>Yes</t>
        </is>
      </c>
    </row>
    <row r="518">
      <c r="A518" t="inlineStr">
        <is>
          <t>Mod</t>
        </is>
      </c>
      <c r="B518" t="inlineStr">
        <is>
          <t>Constitution</t>
        </is>
      </c>
      <c r="E518" t="inlineStr">
        <is>
          <t>Warframe</t>
        </is>
      </c>
      <c r="F518" t="n">
        <v>3</v>
      </c>
      <c r="G518" t="n">
        <v>1</v>
      </c>
      <c r="H518" t="inlineStr">
        <is>
          <t>Player trade (max rank)</t>
        </is>
      </c>
      <c r="I518" t="inlineStr">
        <is>
          <t>Yes</t>
        </is>
      </c>
      <c r="K518" t="inlineStr">
        <is>
          <t>Collection</t>
        </is>
      </c>
      <c r="L518" t="n">
        <v>14</v>
      </c>
      <c r="M518" t="n">
        <v>15</v>
      </c>
      <c r="N518" t="n">
        <v>33</v>
      </c>
      <c r="O518" t="inlineStr">
        <is>
          <t>2026-10-05 UTC (WFM pull 02:52-04:00)</t>
        </is>
      </c>
      <c r="P518" t="inlineStr">
        <is>
          <t>OK</t>
        </is>
      </c>
      <c r="R518" t="inlineStr">
        <is>
          <t>Every current tradeable mod at MAX RANK (WFM catalogue, rivens/locators excluded)</t>
        </is>
      </c>
      <c r="S518" t="inlineStr">
        <is>
          <t>constitution</t>
        </is>
      </c>
      <c r="T518" t="n">
        <v>7</v>
      </c>
      <c r="U518" t="n">
        <v>7</v>
      </c>
      <c r="V518" t="n">
        <v>13.5</v>
      </c>
      <c r="W518" t="n">
        <v>14</v>
      </c>
      <c r="X518" t="n">
        <v>13.5</v>
      </c>
      <c r="Y518" t="n">
        <v>1197</v>
      </c>
      <c r="Z518" t="n">
        <v>19</v>
      </c>
      <c r="AN518" t="inlineStr">
        <is>
          <t>Warframe</t>
        </is>
      </c>
      <c r="AO518" t="n">
        <v>210</v>
      </c>
      <c r="AP518" t="n">
        <v>10143</v>
      </c>
      <c r="AQ518" t="n">
        <v>10</v>
      </c>
      <c r="AS518" t="inlineStr">
        <is>
          <t>Yes</t>
        </is>
      </c>
    </row>
    <row r="519">
      <c r="A519" t="inlineStr">
        <is>
          <t>Mod</t>
        </is>
      </c>
      <c r="B519" t="inlineStr">
        <is>
          <t>Contagion Cloud</t>
        </is>
      </c>
      <c r="E519" t="inlineStr">
        <is>
          <t>Augment Saryn</t>
        </is>
      </c>
      <c r="F519" t="n">
        <v>3</v>
      </c>
      <c r="G519" t="n">
        <v>1</v>
      </c>
      <c r="H519" t="inlineStr">
        <is>
          <t>Player trade (max rank)</t>
        </is>
      </c>
      <c r="I519" t="inlineStr">
        <is>
          <t>Yes</t>
        </is>
      </c>
      <c r="K519" t="inlineStr">
        <is>
          <t>Collection</t>
        </is>
      </c>
      <c r="L519" t="n">
        <v>14</v>
      </c>
      <c r="M519" t="n">
        <v>15</v>
      </c>
      <c r="N519" t="n">
        <v>22</v>
      </c>
      <c r="O519" t="inlineStr">
        <is>
          <t>2026-10-05 UTC (WFM pull 02:52-04:00)</t>
        </is>
      </c>
      <c r="P519" t="inlineStr">
        <is>
          <t>OK</t>
        </is>
      </c>
      <c r="R519" t="inlineStr">
        <is>
          <t>Every current tradeable mod at MAX RANK (WFM catalogue, rivens/locators excluded)</t>
        </is>
      </c>
      <c r="S519" t="inlineStr">
        <is>
          <t>contagion_cloud</t>
        </is>
      </c>
      <c r="T519" t="n">
        <v>3</v>
      </c>
      <c r="U519" t="n">
        <v>3</v>
      </c>
      <c r="V519" t="n">
        <v>10</v>
      </c>
      <c r="W519" t="n">
        <v>10</v>
      </c>
      <c r="X519" t="n">
        <v>11.3</v>
      </c>
      <c r="Y519" t="n">
        <v>58</v>
      </c>
      <c r="Z519" t="n">
        <v>4</v>
      </c>
      <c r="AN519" t="inlineStr">
        <is>
          <t>Augment Saryn</t>
        </is>
      </c>
      <c r="AO519" t="n">
        <v>210</v>
      </c>
      <c r="AP519" t="n">
        <v>10143</v>
      </c>
      <c r="AQ519" t="n">
        <v>12</v>
      </c>
      <c r="AS519" t="inlineStr">
        <is>
          <t>Yes</t>
        </is>
      </c>
    </row>
    <row r="520">
      <c r="A520" t="inlineStr">
        <is>
          <t>Mod</t>
        </is>
      </c>
      <c r="B520" t="inlineStr">
        <is>
          <t>Contagious Bond</t>
        </is>
      </c>
      <c r="E520" t="inlineStr">
        <is>
          <t>Companion</t>
        </is>
      </c>
      <c r="F520" t="n">
        <v>5</v>
      </c>
      <c r="G520" t="n">
        <v>1</v>
      </c>
      <c r="H520" t="inlineStr">
        <is>
          <t>Player trade (max rank)</t>
        </is>
      </c>
      <c r="I520" t="inlineStr">
        <is>
          <t>Yes</t>
        </is>
      </c>
      <c r="K520" t="inlineStr">
        <is>
          <t>Collection</t>
        </is>
      </c>
      <c r="L520" t="n">
        <v>19</v>
      </c>
      <c r="M520" t="n">
        <v>24</v>
      </c>
      <c r="N520" t="n">
        <v>28</v>
      </c>
      <c r="O520" t="inlineStr">
        <is>
          <t>2026-10-05 UTC (WFM pull 02:52-04:00)</t>
        </is>
      </c>
      <c r="P520" t="inlineStr">
        <is>
          <t>OK</t>
        </is>
      </c>
      <c r="R520" t="inlineStr">
        <is>
          <t>Every current tradeable mod at MAX RANK (WFM catalogue, rivens/locators excluded)</t>
        </is>
      </c>
      <c r="S520" t="inlineStr">
        <is>
          <t>contagious_bond</t>
        </is>
      </c>
      <c r="T520" t="n">
        <v>12</v>
      </c>
      <c r="U520" t="n">
        <v>12</v>
      </c>
      <c r="V520" t="n">
        <v>18.5</v>
      </c>
      <c r="W520" t="n">
        <v>19</v>
      </c>
      <c r="X520" t="n">
        <v>18.5</v>
      </c>
      <c r="Y520" t="n">
        <v>1235</v>
      </c>
      <c r="Z520" t="n">
        <v>28</v>
      </c>
      <c r="AN520" t="inlineStr">
        <is>
          <t>Companion</t>
        </is>
      </c>
      <c r="AO520" t="n">
        <v>930</v>
      </c>
      <c r="AP520" t="n">
        <v>44919</v>
      </c>
      <c r="AQ520" t="n">
        <v>14</v>
      </c>
      <c r="AS520" t="inlineStr">
        <is>
          <t>Yes</t>
        </is>
      </c>
    </row>
    <row r="521">
      <c r="A521" t="inlineStr">
        <is>
          <t>Mod</t>
        </is>
      </c>
      <c r="B521" t="inlineStr">
        <is>
          <t>Contagious Spread</t>
        </is>
      </c>
      <c r="E521" t="inlineStr">
        <is>
          <t>Shotgun</t>
        </is>
      </c>
      <c r="F521" t="n">
        <v>5</v>
      </c>
      <c r="G521" t="n">
        <v>1</v>
      </c>
      <c r="H521" t="inlineStr">
        <is>
          <t>Player trade (max rank)</t>
        </is>
      </c>
      <c r="I521" t="inlineStr">
        <is>
          <t>Yes</t>
        </is>
      </c>
      <c r="K521" t="inlineStr">
        <is>
          <t>Collection</t>
        </is>
      </c>
      <c r="L521" t="n">
        <v>4</v>
      </c>
      <c r="M521" t="n">
        <v>7</v>
      </c>
      <c r="N521" t="n">
        <v>16</v>
      </c>
      <c r="O521" t="inlineStr">
        <is>
          <t>2026-10-05 UTC (WFM pull 02:52-04:00)</t>
        </is>
      </c>
      <c r="P521" t="inlineStr">
        <is>
          <t>OK</t>
        </is>
      </c>
      <c r="R521" t="inlineStr">
        <is>
          <t>Every current tradeable mod at MAX RANK (WFM catalogue, rivens/locators excluded)</t>
        </is>
      </c>
      <c r="S521" t="inlineStr">
        <is>
          <t>contagious_spread</t>
        </is>
      </c>
      <c r="T521" t="n">
        <v>88</v>
      </c>
      <c r="U521" t="n">
        <v>2</v>
      </c>
      <c r="V521" t="n">
        <v>14</v>
      </c>
      <c r="W521" t="n">
        <v>15</v>
      </c>
      <c r="X521" t="n">
        <v>14.3</v>
      </c>
      <c r="Y521" t="n">
        <v>150</v>
      </c>
      <c r="Z521" t="n">
        <v>7</v>
      </c>
      <c r="AN521" t="inlineStr">
        <is>
          <t>Shotgun</t>
        </is>
      </c>
      <c r="AO521" t="n">
        <v>620</v>
      </c>
      <c r="AP521" t="n">
        <v>29946</v>
      </c>
      <c r="AQ521" t="n">
        <v>4</v>
      </c>
      <c r="AS521" t="inlineStr">
        <is>
          <t>Yes</t>
        </is>
      </c>
    </row>
    <row r="522">
      <c r="A522" t="inlineStr">
        <is>
          <t>Mod</t>
        </is>
      </c>
      <c r="B522" t="inlineStr">
        <is>
          <t>Containment Breach</t>
        </is>
      </c>
      <c r="E522" t="inlineStr">
        <is>
          <t>Archgun</t>
        </is>
      </c>
      <c r="F522" t="n">
        <v>3</v>
      </c>
      <c r="G522" t="n">
        <v>1</v>
      </c>
      <c r="H522" t="inlineStr">
        <is>
          <t>Player trade (max rank)</t>
        </is>
      </c>
      <c r="I522" t="inlineStr">
        <is>
          <t>Yes</t>
        </is>
      </c>
      <c r="K522" t="inlineStr">
        <is>
          <t>Collection</t>
        </is>
      </c>
      <c r="L522" t="n">
        <v>5</v>
      </c>
      <c r="M522" t="n">
        <v>5</v>
      </c>
      <c r="N522" t="n">
        <v>11</v>
      </c>
      <c r="O522" t="inlineStr">
        <is>
          <t>2026-10-05 UTC (WFM pull 02:52-04:00)</t>
        </is>
      </c>
      <c r="P522" t="inlineStr">
        <is>
          <t>OK</t>
        </is>
      </c>
      <c r="R522" t="inlineStr">
        <is>
          <t>Every current tradeable mod at MAX RANK (WFM catalogue, rivens/locators excluded)</t>
        </is>
      </c>
      <c r="S522" t="inlineStr">
        <is>
          <t>containment_breach</t>
        </is>
      </c>
      <c r="T522" t="n">
        <v>9</v>
      </c>
      <c r="U522" t="n">
        <v>9</v>
      </c>
      <c r="V522" t="n">
        <v>5</v>
      </c>
      <c r="W522" t="n">
        <v>5</v>
      </c>
      <c r="X522" t="n">
        <v>6.2</v>
      </c>
      <c r="Y522" t="n">
        <v>40</v>
      </c>
      <c r="Z522" t="n">
        <v>0</v>
      </c>
      <c r="AN522" t="inlineStr">
        <is>
          <t>Archgun</t>
        </is>
      </c>
      <c r="AO522" t="n">
        <v>210</v>
      </c>
      <c r="AP522" t="n">
        <v>10143</v>
      </c>
      <c r="AQ522" t="n">
        <v>2</v>
      </c>
      <c r="AS522" t="inlineStr">
        <is>
          <t>Yes</t>
        </is>
      </c>
    </row>
    <row r="523">
      <c r="A523" t="inlineStr">
        <is>
          <t>Mod</t>
        </is>
      </c>
      <c r="B523" t="inlineStr">
        <is>
          <t>Contamination Casing</t>
        </is>
      </c>
      <c r="E523" t="inlineStr">
        <is>
          <t>Archgun</t>
        </is>
      </c>
      <c r="F523" t="n">
        <v>3</v>
      </c>
      <c r="G523" t="n">
        <v>1</v>
      </c>
      <c r="H523" t="inlineStr">
        <is>
          <t>Player trade (max rank)</t>
        </is>
      </c>
      <c r="I523" t="inlineStr">
        <is>
          <t>Yes</t>
        </is>
      </c>
      <c r="K523" t="inlineStr">
        <is>
          <t>Collection</t>
        </is>
      </c>
      <c r="L523" t="n">
        <v>17</v>
      </c>
      <c r="M523" t="n">
        <v>20</v>
      </c>
      <c r="N523" t="n">
        <v>22</v>
      </c>
      <c r="O523" t="inlineStr">
        <is>
          <t>2026-10-05 UTC (WFM pull 02:52-04:00)</t>
        </is>
      </c>
      <c r="P523" t="inlineStr">
        <is>
          <t>OK</t>
        </is>
      </c>
      <c r="R523" t="inlineStr">
        <is>
          <t>Every current tradeable mod at MAX RANK (WFM catalogue, rivens/locators excluded)</t>
        </is>
      </c>
      <c r="S523" t="inlineStr">
        <is>
          <t>contamination_casing</t>
        </is>
      </c>
      <c r="T523" t="n">
        <v>12</v>
      </c>
      <c r="U523" t="n">
        <v>12</v>
      </c>
      <c r="V523" t="n">
        <v>19</v>
      </c>
      <c r="W523" t="n">
        <v>17</v>
      </c>
      <c r="X523" t="n">
        <v>16.9</v>
      </c>
      <c r="Y523" t="n">
        <v>291</v>
      </c>
      <c r="Z523" t="n">
        <v>8</v>
      </c>
      <c r="AN523" t="inlineStr">
        <is>
          <t>Archgun</t>
        </is>
      </c>
      <c r="AO523" t="n">
        <v>210</v>
      </c>
      <c r="AP523" t="n">
        <v>10143</v>
      </c>
      <c r="AQ523" t="n">
        <v>15</v>
      </c>
      <c r="AS523" t="inlineStr">
        <is>
          <t>Yes</t>
        </is>
      </c>
    </row>
    <row r="524">
      <c r="A524" t="inlineStr">
        <is>
          <t>Mod</t>
        </is>
      </c>
      <c r="B524" t="inlineStr">
        <is>
          <t>Continuity</t>
        </is>
      </c>
      <c r="E524" t="inlineStr">
        <is>
          <t>Warframe</t>
        </is>
      </c>
      <c r="F524" t="n">
        <v>5</v>
      </c>
      <c r="G524" t="n">
        <v>1</v>
      </c>
      <c r="H524" t="inlineStr">
        <is>
          <t>Player trade (max rank)</t>
        </is>
      </c>
      <c r="I524" t="inlineStr">
        <is>
          <t>Yes</t>
        </is>
      </c>
      <c r="K524" t="inlineStr">
        <is>
          <t>Collection</t>
        </is>
      </c>
      <c r="L524" t="n">
        <v>8</v>
      </c>
      <c r="M524" t="n">
        <v>8</v>
      </c>
      <c r="N524" t="n">
        <v>13</v>
      </c>
      <c r="O524" t="inlineStr">
        <is>
          <t>2026-10-05 UTC (WFM pull 02:52-04:00)</t>
        </is>
      </c>
      <c r="P524" t="inlineStr">
        <is>
          <t>OK</t>
        </is>
      </c>
      <c r="R524" t="inlineStr">
        <is>
          <t>Every current tradeable mod at MAX RANK (WFM catalogue, rivens/locators excluded)</t>
        </is>
      </c>
      <c r="S524" t="inlineStr">
        <is>
          <t>continuity</t>
        </is>
      </c>
      <c r="T524" t="n">
        <v>10</v>
      </c>
      <c r="U524" t="n">
        <v>10</v>
      </c>
      <c r="V524" t="n">
        <v>5</v>
      </c>
      <c r="W524" t="n">
        <v>5</v>
      </c>
      <c r="X524" t="n">
        <v>5.5</v>
      </c>
      <c r="Y524" t="n">
        <v>72</v>
      </c>
      <c r="Z524" t="n">
        <v>0</v>
      </c>
      <c r="AN524" t="inlineStr">
        <is>
          <t>Warframe</t>
        </is>
      </c>
      <c r="AO524" t="n">
        <v>930</v>
      </c>
      <c r="AP524" t="n">
        <v>44919</v>
      </c>
      <c r="AQ524" t="n">
        <v>3</v>
      </c>
      <c r="AS524" t="inlineStr">
        <is>
          <t>Yes</t>
        </is>
      </c>
    </row>
    <row r="525">
      <c r="A525" t="inlineStr">
        <is>
          <t>Mod</t>
        </is>
      </c>
      <c r="B525" t="inlineStr">
        <is>
          <t>Continuous Misery</t>
        </is>
      </c>
      <c r="E525" t="inlineStr">
        <is>
          <t>Rifle</t>
        </is>
      </c>
      <c r="F525" t="n">
        <v>3</v>
      </c>
      <c r="G525" t="n">
        <v>1</v>
      </c>
      <c r="H525" t="inlineStr">
        <is>
          <t>Player trade (max rank)</t>
        </is>
      </c>
      <c r="I525" t="inlineStr">
        <is>
          <t>Yes</t>
        </is>
      </c>
      <c r="K525" t="inlineStr">
        <is>
          <t>Collection</t>
        </is>
      </c>
      <c r="L525" t="n">
        <v>9</v>
      </c>
      <c r="M525" t="n">
        <v>10</v>
      </c>
      <c r="N525" t="n">
        <v>22</v>
      </c>
      <c r="O525" t="inlineStr">
        <is>
          <t>2026-10-05 UTC (WFM pull 02:52-04:00)</t>
        </is>
      </c>
      <c r="P525" t="inlineStr">
        <is>
          <t>OK</t>
        </is>
      </c>
      <c r="R525" t="inlineStr">
        <is>
          <t>Every current tradeable mod at MAX RANK (WFM catalogue, rivens/locators excluded)</t>
        </is>
      </c>
      <c r="S525" t="inlineStr">
        <is>
          <t>continuous_misery</t>
        </is>
      </c>
      <c r="T525" t="n">
        <v>7</v>
      </c>
      <c r="U525" t="n">
        <v>7</v>
      </c>
      <c r="V525" t="n">
        <v>9</v>
      </c>
      <c r="W525" t="n">
        <v>8</v>
      </c>
      <c r="X525" t="n">
        <v>9.5</v>
      </c>
      <c r="Y525" t="n">
        <v>20</v>
      </c>
      <c r="Z525" t="n">
        <v>0</v>
      </c>
      <c r="AN525" t="inlineStr">
        <is>
          <t>Rifle</t>
        </is>
      </c>
      <c r="AO525" t="n">
        <v>70</v>
      </c>
      <c r="AP525" t="n">
        <v>3381</v>
      </c>
      <c r="AQ525" t="n">
        <v>3</v>
      </c>
      <c r="AS525" t="inlineStr">
        <is>
          <t>Yes</t>
        </is>
      </c>
    </row>
    <row r="526">
      <c r="A526" t="inlineStr">
        <is>
          <t>Mod</t>
        </is>
      </c>
      <c r="B526" t="inlineStr">
        <is>
          <t>Controlled Slide</t>
        </is>
      </c>
      <c r="E526" t="inlineStr">
        <is>
          <t>Nezha</t>
        </is>
      </c>
      <c r="F526" t="n">
        <v>5</v>
      </c>
      <c r="G526" t="n">
        <v>1</v>
      </c>
      <c r="H526" t="inlineStr">
        <is>
          <t>Player trade (max rank)</t>
        </is>
      </c>
      <c r="I526" t="inlineStr">
        <is>
          <t>Yes</t>
        </is>
      </c>
      <c r="K526" t="inlineStr">
        <is>
          <t>Collection</t>
        </is>
      </c>
      <c r="L526" t="n">
        <v>10</v>
      </c>
      <c r="M526" t="n">
        <v>10</v>
      </c>
      <c r="N526" t="n">
        <v>17</v>
      </c>
      <c r="O526" t="inlineStr">
        <is>
          <t>2026-10-05 UTC (WFM pull 02:52-04:00)</t>
        </is>
      </c>
      <c r="P526" t="inlineStr">
        <is>
          <t>OK</t>
        </is>
      </c>
      <c r="R526" t="inlineStr">
        <is>
          <t>Every current tradeable mod at MAX RANK (WFM catalogue, rivens/locators excluded)</t>
        </is>
      </c>
      <c r="S526" t="inlineStr">
        <is>
          <t>controlled_slide</t>
        </is>
      </c>
      <c r="T526" t="n">
        <v>55</v>
      </c>
      <c r="U526" t="n">
        <v>1</v>
      </c>
      <c r="V526" t="n">
        <v>15</v>
      </c>
      <c r="W526" t="n">
        <v>15</v>
      </c>
      <c r="X526" t="n">
        <v>18</v>
      </c>
      <c r="Y526" t="n">
        <v>65</v>
      </c>
      <c r="Z526" t="n">
        <v>2</v>
      </c>
      <c r="AN526" t="inlineStr">
        <is>
          <t>Nezha</t>
        </is>
      </c>
      <c r="AO526" t="n">
        <v>930</v>
      </c>
      <c r="AP526" t="n">
        <v>44919</v>
      </c>
      <c r="AQ526" t="n">
        <v>10</v>
      </c>
      <c r="AS526" t="inlineStr">
        <is>
          <t>Yes</t>
        </is>
      </c>
    </row>
    <row r="527">
      <c r="A527" t="inlineStr">
        <is>
          <t>Mod</t>
        </is>
      </c>
      <c r="B527" t="inlineStr">
        <is>
          <t>Convulsion</t>
        </is>
      </c>
      <c r="E527" t="inlineStr">
        <is>
          <t>Pistol</t>
        </is>
      </c>
      <c r="F527" t="n">
        <v>5</v>
      </c>
      <c r="G527" t="n">
        <v>1</v>
      </c>
      <c r="H527" t="inlineStr">
        <is>
          <t>Player trade (max rank)</t>
        </is>
      </c>
      <c r="I527" t="inlineStr">
        <is>
          <t>Yes</t>
        </is>
      </c>
      <c r="K527" t="inlineStr">
        <is>
          <t>Collection</t>
        </is>
      </c>
      <c r="L527" t="n">
        <v>9</v>
      </c>
      <c r="M527" t="n">
        <v>12</v>
      </c>
      <c r="N527" t="n">
        <v>27</v>
      </c>
      <c r="O527" t="inlineStr">
        <is>
          <t>2026-10-05 UTC (WFM pull 02:52-04:00)</t>
        </is>
      </c>
      <c r="P527" t="inlineStr">
        <is>
          <t>OK</t>
        </is>
      </c>
      <c r="R527" t="inlineStr">
        <is>
          <t>Every current tradeable mod at MAX RANK (WFM catalogue, rivens/locators excluded)</t>
        </is>
      </c>
      <c r="S527" t="inlineStr">
        <is>
          <t>convulsion</t>
        </is>
      </c>
      <c r="T527" t="n">
        <v>4</v>
      </c>
      <c r="U527" t="n">
        <v>4</v>
      </c>
      <c r="V527" t="n">
        <v>9</v>
      </c>
      <c r="W527" t="n">
        <v>9</v>
      </c>
      <c r="X527" t="n">
        <v>9</v>
      </c>
      <c r="Y527" t="n">
        <v>26</v>
      </c>
      <c r="Z527" t="n">
        <v>0</v>
      </c>
      <c r="AN527" t="inlineStr">
        <is>
          <t>Pistol</t>
        </is>
      </c>
      <c r="AO527" t="n">
        <v>620</v>
      </c>
      <c r="AP527" t="n">
        <v>29946</v>
      </c>
      <c r="AQ527" t="n">
        <v>3</v>
      </c>
      <c r="AS527" t="inlineStr">
        <is>
          <t>Yes</t>
        </is>
      </c>
    </row>
    <row r="528">
      <c r="A528" t="inlineStr">
        <is>
          <t>Mod</t>
        </is>
      </c>
      <c r="B528" t="inlineStr">
        <is>
          <t>Coolant Leak</t>
        </is>
      </c>
      <c r="E528" t="inlineStr">
        <is>
          <t>Robotic</t>
        </is>
      </c>
      <c r="F528" t="n">
        <v>3</v>
      </c>
      <c r="G528" t="n">
        <v>1</v>
      </c>
      <c r="H528" t="inlineStr">
        <is>
          <t>Player trade (max rank)</t>
        </is>
      </c>
      <c r="I528" t="inlineStr">
        <is>
          <t>Yes</t>
        </is>
      </c>
      <c r="K528" t="inlineStr">
        <is>
          <t>Collection</t>
        </is>
      </c>
      <c r="L528" t="n">
        <v>15</v>
      </c>
      <c r="M528" t="n">
        <v>22.5</v>
      </c>
      <c r="N528" t="n">
        <v>50</v>
      </c>
      <c r="O528" t="inlineStr">
        <is>
          <t>2026-10-05 UTC (WFM pull 02:52-04:00)</t>
        </is>
      </c>
      <c r="P528" t="inlineStr">
        <is>
          <t>OK</t>
        </is>
      </c>
      <c r="R528" t="inlineStr">
        <is>
          <t>Every current tradeable mod at MAX RANK (WFM catalogue, rivens/locators excluded)</t>
        </is>
      </c>
      <c r="S528" t="inlineStr">
        <is>
          <t>coolant_leak</t>
        </is>
      </c>
      <c r="T528" t="n">
        <v>6</v>
      </c>
      <c r="U528" t="n">
        <v>6</v>
      </c>
      <c r="V528" t="n">
        <v>15</v>
      </c>
      <c r="W528" t="n">
        <v>15</v>
      </c>
      <c r="X528" t="n">
        <v>15.3</v>
      </c>
      <c r="Y528" t="n">
        <v>362</v>
      </c>
      <c r="Z528" t="n">
        <v>9</v>
      </c>
      <c r="AN528" t="inlineStr">
        <is>
          <t>Robotic</t>
        </is>
      </c>
      <c r="AO528" t="n">
        <v>210</v>
      </c>
      <c r="AP528" t="n">
        <v>10143</v>
      </c>
      <c r="AQ528" t="n">
        <v>12</v>
      </c>
      <c r="AS528" t="inlineStr">
        <is>
          <t>Yes</t>
        </is>
      </c>
    </row>
    <row r="529">
      <c r="A529" t="inlineStr">
        <is>
          <t>Mod</t>
        </is>
      </c>
      <c r="B529" t="inlineStr">
        <is>
          <t>Cordon</t>
        </is>
      </c>
      <c r="E529" t="inlineStr">
        <is>
          <t>Nautilus</t>
        </is>
      </c>
      <c r="F529" t="n">
        <v>5</v>
      </c>
      <c r="G529" t="n">
        <v>1</v>
      </c>
      <c r="H529" t="inlineStr">
        <is>
          <t>Player trade (max rank)</t>
        </is>
      </c>
      <c r="I529" t="inlineStr">
        <is>
          <t>Yes</t>
        </is>
      </c>
      <c r="K529" t="inlineStr">
        <is>
          <t>Collection</t>
        </is>
      </c>
      <c r="L529" t="n">
        <v>20</v>
      </c>
      <c r="M529" t="n">
        <v>25</v>
      </c>
      <c r="N529" t="n">
        <v>36</v>
      </c>
      <c r="O529" t="inlineStr">
        <is>
          <t>2026-10-05 UTC (WFM pull 02:52-04:00)</t>
        </is>
      </c>
      <c r="P529" t="inlineStr">
        <is>
          <t>OK</t>
        </is>
      </c>
      <c r="R529" t="inlineStr">
        <is>
          <t>Every current tradeable mod at MAX RANK (WFM catalogue, rivens/locators excluded)</t>
        </is>
      </c>
      <c r="S529" t="inlineStr">
        <is>
          <t>cordon</t>
        </is>
      </c>
      <c r="T529" t="n">
        <v>29</v>
      </c>
      <c r="U529" t="n">
        <v>2</v>
      </c>
      <c r="V529" t="n">
        <v>32.5</v>
      </c>
      <c r="W529" t="n">
        <v>25</v>
      </c>
      <c r="X529" t="n">
        <v>33.5</v>
      </c>
      <c r="Y529" t="n">
        <v>51</v>
      </c>
      <c r="Z529" t="n">
        <v>0</v>
      </c>
      <c r="AN529" t="inlineStr">
        <is>
          <t>Nautilus</t>
        </is>
      </c>
      <c r="AO529" t="n">
        <v>310</v>
      </c>
      <c r="AP529" t="n">
        <v>14973</v>
      </c>
      <c r="AQ529" t="n">
        <v>18</v>
      </c>
      <c r="AS529" t="inlineStr">
        <is>
          <t>Yes</t>
        </is>
      </c>
    </row>
    <row r="530">
      <c r="A530" t="inlineStr">
        <is>
          <t>Mod</t>
        </is>
      </c>
      <c r="B530" t="inlineStr">
        <is>
          <t>Corrosive Projection</t>
        </is>
      </c>
      <c r="E530" t="inlineStr">
        <is>
          <t>Aura</t>
        </is>
      </c>
      <c r="F530" t="n">
        <v>5</v>
      </c>
      <c r="G530" t="n">
        <v>1</v>
      </c>
      <c r="H530" t="inlineStr">
        <is>
          <t>Player trade (max rank)</t>
        </is>
      </c>
      <c r="I530" t="inlineStr">
        <is>
          <t>Yes</t>
        </is>
      </c>
      <c r="K530" t="inlineStr">
        <is>
          <t>Collection</t>
        </is>
      </c>
      <c r="L530" t="n">
        <v>17</v>
      </c>
      <c r="M530" t="n">
        <v>22.5</v>
      </c>
      <c r="N530" t="n">
        <v>33</v>
      </c>
      <c r="O530" t="inlineStr">
        <is>
          <t>2026-10-05 UTC (WFM pull 02:52-04:00)</t>
        </is>
      </c>
      <c r="P530" t="inlineStr">
        <is>
          <t>OK</t>
        </is>
      </c>
      <c r="R530" t="inlineStr">
        <is>
          <t>Every current tradeable mod at MAX RANK (WFM catalogue, rivens/locators excluded)</t>
        </is>
      </c>
      <c r="S530" t="inlineStr">
        <is>
          <t>corrosive_projection</t>
        </is>
      </c>
      <c r="T530" t="n">
        <v>10</v>
      </c>
      <c r="U530" t="n">
        <v>10</v>
      </c>
      <c r="V530" t="n">
        <v>15</v>
      </c>
      <c r="W530" t="n">
        <v>16.5</v>
      </c>
      <c r="X530" t="n">
        <v>19.6</v>
      </c>
      <c r="Y530" t="n">
        <v>2226</v>
      </c>
      <c r="Z530" t="n">
        <v>33</v>
      </c>
      <c r="AN530" t="inlineStr">
        <is>
          <t>Aura</t>
        </is>
      </c>
      <c r="AO530" t="n">
        <v>620</v>
      </c>
      <c r="AP530" t="n">
        <v>29946</v>
      </c>
      <c r="AQ530" t="n">
        <v>10</v>
      </c>
      <c r="AS530" t="inlineStr">
        <is>
          <t>Yes</t>
        </is>
      </c>
    </row>
    <row r="531">
      <c r="A531" t="inlineStr">
        <is>
          <t>Mod</t>
        </is>
      </c>
      <c r="B531" t="inlineStr">
        <is>
          <t>Corrupt Charge</t>
        </is>
      </c>
      <c r="E531" t="inlineStr">
        <is>
          <t>Melee</t>
        </is>
      </c>
      <c r="F531" t="n">
        <v>3</v>
      </c>
      <c r="G531" t="n">
        <v>1</v>
      </c>
      <c r="H531" t="inlineStr">
        <is>
          <t>Player trade (max rank)</t>
        </is>
      </c>
      <c r="I531" t="inlineStr">
        <is>
          <t>Yes</t>
        </is>
      </c>
      <c r="K531" t="inlineStr">
        <is>
          <t>Collection</t>
        </is>
      </c>
      <c r="L531" t="n">
        <v>18</v>
      </c>
      <c r="M531" t="n">
        <v>18</v>
      </c>
      <c r="N531" t="n">
        <v>22</v>
      </c>
      <c r="O531" t="inlineStr">
        <is>
          <t>2026-10-05 UTC (WFM pull 02:52-04:00)</t>
        </is>
      </c>
      <c r="P531" t="inlineStr">
        <is>
          <t>OK</t>
        </is>
      </c>
      <c r="R531" t="inlineStr">
        <is>
          <t>Every current tradeable mod at MAX RANK (WFM catalogue, rivens/locators excluded)</t>
        </is>
      </c>
      <c r="S531" t="inlineStr">
        <is>
          <t>corrupt_charge</t>
        </is>
      </c>
      <c r="T531" t="n">
        <v>12</v>
      </c>
      <c r="U531" t="n">
        <v>12</v>
      </c>
      <c r="V531" t="n">
        <v>10</v>
      </c>
      <c r="W531" t="n">
        <v>10</v>
      </c>
      <c r="X531" t="n">
        <v>10.5</v>
      </c>
      <c r="Y531" t="n">
        <v>1010</v>
      </c>
      <c r="Z531" t="n">
        <v>11</v>
      </c>
      <c r="AN531" t="inlineStr">
        <is>
          <t>Melee</t>
        </is>
      </c>
      <c r="AO531" t="n">
        <v>210</v>
      </c>
      <c r="AP531" t="n">
        <v>10143</v>
      </c>
      <c r="AQ531" t="n">
        <v>8</v>
      </c>
      <c r="AS531" t="inlineStr">
        <is>
          <t>Yes</t>
        </is>
      </c>
    </row>
    <row r="532">
      <c r="A532" t="inlineStr">
        <is>
          <t>Mod</t>
        </is>
      </c>
      <c r="B532" t="inlineStr">
        <is>
          <t>Counter Pulse</t>
        </is>
      </c>
      <c r="E532" t="inlineStr">
        <is>
          <t>Augment Mag</t>
        </is>
      </c>
      <c r="F532" t="n">
        <v>3</v>
      </c>
      <c r="G532" t="n">
        <v>1</v>
      </c>
      <c r="H532" t="inlineStr">
        <is>
          <t>Player trade (max rank)</t>
        </is>
      </c>
      <c r="I532" t="inlineStr">
        <is>
          <t>Yes</t>
        </is>
      </c>
      <c r="K532" t="inlineStr">
        <is>
          <t>Collection</t>
        </is>
      </c>
      <c r="L532" t="n">
        <v>24</v>
      </c>
      <c r="M532" t="n">
        <v>24</v>
      </c>
      <c r="N532" t="n">
        <v>53</v>
      </c>
      <c r="O532" t="inlineStr">
        <is>
          <t>2026-10-05 UTC (WFM pull 02:52-04:00)</t>
        </is>
      </c>
      <c r="P532" t="inlineStr">
        <is>
          <t>OK</t>
        </is>
      </c>
      <c r="R532" t="inlineStr">
        <is>
          <t>Every current tradeable mod at MAX RANK (WFM catalogue, rivens/locators excluded)</t>
        </is>
      </c>
      <c r="S532" t="inlineStr">
        <is>
          <t>counter_pulse</t>
        </is>
      </c>
      <c r="T532" t="n">
        <v>6</v>
      </c>
      <c r="U532" t="n">
        <v>6</v>
      </c>
      <c r="V532" t="n">
        <v>15</v>
      </c>
      <c r="W532" t="n">
        <v>17.5</v>
      </c>
      <c r="X532" t="n">
        <v>17.1</v>
      </c>
      <c r="Y532" t="n">
        <v>53</v>
      </c>
      <c r="Z532" t="n">
        <v>1</v>
      </c>
      <c r="AN532" t="inlineStr">
        <is>
          <t>Augment Mag</t>
        </is>
      </c>
      <c r="AO532" t="n">
        <v>210</v>
      </c>
      <c r="AP532" t="n">
        <v>10143</v>
      </c>
      <c r="AQ532" t="n">
        <v>15</v>
      </c>
      <c r="AS532" t="inlineStr">
        <is>
          <t>Yes</t>
        </is>
      </c>
    </row>
    <row r="533">
      <c r="A533" t="inlineStr">
        <is>
          <t>Mod</t>
        </is>
      </c>
      <c r="B533" t="inlineStr">
        <is>
          <t>Counterbalance</t>
        </is>
      </c>
      <c r="E533" t="inlineStr">
        <is>
          <t>Shotgun</t>
        </is>
      </c>
      <c r="F533" t="n">
        <v>3</v>
      </c>
      <c r="G533" t="n">
        <v>1</v>
      </c>
      <c r="H533" t="inlineStr">
        <is>
          <t>Player trade (max rank)</t>
        </is>
      </c>
      <c r="I533" t="inlineStr">
        <is>
          <t>Yes</t>
        </is>
      </c>
      <c r="K533" t="inlineStr">
        <is>
          <t>Collection</t>
        </is>
      </c>
      <c r="L533" t="n">
        <v>10</v>
      </c>
      <c r="M533" t="n">
        <v>15</v>
      </c>
      <c r="N533" t="n">
        <v>31</v>
      </c>
      <c r="O533" t="inlineStr">
        <is>
          <t>2026-10-05 UTC (WFM pull 02:52-04:00)</t>
        </is>
      </c>
      <c r="P533" t="inlineStr">
        <is>
          <t>OK</t>
        </is>
      </c>
      <c r="R533" t="inlineStr">
        <is>
          <t>Every current tradeable mod at MAX RANK (WFM catalogue, rivens/locators excluded)</t>
        </is>
      </c>
      <c r="S533" t="inlineStr">
        <is>
          <t>counterbalance</t>
        </is>
      </c>
      <c r="T533" t="n">
        <v>6</v>
      </c>
      <c r="U533" t="n">
        <v>6</v>
      </c>
      <c r="V533" t="n">
        <v>13</v>
      </c>
      <c r="W533" t="n">
        <v>12.5</v>
      </c>
      <c r="X533" t="n">
        <v>13.2</v>
      </c>
      <c r="Y533" t="n">
        <v>139</v>
      </c>
      <c r="Z533" t="n">
        <v>1</v>
      </c>
      <c r="AN533" t="inlineStr">
        <is>
          <t>Shotgun</t>
        </is>
      </c>
      <c r="AO533" t="n">
        <v>210</v>
      </c>
      <c r="AP533" t="n">
        <v>10143</v>
      </c>
      <c r="AQ533" t="n">
        <v>10</v>
      </c>
      <c r="AS533" t="inlineStr">
        <is>
          <t>Yes</t>
        </is>
      </c>
    </row>
    <row r="534">
      <c r="A534" t="inlineStr">
        <is>
          <t>Mod</t>
        </is>
      </c>
      <c r="B534" t="inlineStr">
        <is>
          <t>Countermeasures</t>
        </is>
      </c>
      <c r="E534" t="inlineStr">
        <is>
          <t>Railjack (Battle, Slot 1)</t>
        </is>
      </c>
      <c r="F534" t="n">
        <v>3</v>
      </c>
      <c r="G534" t="n">
        <v>1</v>
      </c>
      <c r="H534" t="inlineStr">
        <is>
          <t>Player trade (max rank)</t>
        </is>
      </c>
      <c r="I534" t="inlineStr">
        <is>
          <t>Yes</t>
        </is>
      </c>
      <c r="K534" t="inlineStr">
        <is>
          <t>Collection</t>
        </is>
      </c>
      <c r="L534" t="n">
        <v>3</v>
      </c>
      <c r="M534" t="n">
        <v>5</v>
      </c>
      <c r="N534" t="n">
        <v>10</v>
      </c>
      <c r="O534" t="inlineStr">
        <is>
          <t>2026-10-05 UTC (WFM pull 02:52-04:00)</t>
        </is>
      </c>
      <c r="P534" t="inlineStr">
        <is>
          <t>OK</t>
        </is>
      </c>
      <c r="R534" t="inlineStr">
        <is>
          <t>Every current tradeable mod at MAX RANK (WFM catalogue, rivens/locators excluded)</t>
        </is>
      </c>
      <c r="S534" t="inlineStr">
        <is>
          <t>countermeasures</t>
        </is>
      </c>
      <c r="T534" t="n">
        <v>60</v>
      </c>
      <c r="U534" t="n">
        <v>0</v>
      </c>
      <c r="V534" t="n">
        <v>5</v>
      </c>
      <c r="W534" t="n">
        <v>5</v>
      </c>
      <c r="X534" t="n">
        <v>10</v>
      </c>
      <c r="Y534" t="n">
        <v>2</v>
      </c>
      <c r="Z534" t="n">
        <v>0</v>
      </c>
      <c r="AN534" t="inlineStr">
        <is>
          <t>Railjack (Battle, Slot 1)</t>
        </is>
      </c>
      <c r="AO534" t="n">
        <v>70</v>
      </c>
      <c r="AP534" t="n">
        <v>3381</v>
      </c>
      <c r="AQ534" t="n">
        <v>2</v>
      </c>
      <c r="AS534" t="inlineStr">
        <is>
          <t>Yes</t>
        </is>
      </c>
    </row>
    <row r="535">
      <c r="A535" t="inlineStr">
        <is>
          <t>Mod</t>
        </is>
      </c>
      <c r="B535" t="inlineStr">
        <is>
          <t>Counterweight</t>
        </is>
      </c>
      <c r="E535" t="inlineStr">
        <is>
          <t>Conclave (PvP)</t>
        </is>
      </c>
      <c r="F535" t="n">
        <v>3</v>
      </c>
      <c r="G535" t="n">
        <v>1</v>
      </c>
      <c r="H535" t="inlineStr">
        <is>
          <t>Player trade (max rank)</t>
        </is>
      </c>
      <c r="I535" t="inlineStr">
        <is>
          <t>Yes</t>
        </is>
      </c>
      <c r="K535" t="inlineStr">
        <is>
          <t>Collection (PvP)</t>
        </is>
      </c>
      <c r="L535" t="n">
        <v>24</v>
      </c>
      <c r="M535" t="n">
        <v>30</v>
      </c>
      <c r="N535" t="n">
        <v>66</v>
      </c>
      <c r="O535" t="inlineStr">
        <is>
          <t>2026-10-05 UTC (WFM pull 02:52-04:00)</t>
        </is>
      </c>
      <c r="P535" t="inlineStr">
        <is>
          <t>OK</t>
        </is>
      </c>
      <c r="R535" t="inlineStr">
        <is>
          <t>Every current tradeable mod at MAX RANK (WFM catalogue, rivens/locators excluded)</t>
        </is>
      </c>
      <c r="S535" t="inlineStr">
        <is>
          <t>counterweight</t>
        </is>
      </c>
      <c r="T535" t="n">
        <v>5</v>
      </c>
      <c r="U535" t="n">
        <v>1</v>
      </c>
      <c r="W535" t="n">
        <v>25</v>
      </c>
      <c r="X535" t="n">
        <v>48.3</v>
      </c>
      <c r="Y535" t="n">
        <v>3</v>
      </c>
      <c r="Z535" t="n">
        <v>0</v>
      </c>
      <c r="AN535" t="inlineStr">
        <is>
          <t>Conclave (PvP)</t>
        </is>
      </c>
      <c r="AO535" t="n">
        <v>140</v>
      </c>
      <c r="AP535" t="n">
        <v>6762</v>
      </c>
      <c r="AQ535" t="n">
        <v>40</v>
      </c>
      <c r="AS535" t="inlineStr">
        <is>
          <t>PvP subtotal</t>
        </is>
      </c>
    </row>
    <row r="536">
      <c r="A536" t="inlineStr">
        <is>
          <t>Mod</t>
        </is>
      </c>
      <c r="B536" t="inlineStr">
        <is>
          <t>Covert Bond</t>
        </is>
      </c>
      <c r="E536" t="inlineStr">
        <is>
          <t>Companion</t>
        </is>
      </c>
      <c r="F536" t="n">
        <v>5</v>
      </c>
      <c r="G536" t="n">
        <v>1</v>
      </c>
      <c r="H536" t="inlineStr">
        <is>
          <t>Player trade (max rank)</t>
        </is>
      </c>
      <c r="I536" t="inlineStr">
        <is>
          <t>Yes</t>
        </is>
      </c>
      <c r="K536" t="inlineStr">
        <is>
          <t>Collection</t>
        </is>
      </c>
      <c r="L536" t="n">
        <v>18</v>
      </c>
      <c r="M536" t="n">
        <v>19</v>
      </c>
      <c r="N536" t="n">
        <v>22</v>
      </c>
      <c r="O536" t="inlineStr">
        <is>
          <t>2026-10-05 UTC (WFM pull 02:52-04:00)</t>
        </is>
      </c>
      <c r="P536" t="inlineStr">
        <is>
          <t>OK</t>
        </is>
      </c>
      <c r="R536" t="inlineStr">
        <is>
          <t>Every current tradeable mod at MAX RANK (WFM catalogue, rivens/locators excluded)</t>
        </is>
      </c>
      <c r="S536" t="inlineStr">
        <is>
          <t>covert_bond</t>
        </is>
      </c>
      <c r="T536" t="n">
        <v>10</v>
      </c>
      <c r="U536" t="n">
        <v>10</v>
      </c>
      <c r="V536" t="n">
        <v>20</v>
      </c>
      <c r="W536" t="n">
        <v>19.5</v>
      </c>
      <c r="X536" t="n">
        <v>19.1</v>
      </c>
      <c r="Y536" t="n">
        <v>18</v>
      </c>
      <c r="Z536" t="n">
        <v>0</v>
      </c>
      <c r="AN536" t="inlineStr">
        <is>
          <t>Companion</t>
        </is>
      </c>
      <c r="AO536" t="n">
        <v>930</v>
      </c>
      <c r="AP536" t="n">
        <v>44919</v>
      </c>
      <c r="AQ536" t="n">
        <v>15</v>
      </c>
      <c r="AS536" t="inlineStr">
        <is>
          <t>Yes</t>
        </is>
      </c>
    </row>
    <row r="537">
      <c r="A537" t="inlineStr">
        <is>
          <t>Mod</t>
        </is>
      </c>
      <c r="B537" t="inlineStr">
        <is>
          <t>Covert Lethality</t>
        </is>
      </c>
      <c r="E537" t="inlineStr">
        <is>
          <t>Melee</t>
        </is>
      </c>
      <c r="F537" t="n">
        <v>3</v>
      </c>
      <c r="G537" t="n">
        <v>1</v>
      </c>
      <c r="H537" t="inlineStr">
        <is>
          <t>Player trade (max rank)</t>
        </is>
      </c>
      <c r="I537" t="inlineStr">
        <is>
          <t>Yes</t>
        </is>
      </c>
      <c r="K537" t="inlineStr">
        <is>
          <t>Collection</t>
        </is>
      </c>
      <c r="L537" t="n">
        <v>15</v>
      </c>
      <c r="M537" t="n">
        <v>15</v>
      </c>
      <c r="N537" t="n">
        <v>33</v>
      </c>
      <c r="O537" t="inlineStr">
        <is>
          <t>2026-10-05 UTC (WFM pull 02:52-04:00)</t>
        </is>
      </c>
      <c r="P537" t="inlineStr">
        <is>
          <t>OK</t>
        </is>
      </c>
      <c r="R537" t="inlineStr">
        <is>
          <t>Every current tradeable mod at MAX RANK (WFM catalogue, rivens/locators excluded)</t>
        </is>
      </c>
      <c r="S537" t="inlineStr">
        <is>
          <t>covert_lethality</t>
        </is>
      </c>
      <c r="T537" t="n">
        <v>4</v>
      </c>
      <c r="U537" t="n">
        <v>4</v>
      </c>
      <c r="V537" t="n">
        <v>10</v>
      </c>
      <c r="W537" t="n">
        <v>10</v>
      </c>
      <c r="X537" t="n">
        <v>10.6</v>
      </c>
      <c r="Y537" t="n">
        <v>173</v>
      </c>
      <c r="Z537" t="n">
        <v>4</v>
      </c>
      <c r="AN537" t="inlineStr">
        <is>
          <t>Melee</t>
        </is>
      </c>
      <c r="AO537" t="n">
        <v>210</v>
      </c>
      <c r="AP537" t="n">
        <v>10143</v>
      </c>
      <c r="AQ537" t="n">
        <v>7</v>
      </c>
      <c r="AS537" t="inlineStr">
        <is>
          <t>Yes</t>
        </is>
      </c>
    </row>
    <row r="538">
      <c r="A538" t="inlineStr">
        <is>
          <t>Mod</t>
        </is>
      </c>
      <c r="B538" t="inlineStr">
        <is>
          <t>Crash Course</t>
        </is>
      </c>
      <c r="E538" t="inlineStr">
        <is>
          <t>Rifle</t>
        </is>
      </c>
      <c r="F538" t="n">
        <v>5</v>
      </c>
      <c r="G538" t="n">
        <v>1</v>
      </c>
      <c r="H538" t="inlineStr">
        <is>
          <t>Player trade (max rank)</t>
        </is>
      </c>
      <c r="I538" t="inlineStr">
        <is>
          <t>Yes</t>
        </is>
      </c>
      <c r="K538" t="inlineStr">
        <is>
          <t>Collection</t>
        </is>
      </c>
      <c r="L538" t="n">
        <v>10</v>
      </c>
      <c r="M538" t="n">
        <v>12</v>
      </c>
      <c r="N538" t="n">
        <v>27</v>
      </c>
      <c r="O538" t="inlineStr">
        <is>
          <t>2026-10-05 UTC (WFM pull 02:52-04:00)</t>
        </is>
      </c>
      <c r="P538" t="inlineStr">
        <is>
          <t>OK</t>
        </is>
      </c>
      <c r="R538" t="inlineStr">
        <is>
          <t>Every current tradeable mod at MAX RANK (WFM catalogue, rivens/locators excluded)</t>
        </is>
      </c>
      <c r="S538" t="inlineStr">
        <is>
          <t>crash_course</t>
        </is>
      </c>
      <c r="T538" t="n">
        <v>7</v>
      </c>
      <c r="U538" t="n">
        <v>7</v>
      </c>
      <c r="V538" t="n">
        <v>8</v>
      </c>
      <c r="W538" t="n">
        <v>10</v>
      </c>
      <c r="X538" t="n">
        <v>13.6</v>
      </c>
      <c r="Y538" t="n">
        <v>10</v>
      </c>
      <c r="Z538" t="n">
        <v>0</v>
      </c>
      <c r="AN538" t="inlineStr">
        <is>
          <t>Rifle</t>
        </is>
      </c>
      <c r="AO538" t="n">
        <v>930</v>
      </c>
      <c r="AP538" t="n">
        <v>44919</v>
      </c>
      <c r="AQ538" t="n">
        <v>5</v>
      </c>
      <c r="AS538" t="inlineStr">
        <is>
          <t>Yes</t>
        </is>
      </c>
    </row>
    <row r="539">
      <c r="A539" t="inlineStr">
        <is>
          <t>Mod</t>
        </is>
      </c>
      <c r="B539" t="inlineStr">
        <is>
          <t>Crash Shot</t>
        </is>
      </c>
      <c r="E539" t="inlineStr">
        <is>
          <t>Conclave (PvP)</t>
        </is>
      </c>
      <c r="F539" t="n">
        <v>3</v>
      </c>
      <c r="G539" t="n">
        <v>1</v>
      </c>
      <c r="H539" t="inlineStr">
        <is>
          <t>Player trade (max rank)</t>
        </is>
      </c>
      <c r="I539" t="inlineStr">
        <is>
          <t>Yes</t>
        </is>
      </c>
      <c r="K539" t="inlineStr">
        <is>
          <t>Collection (PvP)</t>
        </is>
      </c>
      <c r="L539" t="n">
        <v>200</v>
      </c>
      <c r="M539" t="n">
        <v>200</v>
      </c>
      <c r="N539" t="n">
        <v>330</v>
      </c>
      <c r="O539" t="inlineStr">
        <is>
          <t>2026-10-05 UTC (WFM pull 02:52-04:00)</t>
        </is>
      </c>
      <c r="P539" t="inlineStr">
        <is>
          <t>OK</t>
        </is>
      </c>
      <c r="R539" t="inlineStr">
        <is>
          <t>Every current tradeable mod at MAX RANK (WFM catalogue, rivens/locators excluded)</t>
        </is>
      </c>
      <c r="S539" t="inlineStr">
        <is>
          <t>crash_shot</t>
        </is>
      </c>
      <c r="T539" t="n">
        <v>3</v>
      </c>
      <c r="U539" t="n">
        <v>0</v>
      </c>
      <c r="W539" t="n">
        <v>20</v>
      </c>
      <c r="X539" t="n">
        <v>20</v>
      </c>
      <c r="Y539" t="n">
        <v>1</v>
      </c>
      <c r="Z539" t="n">
        <v>0</v>
      </c>
      <c r="AN539" t="inlineStr">
        <is>
          <t>Conclave (PvP)</t>
        </is>
      </c>
      <c r="AO539" t="n">
        <v>140</v>
      </c>
      <c r="AP539" t="n">
        <v>6762</v>
      </c>
      <c r="AQ539" t="n">
        <v>40</v>
      </c>
      <c r="AS539" t="inlineStr">
        <is>
          <t>PvP subtotal</t>
        </is>
      </c>
    </row>
    <row r="540">
      <c r="A540" t="inlineStr">
        <is>
          <t>Mod</t>
        </is>
      </c>
      <c r="B540" t="inlineStr">
        <is>
          <t>Crashing Havoc</t>
        </is>
      </c>
      <c r="E540" t="inlineStr">
        <is>
          <t>Conclave (PvP)</t>
        </is>
      </c>
      <c r="F540" t="n">
        <v>3</v>
      </c>
      <c r="G540" t="n">
        <v>1</v>
      </c>
      <c r="H540" t="inlineStr">
        <is>
          <t>Player trade (max rank)</t>
        </is>
      </c>
      <c r="I540" t="inlineStr">
        <is>
          <t>Yes</t>
        </is>
      </c>
      <c r="K540" t="inlineStr">
        <is>
          <t>Collection (PvP)</t>
        </is>
      </c>
      <c r="L540" t="n">
        <v>30</v>
      </c>
      <c r="M540" t="n">
        <v>30</v>
      </c>
      <c r="N540" t="n">
        <v>66</v>
      </c>
      <c r="O540" t="inlineStr">
        <is>
          <t>2026-10-05 UTC (WFM pull 02:52-04:00)</t>
        </is>
      </c>
      <c r="P540" t="inlineStr">
        <is>
          <t>OK</t>
        </is>
      </c>
      <c r="R540" t="inlineStr">
        <is>
          <t>Every current tradeable mod at MAX RANK (WFM catalogue, rivens/locators excluded)</t>
        </is>
      </c>
      <c r="S540" t="inlineStr">
        <is>
          <t>crashing_havoc</t>
        </is>
      </c>
      <c r="T540" t="n">
        <v>4</v>
      </c>
      <c r="U540" t="n">
        <v>0</v>
      </c>
      <c r="V540" t="n">
        <v>20</v>
      </c>
      <c r="W540" t="n">
        <v>20</v>
      </c>
      <c r="X540" t="n">
        <v>16.7</v>
      </c>
      <c r="Y540" t="n">
        <v>3</v>
      </c>
      <c r="Z540" t="n">
        <v>0</v>
      </c>
      <c r="AN540" t="inlineStr">
        <is>
          <t>Conclave (PvP)</t>
        </is>
      </c>
      <c r="AO540" t="n">
        <v>140</v>
      </c>
      <c r="AP540" t="n">
        <v>6762</v>
      </c>
      <c r="AQ540" t="n">
        <v>20</v>
      </c>
      <c r="AS540" t="inlineStr">
        <is>
          <t>PvP subtotal</t>
        </is>
      </c>
    </row>
    <row r="541">
      <c r="A541" t="inlineStr">
        <is>
          <t>Mod</t>
        </is>
      </c>
      <c r="B541" t="inlineStr">
        <is>
          <t>Crashing Timber</t>
        </is>
      </c>
      <c r="E541" t="inlineStr">
        <is>
          <t>Conclave (PvP)</t>
        </is>
      </c>
      <c r="F541" t="n">
        <v>3</v>
      </c>
      <c r="G541" t="n">
        <v>1</v>
      </c>
      <c r="H541" t="inlineStr">
        <is>
          <t>Player trade (max rank)</t>
        </is>
      </c>
      <c r="I541" t="inlineStr">
        <is>
          <t>Yes</t>
        </is>
      </c>
      <c r="K541" t="inlineStr">
        <is>
          <t>Collection (PvP)</t>
        </is>
      </c>
      <c r="L541" t="n">
        <v>100</v>
      </c>
      <c r="M541" t="n">
        <v>100</v>
      </c>
      <c r="N541" t="n">
        <v>221</v>
      </c>
      <c r="O541" t="inlineStr">
        <is>
          <t>2026-10-05 UTC (WFM pull 02:52-04:00)</t>
        </is>
      </c>
      <c r="P541" t="inlineStr">
        <is>
          <t>OK</t>
        </is>
      </c>
      <c r="R541" t="inlineStr">
        <is>
          <t>Every current tradeable mod at MAX RANK (WFM catalogue, rivens/locators excluded)</t>
        </is>
      </c>
      <c r="S541" t="inlineStr">
        <is>
          <t>crashing_timber</t>
        </is>
      </c>
      <c r="T541" t="n">
        <v>4</v>
      </c>
      <c r="U541" t="n">
        <v>0</v>
      </c>
      <c r="V541" t="n">
        <v>20</v>
      </c>
      <c r="W541" t="n">
        <v>20</v>
      </c>
      <c r="X541" t="n">
        <v>20</v>
      </c>
      <c r="Y541" t="n">
        <v>1</v>
      </c>
      <c r="Z541" t="n">
        <v>0</v>
      </c>
      <c r="AN541" t="inlineStr">
        <is>
          <t>Conclave (PvP)</t>
        </is>
      </c>
      <c r="AO541" t="n">
        <v>140</v>
      </c>
      <c r="AP541" t="n">
        <v>6762</v>
      </c>
      <c r="AQ541" t="n">
        <v>20</v>
      </c>
      <c r="AS541" t="inlineStr">
        <is>
          <t>PvP subtotal</t>
        </is>
      </c>
    </row>
    <row r="542">
      <c r="A542" t="inlineStr">
        <is>
          <t>Mod</t>
        </is>
      </c>
      <c r="B542" t="inlineStr">
        <is>
          <t>Creeping Bullseye</t>
        </is>
      </c>
      <c r="E542" t="inlineStr">
        <is>
          <t>Pistol</t>
        </is>
      </c>
      <c r="F542" t="n">
        <v>5</v>
      </c>
      <c r="G542" t="n">
        <v>1</v>
      </c>
      <c r="H542" t="inlineStr">
        <is>
          <t>Player trade (max rank)</t>
        </is>
      </c>
      <c r="I542" t="inlineStr">
        <is>
          <t>Yes</t>
        </is>
      </c>
      <c r="K542" t="inlineStr">
        <is>
          <t>Collection</t>
        </is>
      </c>
      <c r="L542" t="n">
        <v>12</v>
      </c>
      <c r="M542" t="n">
        <v>14</v>
      </c>
      <c r="N542" t="n">
        <v>17</v>
      </c>
      <c r="O542" t="inlineStr">
        <is>
          <t>2026-10-05 UTC (WFM pull 02:52-04:00)</t>
        </is>
      </c>
      <c r="P542" t="inlineStr">
        <is>
          <t>OK</t>
        </is>
      </c>
      <c r="R542" t="inlineStr">
        <is>
          <t>Every current tradeable mod at MAX RANK (WFM catalogue, rivens/locators excluded)</t>
        </is>
      </c>
      <c r="S542" t="inlineStr">
        <is>
          <t>creeping_bullseye</t>
        </is>
      </c>
      <c r="T542" t="n">
        <v>18</v>
      </c>
      <c r="U542" t="n">
        <v>18</v>
      </c>
      <c r="V542" t="n">
        <v>10</v>
      </c>
      <c r="W542" t="n">
        <v>10</v>
      </c>
      <c r="X542" t="n">
        <v>11</v>
      </c>
      <c r="Y542" t="n">
        <v>916</v>
      </c>
      <c r="Z542" t="n">
        <v>15</v>
      </c>
      <c r="AN542" t="inlineStr">
        <is>
          <t>Pistol</t>
        </is>
      </c>
      <c r="AO542" t="n">
        <v>930</v>
      </c>
      <c r="AP542" t="n">
        <v>44919</v>
      </c>
      <c r="AQ542" t="n">
        <v>5</v>
      </c>
      <c r="AS542" t="inlineStr">
        <is>
          <t>Yes</t>
        </is>
      </c>
    </row>
    <row r="543">
      <c r="A543" t="inlineStr">
        <is>
          <t>Mod</t>
        </is>
      </c>
      <c r="B543" t="inlineStr">
        <is>
          <t>Creeping Terrify</t>
        </is>
      </c>
      <c r="E543" t="inlineStr">
        <is>
          <t>Augment Nekros</t>
        </is>
      </c>
      <c r="F543" t="n">
        <v>3</v>
      </c>
      <c r="G543" t="n">
        <v>1</v>
      </c>
      <c r="H543" t="inlineStr">
        <is>
          <t>Player trade (max rank)</t>
        </is>
      </c>
      <c r="I543" t="inlineStr">
        <is>
          <t>Yes</t>
        </is>
      </c>
      <c r="K543" t="inlineStr">
        <is>
          <t>Collection</t>
        </is>
      </c>
      <c r="L543" t="n">
        <v>10</v>
      </c>
      <c r="M543" t="n">
        <v>10</v>
      </c>
      <c r="N543" t="n">
        <v>16</v>
      </c>
      <c r="O543" t="inlineStr">
        <is>
          <t>2026-10-05 UTC (WFM pull 02:52-04:00)</t>
        </is>
      </c>
      <c r="P543" t="inlineStr">
        <is>
          <t>OK</t>
        </is>
      </c>
      <c r="R543" t="inlineStr">
        <is>
          <t>Every current tradeable mod at MAX RANK (WFM catalogue, rivens/locators excluded)</t>
        </is>
      </c>
      <c r="S543" t="inlineStr">
        <is>
          <t>creeping_terrify</t>
        </is>
      </c>
      <c r="T543" t="n">
        <v>74</v>
      </c>
      <c r="U543" t="n">
        <v>1</v>
      </c>
      <c r="V543" t="n">
        <v>14</v>
      </c>
      <c r="W543" t="n">
        <v>15</v>
      </c>
      <c r="X543" t="n">
        <v>14</v>
      </c>
      <c r="Y543" t="n">
        <v>99</v>
      </c>
      <c r="Z543" t="n">
        <v>3</v>
      </c>
      <c r="AN543" t="inlineStr">
        <is>
          <t>Augment Nekros</t>
        </is>
      </c>
      <c r="AO543" t="n">
        <v>210</v>
      </c>
      <c r="AP543" t="n">
        <v>10143</v>
      </c>
      <c r="AQ543" t="n">
        <v>15</v>
      </c>
      <c r="AS543" t="inlineStr">
        <is>
          <t>Yes</t>
        </is>
      </c>
    </row>
    <row r="544">
      <c r="A544" t="inlineStr">
        <is>
          <t>Mod</t>
        </is>
      </c>
      <c r="B544" t="inlineStr">
        <is>
          <t>Crescent Charge</t>
        </is>
      </c>
      <c r="E544" t="inlineStr">
        <is>
          <t>Crescent Vulpaphyla</t>
        </is>
      </c>
      <c r="F544" t="n">
        <v>3</v>
      </c>
      <c r="G544" t="n">
        <v>1</v>
      </c>
      <c r="H544" t="inlineStr">
        <is>
          <t>Player trade (max rank)</t>
        </is>
      </c>
      <c r="I544" t="inlineStr">
        <is>
          <t>Yes</t>
        </is>
      </c>
      <c r="K544" t="inlineStr">
        <is>
          <t>Collection</t>
        </is>
      </c>
      <c r="L544" t="n">
        <v>15</v>
      </c>
      <c r="M544" t="n">
        <v>20</v>
      </c>
      <c r="N544" t="n">
        <v>44</v>
      </c>
      <c r="O544" t="inlineStr">
        <is>
          <t>2026-10-05 UTC (WFM pull 02:52-04:00)</t>
        </is>
      </c>
      <c r="P544" t="inlineStr">
        <is>
          <t>OK</t>
        </is>
      </c>
      <c r="R544" t="inlineStr">
        <is>
          <t>Every current tradeable mod at MAX RANK (WFM catalogue, rivens/locators excluded)</t>
        </is>
      </c>
      <c r="S544" t="inlineStr">
        <is>
          <t>crescent_charge</t>
        </is>
      </c>
      <c r="T544" t="n">
        <v>16</v>
      </c>
      <c r="U544" t="n">
        <v>1</v>
      </c>
      <c r="V544" t="n">
        <v>90</v>
      </c>
      <c r="W544" t="n">
        <v>10</v>
      </c>
      <c r="X544" t="n">
        <v>30</v>
      </c>
      <c r="Y544" t="n">
        <v>4</v>
      </c>
      <c r="Z544" t="n">
        <v>1</v>
      </c>
      <c r="AN544" t="inlineStr">
        <is>
          <t>Crescent Vulpaphyla</t>
        </is>
      </c>
      <c r="AO544" t="n">
        <v>210</v>
      </c>
      <c r="AP544" t="n">
        <v>10143</v>
      </c>
      <c r="AQ544" t="n">
        <v>25</v>
      </c>
      <c r="AS544" t="inlineStr">
        <is>
          <t>Yes</t>
        </is>
      </c>
    </row>
    <row r="545">
      <c r="A545" t="inlineStr">
        <is>
          <t>Mod</t>
        </is>
      </c>
      <c r="B545" t="inlineStr">
        <is>
          <t>Crescent Devolution</t>
        </is>
      </c>
      <c r="E545" t="inlineStr">
        <is>
          <t>Crescent Vulpaphyla</t>
        </is>
      </c>
      <c r="F545" t="n">
        <v>3</v>
      </c>
      <c r="G545" t="n">
        <v>1</v>
      </c>
      <c r="H545" t="inlineStr">
        <is>
          <t>Player trade (max rank)</t>
        </is>
      </c>
      <c r="I545" t="inlineStr">
        <is>
          <t>Yes</t>
        </is>
      </c>
      <c r="K545" t="inlineStr">
        <is>
          <t>Collection</t>
        </is>
      </c>
      <c r="L545" t="n">
        <v>10</v>
      </c>
      <c r="M545" t="n">
        <v>15</v>
      </c>
      <c r="N545" t="n">
        <v>17</v>
      </c>
      <c r="O545" t="inlineStr">
        <is>
          <t>2026-10-05 UTC (WFM pull 02:52-04:00)</t>
        </is>
      </c>
      <c r="P545" t="inlineStr">
        <is>
          <t>OK</t>
        </is>
      </c>
      <c r="R545" t="inlineStr">
        <is>
          <t>Every current tradeable mod at MAX RANK (WFM catalogue, rivens/locators excluded)</t>
        </is>
      </c>
      <c r="S545" t="inlineStr">
        <is>
          <t>crescent_devolution</t>
        </is>
      </c>
      <c r="T545" t="n">
        <v>19</v>
      </c>
      <c r="U545" t="n">
        <v>1</v>
      </c>
      <c r="W545" t="n">
        <v>10</v>
      </c>
      <c r="X545" t="n">
        <v>10</v>
      </c>
      <c r="Y545" t="n">
        <v>4</v>
      </c>
      <c r="Z545" t="n">
        <v>0</v>
      </c>
      <c r="AN545" t="inlineStr">
        <is>
          <t>Crescent Vulpaphyla</t>
        </is>
      </c>
      <c r="AO545" t="n">
        <v>210</v>
      </c>
      <c r="AP545" t="n">
        <v>10143</v>
      </c>
      <c r="AQ545" t="n">
        <v>10</v>
      </c>
      <c r="AS545" t="inlineStr">
        <is>
          <t>Yes</t>
        </is>
      </c>
    </row>
    <row r="546">
      <c r="A546" t="inlineStr">
        <is>
          <t>Mod</t>
        </is>
      </c>
      <c r="B546" t="inlineStr">
        <is>
          <t>Crimson Dervish</t>
        </is>
      </c>
      <c r="E546" t="inlineStr">
        <is>
          <t>Stance</t>
        </is>
      </c>
      <c r="F546" t="n">
        <v>3</v>
      </c>
      <c r="G546" t="n">
        <v>1</v>
      </c>
      <c r="H546" t="inlineStr">
        <is>
          <t>Player trade (max rank)</t>
        </is>
      </c>
      <c r="I546" t="inlineStr">
        <is>
          <t>Yes</t>
        </is>
      </c>
      <c r="K546" t="inlineStr">
        <is>
          <t>Collection</t>
        </is>
      </c>
      <c r="L546" t="n">
        <v>9</v>
      </c>
      <c r="M546" t="n">
        <v>10</v>
      </c>
      <c r="N546" t="n">
        <v>16</v>
      </c>
      <c r="O546" t="inlineStr">
        <is>
          <t>2026-10-05 UTC (WFM pull 02:52-04:00)</t>
        </is>
      </c>
      <c r="P546" t="inlineStr">
        <is>
          <t>OK</t>
        </is>
      </c>
      <c r="R546" t="inlineStr">
        <is>
          <t>Every current tradeable mod at MAX RANK (WFM catalogue, rivens/locators excluded)</t>
        </is>
      </c>
      <c r="S546" t="inlineStr">
        <is>
          <t>crimson_dervish</t>
        </is>
      </c>
      <c r="T546" t="n">
        <v>103</v>
      </c>
      <c r="U546" t="n">
        <v>2</v>
      </c>
      <c r="V546" t="n">
        <v>14</v>
      </c>
      <c r="W546" t="n">
        <v>12.5</v>
      </c>
      <c r="X546" t="n">
        <v>12.6</v>
      </c>
      <c r="Y546" t="n">
        <v>94</v>
      </c>
      <c r="Z546" t="n">
        <v>0</v>
      </c>
      <c r="AN546" t="inlineStr">
        <is>
          <t>Stance</t>
        </is>
      </c>
      <c r="AO546" t="n">
        <v>210</v>
      </c>
      <c r="AP546" t="n">
        <v>10143</v>
      </c>
      <c r="AQ546" t="n">
        <v>8</v>
      </c>
      <c r="AS546" t="inlineStr">
        <is>
          <t>Yes</t>
        </is>
      </c>
    </row>
    <row r="547">
      <c r="A547" t="inlineStr">
        <is>
          <t>Mod</t>
        </is>
      </c>
      <c r="B547" t="inlineStr">
        <is>
          <t>Crimson Fugue</t>
        </is>
      </c>
      <c r="E547" t="inlineStr">
        <is>
          <t>Plexus</t>
        </is>
      </c>
      <c r="F547" t="n">
        <v>10</v>
      </c>
      <c r="G547" t="n">
        <v>1</v>
      </c>
      <c r="H547" t="inlineStr">
        <is>
          <t>Player trade (max rank)</t>
        </is>
      </c>
      <c r="I547" t="inlineStr">
        <is>
          <t>Yes</t>
        </is>
      </c>
      <c r="K547" t="inlineStr">
        <is>
          <t>Collection</t>
        </is>
      </c>
      <c r="L547" t="n">
        <v>70</v>
      </c>
      <c r="M547" t="n">
        <v>79</v>
      </c>
      <c r="N547" t="n">
        <v>88</v>
      </c>
      <c r="O547" t="inlineStr">
        <is>
          <t>2026-10-05 UTC (WFM pull 02:52-04:00)</t>
        </is>
      </c>
      <c r="P547" t="inlineStr">
        <is>
          <t>OK</t>
        </is>
      </c>
      <c r="R547" t="inlineStr">
        <is>
          <t>Every current tradeable mod at MAX RANK (WFM catalogue, rivens/locators excluded)</t>
        </is>
      </c>
      <c r="S547" t="inlineStr">
        <is>
          <t>crimson_fugue</t>
        </is>
      </c>
      <c r="T547" t="n">
        <v>12</v>
      </c>
      <c r="U547" t="n">
        <v>12</v>
      </c>
      <c r="V547" t="n">
        <v>70</v>
      </c>
      <c r="W547" t="n">
        <v>74</v>
      </c>
      <c r="X547" t="n">
        <v>73.40000000000001</v>
      </c>
      <c r="Y547" t="n">
        <v>105</v>
      </c>
      <c r="Z547" t="n">
        <v>1</v>
      </c>
      <c r="AA547" t="n">
        <v>35</v>
      </c>
      <c r="AB547" t="n">
        <v>35</v>
      </c>
      <c r="AN547" t="inlineStr">
        <is>
          <t>Plexus</t>
        </is>
      </c>
      <c r="AO547" t="n">
        <v>30690</v>
      </c>
      <c r="AP547" t="n">
        <v>1482327</v>
      </c>
      <c r="AQ547" t="n">
        <v>7</v>
      </c>
      <c r="AS547" t="inlineStr">
        <is>
          <t>Yes</t>
        </is>
      </c>
    </row>
    <row r="548">
      <c r="A548" t="inlineStr">
        <is>
          <t>Mod</t>
        </is>
      </c>
      <c r="B548" t="inlineStr">
        <is>
          <t>Critical Deceleration</t>
        </is>
      </c>
      <c r="E548" t="inlineStr">
        <is>
          <t>Shotgun</t>
        </is>
      </c>
      <c r="F548" t="n">
        <v>5</v>
      </c>
      <c r="G548" t="n">
        <v>1</v>
      </c>
      <c r="H548" t="inlineStr">
        <is>
          <t>Player trade (max rank)</t>
        </is>
      </c>
      <c r="I548" t="inlineStr">
        <is>
          <t>Yes</t>
        </is>
      </c>
      <c r="K548" t="inlineStr">
        <is>
          <t>Collection</t>
        </is>
      </c>
      <c r="L548" t="n">
        <v>15</v>
      </c>
      <c r="M548" t="n">
        <v>18</v>
      </c>
      <c r="N548" t="n">
        <v>22</v>
      </c>
      <c r="O548" t="inlineStr">
        <is>
          <t>2026-10-05 UTC (WFM pull 02:52-04:00)</t>
        </is>
      </c>
      <c r="P548" t="inlineStr">
        <is>
          <t>OK</t>
        </is>
      </c>
      <c r="R548" t="inlineStr">
        <is>
          <t>Every current tradeable mod at MAX RANK (WFM catalogue, rivens/locators excluded)</t>
        </is>
      </c>
      <c r="S548" t="inlineStr">
        <is>
          <t>critical_deceleration</t>
        </is>
      </c>
      <c r="T548" t="n">
        <v>18</v>
      </c>
      <c r="U548" t="n">
        <v>18</v>
      </c>
      <c r="V548" t="n">
        <v>19</v>
      </c>
      <c r="W548" t="n">
        <v>15</v>
      </c>
      <c r="X548" t="n">
        <v>16.2</v>
      </c>
      <c r="Y548" t="n">
        <v>1926</v>
      </c>
      <c r="Z548" t="n">
        <v>36</v>
      </c>
      <c r="AN548" t="inlineStr">
        <is>
          <t>Shotgun</t>
        </is>
      </c>
      <c r="AO548" t="n">
        <v>930</v>
      </c>
      <c r="AP548" t="n">
        <v>44919</v>
      </c>
      <c r="AQ548" t="n">
        <v>9</v>
      </c>
      <c r="AS548" t="inlineStr">
        <is>
          <t>Yes</t>
        </is>
      </c>
    </row>
    <row r="549">
      <c r="A549" t="inlineStr">
        <is>
          <t>Mod</t>
        </is>
      </c>
      <c r="B549" t="inlineStr">
        <is>
          <t>Critical Delay</t>
        </is>
      </c>
      <c r="E549" t="inlineStr">
        <is>
          <t>Rifle</t>
        </is>
      </c>
      <c r="F549" t="n">
        <v>5</v>
      </c>
      <c r="G549" t="n">
        <v>1</v>
      </c>
      <c r="H549" t="inlineStr">
        <is>
          <t>Player trade (max rank)</t>
        </is>
      </c>
      <c r="I549" t="inlineStr">
        <is>
          <t>Yes</t>
        </is>
      </c>
      <c r="K549" t="inlineStr">
        <is>
          <t>Collection</t>
        </is>
      </c>
      <c r="L549" t="n">
        <v>29</v>
      </c>
      <c r="M549" t="n">
        <v>30</v>
      </c>
      <c r="N549" t="n">
        <v>50</v>
      </c>
      <c r="O549" t="inlineStr">
        <is>
          <t>2026-10-05 UTC (WFM pull 02:52-04:00)</t>
        </is>
      </c>
      <c r="P549" t="inlineStr">
        <is>
          <t>OK</t>
        </is>
      </c>
      <c r="R549" t="inlineStr">
        <is>
          <t>Every current tradeable mod at MAX RANK (WFM catalogue, rivens/locators excluded)</t>
        </is>
      </c>
      <c r="S549" t="inlineStr">
        <is>
          <t>critical_delay</t>
        </is>
      </c>
      <c r="T549" t="n">
        <v>13</v>
      </c>
      <c r="U549" t="n">
        <v>13</v>
      </c>
      <c r="V549" t="n">
        <v>20</v>
      </c>
      <c r="W549" t="n">
        <v>20</v>
      </c>
      <c r="X549" t="n">
        <v>21</v>
      </c>
      <c r="Y549" t="n">
        <v>3812</v>
      </c>
      <c r="Z549" t="n">
        <v>94</v>
      </c>
      <c r="AA549" t="n">
        <v>5</v>
      </c>
      <c r="AB549" t="n">
        <v>24</v>
      </c>
      <c r="AN549" t="inlineStr">
        <is>
          <t>Rifle</t>
        </is>
      </c>
      <c r="AO549" t="n">
        <v>930</v>
      </c>
      <c r="AP549" t="n">
        <v>44919</v>
      </c>
      <c r="AQ549" t="n">
        <v>20</v>
      </c>
      <c r="AS549" t="inlineStr">
        <is>
          <t>Yes</t>
        </is>
      </c>
    </row>
    <row r="550">
      <c r="A550" t="inlineStr">
        <is>
          <t>Mod</t>
        </is>
      </c>
      <c r="B550" t="inlineStr">
        <is>
          <t>Critical Focus</t>
        </is>
      </c>
      <c r="E550" t="inlineStr">
        <is>
          <t>Archgun</t>
        </is>
      </c>
      <c r="F550" t="n">
        <v>5</v>
      </c>
      <c r="G550" t="n">
        <v>1</v>
      </c>
      <c r="H550" t="inlineStr">
        <is>
          <t>Player trade (max rank)</t>
        </is>
      </c>
      <c r="I550" t="inlineStr">
        <is>
          <t>Yes</t>
        </is>
      </c>
      <c r="K550" t="inlineStr">
        <is>
          <t>Collection</t>
        </is>
      </c>
      <c r="L550" t="n">
        <v>20</v>
      </c>
      <c r="M550" t="n">
        <v>22</v>
      </c>
      <c r="N550" t="n">
        <v>28</v>
      </c>
      <c r="O550" t="inlineStr">
        <is>
          <t>2026-10-05 UTC (WFM pull 02:52-04:00)</t>
        </is>
      </c>
      <c r="P550" t="inlineStr">
        <is>
          <t>OK</t>
        </is>
      </c>
      <c r="R550" t="inlineStr">
        <is>
          <t>Every current tradeable mod at MAX RANK (WFM catalogue, rivens/locators excluded)</t>
        </is>
      </c>
      <c r="S550" t="inlineStr">
        <is>
          <t>critical_focus</t>
        </is>
      </c>
      <c r="T550" t="n">
        <v>13</v>
      </c>
      <c r="U550" t="n">
        <v>13</v>
      </c>
      <c r="V550" t="n">
        <v>20</v>
      </c>
      <c r="W550" t="n">
        <v>20</v>
      </c>
      <c r="X550" t="n">
        <v>20.7</v>
      </c>
      <c r="Y550" t="n">
        <v>426</v>
      </c>
      <c r="Z550" t="n">
        <v>8</v>
      </c>
      <c r="AN550" t="inlineStr">
        <is>
          <t>Archgun</t>
        </is>
      </c>
      <c r="AO550" t="n">
        <v>930</v>
      </c>
      <c r="AP550" t="n">
        <v>44919</v>
      </c>
      <c r="AQ550" t="n">
        <v>15</v>
      </c>
      <c r="AS550" t="inlineStr">
        <is>
          <t>Yes</t>
        </is>
      </c>
    </row>
    <row r="551">
      <c r="A551" t="inlineStr">
        <is>
          <t>Mod</t>
        </is>
      </c>
      <c r="B551" t="inlineStr">
        <is>
          <t>Critical Meltdown</t>
        </is>
      </c>
      <c r="E551" t="inlineStr">
        <is>
          <t>Archmelee</t>
        </is>
      </c>
      <c r="F551" t="n">
        <v>3</v>
      </c>
      <c r="G551" t="n">
        <v>1</v>
      </c>
      <c r="H551" t="inlineStr">
        <is>
          <t>Player trade (max rank)</t>
        </is>
      </c>
      <c r="I551" t="inlineStr">
        <is>
          <t>Yes</t>
        </is>
      </c>
      <c r="K551" t="inlineStr">
        <is>
          <t>Collection</t>
        </is>
      </c>
      <c r="L551" t="n">
        <v>4</v>
      </c>
      <c r="M551" t="n">
        <v>5</v>
      </c>
      <c r="N551" t="n">
        <v>6</v>
      </c>
      <c r="O551" t="inlineStr">
        <is>
          <t>2026-10-05 UTC (WFM pull 02:52-04:00)</t>
        </is>
      </c>
      <c r="P551" t="inlineStr">
        <is>
          <t>OK</t>
        </is>
      </c>
      <c r="R551" t="inlineStr">
        <is>
          <t>Every current tradeable mod at MAX RANK (WFM catalogue, rivens/locators excluded)</t>
        </is>
      </c>
      <c r="S551" t="inlineStr">
        <is>
          <t>critical_meltdown</t>
        </is>
      </c>
      <c r="T551" t="n">
        <v>13</v>
      </c>
      <c r="U551" t="n">
        <v>13</v>
      </c>
      <c r="V551" t="n">
        <v>5</v>
      </c>
      <c r="W551" t="n">
        <v>5</v>
      </c>
      <c r="X551" t="n">
        <v>6.3</v>
      </c>
      <c r="Y551" t="n">
        <v>14</v>
      </c>
      <c r="Z551" t="n">
        <v>1</v>
      </c>
      <c r="AN551" t="inlineStr">
        <is>
          <t>Archmelee</t>
        </is>
      </c>
      <c r="AO551" t="n">
        <v>210</v>
      </c>
      <c r="AP551" t="n">
        <v>10143</v>
      </c>
      <c r="AQ551" t="n">
        <v>3</v>
      </c>
      <c r="AS551" t="inlineStr">
        <is>
          <t>Yes</t>
        </is>
      </c>
    </row>
    <row r="552">
      <c r="A552" t="inlineStr">
        <is>
          <t>Mod</t>
        </is>
      </c>
      <c r="B552" t="inlineStr">
        <is>
          <t>Critical Mutation</t>
        </is>
      </c>
      <c r="E552" t="inlineStr">
        <is>
          <t>Catabolyst</t>
        </is>
      </c>
      <c r="F552" t="n">
        <v>5</v>
      </c>
      <c r="G552" t="n">
        <v>1</v>
      </c>
      <c r="H552" t="inlineStr">
        <is>
          <t>Player trade (max rank)</t>
        </is>
      </c>
      <c r="I552" t="inlineStr">
        <is>
          <t>Yes</t>
        </is>
      </c>
      <c r="K552" t="inlineStr">
        <is>
          <t>Collection</t>
        </is>
      </c>
      <c r="L552" t="n">
        <v>30</v>
      </c>
      <c r="M552" t="n">
        <v>35</v>
      </c>
      <c r="N552" t="n">
        <v>44</v>
      </c>
      <c r="O552" t="inlineStr">
        <is>
          <t>2026-10-05 UTC (WFM pull 02:52-04:00)</t>
        </is>
      </c>
      <c r="P552" t="inlineStr">
        <is>
          <t>OK</t>
        </is>
      </c>
      <c r="R552" t="inlineStr">
        <is>
          <t>Every current tradeable mod at MAX RANK (WFM catalogue, rivens/locators excluded)</t>
        </is>
      </c>
      <c r="S552" t="inlineStr">
        <is>
          <t>critical_mutation</t>
        </is>
      </c>
      <c r="T552" t="n">
        <v>8</v>
      </c>
      <c r="U552" t="n">
        <v>8</v>
      </c>
      <c r="V552" t="n">
        <v>29</v>
      </c>
      <c r="W552" t="n">
        <v>20</v>
      </c>
      <c r="X552" t="n">
        <v>20.4</v>
      </c>
      <c r="Y552" t="n">
        <v>149</v>
      </c>
      <c r="Z552" t="n">
        <v>1</v>
      </c>
      <c r="AN552" t="inlineStr">
        <is>
          <t>Catabolyst</t>
        </is>
      </c>
      <c r="AO552" t="n">
        <v>930</v>
      </c>
      <c r="AP552" t="n">
        <v>44919</v>
      </c>
      <c r="AQ552" t="n">
        <v>20</v>
      </c>
      <c r="AS552" t="inlineStr">
        <is>
          <t>Yes</t>
        </is>
      </c>
    </row>
    <row r="553">
      <c r="A553" t="inlineStr">
        <is>
          <t>Mod</t>
        </is>
      </c>
      <c r="B553" t="inlineStr">
        <is>
          <t>Critical Precision</t>
        </is>
      </c>
      <c r="E553" t="inlineStr">
        <is>
          <t>Augment Tiberon</t>
        </is>
      </c>
      <c r="F553" t="n">
        <v>5</v>
      </c>
      <c r="G553" t="n">
        <v>1</v>
      </c>
      <c r="H553" t="inlineStr">
        <is>
          <t>Player trade (max rank)</t>
        </is>
      </c>
      <c r="I553" t="inlineStr">
        <is>
          <t>Yes</t>
        </is>
      </c>
      <c r="K553" t="inlineStr">
        <is>
          <t>Collection</t>
        </is>
      </c>
      <c r="L553" t="n">
        <v>30</v>
      </c>
      <c r="M553" t="n">
        <v>30</v>
      </c>
      <c r="N553" t="n">
        <v>66</v>
      </c>
      <c r="O553" t="inlineStr">
        <is>
          <t>2026-10-05 UTC (WFM pull 02:52-04:00)</t>
        </is>
      </c>
      <c r="P553" t="inlineStr">
        <is>
          <t>OK</t>
        </is>
      </c>
      <c r="R553" t="inlineStr">
        <is>
          <t>Every current tradeable mod at MAX RANK (WFM catalogue, rivens/locators excluded)</t>
        </is>
      </c>
      <c r="S553" t="inlineStr">
        <is>
          <t>critical_precision</t>
        </is>
      </c>
      <c r="T553" t="n">
        <v>6</v>
      </c>
      <c r="U553" t="n">
        <v>6</v>
      </c>
      <c r="V553" t="n">
        <v>15</v>
      </c>
      <c r="W553" t="n">
        <v>16.5</v>
      </c>
      <c r="X553" t="n">
        <v>17.6</v>
      </c>
      <c r="Y553" t="n">
        <v>26</v>
      </c>
      <c r="Z553" t="n">
        <v>1</v>
      </c>
      <c r="AN553" t="inlineStr">
        <is>
          <t>Augment Tiberon</t>
        </is>
      </c>
      <c r="AO553" t="n">
        <v>930</v>
      </c>
      <c r="AP553" t="n">
        <v>44919</v>
      </c>
      <c r="AQ553" t="n">
        <v>8</v>
      </c>
      <c r="AS553" t="inlineStr">
        <is>
          <t>Yes</t>
        </is>
      </c>
    </row>
    <row r="554">
      <c r="A554" t="inlineStr">
        <is>
          <t>Mod</t>
        </is>
      </c>
      <c r="B554" t="inlineStr">
        <is>
          <t>Critical Surge</t>
        </is>
      </c>
      <c r="E554" t="inlineStr">
        <is>
          <t>Augment Wisp</t>
        </is>
      </c>
      <c r="F554" t="n">
        <v>3</v>
      </c>
      <c r="G554" t="n">
        <v>1</v>
      </c>
      <c r="H554" t="inlineStr">
        <is>
          <t>Player trade (max rank)</t>
        </is>
      </c>
      <c r="I554" t="inlineStr">
        <is>
          <t>Yes</t>
        </is>
      </c>
      <c r="K554" t="inlineStr">
        <is>
          <t>Collection</t>
        </is>
      </c>
      <c r="L554" t="n">
        <v>25</v>
      </c>
      <c r="M554" t="n">
        <v>25</v>
      </c>
      <c r="N554" t="n">
        <v>56</v>
      </c>
      <c r="O554" t="inlineStr">
        <is>
          <t>2026-10-05 UTC (WFM pull 02:52-04:00)</t>
        </is>
      </c>
      <c r="P554" t="inlineStr">
        <is>
          <t>OK</t>
        </is>
      </c>
      <c r="R554" t="inlineStr">
        <is>
          <t>Every current tradeable mod at MAX RANK (WFM catalogue, rivens/locators excluded)</t>
        </is>
      </c>
      <c r="S554" t="inlineStr">
        <is>
          <t>critical_surge</t>
        </is>
      </c>
      <c r="T554" t="n">
        <v>5</v>
      </c>
      <c r="U554" t="n">
        <v>5</v>
      </c>
      <c r="V554" t="n">
        <v>15</v>
      </c>
      <c r="W554" t="n">
        <v>15</v>
      </c>
      <c r="X554" t="n">
        <v>14.5</v>
      </c>
      <c r="Y554" t="n">
        <v>141</v>
      </c>
      <c r="Z554" t="n">
        <v>3</v>
      </c>
      <c r="AN554" t="inlineStr">
        <is>
          <t>Augment Wisp</t>
        </is>
      </c>
      <c r="AO554" t="n">
        <v>210</v>
      </c>
      <c r="AP554" t="n">
        <v>10143</v>
      </c>
      <c r="AQ554" t="n">
        <v>15</v>
      </c>
      <c r="AS554" t="inlineStr">
        <is>
          <t>Yes</t>
        </is>
      </c>
    </row>
    <row r="555">
      <c r="A555" t="inlineStr">
        <is>
          <t>Mod</t>
        </is>
      </c>
      <c r="B555" t="inlineStr">
        <is>
          <t>Crossing Snakes</t>
        </is>
      </c>
      <c r="E555" t="inlineStr">
        <is>
          <t>Stance</t>
        </is>
      </c>
      <c r="F555" t="n">
        <v>3</v>
      </c>
      <c r="G555" t="n">
        <v>1</v>
      </c>
      <c r="H555" t="inlineStr">
        <is>
          <t>Player trade (max rank)</t>
        </is>
      </c>
      <c r="I555" t="inlineStr">
        <is>
          <t>Yes</t>
        </is>
      </c>
      <c r="K555" t="inlineStr">
        <is>
          <t>Collection</t>
        </is>
      </c>
      <c r="L555" t="n">
        <v>5</v>
      </c>
      <c r="M555" t="n">
        <v>7</v>
      </c>
      <c r="N555" t="n">
        <v>10</v>
      </c>
      <c r="O555" t="inlineStr">
        <is>
          <t>2026-10-05 UTC (WFM pull 02:52-04:00)</t>
        </is>
      </c>
      <c r="P555" t="inlineStr">
        <is>
          <t>OK</t>
        </is>
      </c>
      <c r="R555" t="inlineStr">
        <is>
          <t>Every current tradeable mod at MAX RANK (WFM catalogue, rivens/locators excluded)</t>
        </is>
      </c>
      <c r="S555" t="inlineStr">
        <is>
          <t>crossing_snakes</t>
        </is>
      </c>
      <c r="T555" t="n">
        <v>10</v>
      </c>
      <c r="U555" t="n">
        <v>10</v>
      </c>
      <c r="V555" t="n">
        <v>5.5</v>
      </c>
      <c r="W555" t="n">
        <v>5</v>
      </c>
      <c r="X555" t="n">
        <v>5.3</v>
      </c>
      <c r="Y555" t="n">
        <v>26</v>
      </c>
      <c r="Z555" t="n">
        <v>1</v>
      </c>
      <c r="AN555" t="inlineStr">
        <is>
          <t>Stance</t>
        </is>
      </c>
      <c r="AO555" t="n">
        <v>210</v>
      </c>
      <c r="AP555" t="n">
        <v>10143</v>
      </c>
      <c r="AQ555" t="n">
        <v>2.2</v>
      </c>
      <c r="AS555" t="inlineStr">
        <is>
          <t>Yes</t>
        </is>
      </c>
    </row>
    <row r="556">
      <c r="A556" t="inlineStr">
        <is>
          <t>Mod</t>
        </is>
      </c>
      <c r="B556" t="inlineStr">
        <is>
          <t>Crowd Dispersion</t>
        </is>
      </c>
      <c r="E556" t="inlineStr">
        <is>
          <t>Wyrm</t>
        </is>
      </c>
      <c r="F556" t="n">
        <v>5</v>
      </c>
      <c r="G556" t="n">
        <v>1</v>
      </c>
      <c r="H556" t="inlineStr">
        <is>
          <t>Player trade (max rank)</t>
        </is>
      </c>
      <c r="I556" t="inlineStr">
        <is>
          <t>Yes</t>
        </is>
      </c>
      <c r="K556" t="inlineStr">
        <is>
          <t>Collection</t>
        </is>
      </c>
      <c r="L556" t="n">
        <v>9</v>
      </c>
      <c r="M556" t="n">
        <v>22.5</v>
      </c>
      <c r="N556" t="n">
        <v>50</v>
      </c>
      <c r="O556" t="inlineStr">
        <is>
          <t>2026-10-05 UTC (WFM pull 02:52-04:00)</t>
        </is>
      </c>
      <c r="P556" t="inlineStr">
        <is>
          <t>OK</t>
        </is>
      </c>
      <c r="R556" t="inlineStr">
        <is>
          <t>Every current tradeable mod at MAX RANK (WFM catalogue, rivens/locators excluded)</t>
        </is>
      </c>
      <c r="S556" t="inlineStr">
        <is>
          <t>crowd_dispersion</t>
        </is>
      </c>
      <c r="T556" t="n">
        <v>4</v>
      </c>
      <c r="U556" t="n">
        <v>4</v>
      </c>
      <c r="W556" t="n">
        <v>15</v>
      </c>
      <c r="X556" t="n">
        <v>15</v>
      </c>
      <c r="Y556" t="n">
        <v>1</v>
      </c>
      <c r="Z556" t="n">
        <v>0</v>
      </c>
      <c r="AN556" t="inlineStr">
        <is>
          <t>Wyrm</t>
        </is>
      </c>
      <c r="AO556" t="n">
        <v>310</v>
      </c>
      <c r="AP556" t="n">
        <v>14973</v>
      </c>
      <c r="AQ556" t="n">
        <v>6</v>
      </c>
      <c r="AS556" t="inlineStr">
        <is>
          <t>Yes</t>
        </is>
      </c>
    </row>
    <row r="557">
      <c r="A557" t="inlineStr">
        <is>
          <t>Mod</t>
        </is>
      </c>
      <c r="B557" t="inlineStr">
        <is>
          <t>Cruising Speed</t>
        </is>
      </c>
      <c r="E557" t="inlineStr">
        <is>
          <t>Plexus</t>
        </is>
      </c>
      <c r="F557" t="n">
        <v>10</v>
      </c>
      <c r="G557" t="n">
        <v>1</v>
      </c>
      <c r="H557" t="inlineStr">
        <is>
          <t>Player trade (max rank)</t>
        </is>
      </c>
      <c r="I557" t="inlineStr">
        <is>
          <t>Yes</t>
        </is>
      </c>
      <c r="K557" t="inlineStr">
        <is>
          <t>Collection</t>
        </is>
      </c>
      <c r="L557" t="n">
        <v>55</v>
      </c>
      <c r="M557" t="n">
        <v>60</v>
      </c>
      <c r="N557" t="n">
        <v>66</v>
      </c>
      <c r="O557" t="inlineStr">
        <is>
          <t>2026-10-05 UTC (WFM pull 02:52-04:00)</t>
        </is>
      </c>
      <c r="P557" t="inlineStr">
        <is>
          <t>OK</t>
        </is>
      </c>
      <c r="R557" t="inlineStr">
        <is>
          <t>Every current tradeable mod at MAX RANK (WFM catalogue, rivens/locators excluded)</t>
        </is>
      </c>
      <c r="S557" t="inlineStr">
        <is>
          <t>cruising_speed</t>
        </is>
      </c>
      <c r="T557" t="n">
        <v>12</v>
      </c>
      <c r="U557" t="n">
        <v>12</v>
      </c>
      <c r="V557" t="n">
        <v>57.5</v>
      </c>
      <c r="W557" t="n">
        <v>60</v>
      </c>
      <c r="X557" t="n">
        <v>58.8</v>
      </c>
      <c r="Y557" t="n">
        <v>53</v>
      </c>
      <c r="Z557" t="n">
        <v>0</v>
      </c>
      <c r="AN557" t="inlineStr">
        <is>
          <t>Plexus</t>
        </is>
      </c>
      <c r="AO557" t="n">
        <v>20460</v>
      </c>
      <c r="AP557" t="n">
        <v>988218</v>
      </c>
      <c r="AQ557" t="n">
        <v>3</v>
      </c>
      <c r="AS557" t="inlineStr">
        <is>
          <t>Yes</t>
        </is>
      </c>
    </row>
    <row r="558">
      <c r="A558" t="inlineStr">
        <is>
          <t>Mod</t>
        </is>
      </c>
      <c r="B558" t="inlineStr">
        <is>
          <t>Crushing Ruin</t>
        </is>
      </c>
      <c r="E558" t="inlineStr">
        <is>
          <t>Stance</t>
        </is>
      </c>
      <c r="F558" t="n">
        <v>3</v>
      </c>
      <c r="G558" t="n">
        <v>1</v>
      </c>
      <c r="H558" t="inlineStr">
        <is>
          <t>Player trade (max rank)</t>
        </is>
      </c>
      <c r="I558" t="inlineStr">
        <is>
          <t>Yes</t>
        </is>
      </c>
      <c r="K558" t="inlineStr">
        <is>
          <t>Collection</t>
        </is>
      </c>
      <c r="L558" t="n">
        <v>14</v>
      </c>
      <c r="M558" t="n">
        <v>14.2</v>
      </c>
      <c r="N558" t="n">
        <v>32</v>
      </c>
      <c r="O558" t="inlineStr">
        <is>
          <t>2026-10-05 UTC (WFM pull 02:52-04:00)</t>
        </is>
      </c>
      <c r="P558" t="inlineStr">
        <is>
          <t>OK</t>
        </is>
      </c>
      <c r="R558" t="inlineStr">
        <is>
          <t>Every current tradeable mod at MAX RANK (WFM catalogue, rivens/locators excluded)</t>
        </is>
      </c>
      <c r="S558" t="inlineStr">
        <is>
          <t>crushing_ruin</t>
        </is>
      </c>
      <c r="T558" t="n">
        <v>5</v>
      </c>
      <c r="U558" t="n">
        <v>5</v>
      </c>
      <c r="V558" t="n">
        <v>9.5</v>
      </c>
      <c r="W558" t="n">
        <v>10</v>
      </c>
      <c r="X558" t="n">
        <v>9.300000000000001</v>
      </c>
      <c r="Y558" t="n">
        <v>144</v>
      </c>
      <c r="Z558" t="n">
        <v>2</v>
      </c>
      <c r="AN558" t="inlineStr">
        <is>
          <t>Stance</t>
        </is>
      </c>
      <c r="AO558" t="n">
        <v>210</v>
      </c>
      <c r="AP558" t="n">
        <v>10143</v>
      </c>
      <c r="AQ558" t="n">
        <v>6</v>
      </c>
      <c r="AS558" t="inlineStr">
        <is>
          <t>Yes</t>
        </is>
      </c>
    </row>
    <row r="559">
      <c r="A559" t="inlineStr">
        <is>
          <t>Mod</t>
        </is>
      </c>
      <c r="B559" t="inlineStr">
        <is>
          <t>Cryo Coating</t>
        </is>
      </c>
      <c r="E559" t="inlineStr">
        <is>
          <t>Archmelee</t>
        </is>
      </c>
      <c r="F559" t="n">
        <v>3</v>
      </c>
      <c r="G559" t="n">
        <v>1</v>
      </c>
      <c r="H559" t="inlineStr">
        <is>
          <t>Player trade (max rank)</t>
        </is>
      </c>
      <c r="I559" t="inlineStr">
        <is>
          <t>Yes</t>
        </is>
      </c>
      <c r="K559" t="inlineStr">
        <is>
          <t>Collection</t>
        </is>
      </c>
      <c r="L559" t="n">
        <v>46</v>
      </c>
      <c r="M559" t="n">
        <v>50</v>
      </c>
      <c r="N559" t="n">
        <v>111</v>
      </c>
      <c r="O559" t="inlineStr">
        <is>
          <t>2026-10-05 UTC (WFM pull 02:52-04:00)</t>
        </is>
      </c>
      <c r="P559" t="inlineStr">
        <is>
          <t>OK</t>
        </is>
      </c>
      <c r="R559" t="inlineStr">
        <is>
          <t>Every current tradeable mod at MAX RANK (WFM catalogue, rivens/locators excluded)</t>
        </is>
      </c>
      <c r="S559" t="inlineStr">
        <is>
          <t>cryo_coating</t>
        </is>
      </c>
      <c r="T559" t="n">
        <v>5</v>
      </c>
      <c r="U559" t="n">
        <v>5</v>
      </c>
      <c r="V559" t="n">
        <v>35</v>
      </c>
      <c r="W559" t="n">
        <v>27</v>
      </c>
      <c r="X559" t="n">
        <v>29.2</v>
      </c>
      <c r="Y559" t="n">
        <v>57</v>
      </c>
      <c r="Z559" t="n">
        <v>2</v>
      </c>
      <c r="AN559" t="inlineStr">
        <is>
          <t>Archmelee</t>
        </is>
      </c>
      <c r="AO559" t="n">
        <v>210</v>
      </c>
      <c r="AP559" t="n">
        <v>10143</v>
      </c>
      <c r="AQ559" t="n">
        <v>15</v>
      </c>
      <c r="AS559" t="inlineStr">
        <is>
          <t>Yes</t>
        </is>
      </c>
    </row>
    <row r="560">
      <c r="A560" t="inlineStr">
        <is>
          <t>Mod</t>
        </is>
      </c>
      <c r="B560" t="inlineStr">
        <is>
          <t>Cryo Rounds</t>
        </is>
      </c>
      <c r="E560" t="inlineStr">
        <is>
          <t>Rifle</t>
        </is>
      </c>
      <c r="F560" t="n">
        <v>5</v>
      </c>
      <c r="G560" t="n">
        <v>1</v>
      </c>
      <c r="H560" t="inlineStr">
        <is>
          <t>Player trade (max rank)</t>
        </is>
      </c>
      <c r="I560" t="inlineStr">
        <is>
          <t>Yes</t>
        </is>
      </c>
      <c r="K560" t="inlineStr">
        <is>
          <t>Collection</t>
        </is>
      </c>
      <c r="L560" t="n">
        <v>5</v>
      </c>
      <c r="M560" t="n">
        <v>9</v>
      </c>
      <c r="N560" t="n">
        <v>20</v>
      </c>
      <c r="O560" t="inlineStr">
        <is>
          <t>2026-10-05 UTC (WFM pull 02:52-04:00)</t>
        </is>
      </c>
      <c r="P560" t="inlineStr">
        <is>
          <t>OK</t>
        </is>
      </c>
      <c r="R560" t="inlineStr">
        <is>
          <t>Every current tradeable mod at MAX RANK (WFM catalogue, rivens/locators excluded)</t>
        </is>
      </c>
      <c r="S560" t="inlineStr">
        <is>
          <t>cryo_rounds</t>
        </is>
      </c>
      <c r="T560" t="n">
        <v>5</v>
      </c>
      <c r="U560" t="n">
        <v>5</v>
      </c>
      <c r="V560" t="n">
        <v>6.5</v>
      </c>
      <c r="W560" t="n">
        <v>8</v>
      </c>
      <c r="X560" t="n">
        <v>7.6</v>
      </c>
      <c r="Y560" t="n">
        <v>34</v>
      </c>
      <c r="Z560" t="n">
        <v>1</v>
      </c>
      <c r="AN560" t="inlineStr">
        <is>
          <t>Rifle</t>
        </is>
      </c>
      <c r="AO560" t="n">
        <v>620</v>
      </c>
      <c r="AP560" t="n">
        <v>29946</v>
      </c>
      <c r="AQ560" t="n">
        <v>3</v>
      </c>
      <c r="AS560" t="inlineStr">
        <is>
          <t>Yes</t>
        </is>
      </c>
    </row>
    <row r="561">
      <c r="A561" t="inlineStr">
        <is>
          <t>Mod</t>
        </is>
      </c>
      <c r="B561" t="inlineStr">
        <is>
          <t>Cull The Weak</t>
        </is>
      </c>
      <c r="E561" t="inlineStr">
        <is>
          <t>Claws</t>
        </is>
      </c>
      <c r="F561" t="n">
        <v>5</v>
      </c>
      <c r="G561" t="n">
        <v>1</v>
      </c>
      <c r="H561" t="inlineStr">
        <is>
          <t>Player trade (max rank)</t>
        </is>
      </c>
      <c r="I561" t="inlineStr">
        <is>
          <t>Yes</t>
        </is>
      </c>
      <c r="K561" t="inlineStr">
        <is>
          <t>Collection</t>
        </is>
      </c>
      <c r="L561" t="n">
        <v>12</v>
      </c>
      <c r="M561" t="n">
        <v>15</v>
      </c>
      <c r="N561" t="n">
        <v>17</v>
      </c>
      <c r="O561" t="inlineStr">
        <is>
          <t>2026-10-05 UTC (WFM pull 02:52-04:00)</t>
        </is>
      </c>
      <c r="P561" t="inlineStr">
        <is>
          <t>OK</t>
        </is>
      </c>
      <c r="R561" t="inlineStr">
        <is>
          <t>Every current tradeable mod at MAX RANK (WFM catalogue, rivens/locators excluded)</t>
        </is>
      </c>
      <c r="S561" t="inlineStr">
        <is>
          <t>cull_the_weak</t>
        </is>
      </c>
      <c r="T561" t="n">
        <v>13</v>
      </c>
      <c r="U561" t="n">
        <v>13</v>
      </c>
      <c r="V561" t="n">
        <v>14.5</v>
      </c>
      <c r="W561" t="n">
        <v>14</v>
      </c>
      <c r="X561" t="n">
        <v>13.9</v>
      </c>
      <c r="Y561" t="n">
        <v>474</v>
      </c>
      <c r="Z561" t="n">
        <v>8</v>
      </c>
      <c r="AN561" t="inlineStr">
        <is>
          <t>Claws</t>
        </is>
      </c>
      <c r="AO561" t="n">
        <v>620</v>
      </c>
      <c r="AP561" t="n">
        <v>29946</v>
      </c>
      <c r="AQ561" t="n">
        <v>9</v>
      </c>
      <c r="AS561" t="inlineStr">
        <is>
          <t>Yes</t>
        </is>
      </c>
    </row>
    <row r="562">
      <c r="A562" t="inlineStr">
        <is>
          <t>Mod</t>
        </is>
      </c>
      <c r="B562" t="inlineStr">
        <is>
          <t>Cunning Aspect</t>
        </is>
      </c>
      <c r="E562" t="inlineStr">
        <is>
          <t>Conclave (PvP)</t>
        </is>
      </c>
      <c r="F562" t="n">
        <v>3</v>
      </c>
      <c r="G562" t="n">
        <v>1</v>
      </c>
      <c r="H562" t="inlineStr">
        <is>
          <t>Player trade (max rank)</t>
        </is>
      </c>
      <c r="I562" t="inlineStr">
        <is>
          <t>Yes</t>
        </is>
      </c>
      <c r="K562" t="inlineStr">
        <is>
          <t>Collection (PvP)</t>
        </is>
      </c>
      <c r="L562" t="n">
        <v>70</v>
      </c>
      <c r="M562" t="n">
        <v>70</v>
      </c>
      <c r="N562" t="n">
        <v>154</v>
      </c>
      <c r="O562" t="inlineStr">
        <is>
          <t>2026-10-05 UTC (WFM pull 02:52-04:00)</t>
        </is>
      </c>
      <c r="P562" t="inlineStr">
        <is>
          <t>OK</t>
        </is>
      </c>
      <c r="R562" t="inlineStr">
        <is>
          <t>Every current tradeable mod at MAX RANK (WFM catalogue, rivens/locators excluded)</t>
        </is>
      </c>
      <c r="S562" t="inlineStr">
        <is>
          <t>cunning_aspect</t>
        </is>
      </c>
      <c r="T562" t="n">
        <v>4</v>
      </c>
      <c r="U562" t="n">
        <v>0</v>
      </c>
      <c r="V562" t="n">
        <v>20</v>
      </c>
      <c r="W562" t="n">
        <v>20</v>
      </c>
      <c r="X562" t="n">
        <v>20</v>
      </c>
      <c r="Y562" t="n">
        <v>1</v>
      </c>
      <c r="Z562" t="n">
        <v>0</v>
      </c>
      <c r="AN562" t="inlineStr">
        <is>
          <t>Conclave (PvP)</t>
        </is>
      </c>
      <c r="AO562" t="n">
        <v>140</v>
      </c>
      <c r="AP562" t="n">
        <v>6762</v>
      </c>
      <c r="AQ562" t="n">
        <v>20</v>
      </c>
      <c r="AS562" t="inlineStr">
        <is>
          <t>PvP subtotal</t>
        </is>
      </c>
    </row>
    <row r="563">
      <c r="A563" t="inlineStr">
        <is>
          <t>Mod</t>
        </is>
      </c>
      <c r="B563" t="inlineStr">
        <is>
          <t>Cunning Drift</t>
        </is>
      </c>
      <c r="E563" t="inlineStr">
        <is>
          <t>Warframe</t>
        </is>
      </c>
      <c r="F563" t="n">
        <v>5</v>
      </c>
      <c r="G563" t="n">
        <v>1</v>
      </c>
      <c r="H563" t="inlineStr">
        <is>
          <t>Player trade (max rank)</t>
        </is>
      </c>
      <c r="I563" t="inlineStr">
        <is>
          <t>Yes</t>
        </is>
      </c>
      <c r="K563" t="inlineStr">
        <is>
          <t>Collection</t>
        </is>
      </c>
      <c r="L563" t="n">
        <v>19</v>
      </c>
      <c r="M563" t="n">
        <v>22</v>
      </c>
      <c r="N563" t="n">
        <v>28</v>
      </c>
      <c r="O563" t="inlineStr">
        <is>
          <t>2026-10-05 UTC (WFM pull 02:52-04:00)</t>
        </is>
      </c>
      <c r="P563" t="inlineStr">
        <is>
          <t>OK</t>
        </is>
      </c>
      <c r="R563" t="inlineStr">
        <is>
          <t>Every current tradeable mod at MAX RANK (WFM catalogue, rivens/locators excluded)</t>
        </is>
      </c>
      <c r="S563" t="inlineStr">
        <is>
          <t>cunning_drift</t>
        </is>
      </c>
      <c r="T563" t="n">
        <v>12</v>
      </c>
      <c r="U563" t="n">
        <v>12</v>
      </c>
      <c r="V563" t="n">
        <v>20</v>
      </c>
      <c r="W563" t="n">
        <v>20</v>
      </c>
      <c r="X563" t="n">
        <v>19.3</v>
      </c>
      <c r="Y563" t="n">
        <v>2254</v>
      </c>
      <c r="Z563" t="n">
        <v>61</v>
      </c>
      <c r="AA563" t="n">
        <v>3</v>
      </c>
      <c r="AB563" t="n">
        <v>16</v>
      </c>
      <c r="AN563" t="inlineStr">
        <is>
          <t>Warframe</t>
        </is>
      </c>
      <c r="AO563" t="n">
        <v>930</v>
      </c>
      <c r="AP563" t="n">
        <v>44919</v>
      </c>
      <c r="AQ563" t="n">
        <v>11</v>
      </c>
      <c r="AS563" t="inlineStr">
        <is>
          <t>Yes</t>
        </is>
      </c>
    </row>
    <row r="564">
      <c r="A564" t="inlineStr">
        <is>
          <t>Mod</t>
        </is>
      </c>
      <c r="B564" t="inlineStr">
        <is>
          <t>Cutting Edge</t>
        </is>
      </c>
      <c r="E564" t="inlineStr">
        <is>
          <t>Archmelee</t>
        </is>
      </c>
      <c r="F564" t="n">
        <v>10</v>
      </c>
      <c r="G564" t="n">
        <v>1</v>
      </c>
      <c r="H564" t="inlineStr">
        <is>
          <t>Player trade (max rank)</t>
        </is>
      </c>
      <c r="I564" t="inlineStr">
        <is>
          <t>Yes</t>
        </is>
      </c>
      <c r="K564" t="inlineStr">
        <is>
          <t>Collection</t>
        </is>
      </c>
      <c r="L564" t="n">
        <v>59</v>
      </c>
      <c r="M564" t="n">
        <v>60</v>
      </c>
      <c r="N564" t="n">
        <v>66</v>
      </c>
      <c r="O564" t="inlineStr">
        <is>
          <t>2026-10-05 UTC (WFM pull 02:52-04:00)</t>
        </is>
      </c>
      <c r="P564" t="inlineStr">
        <is>
          <t>OK</t>
        </is>
      </c>
      <c r="R564" t="inlineStr">
        <is>
          <t>Every current tradeable mod at MAX RANK (WFM catalogue, rivens/locators excluded)</t>
        </is>
      </c>
      <c r="S564" t="inlineStr">
        <is>
          <t>cutting_edge</t>
        </is>
      </c>
      <c r="T564" t="n">
        <v>78</v>
      </c>
      <c r="U564" t="n">
        <v>2</v>
      </c>
      <c r="V564" t="n">
        <v>60</v>
      </c>
      <c r="W564" t="n">
        <v>61</v>
      </c>
      <c r="X564" t="n">
        <v>62.7</v>
      </c>
      <c r="Y564" t="n">
        <v>25</v>
      </c>
      <c r="Z564" t="n">
        <v>1</v>
      </c>
      <c r="AA564" t="n">
        <v>25</v>
      </c>
      <c r="AB564" t="n">
        <v>34</v>
      </c>
      <c r="AN564" t="inlineStr">
        <is>
          <t>Archmelee</t>
        </is>
      </c>
      <c r="AO564" t="n">
        <v>20460</v>
      </c>
      <c r="AP564" t="n">
        <v>988218</v>
      </c>
      <c r="AQ564" t="n">
        <v>2</v>
      </c>
      <c r="AS564" t="inlineStr">
        <is>
          <t>Yes</t>
        </is>
      </c>
    </row>
    <row r="565">
      <c r="A565" t="inlineStr">
        <is>
          <t>Mod</t>
        </is>
      </c>
      <c r="B565" t="inlineStr">
        <is>
          <t>Cyclone Kraken</t>
        </is>
      </c>
      <c r="E565" t="inlineStr">
        <is>
          <t>Stance</t>
        </is>
      </c>
      <c r="F565" t="n">
        <v>3</v>
      </c>
      <c r="G565" t="n">
        <v>1</v>
      </c>
      <c r="H565" t="inlineStr">
        <is>
          <t>Player trade (max rank)</t>
        </is>
      </c>
      <c r="I565" t="inlineStr">
        <is>
          <t>Yes</t>
        </is>
      </c>
      <c r="K565" t="inlineStr">
        <is>
          <t>Collection</t>
        </is>
      </c>
      <c r="L565" t="n">
        <v>10</v>
      </c>
      <c r="M565" t="n">
        <v>15</v>
      </c>
      <c r="N565" t="n">
        <v>17</v>
      </c>
      <c r="O565" t="inlineStr">
        <is>
          <t>2026-10-05 UTC (WFM pull 02:52-04:00)</t>
        </is>
      </c>
      <c r="P565" t="inlineStr">
        <is>
          <t>OK</t>
        </is>
      </c>
      <c r="R565" t="inlineStr">
        <is>
          <t>Every current tradeable mod at MAX RANK (WFM catalogue, rivens/locators excluded)</t>
        </is>
      </c>
      <c r="S565" t="inlineStr">
        <is>
          <t>cyclone_kraken</t>
        </is>
      </c>
      <c r="T565" t="n">
        <v>52</v>
      </c>
      <c r="U565" t="n">
        <v>0</v>
      </c>
      <c r="V565" t="n">
        <v>15</v>
      </c>
      <c r="W565" t="n">
        <v>17.5</v>
      </c>
      <c r="X565" t="n">
        <v>18.2</v>
      </c>
      <c r="Y565" t="n">
        <v>84</v>
      </c>
      <c r="Z565" t="n">
        <v>0</v>
      </c>
      <c r="AN565" t="inlineStr">
        <is>
          <t>Stance</t>
        </is>
      </c>
      <c r="AO565" t="n">
        <v>210</v>
      </c>
      <c r="AP565" t="n">
        <v>10143</v>
      </c>
      <c r="AQ565" t="n">
        <v>15</v>
      </c>
      <c r="AS565" t="inlineStr">
        <is>
          <t>Yes</t>
        </is>
      </c>
    </row>
    <row r="566">
      <c r="A566" t="inlineStr">
        <is>
          <t>Mod</t>
        </is>
      </c>
      <c r="B566" t="inlineStr">
        <is>
          <t>Da-Ren</t>
        </is>
      </c>
      <c r="E566" t="inlineStr">
        <is>
          <t>Antique</t>
        </is>
      </c>
      <c r="F566" t="n">
        <v>5</v>
      </c>
      <c r="G566" t="n">
        <v>1</v>
      </c>
      <c r="H566" t="inlineStr">
        <is>
          <t>Player trade (max rank)</t>
        </is>
      </c>
      <c r="I566" t="inlineStr">
        <is>
          <t>Yes</t>
        </is>
      </c>
      <c r="K566" t="inlineStr">
        <is>
          <t>Collection</t>
        </is>
      </c>
      <c r="L566" t="n">
        <v>25</v>
      </c>
      <c r="M566" t="n">
        <v>30</v>
      </c>
      <c r="N566" t="n">
        <v>66</v>
      </c>
      <c r="O566" t="inlineStr">
        <is>
          <t>2026-10-05 UTC (WFM pull 02:52-04:00)</t>
        </is>
      </c>
      <c r="P566" t="inlineStr">
        <is>
          <t>OK</t>
        </is>
      </c>
      <c r="R566" t="inlineStr">
        <is>
          <t>Every current tradeable mod at MAX RANK (WFM catalogue, rivens/locators excluded)</t>
        </is>
      </c>
      <c r="S566" t="inlineStr">
        <is>
          <t>da_ren</t>
        </is>
      </c>
      <c r="T566" t="n">
        <v>4</v>
      </c>
      <c r="U566" t="n">
        <v>4</v>
      </c>
      <c r="V566" t="n">
        <v>20</v>
      </c>
      <c r="W566" t="n">
        <v>20</v>
      </c>
      <c r="X566" t="n">
        <v>20.7</v>
      </c>
      <c r="Y566" t="n">
        <v>15</v>
      </c>
      <c r="Z566" t="n">
        <v>0</v>
      </c>
      <c r="AN566" t="inlineStr">
        <is>
          <t>Antique</t>
        </is>
      </c>
      <c r="AO566" t="n">
        <v>620</v>
      </c>
      <c r="AP566" t="n">
        <v>29946</v>
      </c>
      <c r="AQ566" t="n">
        <v>9</v>
      </c>
      <c r="AS566" t="inlineStr">
        <is>
          <t>Yes</t>
        </is>
      </c>
    </row>
    <row r="567">
      <c r="A567" t="inlineStr">
        <is>
          <t>Mod</t>
        </is>
      </c>
      <c r="B567" t="inlineStr">
        <is>
          <t>Damage Decoy</t>
        </is>
      </c>
      <c r="E567" t="inlineStr">
        <is>
          <t>Augment Loki</t>
        </is>
      </c>
      <c r="F567" t="n">
        <v>3</v>
      </c>
      <c r="G567" t="n">
        <v>1</v>
      </c>
      <c r="H567" t="inlineStr">
        <is>
          <t>Player trade (max rank)</t>
        </is>
      </c>
      <c r="I567" t="inlineStr">
        <is>
          <t>Yes</t>
        </is>
      </c>
      <c r="K567" t="inlineStr">
        <is>
          <t>Collection</t>
        </is>
      </c>
      <c r="L567" t="n">
        <v>16</v>
      </c>
      <c r="M567" t="n">
        <v>21</v>
      </c>
      <c r="N567" t="n">
        <v>47</v>
      </c>
      <c r="O567" t="inlineStr">
        <is>
          <t>2026-10-05 UTC (WFM pull 02:52-04:00)</t>
        </is>
      </c>
      <c r="P567" t="inlineStr">
        <is>
          <t>OK</t>
        </is>
      </c>
      <c r="R567" t="inlineStr">
        <is>
          <t>Every current tradeable mod at MAX RANK (WFM catalogue, rivens/locators excluded)</t>
        </is>
      </c>
      <c r="S567" t="inlineStr">
        <is>
          <t>damage_decoy</t>
        </is>
      </c>
      <c r="T567" t="n">
        <v>4</v>
      </c>
      <c r="U567" t="n">
        <v>4</v>
      </c>
      <c r="V567" t="n">
        <v>14</v>
      </c>
      <c r="W567" t="n">
        <v>15</v>
      </c>
      <c r="X567" t="n">
        <v>15.1</v>
      </c>
      <c r="Y567" t="n">
        <v>34</v>
      </c>
      <c r="Z567" t="n">
        <v>1</v>
      </c>
      <c r="AN567" t="inlineStr">
        <is>
          <t>Augment Loki</t>
        </is>
      </c>
      <c r="AO567" t="n">
        <v>210</v>
      </c>
      <c r="AP567" t="n">
        <v>10143</v>
      </c>
      <c r="AQ567" t="n">
        <v>14.5</v>
      </c>
      <c r="AS567" t="inlineStr">
        <is>
          <t>Yes</t>
        </is>
      </c>
    </row>
    <row r="568">
      <c r="A568" t="inlineStr">
        <is>
          <t>Mod</t>
        </is>
      </c>
      <c r="B568" t="inlineStr">
        <is>
          <t>Damzav-Vati</t>
        </is>
      </c>
      <c r="E568" t="inlineStr">
        <is>
          <t>Augment Akbronco Prime</t>
        </is>
      </c>
      <c r="F568" t="n">
        <v>5</v>
      </c>
      <c r="G568" t="n">
        <v>1</v>
      </c>
      <c r="H568" t="inlineStr">
        <is>
          <t>Player trade (max rank)</t>
        </is>
      </c>
      <c r="I568" t="inlineStr">
        <is>
          <t>Yes</t>
        </is>
      </c>
      <c r="K568" t="inlineStr">
        <is>
          <t>Collection</t>
        </is>
      </c>
      <c r="L568" t="n">
        <v>15</v>
      </c>
      <c r="M568" t="n">
        <v>22.5</v>
      </c>
      <c r="N568" t="n">
        <v>50</v>
      </c>
      <c r="O568" t="inlineStr">
        <is>
          <t>2026-10-05 UTC (WFM pull 02:52-04:00)</t>
        </is>
      </c>
      <c r="P568" t="inlineStr">
        <is>
          <t>OK</t>
        </is>
      </c>
      <c r="R568" t="inlineStr">
        <is>
          <t>Every current tradeable mod at MAX RANK (WFM catalogue, rivens/locators excluded)</t>
        </is>
      </c>
      <c r="S568" t="inlineStr">
        <is>
          <t>damzav_vati</t>
        </is>
      </c>
      <c r="T568" t="n">
        <v>4</v>
      </c>
      <c r="U568" t="n">
        <v>4</v>
      </c>
      <c r="V568" t="n">
        <v>15</v>
      </c>
      <c r="W568" t="n">
        <v>15</v>
      </c>
      <c r="X568" t="n">
        <v>15</v>
      </c>
      <c r="Y568" t="n">
        <v>35</v>
      </c>
      <c r="Z568" t="n">
        <v>1</v>
      </c>
      <c r="AN568" t="inlineStr">
        <is>
          <t>Augment Akbronco Prime</t>
        </is>
      </c>
      <c r="AO568" t="n">
        <v>930</v>
      </c>
      <c r="AP568" t="n">
        <v>44919</v>
      </c>
      <c r="AQ568" t="n">
        <v>9</v>
      </c>
      <c r="AS568" t="inlineStr">
        <is>
          <t>Yes</t>
        </is>
      </c>
    </row>
    <row r="569">
      <c r="A569" t="inlineStr">
        <is>
          <t>Mod</t>
        </is>
      </c>
      <c r="B569" t="inlineStr">
        <is>
          <t>Dark Propagation</t>
        </is>
      </c>
      <c r="E569" t="inlineStr">
        <is>
          <t>Augment Sevagoth</t>
        </is>
      </c>
      <c r="F569" t="n">
        <v>3</v>
      </c>
      <c r="G569" t="n">
        <v>1</v>
      </c>
      <c r="H569" t="inlineStr">
        <is>
          <t>Player trade (max rank)</t>
        </is>
      </c>
      <c r="I569" t="inlineStr">
        <is>
          <t>Yes</t>
        </is>
      </c>
      <c r="K569" t="inlineStr">
        <is>
          <t>Collection</t>
        </is>
      </c>
      <c r="L569" t="n">
        <v>25</v>
      </c>
      <c r="M569" t="n">
        <v>25</v>
      </c>
      <c r="N569" t="n">
        <v>56</v>
      </c>
      <c r="O569" t="inlineStr">
        <is>
          <t>2026-10-05 UTC (WFM pull 02:52-04:00)</t>
        </is>
      </c>
      <c r="P569" t="inlineStr">
        <is>
          <t>OK</t>
        </is>
      </c>
      <c r="R569" t="inlineStr">
        <is>
          <t>Every current tradeable mod at MAX RANK (WFM catalogue, rivens/locators excluded)</t>
        </is>
      </c>
      <c r="S569" t="inlineStr">
        <is>
          <t>dark_propagation</t>
        </is>
      </c>
      <c r="T569" t="n">
        <v>3</v>
      </c>
      <c r="U569" t="n">
        <v>3</v>
      </c>
      <c r="V569" t="n">
        <v>15</v>
      </c>
      <c r="W569" t="n">
        <v>14.5</v>
      </c>
      <c r="X569" t="n">
        <v>13.7</v>
      </c>
      <c r="Y569" t="n">
        <v>736</v>
      </c>
      <c r="Z569" t="n">
        <v>12</v>
      </c>
      <c r="AN569" t="inlineStr">
        <is>
          <t>Augment Sevagoth</t>
        </is>
      </c>
      <c r="AO569" t="n">
        <v>210</v>
      </c>
      <c r="AP569" t="n">
        <v>10143</v>
      </c>
      <c r="AQ569" t="n">
        <v>15</v>
      </c>
      <c r="AS569" t="inlineStr">
        <is>
          <t>Yes</t>
        </is>
      </c>
    </row>
    <row r="570">
      <c r="A570" t="inlineStr">
        <is>
          <t>Mod</t>
        </is>
      </c>
      <c r="B570" t="inlineStr">
        <is>
          <t>Dead Eye</t>
        </is>
      </c>
      <c r="E570" t="inlineStr">
        <is>
          <t>Aura</t>
        </is>
      </c>
      <c r="F570" t="n">
        <v>5</v>
      </c>
      <c r="G570" t="n">
        <v>1</v>
      </c>
      <c r="H570" t="inlineStr">
        <is>
          <t>Player trade (max rank)</t>
        </is>
      </c>
      <c r="I570" t="inlineStr">
        <is>
          <t>Yes</t>
        </is>
      </c>
      <c r="K570" t="inlineStr">
        <is>
          <t>Collection</t>
        </is>
      </c>
      <c r="L570" t="n">
        <v>39</v>
      </c>
      <c r="M570" t="n">
        <v>39</v>
      </c>
      <c r="N570" t="n">
        <v>86</v>
      </c>
      <c r="O570" t="inlineStr">
        <is>
          <t>2026-10-05 UTC (WFM pull 02:52-04:00)</t>
        </is>
      </c>
      <c r="P570" t="inlineStr">
        <is>
          <t>OK</t>
        </is>
      </c>
      <c r="R570" t="inlineStr">
        <is>
          <t>Every current tradeable mod at MAX RANK (WFM catalogue, rivens/locators excluded)</t>
        </is>
      </c>
      <c r="S570" t="inlineStr">
        <is>
          <t>dead_eye</t>
        </is>
      </c>
      <c r="T570" t="n">
        <v>3</v>
      </c>
      <c r="U570" t="n">
        <v>3</v>
      </c>
      <c r="V570" t="n">
        <v>19.5</v>
      </c>
      <c r="W570" t="n">
        <v>19.5</v>
      </c>
      <c r="X570" t="n">
        <v>17.6</v>
      </c>
      <c r="Y570" t="n">
        <v>65</v>
      </c>
      <c r="Z570" t="n">
        <v>0</v>
      </c>
      <c r="AN570" t="inlineStr">
        <is>
          <t>Aura</t>
        </is>
      </c>
      <c r="AO570" t="n">
        <v>620</v>
      </c>
      <c r="AP570" t="n">
        <v>29946</v>
      </c>
      <c r="AQ570" t="n">
        <v>17.2</v>
      </c>
      <c r="AS570" t="inlineStr">
        <is>
          <t>Yes</t>
        </is>
      </c>
    </row>
    <row r="571">
      <c r="A571" t="inlineStr">
        <is>
          <t>Mod</t>
        </is>
      </c>
      <c r="B571" t="inlineStr">
        <is>
          <t>Deadly Efficiency</t>
        </is>
      </c>
      <c r="E571" t="inlineStr">
        <is>
          <t>Archgun</t>
        </is>
      </c>
      <c r="F571" t="n">
        <v>5</v>
      </c>
      <c r="G571" t="n">
        <v>1</v>
      </c>
      <c r="H571" t="inlineStr">
        <is>
          <t>Player trade (max rank)</t>
        </is>
      </c>
      <c r="I571" t="inlineStr">
        <is>
          <t>Yes</t>
        </is>
      </c>
      <c r="K571" t="inlineStr">
        <is>
          <t>Collection</t>
        </is>
      </c>
      <c r="L571" t="n">
        <v>10</v>
      </c>
      <c r="M571" t="n">
        <v>15</v>
      </c>
      <c r="N571" t="n">
        <v>22</v>
      </c>
      <c r="O571" t="inlineStr">
        <is>
          <t>2026-10-05 UTC (WFM pull 02:52-04:00)</t>
        </is>
      </c>
      <c r="P571" t="inlineStr">
        <is>
          <t>OK</t>
        </is>
      </c>
      <c r="R571" t="inlineStr">
        <is>
          <t>Every current tradeable mod at MAX RANK (WFM catalogue, rivens/locators excluded)</t>
        </is>
      </c>
      <c r="S571" t="inlineStr">
        <is>
          <t>deadly_efficiency</t>
        </is>
      </c>
      <c r="T571" t="n">
        <v>11</v>
      </c>
      <c r="U571" t="n">
        <v>11</v>
      </c>
      <c r="V571" t="n">
        <v>13</v>
      </c>
      <c r="W571" t="n">
        <v>10</v>
      </c>
      <c r="X571" t="n">
        <v>12.5</v>
      </c>
      <c r="Y571" t="n">
        <v>22</v>
      </c>
      <c r="Z571" t="n">
        <v>0</v>
      </c>
      <c r="AN571" t="inlineStr">
        <is>
          <t>Archgun</t>
        </is>
      </c>
      <c r="AO571" t="n">
        <v>930</v>
      </c>
      <c r="AP571" t="n">
        <v>44919</v>
      </c>
      <c r="AQ571" t="n">
        <v>9</v>
      </c>
      <c r="AS571" t="inlineStr">
        <is>
          <t>Yes</t>
        </is>
      </c>
    </row>
    <row r="572">
      <c r="A572" t="inlineStr">
        <is>
          <t>Mod</t>
        </is>
      </c>
      <c r="B572" t="inlineStr">
        <is>
          <t>Deadly Maneuvers</t>
        </is>
      </c>
      <c r="E572" t="inlineStr">
        <is>
          <t>Augment Magnus</t>
        </is>
      </c>
      <c r="F572" t="n">
        <v>3</v>
      </c>
      <c r="G572" t="n">
        <v>1</v>
      </c>
      <c r="H572" t="inlineStr">
        <is>
          <t>Player trade (max rank)</t>
        </is>
      </c>
      <c r="I572" t="inlineStr">
        <is>
          <t>Yes</t>
        </is>
      </c>
      <c r="K572" t="inlineStr">
        <is>
          <t>Collection</t>
        </is>
      </c>
      <c r="L572" t="n">
        <v>15</v>
      </c>
      <c r="M572" t="n">
        <v>15</v>
      </c>
      <c r="N572" t="n">
        <v>33</v>
      </c>
      <c r="O572" t="inlineStr">
        <is>
          <t>2026-10-05 UTC (WFM pull 02:52-04:00)</t>
        </is>
      </c>
      <c r="P572" t="inlineStr">
        <is>
          <t>OK</t>
        </is>
      </c>
      <c r="R572" t="inlineStr">
        <is>
          <t>Every current tradeable mod at MAX RANK (WFM catalogue, rivens/locators excluded)</t>
        </is>
      </c>
      <c r="S572" t="inlineStr">
        <is>
          <t>deadly_maneuvers</t>
        </is>
      </c>
      <c r="T572" t="n">
        <v>3</v>
      </c>
      <c r="U572" t="n">
        <v>3</v>
      </c>
      <c r="V572" t="n">
        <v>10</v>
      </c>
      <c r="W572" t="n">
        <v>12</v>
      </c>
      <c r="X572" t="n">
        <v>12.4</v>
      </c>
      <c r="Y572" t="n">
        <v>26</v>
      </c>
      <c r="Z572" t="n">
        <v>0</v>
      </c>
      <c r="AN572" t="inlineStr">
        <is>
          <t>Augment Magnus</t>
        </is>
      </c>
      <c r="AO572" t="n">
        <v>210</v>
      </c>
      <c r="AP572" t="n">
        <v>10143</v>
      </c>
      <c r="AQ572" t="n">
        <v>10</v>
      </c>
      <c r="AS572" t="inlineStr">
        <is>
          <t>Yes</t>
        </is>
      </c>
    </row>
    <row r="573">
      <c r="A573" t="inlineStr">
        <is>
          <t>Mod</t>
        </is>
      </c>
      <c r="B573" t="inlineStr">
        <is>
          <t>Deadly Sequence</t>
        </is>
      </c>
      <c r="E573" t="inlineStr">
        <is>
          <t>Augment Grinlok</t>
        </is>
      </c>
      <c r="F573" t="n">
        <v>3</v>
      </c>
      <c r="G573" t="n">
        <v>1</v>
      </c>
      <c r="H573" t="inlineStr">
        <is>
          <t>Player trade (max rank)</t>
        </is>
      </c>
      <c r="I573" t="inlineStr">
        <is>
          <t>Yes</t>
        </is>
      </c>
      <c r="K573" t="inlineStr">
        <is>
          <t>Collection</t>
        </is>
      </c>
      <c r="L573" t="n">
        <v>14</v>
      </c>
      <c r="M573" t="n">
        <v>15</v>
      </c>
      <c r="N573" t="n">
        <v>33</v>
      </c>
      <c r="O573" t="inlineStr">
        <is>
          <t>2026-10-05 UTC (WFM pull 02:52-04:00)</t>
        </is>
      </c>
      <c r="P573" t="inlineStr">
        <is>
          <t>OK</t>
        </is>
      </c>
      <c r="R573" t="inlineStr">
        <is>
          <t>Every current tradeable mod at MAX RANK (WFM catalogue, rivens/locators excluded)</t>
        </is>
      </c>
      <c r="S573" t="inlineStr">
        <is>
          <t>deadly_sequence</t>
        </is>
      </c>
      <c r="T573" t="n">
        <v>4</v>
      </c>
      <c r="U573" t="n">
        <v>4</v>
      </c>
      <c r="V573" t="n">
        <v>10</v>
      </c>
      <c r="W573" t="n">
        <v>14</v>
      </c>
      <c r="X573" t="n">
        <v>14.2</v>
      </c>
      <c r="Y573" t="n">
        <v>12</v>
      </c>
      <c r="Z573" t="n">
        <v>2</v>
      </c>
      <c r="AN573" t="inlineStr">
        <is>
          <t>Augment Grinlok</t>
        </is>
      </c>
      <c r="AO573" t="n">
        <v>210</v>
      </c>
      <c r="AP573" t="n">
        <v>10143</v>
      </c>
      <c r="AQ573" t="n">
        <v>9</v>
      </c>
      <c r="AS573" t="inlineStr">
        <is>
          <t>Yes</t>
        </is>
      </c>
    </row>
    <row r="574">
      <c r="A574" t="inlineStr">
        <is>
          <t>Mod</t>
        </is>
      </c>
      <c r="B574" t="inlineStr">
        <is>
          <t>Death Blossom</t>
        </is>
      </c>
      <c r="E574" t="inlineStr">
        <is>
          <t>Railjack (Tactical, Slot 2)</t>
        </is>
      </c>
      <c r="F574" t="n">
        <v>5</v>
      </c>
      <c r="G574" t="n">
        <v>1</v>
      </c>
      <c r="H574" t="inlineStr">
        <is>
          <t>Player trade (max rank)</t>
        </is>
      </c>
      <c r="I574" t="inlineStr">
        <is>
          <t>Yes</t>
        </is>
      </c>
      <c r="K574" t="inlineStr">
        <is>
          <t>Collection</t>
        </is>
      </c>
      <c r="L574" t="n">
        <v>35</v>
      </c>
      <c r="M574" t="n">
        <v>38</v>
      </c>
      <c r="N574" t="n">
        <v>44</v>
      </c>
      <c r="O574" t="inlineStr">
        <is>
          <t>2026-10-05 UTC (WFM pull 02:52-04:00)</t>
        </is>
      </c>
      <c r="P574" t="inlineStr">
        <is>
          <t>OK</t>
        </is>
      </c>
      <c r="R574" t="inlineStr">
        <is>
          <t>Every current tradeable mod at MAX RANK (WFM catalogue, rivens/locators excluded)</t>
        </is>
      </c>
      <c r="S574" t="inlineStr">
        <is>
          <t>death_blossom</t>
        </is>
      </c>
      <c r="T574" t="n">
        <v>3</v>
      </c>
      <c r="U574" t="n">
        <v>3</v>
      </c>
      <c r="V574" t="n">
        <v>30</v>
      </c>
      <c r="W574" t="n">
        <v>27.5</v>
      </c>
      <c r="X574" t="n">
        <v>27.2</v>
      </c>
      <c r="Y574" t="n">
        <v>54</v>
      </c>
      <c r="Z574" t="n">
        <v>0</v>
      </c>
      <c r="AN574" t="inlineStr">
        <is>
          <t>Railjack (Tactical, Slot 2)</t>
        </is>
      </c>
      <c r="AO574" t="n">
        <v>930</v>
      </c>
      <c r="AP574" t="n">
        <v>44919</v>
      </c>
      <c r="AQ574" t="n">
        <v>22.5</v>
      </c>
      <c r="AS574" t="inlineStr">
        <is>
          <t>Yes</t>
        </is>
      </c>
    </row>
    <row r="575">
      <c r="A575" t="inlineStr">
        <is>
          <t>Mod</t>
        </is>
      </c>
      <c r="B575" t="inlineStr">
        <is>
          <t>Deceptive Bond</t>
        </is>
      </c>
      <c r="E575" t="inlineStr">
        <is>
          <t>Augment Loki</t>
        </is>
      </c>
      <c r="F575" t="n">
        <v>3</v>
      </c>
      <c r="G575" t="n">
        <v>1</v>
      </c>
      <c r="H575" t="inlineStr">
        <is>
          <t>Player trade (max rank)</t>
        </is>
      </c>
      <c r="I575" t="inlineStr">
        <is>
          <t>Yes</t>
        </is>
      </c>
      <c r="K575" t="inlineStr">
        <is>
          <t>Collection</t>
        </is>
      </c>
      <c r="L575" t="n">
        <v>20</v>
      </c>
      <c r="M575" t="n">
        <v>20</v>
      </c>
      <c r="N575" t="n">
        <v>44</v>
      </c>
      <c r="O575" t="inlineStr">
        <is>
          <t>2026-10-05 UTC (WFM pull 02:52-04:00)</t>
        </is>
      </c>
      <c r="P575" t="inlineStr">
        <is>
          <t>OK</t>
        </is>
      </c>
      <c r="R575" t="inlineStr">
        <is>
          <t>Every current tradeable mod at MAX RANK (WFM catalogue, rivens/locators excluded)</t>
        </is>
      </c>
      <c r="S575" t="inlineStr">
        <is>
          <t>deceptive_bond</t>
        </is>
      </c>
      <c r="T575" t="n">
        <v>3</v>
      </c>
      <c r="U575" t="n">
        <v>3</v>
      </c>
      <c r="V575" t="n">
        <v>10</v>
      </c>
      <c r="W575" t="n">
        <v>10</v>
      </c>
      <c r="X575" t="n">
        <v>12.5</v>
      </c>
      <c r="Y575" t="n">
        <v>14</v>
      </c>
      <c r="Z575" t="n">
        <v>0</v>
      </c>
      <c r="AN575" t="inlineStr">
        <is>
          <t>Augment Loki</t>
        </is>
      </c>
      <c r="AO575" t="n">
        <v>210</v>
      </c>
      <c r="AP575" t="n">
        <v>10143</v>
      </c>
      <c r="AQ575" t="n">
        <v>8</v>
      </c>
      <c r="AS575" t="inlineStr">
        <is>
          <t>Yes</t>
        </is>
      </c>
    </row>
    <row r="576">
      <c r="A576" t="inlineStr">
        <is>
          <t>Mod</t>
        </is>
      </c>
      <c r="B576" t="inlineStr">
        <is>
          <t>Decisive Judgement</t>
        </is>
      </c>
      <c r="E576" t="inlineStr">
        <is>
          <t>Stance</t>
        </is>
      </c>
      <c r="F576" t="n">
        <v>3</v>
      </c>
      <c r="G576" t="n">
        <v>1</v>
      </c>
      <c r="H576" t="inlineStr">
        <is>
          <t>Player trade (max rank)</t>
        </is>
      </c>
      <c r="I576" t="inlineStr">
        <is>
          <t>Yes</t>
        </is>
      </c>
      <c r="K576" t="inlineStr">
        <is>
          <t>Collection</t>
        </is>
      </c>
      <c r="L576" t="n">
        <v>10</v>
      </c>
      <c r="M576" t="n">
        <v>12</v>
      </c>
      <c r="N576" t="n">
        <v>27</v>
      </c>
      <c r="O576" t="inlineStr">
        <is>
          <t>2026-10-05 UTC (WFM pull 02:52-04:00)</t>
        </is>
      </c>
      <c r="P576" t="inlineStr">
        <is>
          <t>OK</t>
        </is>
      </c>
      <c r="R576" t="inlineStr">
        <is>
          <t>Every current tradeable mod at MAX RANK (WFM catalogue, rivens/locators excluded)</t>
        </is>
      </c>
      <c r="S576" t="inlineStr">
        <is>
          <t>decisive_judgement</t>
        </is>
      </c>
      <c r="T576" t="n">
        <v>5</v>
      </c>
      <c r="U576" t="n">
        <v>5</v>
      </c>
      <c r="V576" t="n">
        <v>8</v>
      </c>
      <c r="W576" t="n">
        <v>8</v>
      </c>
      <c r="X576" t="n">
        <v>8.800000000000001</v>
      </c>
      <c r="Y576" t="n">
        <v>47</v>
      </c>
      <c r="Z576" t="n">
        <v>2</v>
      </c>
      <c r="AN576" t="inlineStr">
        <is>
          <t>Stance</t>
        </is>
      </c>
      <c r="AO576" t="n">
        <v>210</v>
      </c>
      <c r="AP576" t="n">
        <v>10143</v>
      </c>
      <c r="AQ576" t="n">
        <v>4</v>
      </c>
      <c r="AS576" t="inlineStr">
        <is>
          <t>Yes</t>
        </is>
      </c>
    </row>
    <row r="577">
      <c r="A577" t="inlineStr">
        <is>
          <t>Mod</t>
        </is>
      </c>
      <c r="B577" t="inlineStr">
        <is>
          <t>Deep Freeze</t>
        </is>
      </c>
      <c r="E577" t="inlineStr">
        <is>
          <t>Pistol</t>
        </is>
      </c>
      <c r="F577" t="n">
        <v>5</v>
      </c>
      <c r="G577" t="n">
        <v>1</v>
      </c>
      <c r="H577" t="inlineStr">
        <is>
          <t>Player trade (max rank)</t>
        </is>
      </c>
      <c r="I577" t="inlineStr">
        <is>
          <t>Yes</t>
        </is>
      </c>
      <c r="K577" t="inlineStr">
        <is>
          <t>Collection</t>
        </is>
      </c>
      <c r="L577" t="n">
        <v>3</v>
      </c>
      <c r="M577" t="n">
        <v>10</v>
      </c>
      <c r="N577" t="n">
        <v>17</v>
      </c>
      <c r="O577" t="inlineStr">
        <is>
          <t>2026-10-05 UTC (WFM pull 02:52-04:00)</t>
        </is>
      </c>
      <c r="P577" t="inlineStr">
        <is>
          <t>OK</t>
        </is>
      </c>
      <c r="R577" t="inlineStr">
        <is>
          <t>Every current tradeable mod at MAX RANK (WFM catalogue, rivens/locators excluded)</t>
        </is>
      </c>
      <c r="S577" t="inlineStr">
        <is>
          <t>deep_freeze</t>
        </is>
      </c>
      <c r="T577" t="n">
        <v>7</v>
      </c>
      <c r="U577" t="n">
        <v>7</v>
      </c>
      <c r="V577" t="n">
        <v>10</v>
      </c>
      <c r="W577" t="n">
        <v>10</v>
      </c>
      <c r="X577" t="n">
        <v>10.1</v>
      </c>
      <c r="Y577" t="n">
        <v>61</v>
      </c>
      <c r="Z577" t="n">
        <v>1</v>
      </c>
      <c r="AN577" t="inlineStr">
        <is>
          <t>Pistol</t>
        </is>
      </c>
      <c r="AO577" t="n">
        <v>620</v>
      </c>
      <c r="AP577" t="n">
        <v>29946</v>
      </c>
      <c r="AQ577" t="n">
        <v>5</v>
      </c>
      <c r="AS577" t="inlineStr">
        <is>
          <t>Yes</t>
        </is>
      </c>
    </row>
    <row r="578">
      <c r="A578" t="inlineStr">
        <is>
          <t>Mod</t>
        </is>
      </c>
      <c r="B578" t="inlineStr">
        <is>
          <t>Defensive Fire</t>
        </is>
      </c>
      <c r="E578" t="inlineStr">
        <is>
          <t>Plexus</t>
        </is>
      </c>
      <c r="F578" t="n">
        <v>5</v>
      </c>
      <c r="G578" t="n">
        <v>1</v>
      </c>
      <c r="H578" t="inlineStr">
        <is>
          <t>Player trade (max rank)</t>
        </is>
      </c>
      <c r="I578" t="inlineStr">
        <is>
          <t>Yes</t>
        </is>
      </c>
      <c r="K578" t="inlineStr">
        <is>
          <t>Collection</t>
        </is>
      </c>
      <c r="L578" t="n">
        <v>5</v>
      </c>
      <c r="M578" t="n">
        <v>10</v>
      </c>
      <c r="N578" t="n">
        <v>17</v>
      </c>
      <c r="O578" t="inlineStr">
        <is>
          <t>2026-10-05 UTC (WFM pull 02:52-04:00)</t>
        </is>
      </c>
      <c r="P578" t="inlineStr">
        <is>
          <t>OK</t>
        </is>
      </c>
      <c r="R578" t="inlineStr">
        <is>
          <t>Every current tradeable mod at MAX RANK (WFM catalogue, rivens/locators excluded)</t>
        </is>
      </c>
      <c r="S578" t="inlineStr">
        <is>
          <t>defensive_fire</t>
        </is>
      </c>
      <c r="T578" t="n">
        <v>33</v>
      </c>
      <c r="U578" t="n">
        <v>1</v>
      </c>
      <c r="V578" t="n">
        <v>10.5</v>
      </c>
      <c r="W578" t="n">
        <v>14</v>
      </c>
      <c r="X578" t="n">
        <v>15.4</v>
      </c>
      <c r="Y578" t="n">
        <v>18</v>
      </c>
      <c r="Z578" t="n">
        <v>0</v>
      </c>
      <c r="AN578" t="inlineStr">
        <is>
          <t>Plexus</t>
        </is>
      </c>
      <c r="AO578" t="n">
        <v>930</v>
      </c>
      <c r="AP578" t="n">
        <v>44919</v>
      </c>
      <c r="AQ578" t="n">
        <v>9</v>
      </c>
      <c r="AS578" t="inlineStr">
        <is>
          <t>Yes</t>
        </is>
      </c>
    </row>
    <row r="579">
      <c r="A579" t="inlineStr">
        <is>
          <t>Mod</t>
        </is>
      </c>
      <c r="B579" t="inlineStr">
        <is>
          <t>Defiled Reckoning</t>
        </is>
      </c>
      <c r="E579" t="inlineStr">
        <is>
          <t>Augment Oberon</t>
        </is>
      </c>
      <c r="F579" t="n">
        <v>3</v>
      </c>
      <c r="G579" t="n">
        <v>1</v>
      </c>
      <c r="H579" t="inlineStr">
        <is>
          <t>Player trade (max rank)</t>
        </is>
      </c>
      <c r="I579" t="inlineStr">
        <is>
          <t>Yes</t>
        </is>
      </c>
      <c r="K579" t="inlineStr">
        <is>
          <t>Collection</t>
        </is>
      </c>
      <c r="L579" t="n">
        <v>300</v>
      </c>
      <c r="M579" t="n">
        <v>300</v>
      </c>
      <c r="N579" t="n">
        <v>550</v>
      </c>
      <c r="O579" t="inlineStr">
        <is>
          <t>2026-10-05 UTC (WFM pull 02:52-04:00)</t>
        </is>
      </c>
      <c r="P579" t="inlineStr">
        <is>
          <t>THIN</t>
        </is>
      </c>
      <c r="R579" t="inlineStr">
        <is>
          <t>Every current tradeable mod at MAX RANK (WFM catalogue, rivens/locators excluded)</t>
        </is>
      </c>
      <c r="S579" t="inlineStr">
        <is>
          <t>defiled_reckoning</t>
        </is>
      </c>
      <c r="T579" t="n">
        <v>2</v>
      </c>
      <c r="U579" t="n">
        <v>0</v>
      </c>
      <c r="W579" t="n">
        <v>50</v>
      </c>
      <c r="X579" t="n">
        <v>46.7</v>
      </c>
      <c r="Y579" t="n">
        <v>3</v>
      </c>
      <c r="Z579" t="n">
        <v>0</v>
      </c>
      <c r="AN579" t="inlineStr">
        <is>
          <t>Augment Oberon</t>
        </is>
      </c>
      <c r="AO579" t="n">
        <v>210</v>
      </c>
      <c r="AP579" t="n">
        <v>10143</v>
      </c>
      <c r="AQ579" t="n">
        <v>90</v>
      </c>
      <c r="AS579" t="inlineStr">
        <is>
          <t>Yes</t>
        </is>
      </c>
    </row>
    <row r="580">
      <c r="A580" t="inlineStr">
        <is>
          <t>Mod</t>
        </is>
      </c>
      <c r="B580" t="inlineStr">
        <is>
          <t>Defiled Snapdragon</t>
        </is>
      </c>
      <c r="E580" t="inlineStr">
        <is>
          <t>Stance</t>
        </is>
      </c>
      <c r="F580" t="n">
        <v>3</v>
      </c>
      <c r="G580" t="n">
        <v>1</v>
      </c>
      <c r="H580" t="inlineStr">
        <is>
          <t>Player trade (max rank)</t>
        </is>
      </c>
      <c r="I580" t="inlineStr">
        <is>
          <t>Yes</t>
        </is>
      </c>
      <c r="K580" t="inlineStr">
        <is>
          <t>Collection</t>
        </is>
      </c>
      <c r="L580" t="n">
        <v>3</v>
      </c>
      <c r="M580" t="n">
        <v>10</v>
      </c>
      <c r="N580" t="n">
        <v>22</v>
      </c>
      <c r="O580" t="inlineStr">
        <is>
          <t>2026-10-05 UTC (WFM pull 02:52-04:00)</t>
        </is>
      </c>
      <c r="P580" t="inlineStr">
        <is>
          <t>OK</t>
        </is>
      </c>
      <c r="R580" t="inlineStr">
        <is>
          <t>Every current tradeable mod at MAX RANK (WFM catalogue, rivens/locators excluded)</t>
        </is>
      </c>
      <c r="S580" t="inlineStr">
        <is>
          <t>defiled_snapdragon</t>
        </is>
      </c>
      <c r="T580" t="n">
        <v>5</v>
      </c>
      <c r="U580" t="n">
        <v>5</v>
      </c>
      <c r="V580" t="n">
        <v>7</v>
      </c>
      <c r="W580" t="n">
        <v>5</v>
      </c>
      <c r="X580" t="n">
        <v>6.7</v>
      </c>
      <c r="Y580" t="n">
        <v>22</v>
      </c>
      <c r="Z580" t="n">
        <v>1</v>
      </c>
      <c r="AN580" t="inlineStr">
        <is>
          <t>Stance</t>
        </is>
      </c>
      <c r="AO580" t="n">
        <v>210</v>
      </c>
      <c r="AP580" t="n">
        <v>10143</v>
      </c>
      <c r="AQ580" t="n">
        <v>3</v>
      </c>
      <c r="AS580" t="inlineStr">
        <is>
          <t>Yes</t>
        </is>
      </c>
    </row>
    <row r="581">
      <c r="A581" t="inlineStr">
        <is>
          <t>Mod</t>
        </is>
      </c>
      <c r="B581" t="inlineStr">
        <is>
          <t>Deft Tempo</t>
        </is>
      </c>
      <c r="E581" t="inlineStr">
        <is>
          <t>Conclave (PvP)</t>
        </is>
      </c>
      <c r="F581" t="n">
        <v>3</v>
      </c>
      <c r="G581" t="n">
        <v>1</v>
      </c>
      <c r="H581" t="inlineStr">
        <is>
          <t>Player trade (max rank)</t>
        </is>
      </c>
      <c r="I581" t="inlineStr">
        <is>
          <t>Yes</t>
        </is>
      </c>
      <c r="K581" t="inlineStr">
        <is>
          <t>Collection (PvP)</t>
        </is>
      </c>
      <c r="L581" t="n">
        <v>30</v>
      </c>
      <c r="M581" t="n">
        <v>45</v>
      </c>
      <c r="N581" t="n">
        <v>56</v>
      </c>
      <c r="O581" t="inlineStr">
        <is>
          <t>2026-10-05 UTC (WFM pull 02:52-04:00)</t>
        </is>
      </c>
      <c r="P581" t="inlineStr">
        <is>
          <t>OK</t>
        </is>
      </c>
      <c r="R581" t="inlineStr">
        <is>
          <t>Every current tradeable mod at MAX RANK (WFM catalogue, rivens/locators excluded)</t>
        </is>
      </c>
      <c r="S581" t="inlineStr">
        <is>
          <t>deft_tempo</t>
        </is>
      </c>
      <c r="T581" t="n">
        <v>15</v>
      </c>
      <c r="U581" t="n">
        <v>0</v>
      </c>
      <c r="Y581" t="n">
        <v>0</v>
      </c>
      <c r="Z581" t="n">
        <v>0</v>
      </c>
      <c r="AN581" t="inlineStr">
        <is>
          <t>Conclave (PvP)</t>
        </is>
      </c>
      <c r="AO581" t="n">
        <v>210</v>
      </c>
      <c r="AP581" t="n">
        <v>10143</v>
      </c>
      <c r="AQ581" t="n">
        <v>9</v>
      </c>
      <c r="AS581" t="inlineStr">
        <is>
          <t>PvP subtotal</t>
        </is>
      </c>
    </row>
    <row r="582">
      <c r="A582" t="inlineStr">
        <is>
          <t>Mod</t>
        </is>
      </c>
      <c r="B582" t="inlineStr">
        <is>
          <t>Depleted Reload</t>
        </is>
      </c>
      <c r="E582" t="inlineStr">
        <is>
          <t>Sniper</t>
        </is>
      </c>
      <c r="F582" t="n">
        <v>5</v>
      </c>
      <c r="G582" t="n">
        <v>1</v>
      </c>
      <c r="H582" t="inlineStr">
        <is>
          <t>Player trade (max rank)</t>
        </is>
      </c>
      <c r="I582" t="inlineStr">
        <is>
          <t>Yes</t>
        </is>
      </c>
      <c r="K582" t="inlineStr">
        <is>
          <t>Collection</t>
        </is>
      </c>
      <c r="L582" t="n">
        <v>10</v>
      </c>
      <c r="M582" t="n">
        <v>10</v>
      </c>
      <c r="N582" t="n">
        <v>22</v>
      </c>
      <c r="O582" t="inlineStr">
        <is>
          <t>2026-10-05 UTC (WFM pull 02:52-04:00)</t>
        </is>
      </c>
      <c r="P582" t="inlineStr">
        <is>
          <t>OK</t>
        </is>
      </c>
      <c r="R582" t="inlineStr">
        <is>
          <t>Every current tradeable mod at MAX RANK (WFM catalogue, rivens/locators excluded)</t>
        </is>
      </c>
      <c r="S582" t="inlineStr">
        <is>
          <t>depleted_reload</t>
        </is>
      </c>
      <c r="T582" t="n">
        <v>6</v>
      </c>
      <c r="U582" t="n">
        <v>6</v>
      </c>
      <c r="V582" t="n">
        <v>9</v>
      </c>
      <c r="W582" t="n">
        <v>9</v>
      </c>
      <c r="X582" t="n">
        <v>8.4</v>
      </c>
      <c r="Y582" t="n">
        <v>66</v>
      </c>
      <c r="Z582" t="n">
        <v>0</v>
      </c>
      <c r="AN582" t="inlineStr">
        <is>
          <t>Sniper</t>
        </is>
      </c>
      <c r="AO582" t="n">
        <v>930</v>
      </c>
      <c r="AP582" t="n">
        <v>44919</v>
      </c>
      <c r="AQ582" t="n">
        <v>2</v>
      </c>
      <c r="AS582" t="inlineStr">
        <is>
          <t>Yes</t>
        </is>
      </c>
    </row>
    <row r="583">
      <c r="A583" t="inlineStr">
        <is>
          <t>Mod</t>
        </is>
      </c>
      <c r="B583" t="inlineStr">
        <is>
          <t>Desiccation's Curse</t>
        </is>
      </c>
      <c r="E583" t="inlineStr">
        <is>
          <t>Augment Inaros</t>
        </is>
      </c>
      <c r="F583" t="n">
        <v>3</v>
      </c>
      <c r="G583" t="n">
        <v>1</v>
      </c>
      <c r="H583" t="inlineStr">
        <is>
          <t>Player trade (max rank)</t>
        </is>
      </c>
      <c r="I583" t="inlineStr">
        <is>
          <t>Yes</t>
        </is>
      </c>
      <c r="K583" t="inlineStr">
        <is>
          <t>Collection</t>
        </is>
      </c>
      <c r="L583" t="n">
        <v>22</v>
      </c>
      <c r="M583" t="n">
        <v>24</v>
      </c>
      <c r="N583" t="n">
        <v>53</v>
      </c>
      <c r="O583" t="inlineStr">
        <is>
          <t>2026-10-05 UTC (WFM pull 02:52-04:00)</t>
        </is>
      </c>
      <c r="P583" t="inlineStr">
        <is>
          <t>OK</t>
        </is>
      </c>
      <c r="R583" t="inlineStr">
        <is>
          <t>Every current tradeable mod at MAX RANK (WFM catalogue, rivens/locators excluded)</t>
        </is>
      </c>
      <c r="S583" t="inlineStr">
        <is>
          <t>desiccations_curse</t>
        </is>
      </c>
      <c r="T583" t="n">
        <v>5</v>
      </c>
      <c r="U583" t="n">
        <v>5</v>
      </c>
      <c r="V583" t="n">
        <v>16</v>
      </c>
      <c r="W583" t="n">
        <v>15</v>
      </c>
      <c r="X583" t="n">
        <v>15.9</v>
      </c>
      <c r="Y583" t="n">
        <v>49</v>
      </c>
      <c r="Z583" t="n">
        <v>0</v>
      </c>
      <c r="AN583" t="inlineStr">
        <is>
          <t>Augment Inaros</t>
        </is>
      </c>
      <c r="AO583" t="n">
        <v>210</v>
      </c>
      <c r="AP583" t="n">
        <v>10143</v>
      </c>
      <c r="AQ583" t="n">
        <v>15</v>
      </c>
      <c r="AS583" t="inlineStr">
        <is>
          <t>Yes</t>
        </is>
      </c>
    </row>
    <row r="584">
      <c r="A584" t="inlineStr">
        <is>
          <t>Mod</t>
        </is>
      </c>
      <c r="B584" t="inlineStr">
        <is>
          <t>Despoil</t>
        </is>
      </c>
      <c r="E584" t="inlineStr">
        <is>
          <t>Augment Nekros</t>
        </is>
      </c>
      <c r="F584" t="n">
        <v>3</v>
      </c>
      <c r="G584" t="n">
        <v>1</v>
      </c>
      <c r="H584" t="inlineStr">
        <is>
          <t>Player trade (max rank)</t>
        </is>
      </c>
      <c r="I584" t="inlineStr">
        <is>
          <t>Yes</t>
        </is>
      </c>
      <c r="K584" t="inlineStr">
        <is>
          <t>Collection</t>
        </is>
      </c>
      <c r="L584" t="n">
        <v>14</v>
      </c>
      <c r="M584" t="n">
        <v>15</v>
      </c>
      <c r="N584" t="n">
        <v>17</v>
      </c>
      <c r="O584" t="inlineStr">
        <is>
          <t>2026-10-05 UTC (WFM pull 02:52-04:00)</t>
        </is>
      </c>
      <c r="P584" t="inlineStr">
        <is>
          <t>OK</t>
        </is>
      </c>
      <c r="R584" t="inlineStr">
        <is>
          <t>Every current tradeable mod at MAX RANK (WFM catalogue, rivens/locators excluded)</t>
        </is>
      </c>
      <c r="S584" t="inlineStr">
        <is>
          <t>despoil</t>
        </is>
      </c>
      <c r="T584" t="n">
        <v>13</v>
      </c>
      <c r="U584" t="n">
        <v>13</v>
      </c>
      <c r="V584" t="n">
        <v>10</v>
      </c>
      <c r="W584" t="n">
        <v>10</v>
      </c>
      <c r="X584" t="n">
        <v>9.9</v>
      </c>
      <c r="Y584" t="n">
        <v>833</v>
      </c>
      <c r="Z584" t="n">
        <v>17</v>
      </c>
      <c r="AN584" t="inlineStr">
        <is>
          <t>Augment Nekros</t>
        </is>
      </c>
      <c r="AO584" t="n">
        <v>210</v>
      </c>
      <c r="AP584" t="n">
        <v>10143</v>
      </c>
      <c r="AQ584" t="n">
        <v>8</v>
      </c>
      <c r="AS584" t="inlineStr">
        <is>
          <t>Yes</t>
        </is>
      </c>
    </row>
    <row r="585">
      <c r="A585" t="inlineStr">
        <is>
          <t>Mod</t>
        </is>
      </c>
      <c r="B585" t="inlineStr">
        <is>
          <t>Detect Vulnerability</t>
        </is>
      </c>
      <c r="E585" t="inlineStr">
        <is>
          <t>Helios</t>
        </is>
      </c>
      <c r="F585" t="n">
        <v>5</v>
      </c>
      <c r="G585" t="n">
        <v>1</v>
      </c>
      <c r="H585" t="inlineStr">
        <is>
          <t>Player trade (max rank)</t>
        </is>
      </c>
      <c r="I585" t="inlineStr">
        <is>
          <t>Yes</t>
        </is>
      </c>
      <c r="K585" t="inlineStr">
        <is>
          <t>Collection</t>
        </is>
      </c>
      <c r="L585" t="n">
        <v>55</v>
      </c>
      <c r="M585" t="n">
        <v>69</v>
      </c>
      <c r="N585" t="n">
        <v>88</v>
      </c>
      <c r="O585" t="inlineStr">
        <is>
          <t>2026-10-05 UTC (WFM pull 02:52-04:00)</t>
        </is>
      </c>
      <c r="P585" t="inlineStr">
        <is>
          <t>OK</t>
        </is>
      </c>
      <c r="R585" t="inlineStr">
        <is>
          <t>Every current tradeable mod at MAX RANK (WFM catalogue, rivens/locators excluded)</t>
        </is>
      </c>
      <c r="S585" t="inlineStr">
        <is>
          <t>detect_vulnerability</t>
        </is>
      </c>
      <c r="T585" t="n">
        <v>7</v>
      </c>
      <c r="U585" t="n">
        <v>7</v>
      </c>
      <c r="V585" t="n">
        <v>59.5</v>
      </c>
      <c r="W585" t="n">
        <v>60</v>
      </c>
      <c r="X585" t="n">
        <v>56.9</v>
      </c>
      <c r="Y585" t="n">
        <v>26</v>
      </c>
      <c r="Z585" t="n">
        <v>0</v>
      </c>
      <c r="AN585" t="inlineStr">
        <is>
          <t>Helios</t>
        </is>
      </c>
      <c r="AO585" t="n">
        <v>930</v>
      </c>
      <c r="AP585" t="n">
        <v>44919</v>
      </c>
      <c r="AQ585" t="n">
        <v>45</v>
      </c>
      <c r="AS585" t="inlineStr">
        <is>
          <t>Yes</t>
        </is>
      </c>
    </row>
    <row r="586">
      <c r="A586" t="inlineStr">
        <is>
          <t>Mod</t>
        </is>
      </c>
      <c r="B586" t="inlineStr">
        <is>
          <t>Diamond Skin</t>
        </is>
      </c>
      <c r="E586" t="inlineStr">
        <is>
          <t>Warframe</t>
        </is>
      </c>
      <c r="F586" t="n">
        <v>5</v>
      </c>
      <c r="G586" t="n">
        <v>1</v>
      </c>
      <c r="H586" t="inlineStr">
        <is>
          <t>Player trade (max rank)</t>
        </is>
      </c>
      <c r="I586" t="inlineStr">
        <is>
          <t>Yes</t>
        </is>
      </c>
      <c r="K586" t="inlineStr">
        <is>
          <t>Collection</t>
        </is>
      </c>
      <c r="L586" t="n">
        <v>10</v>
      </c>
      <c r="M586" t="n">
        <v>15</v>
      </c>
      <c r="N586" t="n">
        <v>28</v>
      </c>
      <c r="O586" t="inlineStr">
        <is>
          <t>2026-10-05 UTC (WFM pull 02:52-04:00)</t>
        </is>
      </c>
      <c r="P586" t="inlineStr">
        <is>
          <t>OK</t>
        </is>
      </c>
      <c r="R586" t="inlineStr">
        <is>
          <t>Every current tradeable mod at MAX RANK (WFM catalogue, rivens/locators excluded)</t>
        </is>
      </c>
      <c r="S586" t="inlineStr">
        <is>
          <t>diamond_skin</t>
        </is>
      </c>
      <c r="T586" t="n">
        <v>3</v>
      </c>
      <c r="U586" t="n">
        <v>3</v>
      </c>
      <c r="Y586" t="n">
        <v>0</v>
      </c>
      <c r="Z586" t="n">
        <v>0</v>
      </c>
      <c r="AN586" t="inlineStr">
        <is>
          <t>Warframe</t>
        </is>
      </c>
      <c r="AO586" t="n">
        <v>620</v>
      </c>
      <c r="AP586" t="n">
        <v>29946</v>
      </c>
      <c r="AQ586" t="n">
        <v>1</v>
      </c>
      <c r="AS586" t="inlineStr">
        <is>
          <t>Yes</t>
        </is>
      </c>
    </row>
    <row r="587">
      <c r="A587" t="inlineStr">
        <is>
          <t>Mod</t>
        </is>
      </c>
      <c r="B587" t="inlineStr">
        <is>
          <t>Dig</t>
        </is>
      </c>
      <c r="E587" t="inlineStr">
        <is>
          <t>Sahasa Kubrow</t>
        </is>
      </c>
      <c r="F587" t="n">
        <v>5</v>
      </c>
      <c r="G587" t="n">
        <v>1</v>
      </c>
      <c r="H587" t="inlineStr">
        <is>
          <t>Player trade (max rank)</t>
        </is>
      </c>
      <c r="I587" t="inlineStr">
        <is>
          <t>Yes</t>
        </is>
      </c>
      <c r="K587" t="inlineStr">
        <is>
          <t>Collection</t>
        </is>
      </c>
      <c r="L587" t="n">
        <v>10</v>
      </c>
      <c r="M587" t="n">
        <v>21</v>
      </c>
      <c r="N587" t="n">
        <v>47</v>
      </c>
      <c r="O587" t="inlineStr">
        <is>
          <t>2026-10-05 UTC (WFM pull 02:52-04:00)</t>
        </is>
      </c>
      <c r="P587" t="inlineStr">
        <is>
          <t>OK</t>
        </is>
      </c>
      <c r="R587" t="inlineStr">
        <is>
          <t>Every current tradeable mod at MAX RANK (WFM catalogue, rivens/locators excluded)</t>
        </is>
      </c>
      <c r="S587" t="inlineStr">
        <is>
          <t>dig</t>
        </is>
      </c>
      <c r="T587" t="n">
        <v>6</v>
      </c>
      <c r="U587" t="n">
        <v>6</v>
      </c>
      <c r="V587" t="n">
        <v>14</v>
      </c>
      <c r="W587" t="n">
        <v>10</v>
      </c>
      <c r="X587" t="n">
        <v>12.1</v>
      </c>
      <c r="Y587" t="n">
        <v>10</v>
      </c>
      <c r="Z587" t="n">
        <v>0</v>
      </c>
      <c r="AN587" t="inlineStr">
        <is>
          <t>Sahasa Kubrow</t>
        </is>
      </c>
      <c r="AO587" t="n">
        <v>930</v>
      </c>
      <c r="AP587" t="n">
        <v>44919</v>
      </c>
      <c r="AQ587" t="n">
        <v>9</v>
      </c>
      <c r="AS587" t="inlineStr">
        <is>
          <t>Yes</t>
        </is>
      </c>
    </row>
    <row r="588">
      <c r="A588" t="inlineStr">
        <is>
          <t>Mod</t>
        </is>
      </c>
      <c r="B588" t="inlineStr">
        <is>
          <t>Directed Convergence</t>
        </is>
      </c>
      <c r="E588" t="inlineStr">
        <is>
          <t>Conclave (PvP)</t>
        </is>
      </c>
      <c r="F588" t="n">
        <v>3</v>
      </c>
      <c r="G588" t="n">
        <v>1</v>
      </c>
      <c r="H588" t="inlineStr">
        <is>
          <t>Player trade (max rank)</t>
        </is>
      </c>
      <c r="I588" t="inlineStr">
        <is>
          <t>Yes</t>
        </is>
      </c>
      <c r="K588" t="inlineStr">
        <is>
          <t>Collection (PvP)</t>
        </is>
      </c>
      <c r="L588" t="n">
        <v>50</v>
      </c>
      <c r="M588" t="n">
        <v>50</v>
      </c>
      <c r="N588" t="n">
        <v>111</v>
      </c>
      <c r="O588" t="inlineStr">
        <is>
          <t>2026-10-05 UTC (WFM pull 02:52-04:00)</t>
        </is>
      </c>
      <c r="P588" t="inlineStr">
        <is>
          <t>OK</t>
        </is>
      </c>
      <c r="R588" t="inlineStr">
        <is>
          <t>Every current tradeable mod at MAX RANK (WFM catalogue, rivens/locators excluded)</t>
        </is>
      </c>
      <c r="S588" t="inlineStr">
        <is>
          <t>directed_convergence</t>
        </is>
      </c>
      <c r="T588" t="n">
        <v>3</v>
      </c>
      <c r="U588" t="n">
        <v>3</v>
      </c>
      <c r="V588" t="n">
        <v>25</v>
      </c>
      <c r="W588" t="n">
        <v>14</v>
      </c>
      <c r="X588" t="n">
        <v>106.3</v>
      </c>
      <c r="Y588" t="n">
        <v>7</v>
      </c>
      <c r="Z588" t="n">
        <v>0</v>
      </c>
      <c r="AN588" t="inlineStr">
        <is>
          <t>Conclave (PvP)</t>
        </is>
      </c>
      <c r="AO588" t="n">
        <v>210</v>
      </c>
      <c r="AP588" t="n">
        <v>10143</v>
      </c>
      <c r="AQ588" t="n">
        <v>16</v>
      </c>
      <c r="AS588" t="inlineStr">
        <is>
          <t>PvP subtotal</t>
        </is>
      </c>
    </row>
    <row r="589">
      <c r="A589" t="inlineStr">
        <is>
          <t>Mod</t>
        </is>
      </c>
      <c r="B589" t="inlineStr">
        <is>
          <t>Disabling Conditioning</t>
        </is>
      </c>
      <c r="E589" t="inlineStr">
        <is>
          <t>Claws</t>
        </is>
      </c>
      <c r="F589" t="n">
        <v>10</v>
      </c>
      <c r="G589" t="n">
        <v>1</v>
      </c>
      <c r="H589" t="inlineStr">
        <is>
          <t>Player trade (max rank)</t>
        </is>
      </c>
      <c r="I589" t="inlineStr">
        <is>
          <t>Yes</t>
        </is>
      </c>
      <c r="K589" t="inlineStr">
        <is>
          <t>Collection</t>
        </is>
      </c>
      <c r="L589" t="n">
        <v>69</v>
      </c>
      <c r="M589" t="n">
        <v>105</v>
      </c>
      <c r="N589" t="n">
        <v>188</v>
      </c>
      <c r="O589" t="inlineStr">
        <is>
          <t>2026-10-05 UTC (WFM pull 02:52-04:00)</t>
        </is>
      </c>
      <c r="P589" t="inlineStr">
        <is>
          <t>OK</t>
        </is>
      </c>
      <c r="R589" t="inlineStr">
        <is>
          <t>Every current tradeable mod at MAX RANK (WFM catalogue, rivens/locators excluded)</t>
        </is>
      </c>
      <c r="S589" t="inlineStr">
        <is>
          <t>disabling_conditioning</t>
        </is>
      </c>
      <c r="T589" t="n">
        <v>5</v>
      </c>
      <c r="U589" t="n">
        <v>5</v>
      </c>
      <c r="V589" t="n">
        <v>70</v>
      </c>
      <c r="W589" t="n">
        <v>84</v>
      </c>
      <c r="X589" t="n">
        <v>56.6</v>
      </c>
      <c r="Y589" t="n">
        <v>142</v>
      </c>
      <c r="Z589" t="n">
        <v>3</v>
      </c>
      <c r="AA589" t="n">
        <v>35</v>
      </c>
      <c r="AB589" t="n">
        <v>34</v>
      </c>
      <c r="AN589" t="inlineStr">
        <is>
          <t>Claws</t>
        </is>
      </c>
      <c r="AO589" t="n">
        <v>20460</v>
      </c>
      <c r="AP589" t="n">
        <v>988218</v>
      </c>
      <c r="AQ589" t="n">
        <v>20</v>
      </c>
      <c r="AS589" t="inlineStr">
        <is>
          <t>Yes</t>
        </is>
      </c>
    </row>
    <row r="590">
      <c r="A590" t="inlineStr">
        <is>
          <t>Mod</t>
        </is>
      </c>
      <c r="B590" t="inlineStr">
        <is>
          <t>Disarming Purity</t>
        </is>
      </c>
      <c r="E590" t="inlineStr">
        <is>
          <t>Augment Panthera</t>
        </is>
      </c>
      <c r="F590" t="n">
        <v>3</v>
      </c>
      <c r="G590" t="n">
        <v>1</v>
      </c>
      <c r="H590" t="inlineStr">
        <is>
          <t>Player trade (max rank)</t>
        </is>
      </c>
      <c r="I590" t="inlineStr">
        <is>
          <t>Yes</t>
        </is>
      </c>
      <c r="K590" t="inlineStr">
        <is>
          <t>Collection</t>
        </is>
      </c>
      <c r="L590" t="n">
        <v>40</v>
      </c>
      <c r="M590" t="n">
        <v>40</v>
      </c>
      <c r="N590" t="n">
        <v>88</v>
      </c>
      <c r="O590" t="inlineStr">
        <is>
          <t>2026-10-05 UTC (WFM pull 02:52-04:00)</t>
        </is>
      </c>
      <c r="P590" t="inlineStr">
        <is>
          <t>OK</t>
        </is>
      </c>
      <c r="R590" t="inlineStr">
        <is>
          <t>Every current tradeable mod at MAX RANK (WFM catalogue, rivens/locators excluded)</t>
        </is>
      </c>
      <c r="S590" t="inlineStr">
        <is>
          <t>disarming_purity</t>
        </is>
      </c>
      <c r="T590" t="n">
        <v>3</v>
      </c>
      <c r="U590" t="n">
        <v>3</v>
      </c>
      <c r="V590" t="n">
        <v>17</v>
      </c>
      <c r="W590" t="n">
        <v>10</v>
      </c>
      <c r="X590" t="n">
        <v>14.3</v>
      </c>
      <c r="Y590" t="n">
        <v>6</v>
      </c>
      <c r="Z590" t="n">
        <v>0</v>
      </c>
      <c r="AN590" t="inlineStr">
        <is>
          <t>Augment Panthera</t>
        </is>
      </c>
      <c r="AO590" t="n">
        <v>210</v>
      </c>
      <c r="AP590" t="n">
        <v>10143</v>
      </c>
      <c r="AQ590" t="n">
        <v>18</v>
      </c>
      <c r="AS590" t="inlineStr">
        <is>
          <t>Yes</t>
        </is>
      </c>
    </row>
    <row r="591">
      <c r="A591" t="inlineStr">
        <is>
          <t>Mod</t>
        </is>
      </c>
      <c r="B591" t="inlineStr">
        <is>
          <t>Discharge Strike</t>
        </is>
      </c>
      <c r="E591" t="inlineStr">
        <is>
          <t>Augment Nekros</t>
        </is>
      </c>
      <c r="F591" t="n">
        <v>3</v>
      </c>
      <c r="G591" t="n">
        <v>1</v>
      </c>
      <c r="H591" t="inlineStr">
        <is>
          <t>Player trade (max rank)</t>
        </is>
      </c>
      <c r="I591" t="inlineStr">
        <is>
          <t>Yes</t>
        </is>
      </c>
      <c r="K591" t="inlineStr">
        <is>
          <t>Collection</t>
        </is>
      </c>
      <c r="L591" t="n">
        <v>50</v>
      </c>
      <c r="M591" t="n">
        <v>60</v>
      </c>
      <c r="N591" t="n">
        <v>132</v>
      </c>
      <c r="O591" t="inlineStr">
        <is>
          <t>2026-10-05 UTC (WFM pull 02:52-04:00)</t>
        </is>
      </c>
      <c r="P591" t="inlineStr">
        <is>
          <t>THIN</t>
        </is>
      </c>
      <c r="R591" t="inlineStr">
        <is>
          <t>Every current tradeable mod at MAX RANK (WFM catalogue, rivens/locators excluded)</t>
        </is>
      </c>
      <c r="S591" t="inlineStr">
        <is>
          <t>discharge_strike</t>
        </is>
      </c>
      <c r="T591" t="n">
        <v>2</v>
      </c>
      <c r="U591" t="n">
        <v>0</v>
      </c>
      <c r="W591" t="n">
        <v>40</v>
      </c>
      <c r="X591" t="n">
        <v>45</v>
      </c>
      <c r="Y591" t="n">
        <v>4</v>
      </c>
      <c r="Z591" t="n">
        <v>0</v>
      </c>
      <c r="AA591" t="n">
        <v>25</v>
      </c>
      <c r="AB591" t="n">
        <v>25</v>
      </c>
      <c r="AN591" t="inlineStr">
        <is>
          <t>Augment Nekros</t>
        </is>
      </c>
      <c r="AO591" t="n">
        <v>210</v>
      </c>
      <c r="AP591" t="n">
        <v>10143</v>
      </c>
      <c r="AQ591" t="n">
        <v>90</v>
      </c>
      <c r="AS591" t="inlineStr">
        <is>
          <t>Yes</t>
        </is>
      </c>
    </row>
    <row r="592">
      <c r="A592" t="inlineStr">
        <is>
          <t>Mod</t>
        </is>
      </c>
      <c r="B592" t="inlineStr">
        <is>
          <t>Discipline's Merit</t>
        </is>
      </c>
      <c r="E592" t="inlineStr">
        <is>
          <t>Melee</t>
        </is>
      </c>
      <c r="F592" t="n">
        <v>3</v>
      </c>
      <c r="G592" t="n">
        <v>1</v>
      </c>
      <c r="H592" t="inlineStr">
        <is>
          <t>Player trade (max rank)</t>
        </is>
      </c>
      <c r="I592" t="inlineStr">
        <is>
          <t>Yes</t>
        </is>
      </c>
      <c r="K592" t="inlineStr">
        <is>
          <t>Collection</t>
        </is>
      </c>
      <c r="L592" t="n">
        <v>80</v>
      </c>
      <c r="M592" t="n">
        <v>80</v>
      </c>
      <c r="N592" t="n">
        <v>88</v>
      </c>
      <c r="O592" t="inlineStr">
        <is>
          <t>2026-10-05 UTC (WFM pull 02:52-04:00)</t>
        </is>
      </c>
      <c r="P592" t="inlineStr">
        <is>
          <t>OK</t>
        </is>
      </c>
      <c r="R592" t="inlineStr">
        <is>
          <t>Every current tradeable mod at MAX RANK (WFM catalogue, rivens/locators excluded)</t>
        </is>
      </c>
      <c r="S592" t="inlineStr">
        <is>
          <t>disciplines_merit</t>
        </is>
      </c>
      <c r="T592" t="n">
        <v>11</v>
      </c>
      <c r="U592" t="n">
        <v>11</v>
      </c>
      <c r="V592" t="n">
        <v>73</v>
      </c>
      <c r="W592" t="n">
        <v>74</v>
      </c>
      <c r="X592" t="n">
        <v>73.09999999999999</v>
      </c>
      <c r="Y592" t="n">
        <v>3154</v>
      </c>
      <c r="Z592" t="n">
        <v>118</v>
      </c>
      <c r="AA592" t="n">
        <v>55</v>
      </c>
      <c r="AB592" t="n">
        <v>25</v>
      </c>
      <c r="AN592" t="inlineStr">
        <is>
          <t>Melee</t>
        </is>
      </c>
      <c r="AO592" t="n">
        <v>210</v>
      </c>
      <c r="AP592" t="n">
        <v>10143</v>
      </c>
      <c r="AQ592" t="n">
        <v>75</v>
      </c>
      <c r="AS592" t="inlineStr">
        <is>
          <t>Yes</t>
        </is>
      </c>
    </row>
    <row r="593">
      <c r="A593" t="inlineStr">
        <is>
          <t>Mod</t>
        </is>
      </c>
      <c r="B593" t="inlineStr">
        <is>
          <t>Dispatch Overdrive</t>
        </is>
      </c>
      <c r="E593" t="inlineStr">
        <is>
          <t>Melee</t>
        </is>
      </c>
      <c r="F593" t="n">
        <v>5</v>
      </c>
      <c r="G593" t="n">
        <v>1</v>
      </c>
      <c r="H593" t="inlineStr">
        <is>
          <t>Player trade (max rank)</t>
        </is>
      </c>
      <c r="I593" t="inlineStr">
        <is>
          <t>Yes</t>
        </is>
      </c>
      <c r="K593" t="inlineStr">
        <is>
          <t>Collection</t>
        </is>
      </c>
      <c r="L593" t="n">
        <v>5</v>
      </c>
      <c r="M593" t="n">
        <v>15</v>
      </c>
      <c r="N593" t="n">
        <v>33</v>
      </c>
      <c r="O593" t="inlineStr">
        <is>
          <t>2026-10-05 UTC (WFM pull 02:52-04:00)</t>
        </is>
      </c>
      <c r="P593" t="inlineStr">
        <is>
          <t>OK</t>
        </is>
      </c>
      <c r="R593" t="inlineStr">
        <is>
          <t>Every current tradeable mod at MAX RANK (WFM catalogue, rivens/locators excluded)</t>
        </is>
      </c>
      <c r="S593" t="inlineStr">
        <is>
          <t>dispatch_overdrive</t>
        </is>
      </c>
      <c r="T593" t="n">
        <v>6</v>
      </c>
      <c r="U593" t="n">
        <v>6</v>
      </c>
      <c r="V593" t="n">
        <v>10</v>
      </c>
      <c r="W593" t="n">
        <v>9.5</v>
      </c>
      <c r="X593" t="n">
        <v>9.6</v>
      </c>
      <c r="Y593" t="n">
        <v>77</v>
      </c>
      <c r="Z593" t="n">
        <v>2</v>
      </c>
      <c r="AN593" t="inlineStr">
        <is>
          <t>Melee</t>
        </is>
      </c>
      <c r="AO593" t="n">
        <v>620</v>
      </c>
      <c r="AP593" t="n">
        <v>29946</v>
      </c>
      <c r="AQ593" t="n">
        <v>3</v>
      </c>
      <c r="AS593" t="inlineStr">
        <is>
          <t>Yes</t>
        </is>
      </c>
    </row>
    <row r="594">
      <c r="A594" t="inlineStr">
        <is>
          <t>Mod</t>
        </is>
      </c>
      <c r="B594" t="inlineStr">
        <is>
          <t>Disruptor</t>
        </is>
      </c>
      <c r="E594" t="inlineStr">
        <is>
          <t>Shotgun</t>
        </is>
      </c>
      <c r="F594" t="n">
        <v>5</v>
      </c>
      <c r="G594" t="n">
        <v>1</v>
      </c>
      <c r="H594" t="inlineStr">
        <is>
          <t>Player trade (max rank)</t>
        </is>
      </c>
      <c r="I594" t="inlineStr">
        <is>
          <t>Yes</t>
        </is>
      </c>
      <c r="K594" t="inlineStr">
        <is>
          <t>Collection</t>
        </is>
      </c>
      <c r="L594" t="n">
        <v>6</v>
      </c>
      <c r="M594" t="n">
        <v>19.5</v>
      </c>
      <c r="N594" t="n">
        <v>33</v>
      </c>
      <c r="O594" t="inlineStr">
        <is>
          <t>2026-10-05 UTC (WFM pull 02:52-04:00)</t>
        </is>
      </c>
      <c r="P594" t="inlineStr">
        <is>
          <t>OK</t>
        </is>
      </c>
      <c r="R594" t="inlineStr">
        <is>
          <t>Every current tradeable mod at MAX RANK (WFM catalogue, rivens/locators excluded)</t>
        </is>
      </c>
      <c r="S594" t="inlineStr">
        <is>
          <t>disruptor</t>
        </is>
      </c>
      <c r="T594" t="n">
        <v>3</v>
      </c>
      <c r="U594" t="n">
        <v>3</v>
      </c>
      <c r="W594" t="n">
        <v>13</v>
      </c>
      <c r="X594" t="n">
        <v>13</v>
      </c>
      <c r="Y594" t="n">
        <v>2</v>
      </c>
      <c r="Z594" t="n">
        <v>0</v>
      </c>
      <c r="AN594" t="inlineStr">
        <is>
          <t>Shotgun</t>
        </is>
      </c>
      <c r="AO594" t="n">
        <v>310</v>
      </c>
      <c r="AP594" t="n">
        <v>14973</v>
      </c>
      <c r="AQ594" t="n">
        <v>2.5</v>
      </c>
      <c r="AS594" t="inlineStr">
        <is>
          <t>Yes</t>
        </is>
      </c>
    </row>
    <row r="595">
      <c r="A595" t="inlineStr">
        <is>
          <t>Mod</t>
        </is>
      </c>
      <c r="B595" t="inlineStr">
        <is>
          <t>Diversified Denial</t>
        </is>
      </c>
      <c r="E595" t="inlineStr">
        <is>
          <t>Hound</t>
        </is>
      </c>
      <c r="F595" t="n">
        <v>5</v>
      </c>
      <c r="G595" t="n">
        <v>1</v>
      </c>
      <c r="H595" t="inlineStr">
        <is>
          <t>Player trade (max rank)</t>
        </is>
      </c>
      <c r="I595" t="inlineStr">
        <is>
          <t>Yes</t>
        </is>
      </c>
      <c r="K595" t="inlineStr">
        <is>
          <t>Collection</t>
        </is>
      </c>
      <c r="L595" t="n">
        <v>10</v>
      </c>
      <c r="M595" t="n">
        <v>10</v>
      </c>
      <c r="N595" t="n">
        <v>22</v>
      </c>
      <c r="O595" t="inlineStr">
        <is>
          <t>2026-10-05 UTC (WFM pull 02:52-04:00)</t>
        </is>
      </c>
      <c r="P595" t="inlineStr">
        <is>
          <t>OK</t>
        </is>
      </c>
      <c r="R595" t="inlineStr">
        <is>
          <t>Every current tradeable mod at MAX RANK (WFM catalogue, rivens/locators excluded)</t>
        </is>
      </c>
      <c r="S595" t="inlineStr">
        <is>
          <t>diversified_denial</t>
        </is>
      </c>
      <c r="T595" t="n">
        <v>7</v>
      </c>
      <c r="U595" t="n">
        <v>7</v>
      </c>
      <c r="V595" t="n">
        <v>5</v>
      </c>
      <c r="W595" t="n">
        <v>15</v>
      </c>
      <c r="X595" t="n">
        <v>13.3</v>
      </c>
      <c r="Y595" t="n">
        <v>6</v>
      </c>
      <c r="Z595" t="n">
        <v>1</v>
      </c>
      <c r="AN595" t="inlineStr">
        <is>
          <t>Hound</t>
        </is>
      </c>
      <c r="AO595" t="n">
        <v>930</v>
      </c>
      <c r="AP595" t="n">
        <v>44919</v>
      </c>
      <c r="AQ595" t="n">
        <v>7.5</v>
      </c>
      <c r="AS595" t="inlineStr">
        <is>
          <t>Yes</t>
        </is>
      </c>
    </row>
    <row r="596">
      <c r="A596" t="inlineStr">
        <is>
          <t>Mod</t>
        </is>
      </c>
      <c r="B596" t="inlineStr">
        <is>
          <t>Dividing Blades</t>
        </is>
      </c>
      <c r="E596" t="inlineStr">
        <is>
          <t>Conclave (PvP)</t>
        </is>
      </c>
      <c r="F596" t="n">
        <v>3</v>
      </c>
      <c r="G596" t="n">
        <v>1</v>
      </c>
      <c r="H596" t="inlineStr">
        <is>
          <t>Player trade (max rank)</t>
        </is>
      </c>
      <c r="I596" t="inlineStr">
        <is>
          <t>Yes</t>
        </is>
      </c>
      <c r="K596" t="inlineStr">
        <is>
          <t>Collection (PvP)</t>
        </is>
      </c>
      <c r="L596" t="n">
        <v>100</v>
      </c>
      <c r="M596" t="n">
        <v>100</v>
      </c>
      <c r="N596" t="n">
        <v>221</v>
      </c>
      <c r="O596" t="inlineStr">
        <is>
          <t>2026-10-05 UTC (WFM pull 02:52-04:00)</t>
        </is>
      </c>
      <c r="P596" t="inlineStr">
        <is>
          <t>OK</t>
        </is>
      </c>
      <c r="R596" t="inlineStr">
        <is>
          <t>Every current tradeable mod at MAX RANK (WFM catalogue, rivens/locators excluded)</t>
        </is>
      </c>
      <c r="S596" t="inlineStr">
        <is>
          <t>dividing_blades</t>
        </is>
      </c>
      <c r="T596" t="n">
        <v>5</v>
      </c>
      <c r="U596" t="n">
        <v>0</v>
      </c>
      <c r="W596" t="n">
        <v>10</v>
      </c>
      <c r="X596" t="n">
        <v>10</v>
      </c>
      <c r="Y596" t="n">
        <v>1</v>
      </c>
      <c r="Z596" t="n">
        <v>0</v>
      </c>
      <c r="AN596" t="inlineStr">
        <is>
          <t>Conclave (PvP)</t>
        </is>
      </c>
      <c r="AO596" t="n">
        <v>140</v>
      </c>
      <c r="AP596" t="n">
        <v>6762</v>
      </c>
      <c r="AQ596" t="n">
        <v>20</v>
      </c>
      <c r="AS596" t="inlineStr">
        <is>
          <t>PvP subtotal</t>
        </is>
      </c>
    </row>
    <row r="597">
      <c r="A597" t="inlineStr">
        <is>
          <t>Mod</t>
        </is>
      </c>
      <c r="B597" t="inlineStr">
        <is>
          <t>Divine Retribution</t>
        </is>
      </c>
      <c r="E597" t="inlineStr">
        <is>
          <t>Augment Nezha</t>
        </is>
      </c>
      <c r="F597" t="n">
        <v>3</v>
      </c>
      <c r="G597" t="n">
        <v>1</v>
      </c>
      <c r="H597" t="inlineStr">
        <is>
          <t>Player trade (max rank)</t>
        </is>
      </c>
      <c r="I597" t="inlineStr">
        <is>
          <t>Yes</t>
        </is>
      </c>
      <c r="K597" t="inlineStr">
        <is>
          <t>Collection</t>
        </is>
      </c>
      <c r="L597" t="n">
        <v>15</v>
      </c>
      <c r="M597" t="n">
        <v>18</v>
      </c>
      <c r="N597" t="n">
        <v>28</v>
      </c>
      <c r="O597" t="inlineStr">
        <is>
          <t>2026-10-05 UTC (WFM pull 02:52-04:00)</t>
        </is>
      </c>
      <c r="P597" t="inlineStr">
        <is>
          <t>OK</t>
        </is>
      </c>
      <c r="R597" t="inlineStr">
        <is>
          <t>Every current tradeable mod at MAX RANK (WFM catalogue, rivens/locators excluded)</t>
        </is>
      </c>
      <c r="S597" t="inlineStr">
        <is>
          <t>divine_retribution</t>
        </is>
      </c>
      <c r="T597" t="n">
        <v>6</v>
      </c>
      <c r="U597" t="n">
        <v>6</v>
      </c>
      <c r="V597" t="n">
        <v>13.5</v>
      </c>
      <c r="W597" t="n">
        <v>13.5</v>
      </c>
      <c r="X597" t="n">
        <v>13.7</v>
      </c>
      <c r="Y597" t="n">
        <v>337</v>
      </c>
      <c r="Z597" t="n">
        <v>1</v>
      </c>
      <c r="AN597" t="inlineStr">
        <is>
          <t>Augment Nezha</t>
        </is>
      </c>
      <c r="AO597" t="n">
        <v>210</v>
      </c>
      <c r="AP597" t="n">
        <v>10143</v>
      </c>
      <c r="AQ597" t="n">
        <v>14.5</v>
      </c>
      <c r="AS597" t="inlineStr">
        <is>
          <t>Yes</t>
        </is>
      </c>
    </row>
    <row r="598">
      <c r="A598" t="inlineStr">
        <is>
          <t>Mod</t>
        </is>
      </c>
      <c r="B598" t="inlineStr">
        <is>
          <t>Dizzying Rounds</t>
        </is>
      </c>
      <c r="E598" t="inlineStr">
        <is>
          <t>Augment Bronco</t>
        </is>
      </c>
      <c r="F598" t="n">
        <v>3</v>
      </c>
      <c r="G598" t="n">
        <v>1</v>
      </c>
      <c r="H598" t="inlineStr">
        <is>
          <t>Player trade (max rank)</t>
        </is>
      </c>
      <c r="I598" t="inlineStr">
        <is>
          <t>Yes</t>
        </is>
      </c>
      <c r="K598" t="inlineStr">
        <is>
          <t>Collection</t>
        </is>
      </c>
      <c r="L598" t="n">
        <v>35</v>
      </c>
      <c r="M598" t="n">
        <v>41.2</v>
      </c>
      <c r="N598" t="n">
        <v>91</v>
      </c>
      <c r="O598" t="inlineStr">
        <is>
          <t>2026-10-05 UTC (WFM pull 02:52-04:00)</t>
        </is>
      </c>
      <c r="P598" t="inlineStr">
        <is>
          <t>OK</t>
        </is>
      </c>
      <c r="R598" t="inlineStr">
        <is>
          <t>Every current tradeable mod at MAX RANK (WFM catalogue, rivens/locators excluded)</t>
        </is>
      </c>
      <c r="S598" t="inlineStr">
        <is>
          <t>dizzying_rounds</t>
        </is>
      </c>
      <c r="T598" t="n">
        <v>5</v>
      </c>
      <c r="U598" t="n">
        <v>5</v>
      </c>
      <c r="V598" t="n">
        <v>27.5</v>
      </c>
      <c r="W598" t="n">
        <v>17</v>
      </c>
      <c r="X598" t="n">
        <v>19.3</v>
      </c>
      <c r="Y598" t="n">
        <v>76</v>
      </c>
      <c r="Z598" t="n">
        <v>3</v>
      </c>
      <c r="AN598" t="inlineStr">
        <is>
          <t>Augment Bronco</t>
        </is>
      </c>
      <c r="AO598" t="n">
        <v>210</v>
      </c>
      <c r="AP598" t="n">
        <v>10143</v>
      </c>
      <c r="AQ598" t="n">
        <v>22.5</v>
      </c>
      <c r="AS598" t="inlineStr">
        <is>
          <t>Yes</t>
        </is>
      </c>
    </row>
    <row r="599">
      <c r="A599" t="inlineStr">
        <is>
          <t>Mod</t>
        </is>
      </c>
      <c r="B599" t="inlineStr">
        <is>
          <t>Double-Barrel Drift</t>
        </is>
      </c>
      <c r="E599" t="inlineStr">
        <is>
          <t>Conclave (PvP)</t>
        </is>
      </c>
      <c r="F599" t="n">
        <v>3</v>
      </c>
      <c r="G599" t="n">
        <v>1</v>
      </c>
      <c r="H599" t="inlineStr">
        <is>
          <t>Player trade (max rank)</t>
        </is>
      </c>
      <c r="I599" t="inlineStr">
        <is>
          <t>Yes</t>
        </is>
      </c>
      <c r="K599" t="inlineStr">
        <is>
          <t>Collection (PvP)</t>
        </is>
      </c>
      <c r="L599" t="n">
        <v>6</v>
      </c>
      <c r="M599" t="n">
        <v>16.5</v>
      </c>
      <c r="N599" t="n">
        <v>37</v>
      </c>
      <c r="O599" t="inlineStr">
        <is>
          <t>2026-10-05 UTC (WFM pull 02:52-04:00)</t>
        </is>
      </c>
      <c r="P599" t="inlineStr">
        <is>
          <t>OK</t>
        </is>
      </c>
      <c r="R599" t="inlineStr">
        <is>
          <t>Every current tradeable mod at MAX RANK (WFM catalogue, rivens/locators excluded)</t>
        </is>
      </c>
      <c r="S599" t="inlineStr">
        <is>
          <t>double_barrel_drift</t>
        </is>
      </c>
      <c r="T599" t="n">
        <v>6</v>
      </c>
      <c r="U599" t="n">
        <v>6</v>
      </c>
      <c r="V599" t="n">
        <v>11</v>
      </c>
      <c r="W599" t="n">
        <v>10</v>
      </c>
      <c r="X599" t="n">
        <v>10.2</v>
      </c>
      <c r="Y599" t="n">
        <v>6</v>
      </c>
      <c r="Z599" t="n">
        <v>0</v>
      </c>
      <c r="AN599" t="inlineStr">
        <is>
          <t>Conclave (PvP)</t>
        </is>
      </c>
      <c r="AO599" t="n">
        <v>210</v>
      </c>
      <c r="AP599" t="n">
        <v>10143</v>
      </c>
      <c r="AQ599" t="n">
        <v>5</v>
      </c>
      <c r="AS599" t="inlineStr">
        <is>
          <t>PvP subtotal</t>
        </is>
      </c>
    </row>
    <row r="600">
      <c r="A600" t="inlineStr">
        <is>
          <t>Mod</t>
        </is>
      </c>
      <c r="B600" t="inlineStr">
        <is>
          <t>Double Tap</t>
        </is>
      </c>
      <c r="E600" t="inlineStr">
        <is>
          <t>Conclave (PvP)</t>
        </is>
      </c>
      <c r="F600" t="n">
        <v>3</v>
      </c>
      <c r="G600" t="n">
        <v>1</v>
      </c>
      <c r="H600" t="inlineStr">
        <is>
          <t>Player trade (max rank)</t>
        </is>
      </c>
      <c r="I600" t="inlineStr">
        <is>
          <t>Yes</t>
        </is>
      </c>
      <c r="K600" t="inlineStr">
        <is>
          <t>Collection (PvP)</t>
        </is>
      </c>
      <c r="L600" t="n">
        <v>40</v>
      </c>
      <c r="M600" t="n">
        <v>54.8</v>
      </c>
      <c r="N600" t="n">
        <v>121</v>
      </c>
      <c r="O600" t="inlineStr">
        <is>
          <t>2026-10-05 UTC (WFM pull 02:52-04:00)</t>
        </is>
      </c>
      <c r="P600" t="inlineStr">
        <is>
          <t>OK</t>
        </is>
      </c>
      <c r="R600" t="inlineStr">
        <is>
          <t>Every current tradeable mod at MAX RANK (WFM catalogue, rivens/locators excluded)</t>
        </is>
      </c>
      <c r="S600" t="inlineStr">
        <is>
          <t>double_tap</t>
        </is>
      </c>
      <c r="T600" t="n">
        <v>5</v>
      </c>
      <c r="U600" t="n">
        <v>5</v>
      </c>
      <c r="V600" t="n">
        <v>36.5</v>
      </c>
      <c r="W600" t="n">
        <v>30</v>
      </c>
      <c r="X600" t="n">
        <v>30.6</v>
      </c>
      <c r="Y600" t="n">
        <v>372</v>
      </c>
      <c r="Z600" t="n">
        <v>1</v>
      </c>
      <c r="AN600" t="inlineStr">
        <is>
          <t>Conclave (PvP)</t>
        </is>
      </c>
      <c r="AO600" t="n">
        <v>210</v>
      </c>
      <c r="AP600" t="n">
        <v>10143</v>
      </c>
      <c r="AQ600" t="n">
        <v>20</v>
      </c>
      <c r="AS600" t="inlineStr">
        <is>
          <t>PvP subtotal</t>
        </is>
      </c>
    </row>
    <row r="601">
      <c r="A601" t="inlineStr">
        <is>
          <t>Mod</t>
        </is>
      </c>
      <c r="B601" t="inlineStr">
        <is>
          <t>Draining Bite</t>
        </is>
      </c>
      <c r="E601" t="inlineStr">
        <is>
          <t>Vasca Kavat</t>
        </is>
      </c>
      <c r="F601" t="n">
        <v>3</v>
      </c>
      <c r="G601" t="n">
        <v>1</v>
      </c>
      <c r="H601" t="inlineStr">
        <is>
          <t>Player trade (max rank)</t>
        </is>
      </c>
      <c r="I601" t="inlineStr">
        <is>
          <t>Yes</t>
        </is>
      </c>
      <c r="K601" t="inlineStr">
        <is>
          <t>Collection</t>
        </is>
      </c>
      <c r="L601" t="n">
        <v>19</v>
      </c>
      <c r="M601" t="n">
        <v>20</v>
      </c>
      <c r="N601" t="n">
        <v>44</v>
      </c>
      <c r="O601" t="inlineStr">
        <is>
          <t>2026-10-05 UTC (WFM pull 02:52-04:00)</t>
        </is>
      </c>
      <c r="P601" t="inlineStr">
        <is>
          <t>OK</t>
        </is>
      </c>
      <c r="R601" t="inlineStr">
        <is>
          <t>Every current tradeable mod at MAX RANK (WFM catalogue, rivens/locators excluded)</t>
        </is>
      </c>
      <c r="S601" t="inlineStr">
        <is>
          <t>draining_bite</t>
        </is>
      </c>
      <c r="T601" t="n">
        <v>24</v>
      </c>
      <c r="U601" t="n">
        <v>0</v>
      </c>
      <c r="V601" t="n">
        <v>150</v>
      </c>
      <c r="W601" t="n">
        <v>30</v>
      </c>
      <c r="X601" t="n">
        <v>58.8</v>
      </c>
      <c r="Y601" t="n">
        <v>4</v>
      </c>
      <c r="Z601" t="n">
        <v>0</v>
      </c>
      <c r="AN601" t="inlineStr">
        <is>
          <t>Vasca Kavat</t>
        </is>
      </c>
      <c r="AO601" t="n">
        <v>210</v>
      </c>
      <c r="AP601" t="n">
        <v>10143</v>
      </c>
      <c r="AQ601" t="n">
        <v>15</v>
      </c>
      <c r="AS601" t="inlineStr">
        <is>
          <t>Yes</t>
        </is>
      </c>
    </row>
    <row r="602">
      <c r="A602" t="inlineStr">
        <is>
          <t>Mod</t>
        </is>
      </c>
      <c r="B602" t="inlineStr">
        <is>
          <t>Draining Gloom</t>
        </is>
      </c>
      <c r="E602" t="inlineStr">
        <is>
          <t>Conclave (PvP)</t>
        </is>
      </c>
      <c r="F602" t="n">
        <v>3</v>
      </c>
      <c r="G602" t="n">
        <v>1</v>
      </c>
      <c r="H602" t="inlineStr">
        <is>
          <t>Player trade (max rank)</t>
        </is>
      </c>
      <c r="I602" t="inlineStr">
        <is>
          <t>Yes</t>
        </is>
      </c>
      <c r="K602" t="inlineStr">
        <is>
          <t>Collection (PvP)</t>
        </is>
      </c>
      <c r="L602" t="n">
        <v>20</v>
      </c>
      <c r="M602" t="n">
        <v>20</v>
      </c>
      <c r="N602" t="n">
        <v>33</v>
      </c>
      <c r="O602" t="inlineStr">
        <is>
          <t>2026-10-05 UTC (WFM pull 02:52-04:00)</t>
        </is>
      </c>
      <c r="P602" t="inlineStr">
        <is>
          <t>OK</t>
        </is>
      </c>
      <c r="R602" t="inlineStr">
        <is>
          <t>Every current tradeable mod at MAX RANK (WFM catalogue, rivens/locators excluded)</t>
        </is>
      </c>
      <c r="S602" t="inlineStr">
        <is>
          <t>draining_gloom</t>
        </is>
      </c>
      <c r="T602" t="n">
        <v>12</v>
      </c>
      <c r="U602" t="n">
        <v>1</v>
      </c>
      <c r="V602" t="n">
        <v>30</v>
      </c>
      <c r="W602" t="n">
        <v>30</v>
      </c>
      <c r="X602" t="n">
        <v>30</v>
      </c>
      <c r="Y602" t="n">
        <v>1</v>
      </c>
      <c r="Z602" t="n">
        <v>1</v>
      </c>
      <c r="AN602" t="inlineStr">
        <is>
          <t>Conclave (PvP)</t>
        </is>
      </c>
      <c r="AO602" t="n">
        <v>210</v>
      </c>
      <c r="AP602" t="n">
        <v>10143</v>
      </c>
      <c r="AQ602" t="n">
        <v>10</v>
      </c>
      <c r="AS602" t="inlineStr">
        <is>
          <t>PvP subtotal</t>
        </is>
      </c>
    </row>
    <row r="603">
      <c r="A603" t="inlineStr">
        <is>
          <t>Mod</t>
        </is>
      </c>
      <c r="B603" t="inlineStr">
        <is>
          <t>Dread Ward</t>
        </is>
      </c>
      <c r="E603" t="inlineStr">
        <is>
          <t>Augment Garuda</t>
        </is>
      </c>
      <c r="F603" t="n">
        <v>3</v>
      </c>
      <c r="G603" t="n">
        <v>1</v>
      </c>
      <c r="H603" t="inlineStr">
        <is>
          <t>Player trade (max rank)</t>
        </is>
      </c>
      <c r="I603" t="inlineStr">
        <is>
          <t>Yes</t>
        </is>
      </c>
      <c r="K603" t="inlineStr">
        <is>
          <t>Collection</t>
        </is>
      </c>
      <c r="L603" t="n">
        <v>8</v>
      </c>
      <c r="M603" t="n">
        <v>9</v>
      </c>
      <c r="N603" t="n">
        <v>11</v>
      </c>
      <c r="O603" t="inlineStr">
        <is>
          <t>2026-10-05 UTC (WFM pull 02:52-04:00)</t>
        </is>
      </c>
      <c r="P603" t="inlineStr">
        <is>
          <t>OK</t>
        </is>
      </c>
      <c r="R603" t="inlineStr">
        <is>
          <t>Every current tradeable mod at MAX RANK (WFM catalogue, rivens/locators excluded)</t>
        </is>
      </c>
      <c r="S603" t="inlineStr">
        <is>
          <t>dread_ward</t>
        </is>
      </c>
      <c r="T603" t="n">
        <v>90</v>
      </c>
      <c r="U603" t="n">
        <v>2</v>
      </c>
      <c r="V603" t="n">
        <v>10</v>
      </c>
      <c r="W603" t="n">
        <v>12.5</v>
      </c>
      <c r="X603" t="n">
        <v>12.8</v>
      </c>
      <c r="Y603" t="n">
        <v>37</v>
      </c>
      <c r="Z603" t="n">
        <v>2</v>
      </c>
      <c r="AN603" t="inlineStr">
        <is>
          <t>Augment Garuda</t>
        </is>
      </c>
      <c r="AO603" t="n">
        <v>210</v>
      </c>
      <c r="AP603" t="n">
        <v>10143</v>
      </c>
      <c r="AQ603" t="n">
        <v>14</v>
      </c>
      <c r="AS603" t="inlineStr">
        <is>
          <t>Yes</t>
        </is>
      </c>
    </row>
    <row r="604">
      <c r="A604" t="inlineStr">
        <is>
          <t>Mod</t>
        </is>
      </c>
      <c r="B604" t="inlineStr">
        <is>
          <t>Dreadful Killshot</t>
        </is>
      </c>
      <c r="E604" t="inlineStr">
        <is>
          <t>Basmu</t>
        </is>
      </c>
      <c r="F604" t="n">
        <v>5</v>
      </c>
      <c r="G604" t="n">
        <v>1</v>
      </c>
      <c r="H604" t="inlineStr">
        <is>
          <t>Player trade (max rank)</t>
        </is>
      </c>
      <c r="I604" t="inlineStr">
        <is>
          <t>Yes</t>
        </is>
      </c>
      <c r="K604" t="inlineStr">
        <is>
          <t>Collection</t>
        </is>
      </c>
      <c r="L604" t="n">
        <v>19</v>
      </c>
      <c r="M604" t="n">
        <v>20</v>
      </c>
      <c r="N604" t="n">
        <v>39</v>
      </c>
      <c r="O604" t="inlineStr">
        <is>
          <t>2026-10-05 UTC (WFM pull 02:52-04:00)</t>
        </is>
      </c>
      <c r="P604" t="inlineStr">
        <is>
          <t>OK</t>
        </is>
      </c>
      <c r="R604" t="inlineStr">
        <is>
          <t>Every current tradeable mod at MAX RANK (WFM catalogue, rivens/locators excluded)</t>
        </is>
      </c>
      <c r="S604" t="inlineStr">
        <is>
          <t>dreadful_killshot</t>
        </is>
      </c>
      <c r="T604" t="n">
        <v>59</v>
      </c>
      <c r="U604" t="n">
        <v>1</v>
      </c>
      <c r="V604" t="n">
        <v>35</v>
      </c>
      <c r="W604" t="n">
        <v>30</v>
      </c>
      <c r="X604" t="n">
        <v>31.2</v>
      </c>
      <c r="Y604" t="n">
        <v>155</v>
      </c>
      <c r="Z604" t="n">
        <v>11</v>
      </c>
      <c r="AN604" t="inlineStr">
        <is>
          <t>Basmu</t>
        </is>
      </c>
      <c r="AO604" t="n">
        <v>930</v>
      </c>
      <c r="AP604" t="n">
        <v>44919</v>
      </c>
      <c r="AQ604" t="n">
        <v>15</v>
      </c>
      <c r="AS604" t="inlineStr">
        <is>
          <t>Yes</t>
        </is>
      </c>
    </row>
    <row r="605">
      <c r="A605" t="inlineStr">
        <is>
          <t>Mod</t>
        </is>
      </c>
      <c r="B605" t="inlineStr">
        <is>
          <t>Dreamer's Bond</t>
        </is>
      </c>
      <c r="E605" t="inlineStr">
        <is>
          <t>Aura</t>
        </is>
      </c>
      <c r="F605" t="n">
        <v>5</v>
      </c>
      <c r="G605" t="n">
        <v>1</v>
      </c>
      <c r="H605" t="inlineStr">
        <is>
          <t>Player trade (max rank)</t>
        </is>
      </c>
      <c r="I605" t="inlineStr">
        <is>
          <t>Yes</t>
        </is>
      </c>
      <c r="K605" t="inlineStr">
        <is>
          <t>Collection</t>
        </is>
      </c>
      <c r="L605" t="n">
        <v>4</v>
      </c>
      <c r="M605" t="n">
        <v>5</v>
      </c>
      <c r="N605" t="n">
        <v>11</v>
      </c>
      <c r="O605" t="inlineStr">
        <is>
          <t>2026-10-05 UTC (WFM pull 02:52-04:00)</t>
        </is>
      </c>
      <c r="P605" t="inlineStr">
        <is>
          <t>OK</t>
        </is>
      </c>
      <c r="R605" t="inlineStr">
        <is>
          <t>Every current tradeable mod at MAX RANK (WFM catalogue, rivens/locators excluded)</t>
        </is>
      </c>
      <c r="S605" t="inlineStr">
        <is>
          <t>dreamers_bond</t>
        </is>
      </c>
      <c r="T605" t="n">
        <v>69</v>
      </c>
      <c r="U605" t="n">
        <v>1</v>
      </c>
      <c r="V605" t="n">
        <v>10</v>
      </c>
      <c r="W605" t="n">
        <v>10</v>
      </c>
      <c r="X605" t="n">
        <v>9.9</v>
      </c>
      <c r="Y605" t="n">
        <v>34</v>
      </c>
      <c r="Z605" t="n">
        <v>2</v>
      </c>
      <c r="AN605" t="inlineStr">
        <is>
          <t>Aura</t>
        </is>
      </c>
      <c r="AO605" t="n">
        <v>620</v>
      </c>
      <c r="AP605" t="n">
        <v>29946</v>
      </c>
      <c r="AQ605" t="n">
        <v>9</v>
      </c>
      <c r="AS605" t="inlineStr">
        <is>
          <t>Yes</t>
        </is>
      </c>
    </row>
    <row r="606">
      <c r="A606" t="inlineStr">
        <is>
          <t>Mod</t>
        </is>
      </c>
      <c r="B606" t="inlineStr">
        <is>
          <t>Dreamer's Wrath</t>
        </is>
      </c>
      <c r="E606" t="inlineStr">
        <is>
          <t>Melee</t>
        </is>
      </c>
      <c r="F606" t="n">
        <v>3</v>
      </c>
      <c r="G606" t="n">
        <v>1</v>
      </c>
      <c r="H606" t="inlineStr">
        <is>
          <t>Player trade (max rank)</t>
        </is>
      </c>
      <c r="I606" t="inlineStr">
        <is>
          <t>Yes</t>
        </is>
      </c>
      <c r="K606" t="inlineStr">
        <is>
          <t>Collection</t>
        </is>
      </c>
      <c r="L606" t="n">
        <v>35</v>
      </c>
      <c r="M606" t="n">
        <v>40</v>
      </c>
      <c r="N606" t="n">
        <v>50</v>
      </c>
      <c r="O606" t="inlineStr">
        <is>
          <t>2026-10-05 UTC (WFM pull 02:52-04:00)</t>
        </is>
      </c>
      <c r="P606" t="inlineStr">
        <is>
          <t>OK</t>
        </is>
      </c>
      <c r="R606" t="inlineStr">
        <is>
          <t>Every current tradeable mod at MAX RANK (WFM catalogue, rivens/locators excluded)</t>
        </is>
      </c>
      <c r="S606" t="inlineStr">
        <is>
          <t>dreamers_wrath</t>
        </is>
      </c>
      <c r="T606" t="n">
        <v>11</v>
      </c>
      <c r="U606" t="n">
        <v>11</v>
      </c>
      <c r="V606" t="n">
        <v>38.5</v>
      </c>
      <c r="W606" t="n">
        <v>40</v>
      </c>
      <c r="X606" t="n">
        <v>38.5</v>
      </c>
      <c r="Y606" t="n">
        <v>1745</v>
      </c>
      <c r="Z606" t="n">
        <v>37</v>
      </c>
      <c r="AN606" t="inlineStr">
        <is>
          <t>Melee</t>
        </is>
      </c>
      <c r="AO606" t="n">
        <v>210</v>
      </c>
      <c r="AP606" t="n">
        <v>10143</v>
      </c>
      <c r="AQ606" t="n">
        <v>40</v>
      </c>
      <c r="AS606" t="inlineStr">
        <is>
          <t>Yes</t>
        </is>
      </c>
    </row>
    <row r="607">
      <c r="A607" t="inlineStr">
        <is>
          <t>Mod</t>
        </is>
      </c>
      <c r="B607" t="inlineStr">
        <is>
          <t>Drifting Contact</t>
        </is>
      </c>
      <c r="E607" t="inlineStr">
        <is>
          <t>Melee</t>
        </is>
      </c>
      <c r="F607" t="n">
        <v>3</v>
      </c>
      <c r="G607" t="n">
        <v>1</v>
      </c>
      <c r="H607" t="inlineStr">
        <is>
          <t>Player trade (max rank)</t>
        </is>
      </c>
      <c r="I607" t="inlineStr">
        <is>
          <t>Yes</t>
        </is>
      </c>
      <c r="K607" t="inlineStr">
        <is>
          <t>Collection</t>
        </is>
      </c>
      <c r="L607" t="n">
        <v>6</v>
      </c>
      <c r="M607" t="n">
        <v>9</v>
      </c>
      <c r="N607" t="n">
        <v>20</v>
      </c>
      <c r="O607" t="inlineStr">
        <is>
          <t>2026-10-05 UTC (WFM pull 02:52-04:00)</t>
        </is>
      </c>
      <c r="P607" t="inlineStr">
        <is>
          <t>OK</t>
        </is>
      </c>
      <c r="R607" t="inlineStr">
        <is>
          <t>Every current tradeable mod at MAX RANK (WFM catalogue, rivens/locators excluded)</t>
        </is>
      </c>
      <c r="S607" t="inlineStr">
        <is>
          <t>drifting_contact</t>
        </is>
      </c>
      <c r="T607" t="n">
        <v>6</v>
      </c>
      <c r="U607" t="n">
        <v>6</v>
      </c>
      <c r="V607" t="n">
        <v>6</v>
      </c>
      <c r="W607" t="n">
        <v>6.5</v>
      </c>
      <c r="X607" t="n">
        <v>6.7</v>
      </c>
      <c r="Y607" t="n">
        <v>144</v>
      </c>
      <c r="Z607" t="n">
        <v>0</v>
      </c>
      <c r="AN607" t="inlineStr">
        <is>
          <t>Melee</t>
        </is>
      </c>
      <c r="AO607" t="n">
        <v>210</v>
      </c>
      <c r="AP607" t="n">
        <v>10143</v>
      </c>
      <c r="AQ607" t="n">
        <v>4</v>
      </c>
      <c r="AS607" t="inlineStr">
        <is>
          <t>Yes</t>
        </is>
      </c>
    </row>
    <row r="608">
      <c r="A608" t="inlineStr">
        <is>
          <t>Mod</t>
        </is>
      </c>
      <c r="B608" t="inlineStr">
        <is>
          <t>Drive-Duster</t>
        </is>
      </c>
      <c r="E608" t="inlineStr">
        <is>
          <t>Parazon</t>
        </is>
      </c>
      <c r="F608" t="n">
        <v>3</v>
      </c>
      <c r="G608" t="n">
        <v>1</v>
      </c>
      <c r="H608" t="inlineStr">
        <is>
          <t>Player trade (max rank)</t>
        </is>
      </c>
      <c r="I608" t="inlineStr">
        <is>
          <t>Yes</t>
        </is>
      </c>
      <c r="K608" t="inlineStr">
        <is>
          <t>Collection</t>
        </is>
      </c>
      <c r="L608" t="n">
        <v>4</v>
      </c>
      <c r="M608" t="n">
        <v>5</v>
      </c>
      <c r="N608" t="n">
        <v>6</v>
      </c>
      <c r="O608" t="inlineStr">
        <is>
          <t>2026-10-05 UTC (WFM pull 02:52-04:00)</t>
        </is>
      </c>
      <c r="P608" t="inlineStr">
        <is>
          <t>OK</t>
        </is>
      </c>
      <c r="R608" t="inlineStr">
        <is>
          <t>Every current tradeable mod at MAX RANK (WFM catalogue, rivens/locators excluded)</t>
        </is>
      </c>
      <c r="S608" t="inlineStr">
        <is>
          <t>drive_duster</t>
        </is>
      </c>
      <c r="T608" t="n">
        <v>10</v>
      </c>
      <c r="U608" t="n">
        <v>10</v>
      </c>
      <c r="V608" t="n">
        <v>5</v>
      </c>
      <c r="W608" t="n">
        <v>5</v>
      </c>
      <c r="X608" t="n">
        <v>5</v>
      </c>
      <c r="Y608" t="n">
        <v>1151</v>
      </c>
      <c r="Z608" t="n">
        <v>25</v>
      </c>
      <c r="AN608" t="inlineStr">
        <is>
          <t>Parazon</t>
        </is>
      </c>
      <c r="AO608" t="n">
        <v>210</v>
      </c>
      <c r="AP608" t="n">
        <v>10143</v>
      </c>
      <c r="AQ608" t="n">
        <v>5</v>
      </c>
      <c r="AS608" t="inlineStr">
        <is>
          <t>Yes</t>
        </is>
      </c>
    </row>
    <row r="609">
      <c r="A609" t="inlineStr">
        <is>
          <t>Mod</t>
        </is>
      </c>
      <c r="B609" t="inlineStr">
        <is>
          <t>Dual Rounds</t>
        </is>
      </c>
      <c r="E609" t="inlineStr">
        <is>
          <t>Archgun</t>
        </is>
      </c>
      <c r="F609" t="n">
        <v>5</v>
      </c>
      <c r="G609" t="n">
        <v>1</v>
      </c>
      <c r="H609" t="inlineStr">
        <is>
          <t>Player trade (max rank)</t>
        </is>
      </c>
      <c r="I609" t="inlineStr">
        <is>
          <t>Yes</t>
        </is>
      </c>
      <c r="K609" t="inlineStr">
        <is>
          <t>Collection</t>
        </is>
      </c>
      <c r="L609" t="n">
        <v>19</v>
      </c>
      <c r="M609" t="n">
        <v>25</v>
      </c>
      <c r="N609" t="n">
        <v>39</v>
      </c>
      <c r="O609" t="inlineStr">
        <is>
          <t>2026-10-05 UTC (WFM pull 02:52-04:00)</t>
        </is>
      </c>
      <c r="P609" t="inlineStr">
        <is>
          <t>OK</t>
        </is>
      </c>
      <c r="R609" t="inlineStr">
        <is>
          <t>Every current tradeable mod at MAX RANK (WFM catalogue, rivens/locators excluded)</t>
        </is>
      </c>
      <c r="S609" t="inlineStr">
        <is>
          <t>dual_rounds</t>
        </is>
      </c>
      <c r="T609" t="n">
        <v>9</v>
      </c>
      <c r="U609" t="n">
        <v>9</v>
      </c>
      <c r="V609" t="n">
        <v>26</v>
      </c>
      <c r="W609" t="n">
        <v>25</v>
      </c>
      <c r="X609" t="n">
        <v>24.8</v>
      </c>
      <c r="Y609" t="n">
        <v>374</v>
      </c>
      <c r="Z609" t="n">
        <v>4</v>
      </c>
      <c r="AN609" t="inlineStr">
        <is>
          <t>Archgun</t>
        </is>
      </c>
      <c r="AO609" t="n">
        <v>930</v>
      </c>
      <c r="AP609" t="n">
        <v>44919</v>
      </c>
      <c r="AQ609" t="n">
        <v>20</v>
      </c>
      <c r="AS609" t="inlineStr">
        <is>
          <t>Yes</t>
        </is>
      </c>
    </row>
    <row r="610">
      <c r="A610" t="inlineStr">
        <is>
          <t>Mod</t>
        </is>
      </c>
      <c r="B610" t="inlineStr">
        <is>
          <t>Duality</t>
        </is>
      </c>
      <c r="E610" t="inlineStr">
        <is>
          <t>Augment Equinox</t>
        </is>
      </c>
      <c r="F610" t="n">
        <v>3</v>
      </c>
      <c r="G610" t="n">
        <v>1</v>
      </c>
      <c r="H610" t="inlineStr">
        <is>
          <t>Player trade (max rank)</t>
        </is>
      </c>
      <c r="I610" t="inlineStr">
        <is>
          <t>Yes</t>
        </is>
      </c>
      <c r="K610" t="inlineStr">
        <is>
          <t>Collection</t>
        </is>
      </c>
      <c r="L610" t="n">
        <v>10</v>
      </c>
      <c r="M610" t="n">
        <v>16.5</v>
      </c>
      <c r="N610" t="n">
        <v>37</v>
      </c>
      <c r="O610" t="inlineStr">
        <is>
          <t>2026-10-05 UTC (WFM pull 02:52-04:00)</t>
        </is>
      </c>
      <c r="P610" t="inlineStr">
        <is>
          <t>OK</t>
        </is>
      </c>
      <c r="R610" t="inlineStr">
        <is>
          <t>Every current tradeable mod at MAX RANK (WFM catalogue, rivens/locators excluded)</t>
        </is>
      </c>
      <c r="S610" t="inlineStr">
        <is>
          <t>duality</t>
        </is>
      </c>
      <c r="T610" t="n">
        <v>6</v>
      </c>
      <c r="U610" t="n">
        <v>6</v>
      </c>
      <c r="V610" t="n">
        <v>11</v>
      </c>
      <c r="W610" t="n">
        <v>12</v>
      </c>
      <c r="X610" t="n">
        <v>13.1</v>
      </c>
      <c r="Y610" t="n">
        <v>28</v>
      </c>
      <c r="Z610" t="n">
        <v>1</v>
      </c>
      <c r="AN610" t="inlineStr">
        <is>
          <t>Augment Equinox</t>
        </is>
      </c>
      <c r="AO610" t="n">
        <v>210</v>
      </c>
      <c r="AP610" t="n">
        <v>10143</v>
      </c>
      <c r="AQ610" t="n">
        <v>15</v>
      </c>
      <c r="AS610" t="inlineStr">
        <is>
          <t>Yes</t>
        </is>
      </c>
    </row>
    <row r="611">
      <c r="A611" t="inlineStr">
        <is>
          <t>Mod</t>
        </is>
      </c>
      <c r="B611" t="inlineStr">
        <is>
          <t>Duplex Bond</t>
        </is>
      </c>
      <c r="E611" t="inlineStr">
        <is>
          <t>Companion</t>
        </is>
      </c>
      <c r="F611" t="n">
        <v>5</v>
      </c>
      <c r="G611" t="n">
        <v>1</v>
      </c>
      <c r="H611" t="inlineStr">
        <is>
          <t>Player trade (max rank)</t>
        </is>
      </c>
      <c r="I611" t="inlineStr">
        <is>
          <t>Yes</t>
        </is>
      </c>
      <c r="K611" t="inlineStr">
        <is>
          <t>Collection</t>
        </is>
      </c>
      <c r="L611" t="n">
        <v>19</v>
      </c>
      <c r="M611" t="n">
        <v>24</v>
      </c>
      <c r="N611" t="n">
        <v>28</v>
      </c>
      <c r="O611" t="inlineStr">
        <is>
          <t>2026-10-05 UTC (WFM pull 02:52-04:00)</t>
        </is>
      </c>
      <c r="P611" t="inlineStr">
        <is>
          <t>OK</t>
        </is>
      </c>
      <c r="R611" t="inlineStr">
        <is>
          <t>Every current tradeable mod at MAX RANK (WFM catalogue, rivens/locators excluded)</t>
        </is>
      </c>
      <c r="S611" t="inlineStr">
        <is>
          <t>duplex_bond</t>
        </is>
      </c>
      <c r="T611" t="n">
        <v>11</v>
      </c>
      <c r="U611" t="n">
        <v>11</v>
      </c>
      <c r="V611" t="n">
        <v>19</v>
      </c>
      <c r="W611" t="n">
        <v>19</v>
      </c>
      <c r="X611" t="n">
        <v>18.7</v>
      </c>
      <c r="Y611" t="n">
        <v>1172</v>
      </c>
      <c r="Z611" t="n">
        <v>24</v>
      </c>
      <c r="AN611" t="inlineStr">
        <is>
          <t>Companion</t>
        </is>
      </c>
      <c r="AO611" t="n">
        <v>930</v>
      </c>
      <c r="AP611" t="n">
        <v>44919</v>
      </c>
      <c r="AQ611" t="n">
        <v>18</v>
      </c>
      <c r="AS611" t="inlineStr">
        <is>
          <t>Yes</t>
        </is>
      </c>
    </row>
    <row r="612">
      <c r="A612" t="inlineStr">
        <is>
          <t>Mod</t>
        </is>
      </c>
      <c r="B612" t="inlineStr">
        <is>
          <t>Eagle Eye</t>
        </is>
      </c>
      <c r="E612" t="inlineStr">
        <is>
          <t>Rifle</t>
        </is>
      </c>
      <c r="F612" t="n">
        <v>3</v>
      </c>
      <c r="G612" t="n">
        <v>1</v>
      </c>
      <c r="H612" t="inlineStr">
        <is>
          <t>Player trade (max rank)</t>
        </is>
      </c>
      <c r="I612" t="inlineStr">
        <is>
          <t>Yes</t>
        </is>
      </c>
      <c r="K612" t="inlineStr">
        <is>
          <t>Collection</t>
        </is>
      </c>
      <c r="L612" t="n">
        <v>10</v>
      </c>
      <c r="M612" t="n">
        <v>15</v>
      </c>
      <c r="N612" t="n">
        <v>33</v>
      </c>
      <c r="O612" t="inlineStr">
        <is>
          <t>2026-10-05 UTC (WFM pull 02:52-04:00)</t>
        </is>
      </c>
      <c r="P612" t="inlineStr">
        <is>
          <t>OK</t>
        </is>
      </c>
      <c r="R612" t="inlineStr">
        <is>
          <t>Every current tradeable mod at MAX RANK (WFM catalogue, rivens/locators excluded)</t>
        </is>
      </c>
      <c r="S612" t="inlineStr">
        <is>
          <t>eagle_eye</t>
        </is>
      </c>
      <c r="T612" t="n">
        <v>4</v>
      </c>
      <c r="U612" t="n">
        <v>4</v>
      </c>
      <c r="W612" t="n">
        <v>10</v>
      </c>
      <c r="X612" t="n">
        <v>7.7</v>
      </c>
      <c r="Y612" t="n">
        <v>3</v>
      </c>
      <c r="Z612" t="n">
        <v>0</v>
      </c>
      <c r="AN612" t="inlineStr">
        <is>
          <t>Rifle</t>
        </is>
      </c>
      <c r="AO612" t="n">
        <v>140</v>
      </c>
      <c r="AP612" t="n">
        <v>6762</v>
      </c>
      <c r="AQ612" t="n">
        <v>8</v>
      </c>
      <c r="AS612" t="inlineStr">
        <is>
          <t>Yes</t>
        </is>
      </c>
    </row>
    <row r="613">
      <c r="A613" t="inlineStr">
        <is>
          <t>Mod</t>
        </is>
      </c>
      <c r="B613" t="inlineStr">
        <is>
          <t>Efficient Beams</t>
        </is>
      </c>
      <c r="E613" t="inlineStr">
        <is>
          <t>Augment Convectrix</t>
        </is>
      </c>
      <c r="F613" t="n">
        <v>5</v>
      </c>
      <c r="G613" t="n">
        <v>1</v>
      </c>
      <c r="H613" t="inlineStr">
        <is>
          <t>Player trade (max rank)</t>
        </is>
      </c>
      <c r="I613" t="inlineStr">
        <is>
          <t>Yes</t>
        </is>
      </c>
      <c r="K613" t="inlineStr">
        <is>
          <t>Collection</t>
        </is>
      </c>
      <c r="L613" t="n">
        <v>40</v>
      </c>
      <c r="M613" t="n">
        <v>52.5</v>
      </c>
      <c r="N613" t="n">
        <v>116</v>
      </c>
      <c r="O613" t="inlineStr">
        <is>
          <t>2026-10-05 UTC (WFM pull 02:52-04:00)</t>
        </is>
      </c>
      <c r="P613" t="inlineStr">
        <is>
          <t>OK</t>
        </is>
      </c>
      <c r="R613" t="inlineStr">
        <is>
          <t>Every current tradeable mod at MAX RANK (WFM catalogue, rivens/locators excluded)</t>
        </is>
      </c>
      <c r="S613" t="inlineStr">
        <is>
          <t>efficient_beams</t>
        </is>
      </c>
      <c r="T613" t="n">
        <v>4</v>
      </c>
      <c r="U613" t="n">
        <v>4</v>
      </c>
      <c r="V613" t="n">
        <v>35</v>
      </c>
      <c r="W613" t="n">
        <v>20</v>
      </c>
      <c r="X613" t="n">
        <v>25.3</v>
      </c>
      <c r="Y613" t="n">
        <v>29</v>
      </c>
      <c r="Z613" t="n">
        <v>0</v>
      </c>
      <c r="AN613" t="inlineStr">
        <is>
          <t>Augment Convectrix</t>
        </is>
      </c>
      <c r="AO613" t="n">
        <v>930</v>
      </c>
      <c r="AP613" t="n">
        <v>44919</v>
      </c>
      <c r="AQ613" t="n">
        <v>25.5</v>
      </c>
      <c r="AS613" t="inlineStr">
        <is>
          <t>Yes</t>
        </is>
      </c>
    </row>
    <row r="614">
      <c r="A614" t="inlineStr">
        <is>
          <t>Mod</t>
        </is>
      </c>
      <c r="B614" t="inlineStr">
        <is>
          <t>Efficient Transferral</t>
        </is>
      </c>
      <c r="E614" t="inlineStr">
        <is>
          <t>Archwing</t>
        </is>
      </c>
      <c r="F614" t="n">
        <v>3</v>
      </c>
      <c r="G614" t="n">
        <v>1</v>
      </c>
      <c r="H614" t="inlineStr">
        <is>
          <t>Player trade (max rank)</t>
        </is>
      </c>
      <c r="I614" t="inlineStr">
        <is>
          <t>Yes</t>
        </is>
      </c>
      <c r="K614" t="inlineStr">
        <is>
          <t>Collection</t>
        </is>
      </c>
      <c r="L614" t="n">
        <v>15</v>
      </c>
      <c r="M614" t="n">
        <v>15</v>
      </c>
      <c r="N614" t="n">
        <v>33</v>
      </c>
      <c r="O614" t="inlineStr">
        <is>
          <t>2026-10-05 UTC (WFM pull 02:52-04:00)</t>
        </is>
      </c>
      <c r="P614" t="inlineStr">
        <is>
          <t>OK</t>
        </is>
      </c>
      <c r="R614" t="inlineStr">
        <is>
          <t>Every current tradeable mod at MAX RANK (WFM catalogue, rivens/locators excluded)</t>
        </is>
      </c>
      <c r="S614" t="inlineStr">
        <is>
          <t>efficient_transferral</t>
        </is>
      </c>
      <c r="T614" t="n">
        <v>5</v>
      </c>
      <c r="U614" t="n">
        <v>5</v>
      </c>
      <c r="V614" t="n">
        <v>10</v>
      </c>
      <c r="W614" t="n">
        <v>12</v>
      </c>
      <c r="X614" t="n">
        <v>12.2</v>
      </c>
      <c r="Y614" t="n">
        <v>108</v>
      </c>
      <c r="Z614" t="n">
        <v>0</v>
      </c>
      <c r="AN614" t="inlineStr">
        <is>
          <t>Archwing</t>
        </is>
      </c>
      <c r="AO614" t="n">
        <v>210</v>
      </c>
      <c r="AP614" t="n">
        <v>10143</v>
      </c>
      <c r="AQ614" t="n">
        <v>8</v>
      </c>
      <c r="AS614" t="inlineStr">
        <is>
          <t>Yes</t>
        </is>
      </c>
    </row>
    <row r="615">
      <c r="A615" t="inlineStr">
        <is>
          <t>Mod</t>
        </is>
      </c>
      <c r="B615" t="inlineStr">
        <is>
          <t>Eject Magazine</t>
        </is>
      </c>
      <c r="E615" t="inlineStr">
        <is>
          <t>Conclave (PvP)</t>
        </is>
      </c>
      <c r="F615" t="n">
        <v>3</v>
      </c>
      <c r="G615" t="n">
        <v>1</v>
      </c>
      <c r="H615" t="inlineStr">
        <is>
          <t>Player trade (max rank)</t>
        </is>
      </c>
      <c r="I615" t="inlineStr">
        <is>
          <t>Yes</t>
        </is>
      </c>
      <c r="K615" t="inlineStr">
        <is>
          <t>Collection (PvP)</t>
        </is>
      </c>
      <c r="L615" t="n">
        <v>7</v>
      </c>
      <c r="M615" t="n">
        <v>15</v>
      </c>
      <c r="N615" t="n">
        <v>33</v>
      </c>
      <c r="O615" t="inlineStr">
        <is>
          <t>2026-10-05 UTC (WFM pull 02:52-04:00)</t>
        </is>
      </c>
      <c r="P615" t="inlineStr">
        <is>
          <t>OK</t>
        </is>
      </c>
      <c r="R615" t="inlineStr">
        <is>
          <t>Every current tradeable mod at MAX RANK (WFM catalogue, rivens/locators excluded)</t>
        </is>
      </c>
      <c r="S615" t="inlineStr">
        <is>
          <t>eject_magazine</t>
        </is>
      </c>
      <c r="T615" t="n">
        <v>4</v>
      </c>
      <c r="U615" t="n">
        <v>4</v>
      </c>
      <c r="V615" t="n">
        <v>10</v>
      </c>
      <c r="W615" t="n">
        <v>10</v>
      </c>
      <c r="X615" t="n">
        <v>8.800000000000001</v>
      </c>
      <c r="Y615" t="n">
        <v>23</v>
      </c>
      <c r="Z615" t="n">
        <v>1</v>
      </c>
      <c r="AN615" t="inlineStr">
        <is>
          <t>Conclave (PvP)</t>
        </is>
      </c>
      <c r="AO615" t="n">
        <v>210</v>
      </c>
      <c r="AP615" t="n">
        <v>10143</v>
      </c>
      <c r="AQ615" t="n">
        <v>5</v>
      </c>
      <c r="AS615" t="inlineStr">
        <is>
          <t>PvP subtotal</t>
        </is>
      </c>
    </row>
    <row r="616">
      <c r="A616" t="inlineStr">
        <is>
          <t>Mod</t>
        </is>
      </c>
      <c r="B616" t="inlineStr">
        <is>
          <t>Electrified Barrel</t>
        </is>
      </c>
      <c r="E616" t="inlineStr">
        <is>
          <t>Archgun</t>
        </is>
      </c>
      <c r="F616" t="n">
        <v>5</v>
      </c>
      <c r="G616" t="n">
        <v>1</v>
      </c>
      <c r="H616" t="inlineStr">
        <is>
          <t>Player trade (max rank)</t>
        </is>
      </c>
      <c r="I616" t="inlineStr">
        <is>
          <t>Yes</t>
        </is>
      </c>
      <c r="K616" t="inlineStr">
        <is>
          <t>Collection</t>
        </is>
      </c>
      <c r="L616" t="n">
        <v>10</v>
      </c>
      <c r="M616" t="n">
        <v>21.8</v>
      </c>
      <c r="N616" t="n">
        <v>48</v>
      </c>
      <c r="O616" t="inlineStr">
        <is>
          <t>2026-10-05 UTC (WFM pull 02:52-04:00)</t>
        </is>
      </c>
      <c r="P616" t="inlineStr">
        <is>
          <t>OK</t>
        </is>
      </c>
      <c r="R616" t="inlineStr">
        <is>
          <t>Every current tradeable mod at MAX RANK (WFM catalogue, rivens/locators excluded)</t>
        </is>
      </c>
      <c r="S616" t="inlineStr">
        <is>
          <t>electrified_barrel</t>
        </is>
      </c>
      <c r="T616" t="n">
        <v>5</v>
      </c>
      <c r="U616" t="n">
        <v>5</v>
      </c>
      <c r="V616" t="n">
        <v>14.5</v>
      </c>
      <c r="W616" t="n">
        <v>15</v>
      </c>
      <c r="X616" t="n">
        <v>14.8</v>
      </c>
      <c r="Y616" t="n">
        <v>86</v>
      </c>
      <c r="Z616" t="n">
        <v>9</v>
      </c>
      <c r="AN616" t="inlineStr">
        <is>
          <t>Archgun</t>
        </is>
      </c>
      <c r="AO616" t="n">
        <v>620</v>
      </c>
      <c r="AP616" t="n">
        <v>29946</v>
      </c>
      <c r="AQ616" t="n">
        <v>8</v>
      </c>
      <c r="AS616" t="inlineStr">
        <is>
          <t>Yes</t>
        </is>
      </c>
    </row>
    <row r="617">
      <c r="A617" t="inlineStr">
        <is>
          <t>Mod</t>
        </is>
      </c>
      <c r="B617" t="inlineStr">
        <is>
          <t>Electro Pulse</t>
        </is>
      </c>
      <c r="E617" t="inlineStr">
        <is>
          <t>Diriga</t>
        </is>
      </c>
      <c r="F617" t="n">
        <v>5</v>
      </c>
      <c r="G617" t="n">
        <v>1</v>
      </c>
      <c r="H617" t="inlineStr">
        <is>
          <t>Player trade (max rank)</t>
        </is>
      </c>
      <c r="I617" t="inlineStr">
        <is>
          <t>Yes</t>
        </is>
      </c>
      <c r="K617" t="inlineStr">
        <is>
          <t>Collection</t>
        </is>
      </c>
      <c r="L617" t="n">
        <v>15</v>
      </c>
      <c r="M617" t="n">
        <v>25</v>
      </c>
      <c r="N617" t="n">
        <v>44</v>
      </c>
      <c r="O617" t="inlineStr">
        <is>
          <t>2026-10-05 UTC (WFM pull 02:52-04:00)</t>
        </is>
      </c>
      <c r="P617" t="inlineStr">
        <is>
          <t>OK</t>
        </is>
      </c>
      <c r="R617" t="inlineStr">
        <is>
          <t>Every current tradeable mod at MAX RANK (WFM catalogue, rivens/locators excluded)</t>
        </is>
      </c>
      <c r="S617" t="inlineStr">
        <is>
          <t>electro_pulse</t>
        </is>
      </c>
      <c r="T617" t="n">
        <v>22</v>
      </c>
      <c r="U617" t="n">
        <v>1</v>
      </c>
      <c r="V617" t="n">
        <v>40</v>
      </c>
      <c r="W617" t="n">
        <v>40</v>
      </c>
      <c r="X617" t="n">
        <v>43.2</v>
      </c>
      <c r="Y617" t="n">
        <v>5</v>
      </c>
      <c r="Z617" t="n">
        <v>0</v>
      </c>
      <c r="AN617" t="inlineStr">
        <is>
          <t>Diriga</t>
        </is>
      </c>
      <c r="AO617" t="n">
        <v>310</v>
      </c>
      <c r="AP617" t="n">
        <v>14973</v>
      </c>
      <c r="AQ617" t="n">
        <v>20</v>
      </c>
      <c r="AS617" t="inlineStr">
        <is>
          <t>Yes</t>
        </is>
      </c>
    </row>
    <row r="618">
      <c r="A618" t="inlineStr">
        <is>
          <t>Mod</t>
        </is>
      </c>
      <c r="B618" t="inlineStr">
        <is>
          <t>Electromagnetic Shielding</t>
        </is>
      </c>
      <c r="E618" t="inlineStr">
        <is>
          <t>Augment Ack &amp; Brunt</t>
        </is>
      </c>
      <c r="F618" t="n">
        <v>5</v>
      </c>
      <c r="G618" t="n">
        <v>1</v>
      </c>
      <c r="H618" t="inlineStr">
        <is>
          <t>Player trade (max rank)</t>
        </is>
      </c>
      <c r="I618" t="inlineStr">
        <is>
          <t>Yes</t>
        </is>
      </c>
      <c r="K618" t="inlineStr">
        <is>
          <t>Collection</t>
        </is>
      </c>
      <c r="L618" t="n">
        <v>12</v>
      </c>
      <c r="M618" t="n">
        <v>30</v>
      </c>
      <c r="N618" t="n">
        <v>66</v>
      </c>
      <c r="O618" t="inlineStr">
        <is>
          <t>2026-10-05 UTC (WFM pull 02:52-04:00)</t>
        </is>
      </c>
      <c r="P618" t="inlineStr">
        <is>
          <t>OK</t>
        </is>
      </c>
      <c r="R618" t="inlineStr">
        <is>
          <t>Every current tradeable mod at MAX RANK (WFM catalogue, rivens/locators excluded)</t>
        </is>
      </c>
      <c r="S618" t="inlineStr">
        <is>
          <t>electromagnetic_shielding</t>
        </is>
      </c>
      <c r="T618" t="n">
        <v>4</v>
      </c>
      <c r="U618" t="n">
        <v>4</v>
      </c>
      <c r="V618" t="n">
        <v>20</v>
      </c>
      <c r="W618" t="n">
        <v>9</v>
      </c>
      <c r="X618" t="n">
        <v>11.9</v>
      </c>
      <c r="Y618" t="n">
        <v>14</v>
      </c>
      <c r="Z618" t="n">
        <v>0</v>
      </c>
      <c r="AN618" t="inlineStr">
        <is>
          <t>Augment Ack &amp; Brunt</t>
        </is>
      </c>
      <c r="AO618" t="n">
        <v>620</v>
      </c>
      <c r="AP618" t="n">
        <v>29946</v>
      </c>
      <c r="AQ618" t="n">
        <v>7.5</v>
      </c>
      <c r="AS618" t="inlineStr">
        <is>
          <t>Yes</t>
        </is>
      </c>
    </row>
    <row r="619">
      <c r="A619" t="inlineStr">
        <is>
          <t>Mod</t>
        </is>
      </c>
      <c r="B619" t="inlineStr">
        <is>
          <t>Elemental Sandstorm</t>
        </is>
      </c>
      <c r="E619" t="inlineStr">
        <is>
          <t>Augment Inaros</t>
        </is>
      </c>
      <c r="F619" t="n">
        <v>3</v>
      </c>
      <c r="G619" t="n">
        <v>1</v>
      </c>
      <c r="H619" t="inlineStr">
        <is>
          <t>Player trade (max rank)</t>
        </is>
      </c>
      <c r="I619" t="inlineStr">
        <is>
          <t>Yes</t>
        </is>
      </c>
      <c r="K619" t="inlineStr">
        <is>
          <t>Collection</t>
        </is>
      </c>
      <c r="L619" t="n">
        <v>10</v>
      </c>
      <c r="M619" t="n">
        <v>15</v>
      </c>
      <c r="N619" t="n">
        <v>17</v>
      </c>
      <c r="O619" t="inlineStr">
        <is>
          <t>2026-10-05 UTC (WFM pull 02:52-04:00)</t>
        </is>
      </c>
      <c r="P619" t="inlineStr">
        <is>
          <t>OK</t>
        </is>
      </c>
      <c r="R619" t="inlineStr">
        <is>
          <t>Every current tradeable mod at MAX RANK (WFM catalogue, rivens/locators excluded)</t>
        </is>
      </c>
      <c r="S619" t="inlineStr">
        <is>
          <t>elemental_sandstorm</t>
        </is>
      </c>
      <c r="T619" t="n">
        <v>66</v>
      </c>
      <c r="U619" t="n">
        <v>1</v>
      </c>
      <c r="V619" t="n">
        <v>15</v>
      </c>
      <c r="W619" t="n">
        <v>15</v>
      </c>
      <c r="X619" t="n">
        <v>15.5</v>
      </c>
      <c r="Y619" t="n">
        <v>81</v>
      </c>
      <c r="Z619" t="n">
        <v>4</v>
      </c>
      <c r="AN619" t="inlineStr">
        <is>
          <t>Augment Inaros</t>
        </is>
      </c>
      <c r="AO619" t="n">
        <v>210</v>
      </c>
      <c r="AP619" t="n">
        <v>10143</v>
      </c>
      <c r="AQ619" t="n">
        <v>15</v>
      </c>
      <c r="AS619" t="inlineStr">
        <is>
          <t>Yes</t>
        </is>
      </c>
    </row>
    <row r="620">
      <c r="A620" t="inlineStr">
        <is>
          <t>Mod</t>
        </is>
      </c>
      <c r="B620" t="inlineStr">
        <is>
          <t>Eleventh Storm</t>
        </is>
      </c>
      <c r="E620" t="inlineStr">
        <is>
          <t>Stance</t>
        </is>
      </c>
      <c r="F620" t="n">
        <v>3</v>
      </c>
      <c r="G620" t="n">
        <v>1</v>
      </c>
      <c r="H620" t="inlineStr">
        <is>
          <t>Player trade (max rank)</t>
        </is>
      </c>
      <c r="I620" t="inlineStr">
        <is>
          <t>Yes</t>
        </is>
      </c>
      <c r="K620" t="inlineStr">
        <is>
          <t>Collection</t>
        </is>
      </c>
      <c r="L620" t="n">
        <v>10</v>
      </c>
      <c r="M620" t="n">
        <v>15</v>
      </c>
      <c r="N620" t="n">
        <v>33</v>
      </c>
      <c r="O620" t="inlineStr">
        <is>
          <t>2026-10-05 UTC (WFM pull 02:52-04:00)</t>
        </is>
      </c>
      <c r="P620" t="inlineStr">
        <is>
          <t>OK</t>
        </is>
      </c>
      <c r="R620" t="inlineStr">
        <is>
          <t>Every current tradeable mod at MAX RANK (WFM catalogue, rivens/locators excluded)</t>
        </is>
      </c>
      <c r="S620" t="inlineStr">
        <is>
          <t>eleventh_storm</t>
        </is>
      </c>
      <c r="T620" t="n">
        <v>5</v>
      </c>
      <c r="U620" t="n">
        <v>5</v>
      </c>
      <c r="V620" t="n">
        <v>10</v>
      </c>
      <c r="W620" t="n">
        <v>7</v>
      </c>
      <c r="X620" t="n">
        <v>7.9</v>
      </c>
      <c r="Y620" t="n">
        <v>21</v>
      </c>
      <c r="Z620" t="n">
        <v>0</v>
      </c>
      <c r="AN620" t="inlineStr">
        <is>
          <t>Stance</t>
        </is>
      </c>
      <c r="AO620" t="n">
        <v>140</v>
      </c>
      <c r="AP620" t="n">
        <v>6762</v>
      </c>
      <c r="AQ620" t="n">
        <v>4</v>
      </c>
      <c r="AS620" t="inlineStr">
        <is>
          <t>Yes</t>
        </is>
      </c>
    </row>
    <row r="621">
      <c r="A621" t="inlineStr">
        <is>
          <t>Mod</t>
        </is>
      </c>
      <c r="B621" t="inlineStr">
        <is>
          <t>Elusive Posture</t>
        </is>
      </c>
      <c r="E621" t="inlineStr">
        <is>
          <t>Stance</t>
        </is>
      </c>
      <c r="F621" t="n">
        <v>3</v>
      </c>
      <c r="G621" t="n">
        <v>1</v>
      </c>
      <c r="H621" t="inlineStr">
        <is>
          <t>Player trade (max rank)</t>
        </is>
      </c>
      <c r="I621" t="inlineStr">
        <is>
          <t>Yes</t>
        </is>
      </c>
      <c r="K621" t="inlineStr">
        <is>
          <t>Collection</t>
        </is>
      </c>
      <c r="L621" t="n">
        <v>10</v>
      </c>
      <c r="M621" t="n">
        <v>15</v>
      </c>
      <c r="N621" t="n">
        <v>33</v>
      </c>
      <c r="O621" t="inlineStr">
        <is>
          <t>2026-10-05 UTC (WFM pull 02:52-04:00)</t>
        </is>
      </c>
      <c r="P621" t="inlineStr">
        <is>
          <t>OK</t>
        </is>
      </c>
      <c r="R621" t="inlineStr">
        <is>
          <t>Every current tradeable mod at MAX RANK (WFM catalogue, rivens/locators excluded)</t>
        </is>
      </c>
      <c r="S621" t="inlineStr">
        <is>
          <t>elusive_posture</t>
        </is>
      </c>
      <c r="T621" t="n">
        <v>6</v>
      </c>
      <c r="U621" t="n">
        <v>6</v>
      </c>
      <c r="V621" t="n">
        <v>10</v>
      </c>
      <c r="W621" t="n">
        <v>11</v>
      </c>
      <c r="X621" t="n">
        <v>11.2</v>
      </c>
      <c r="Y621" t="n">
        <v>211</v>
      </c>
      <c r="Z621" t="n">
        <v>3</v>
      </c>
      <c r="AN621" t="inlineStr">
        <is>
          <t>Stance</t>
        </is>
      </c>
      <c r="AO621" t="n">
        <v>70</v>
      </c>
      <c r="AP621" t="n">
        <v>3381</v>
      </c>
      <c r="AQ621" t="n">
        <v>8</v>
      </c>
      <c r="AS621" t="inlineStr">
        <is>
          <t>Yes</t>
        </is>
      </c>
    </row>
    <row r="622">
      <c r="A622" t="inlineStr">
        <is>
          <t>Mod</t>
        </is>
      </c>
      <c r="B622" t="inlineStr">
        <is>
          <t>Elusive Retribution</t>
        </is>
      </c>
      <c r="E622" t="inlineStr">
        <is>
          <t>Augment Baruuk</t>
        </is>
      </c>
      <c r="F622" t="n">
        <v>3</v>
      </c>
      <c r="G622" t="n">
        <v>1</v>
      </c>
      <c r="H622" t="inlineStr">
        <is>
          <t>Player trade (max rank)</t>
        </is>
      </c>
      <c r="I622" t="inlineStr">
        <is>
          <t>Yes</t>
        </is>
      </c>
      <c r="K622" t="inlineStr">
        <is>
          <t>Collection</t>
        </is>
      </c>
      <c r="L622" t="n">
        <v>20</v>
      </c>
      <c r="M622" t="n">
        <v>24</v>
      </c>
      <c r="N622" t="n">
        <v>44</v>
      </c>
      <c r="O622" t="inlineStr">
        <is>
          <t>2026-10-05 UTC (WFM pull 02:52-04:00)</t>
        </is>
      </c>
      <c r="P622" t="inlineStr">
        <is>
          <t>OK</t>
        </is>
      </c>
      <c r="R622" t="inlineStr">
        <is>
          <t>Every current tradeable mod at MAX RANK (WFM catalogue, rivens/locators excluded)</t>
        </is>
      </c>
      <c r="S622" t="inlineStr">
        <is>
          <t>elusive_retribution</t>
        </is>
      </c>
      <c r="T622" t="n">
        <v>6</v>
      </c>
      <c r="U622" t="n">
        <v>6</v>
      </c>
      <c r="V622" t="n">
        <v>16</v>
      </c>
      <c r="W622" t="n">
        <v>19.5</v>
      </c>
      <c r="X622" t="n">
        <v>18.4</v>
      </c>
      <c r="Y622" t="n">
        <v>186</v>
      </c>
      <c r="Z622" t="n">
        <v>4</v>
      </c>
      <c r="AN622" t="inlineStr">
        <is>
          <t>Augment Baruuk</t>
        </is>
      </c>
      <c r="AO622" t="n">
        <v>210</v>
      </c>
      <c r="AP622" t="n">
        <v>10143</v>
      </c>
      <c r="AQ622" t="n">
        <v>20</v>
      </c>
      <c r="AS622" t="inlineStr">
        <is>
          <t>Yes</t>
        </is>
      </c>
    </row>
    <row r="623">
      <c r="A623" t="inlineStr">
        <is>
          <t>Mod</t>
        </is>
      </c>
      <c r="B623" t="inlineStr">
        <is>
          <t>Embedded Catalyzer</t>
        </is>
      </c>
      <c r="E623" t="inlineStr">
        <is>
          <t>Pistol</t>
        </is>
      </c>
      <c r="F623" t="n">
        <v>5</v>
      </c>
      <c r="G623" t="n">
        <v>1</v>
      </c>
      <c r="H623" t="inlineStr">
        <is>
          <t>Player trade (max rank)</t>
        </is>
      </c>
      <c r="I623" t="inlineStr">
        <is>
          <t>Yes</t>
        </is>
      </c>
      <c r="K623" t="inlineStr">
        <is>
          <t>Collection</t>
        </is>
      </c>
      <c r="L623" t="n">
        <v>8</v>
      </c>
      <c r="M623" t="n">
        <v>9</v>
      </c>
      <c r="N623" t="n">
        <v>16</v>
      </c>
      <c r="O623" t="inlineStr">
        <is>
          <t>2026-10-05 UTC (WFM pull 02:52-04:00)</t>
        </is>
      </c>
      <c r="P623" t="inlineStr">
        <is>
          <t>OK</t>
        </is>
      </c>
      <c r="R623" t="inlineStr">
        <is>
          <t>Every current tradeable mod at MAX RANK (WFM catalogue, rivens/locators excluded)</t>
        </is>
      </c>
      <c r="S623" t="inlineStr">
        <is>
          <t>embedded_catalyzer</t>
        </is>
      </c>
      <c r="T623" t="n">
        <v>55</v>
      </c>
      <c r="U623" t="n">
        <v>1</v>
      </c>
      <c r="V623" t="n">
        <v>14</v>
      </c>
      <c r="W623" t="n">
        <v>11</v>
      </c>
      <c r="X623" t="n">
        <v>10.2</v>
      </c>
      <c r="Y623" t="n">
        <v>12</v>
      </c>
      <c r="Z623" t="n">
        <v>1</v>
      </c>
      <c r="AN623" t="inlineStr">
        <is>
          <t>Pistol</t>
        </is>
      </c>
      <c r="AO623" t="n">
        <v>620</v>
      </c>
      <c r="AP623" t="n">
        <v>29946</v>
      </c>
      <c r="AQ623" t="n">
        <v>6</v>
      </c>
      <c r="AS623" t="inlineStr">
        <is>
          <t>Yes</t>
        </is>
      </c>
    </row>
    <row r="624">
      <c r="A624" t="inlineStr">
        <is>
          <t>Mod</t>
        </is>
      </c>
      <c r="B624" t="inlineStr">
        <is>
          <t>Emergent Aftermath</t>
        </is>
      </c>
      <c r="E624" t="inlineStr">
        <is>
          <t>Conclave (PvP)</t>
        </is>
      </c>
      <c r="F624" t="n">
        <v>3</v>
      </c>
      <c r="G624" t="n">
        <v>1</v>
      </c>
      <c r="H624" t="inlineStr">
        <is>
          <t>Player trade (max rank)</t>
        </is>
      </c>
      <c r="I624" t="inlineStr">
        <is>
          <t>Yes</t>
        </is>
      </c>
      <c r="K624" t="inlineStr">
        <is>
          <t>Collection (PvP)</t>
        </is>
      </c>
      <c r="L624" t="n">
        <v>10</v>
      </c>
      <c r="M624" t="n">
        <v>20</v>
      </c>
      <c r="N624" t="n">
        <v>39</v>
      </c>
      <c r="O624" t="inlineStr">
        <is>
          <t>2026-10-05 UTC (WFM pull 02:52-04:00)</t>
        </is>
      </c>
      <c r="P624" t="inlineStr">
        <is>
          <t>OK</t>
        </is>
      </c>
      <c r="R624" t="inlineStr">
        <is>
          <t>Every current tradeable mod at MAX RANK (WFM catalogue, rivens/locators excluded)</t>
        </is>
      </c>
      <c r="S624" t="inlineStr">
        <is>
          <t>emergent_aftermath</t>
        </is>
      </c>
      <c r="T624" t="n">
        <v>16</v>
      </c>
      <c r="U624" t="n">
        <v>0</v>
      </c>
      <c r="V624" t="n">
        <v>35</v>
      </c>
      <c r="W624" t="n">
        <v>35</v>
      </c>
      <c r="X624" t="n">
        <v>35</v>
      </c>
      <c r="Y624" t="n">
        <v>1</v>
      </c>
      <c r="Z624" t="n">
        <v>0</v>
      </c>
      <c r="AN624" t="inlineStr">
        <is>
          <t>Conclave (PvP)</t>
        </is>
      </c>
      <c r="AO624" t="n">
        <v>210</v>
      </c>
      <c r="AP624" t="n">
        <v>10143</v>
      </c>
      <c r="AQ624" t="n">
        <v>9</v>
      </c>
      <c r="AS624" t="inlineStr">
        <is>
          <t>PvP subtotal</t>
        </is>
      </c>
    </row>
    <row r="625">
      <c r="A625" t="inlineStr">
        <is>
          <t>Mod</t>
        </is>
      </c>
      <c r="B625" t="inlineStr">
        <is>
          <t>EMP Aura</t>
        </is>
      </c>
      <c r="E625" t="inlineStr">
        <is>
          <t>Aura</t>
        </is>
      </c>
      <c r="F625" t="n">
        <v>5</v>
      </c>
      <c r="G625" t="n">
        <v>1</v>
      </c>
      <c r="H625" t="inlineStr">
        <is>
          <t>Player trade (max rank)</t>
        </is>
      </c>
      <c r="I625" t="inlineStr">
        <is>
          <t>Yes</t>
        </is>
      </c>
      <c r="K625" t="inlineStr">
        <is>
          <t>Collection</t>
        </is>
      </c>
      <c r="L625" t="n">
        <v>25</v>
      </c>
      <c r="M625" t="n">
        <v>25</v>
      </c>
      <c r="N625" t="n">
        <v>56</v>
      </c>
      <c r="O625" t="inlineStr">
        <is>
          <t>2026-10-05 UTC (WFM pull 02:52-04:00)</t>
        </is>
      </c>
      <c r="P625" t="inlineStr">
        <is>
          <t>OK</t>
        </is>
      </c>
      <c r="R625" t="inlineStr">
        <is>
          <t>Every current tradeable mod at MAX RANK (WFM catalogue, rivens/locators excluded)</t>
        </is>
      </c>
      <c r="S625" t="inlineStr">
        <is>
          <t>emp_aura</t>
        </is>
      </c>
      <c r="T625" t="n">
        <v>3</v>
      </c>
      <c r="U625" t="n">
        <v>3</v>
      </c>
      <c r="V625" t="n">
        <v>10</v>
      </c>
      <c r="W625" t="n">
        <v>12</v>
      </c>
      <c r="X625" t="n">
        <v>15.2</v>
      </c>
      <c r="Y625" t="n">
        <v>10</v>
      </c>
      <c r="Z625" t="n">
        <v>0</v>
      </c>
      <c r="AN625" t="inlineStr">
        <is>
          <t>Aura</t>
        </is>
      </c>
      <c r="AO625" t="n">
        <v>620</v>
      </c>
      <c r="AP625" t="n">
        <v>29946</v>
      </c>
      <c r="AQ625" t="n">
        <v>11</v>
      </c>
      <c r="AS625" t="inlineStr">
        <is>
          <t>Yes</t>
        </is>
      </c>
    </row>
    <row r="626">
      <c r="A626" t="inlineStr">
        <is>
          <t>Mod</t>
        </is>
      </c>
      <c r="B626" t="inlineStr">
        <is>
          <t>Empazu-Shol</t>
        </is>
      </c>
      <c r="E626" t="inlineStr">
        <is>
          <t>Antique</t>
        </is>
      </c>
      <c r="F626" t="n">
        <v>5</v>
      </c>
      <c r="G626" t="n">
        <v>1</v>
      </c>
      <c r="H626" t="inlineStr">
        <is>
          <t>Player trade (max rank)</t>
        </is>
      </c>
      <c r="I626" t="inlineStr">
        <is>
          <t>Yes</t>
        </is>
      </c>
      <c r="K626" t="inlineStr">
        <is>
          <t>Collection</t>
        </is>
      </c>
      <c r="L626" t="n">
        <v>25</v>
      </c>
      <c r="M626" t="n">
        <v>43.5</v>
      </c>
      <c r="N626" t="n">
        <v>88</v>
      </c>
      <c r="O626" t="inlineStr">
        <is>
          <t>2026-10-05 UTC (WFM pull 02:52-04:00)</t>
        </is>
      </c>
      <c r="P626" t="inlineStr">
        <is>
          <t>OK</t>
        </is>
      </c>
      <c r="R626" t="inlineStr">
        <is>
          <t>Every current tradeable mod at MAX RANK (WFM catalogue, rivens/locators excluded)</t>
        </is>
      </c>
      <c r="S626" t="inlineStr">
        <is>
          <t>empazu_shol</t>
        </is>
      </c>
      <c r="T626" t="n">
        <v>6</v>
      </c>
      <c r="U626" t="n">
        <v>6</v>
      </c>
      <c r="V626" t="n">
        <v>29</v>
      </c>
      <c r="W626" t="n">
        <v>30</v>
      </c>
      <c r="X626" t="n">
        <v>29.4</v>
      </c>
      <c r="Y626" t="n">
        <v>120</v>
      </c>
      <c r="Z626" t="n">
        <v>5</v>
      </c>
      <c r="AN626" t="inlineStr">
        <is>
          <t>Antique</t>
        </is>
      </c>
      <c r="AO626" t="n">
        <v>930</v>
      </c>
      <c r="AP626" t="n">
        <v>44919</v>
      </c>
      <c r="AQ626" t="n">
        <v>4</v>
      </c>
      <c r="AS626" t="inlineStr">
        <is>
          <t>Yes</t>
        </is>
      </c>
    </row>
    <row r="627">
      <c r="A627" t="inlineStr">
        <is>
          <t>Mod</t>
        </is>
      </c>
      <c r="B627" t="inlineStr">
        <is>
          <t>Empowered Blades</t>
        </is>
      </c>
      <c r="E627" t="inlineStr">
        <is>
          <t>Aura</t>
        </is>
      </c>
      <c r="F627" t="n">
        <v>5</v>
      </c>
      <c r="G627" t="n">
        <v>1</v>
      </c>
      <c r="H627" t="inlineStr">
        <is>
          <t>Player trade (max rank)</t>
        </is>
      </c>
      <c r="I627" t="inlineStr">
        <is>
          <t>Yes</t>
        </is>
      </c>
      <c r="K627" t="inlineStr">
        <is>
          <t>Collection</t>
        </is>
      </c>
      <c r="L627" t="n">
        <v>50</v>
      </c>
      <c r="M627" t="n">
        <v>67.5</v>
      </c>
      <c r="N627" t="n">
        <v>100</v>
      </c>
      <c r="O627" t="inlineStr">
        <is>
          <t>2026-10-05 UTC (WFM pull 02:52-04:00)</t>
        </is>
      </c>
      <c r="P627" t="inlineStr">
        <is>
          <t>OK</t>
        </is>
      </c>
      <c r="R627" t="inlineStr">
        <is>
          <t>Every current tradeable mod at MAX RANK (WFM catalogue, rivens/locators excluded)</t>
        </is>
      </c>
      <c r="S627" t="inlineStr">
        <is>
          <t>empowered_blades</t>
        </is>
      </c>
      <c r="T627" t="n">
        <v>5</v>
      </c>
      <c r="U627" t="n">
        <v>5</v>
      </c>
      <c r="V627" t="n">
        <v>45</v>
      </c>
      <c r="W627" t="n">
        <v>45</v>
      </c>
      <c r="X627" t="n">
        <v>46.5</v>
      </c>
      <c r="Y627" t="n">
        <v>65</v>
      </c>
      <c r="Z627" t="n">
        <v>1</v>
      </c>
      <c r="AN627" t="inlineStr">
        <is>
          <t>Aura</t>
        </is>
      </c>
      <c r="AO627" t="n">
        <v>930</v>
      </c>
      <c r="AP627" t="n">
        <v>44919</v>
      </c>
      <c r="AQ627" t="n">
        <v>50</v>
      </c>
      <c r="AS627" t="inlineStr">
        <is>
          <t>Yes</t>
        </is>
      </c>
    </row>
    <row r="628">
      <c r="A628" t="inlineStr">
        <is>
          <t>Mod</t>
        </is>
      </c>
      <c r="B628" t="inlineStr">
        <is>
          <t>Empowered Quiver</t>
        </is>
      </c>
      <c r="E628" t="inlineStr">
        <is>
          <t>Augment Ivara</t>
        </is>
      </c>
      <c r="F628" t="n">
        <v>3</v>
      </c>
      <c r="G628" t="n">
        <v>1</v>
      </c>
      <c r="H628" t="inlineStr">
        <is>
          <t>Player trade (max rank)</t>
        </is>
      </c>
      <c r="I628" t="inlineStr">
        <is>
          <t>Yes</t>
        </is>
      </c>
      <c r="K628" t="inlineStr">
        <is>
          <t>Collection</t>
        </is>
      </c>
      <c r="L628" t="n">
        <v>19</v>
      </c>
      <c r="M628" t="n">
        <v>24</v>
      </c>
      <c r="N628" t="n">
        <v>53</v>
      </c>
      <c r="O628" t="inlineStr">
        <is>
          <t>2026-10-05 UTC (WFM pull 02:52-04:00)</t>
        </is>
      </c>
      <c r="P628" t="inlineStr">
        <is>
          <t>OK</t>
        </is>
      </c>
      <c r="R628" t="inlineStr">
        <is>
          <t>Every current tradeable mod at MAX RANK (WFM catalogue, rivens/locators excluded)</t>
        </is>
      </c>
      <c r="S628" t="inlineStr">
        <is>
          <t>empowered_quiver</t>
        </is>
      </c>
      <c r="T628" t="n">
        <v>6</v>
      </c>
      <c r="U628" t="n">
        <v>6</v>
      </c>
      <c r="V628" t="n">
        <v>16</v>
      </c>
      <c r="W628" t="n">
        <v>17</v>
      </c>
      <c r="X628" t="n">
        <v>17.6</v>
      </c>
      <c r="Y628" t="n">
        <v>76</v>
      </c>
      <c r="Z628" t="n">
        <v>4</v>
      </c>
      <c r="AN628" t="inlineStr">
        <is>
          <t>Augment Ivara</t>
        </is>
      </c>
      <c r="AO628" t="n">
        <v>210</v>
      </c>
      <c r="AP628" t="n">
        <v>10143</v>
      </c>
      <c r="AQ628" t="n">
        <v>16</v>
      </c>
      <c r="AS628" t="inlineStr">
        <is>
          <t>Yes</t>
        </is>
      </c>
    </row>
    <row r="629">
      <c r="A629" t="inlineStr">
        <is>
          <t>Mod</t>
        </is>
      </c>
      <c r="B629" t="inlineStr">
        <is>
          <t>Endless Lullaby</t>
        </is>
      </c>
      <c r="E629" t="inlineStr">
        <is>
          <t>Augment Baruuk</t>
        </is>
      </c>
      <c r="F629" t="n">
        <v>3</v>
      </c>
      <c r="G629" t="n">
        <v>1</v>
      </c>
      <c r="H629" t="inlineStr">
        <is>
          <t>Player trade (max rank)</t>
        </is>
      </c>
      <c r="I629" t="inlineStr">
        <is>
          <t>Yes</t>
        </is>
      </c>
      <c r="K629" t="inlineStr">
        <is>
          <t>Collection</t>
        </is>
      </c>
      <c r="L629" t="n">
        <v>8</v>
      </c>
      <c r="M629" t="n">
        <v>10</v>
      </c>
      <c r="N629" t="n">
        <v>15</v>
      </c>
      <c r="O629" t="inlineStr">
        <is>
          <t>2026-10-05 UTC (WFM pull 02:52-04:00)</t>
        </is>
      </c>
      <c r="P629" t="inlineStr">
        <is>
          <t>OK</t>
        </is>
      </c>
      <c r="R629" t="inlineStr">
        <is>
          <t>Every current tradeable mod at MAX RANK (WFM catalogue, rivens/locators excluded)</t>
        </is>
      </c>
      <c r="S629" t="inlineStr">
        <is>
          <t>endless_lullaby</t>
        </is>
      </c>
      <c r="T629" t="n">
        <v>85</v>
      </c>
      <c r="U629" t="n">
        <v>2</v>
      </c>
      <c r="V629" t="n">
        <v>13</v>
      </c>
      <c r="W629" t="n">
        <v>14</v>
      </c>
      <c r="X629" t="n">
        <v>14.9</v>
      </c>
      <c r="Y629" t="n">
        <v>20</v>
      </c>
      <c r="Z629" t="n">
        <v>0</v>
      </c>
      <c r="AN629" t="inlineStr">
        <is>
          <t>Augment Baruuk</t>
        </is>
      </c>
      <c r="AO629" t="n">
        <v>210</v>
      </c>
      <c r="AP629" t="n">
        <v>10143</v>
      </c>
      <c r="AQ629" t="n">
        <v>12</v>
      </c>
      <c r="AS629" t="inlineStr">
        <is>
          <t>Yes</t>
        </is>
      </c>
    </row>
    <row r="630">
      <c r="A630" t="inlineStr">
        <is>
          <t>Mod</t>
        </is>
      </c>
      <c r="B630" t="inlineStr">
        <is>
          <t>Endoparasitic Vector</t>
        </is>
      </c>
      <c r="E630" t="inlineStr">
        <is>
          <t>Pharaoh Predasite</t>
        </is>
      </c>
      <c r="F630" t="n">
        <v>3</v>
      </c>
      <c r="G630" t="n">
        <v>1</v>
      </c>
      <c r="H630" t="inlineStr">
        <is>
          <t>Player trade (max rank)</t>
        </is>
      </c>
      <c r="I630" t="inlineStr">
        <is>
          <t>Yes</t>
        </is>
      </c>
      <c r="K630" t="inlineStr">
        <is>
          <t>Collection</t>
        </is>
      </c>
      <c r="L630" t="n">
        <v>10</v>
      </c>
      <c r="M630" t="n">
        <v>15</v>
      </c>
      <c r="N630" t="n">
        <v>17</v>
      </c>
      <c r="O630" t="inlineStr">
        <is>
          <t>2026-10-05 UTC (WFM pull 02:52-04:00)</t>
        </is>
      </c>
      <c r="P630" t="inlineStr">
        <is>
          <t>OK</t>
        </is>
      </c>
      <c r="R630" t="inlineStr">
        <is>
          <t>Every current tradeable mod at MAX RANK (WFM catalogue, rivens/locators excluded)</t>
        </is>
      </c>
      <c r="S630" t="inlineStr">
        <is>
          <t>endoparasitic_vector</t>
        </is>
      </c>
      <c r="T630" t="n">
        <v>20</v>
      </c>
      <c r="U630" t="n">
        <v>1</v>
      </c>
      <c r="V630" t="n">
        <v>15</v>
      </c>
      <c r="W630" t="n">
        <v>15</v>
      </c>
      <c r="X630" t="n">
        <v>14.7</v>
      </c>
      <c r="Y630" t="n">
        <v>15</v>
      </c>
      <c r="Z630" t="n">
        <v>1</v>
      </c>
      <c r="AN630" t="inlineStr">
        <is>
          <t>Pharaoh Predasite</t>
        </is>
      </c>
      <c r="AO630" t="n">
        <v>210</v>
      </c>
      <c r="AP630" t="n">
        <v>10143</v>
      </c>
      <c r="AQ630" t="n">
        <v>9</v>
      </c>
      <c r="AS630" t="inlineStr">
        <is>
          <t>Yes</t>
        </is>
      </c>
    </row>
    <row r="631">
      <c r="A631" t="inlineStr">
        <is>
          <t>Mod</t>
        </is>
      </c>
      <c r="B631" t="inlineStr">
        <is>
          <t>Endurance Drift</t>
        </is>
      </c>
      <c r="E631" t="inlineStr">
        <is>
          <t>Warframe</t>
        </is>
      </c>
      <c r="F631" t="n">
        <v>5</v>
      </c>
      <c r="G631" t="n">
        <v>1</v>
      </c>
      <c r="H631" t="inlineStr">
        <is>
          <t>Player trade (max rank)</t>
        </is>
      </c>
      <c r="I631" t="inlineStr">
        <is>
          <t>Yes</t>
        </is>
      </c>
      <c r="K631" t="inlineStr">
        <is>
          <t>Collection</t>
        </is>
      </c>
      <c r="L631" t="n">
        <v>10</v>
      </c>
      <c r="M631" t="n">
        <v>13.5</v>
      </c>
      <c r="N631" t="n">
        <v>30</v>
      </c>
      <c r="O631" t="inlineStr">
        <is>
          <t>2026-10-05 UTC (WFM pull 02:52-04:00)</t>
        </is>
      </c>
      <c r="P631" t="inlineStr">
        <is>
          <t>OK</t>
        </is>
      </c>
      <c r="R631" t="inlineStr">
        <is>
          <t>Every current tradeable mod at MAX RANK (WFM catalogue, rivens/locators excluded)</t>
        </is>
      </c>
      <c r="S631" t="inlineStr">
        <is>
          <t>endurance_drift</t>
        </is>
      </c>
      <c r="T631" t="n">
        <v>8</v>
      </c>
      <c r="U631" t="n">
        <v>8</v>
      </c>
      <c r="V631" t="n">
        <v>9</v>
      </c>
      <c r="W631" t="n">
        <v>9</v>
      </c>
      <c r="X631" t="n">
        <v>9</v>
      </c>
      <c r="Y631" t="n">
        <v>77</v>
      </c>
      <c r="Z631" t="n">
        <v>2</v>
      </c>
      <c r="AN631" t="inlineStr">
        <is>
          <t>Warframe</t>
        </is>
      </c>
      <c r="AO631" t="n">
        <v>930</v>
      </c>
      <c r="AP631" t="n">
        <v>44919</v>
      </c>
      <c r="AQ631" t="n">
        <v>4</v>
      </c>
      <c r="AS631" t="inlineStr">
        <is>
          <t>Yes</t>
        </is>
      </c>
    </row>
    <row r="632">
      <c r="A632" t="inlineStr">
        <is>
          <t>Mod</t>
        </is>
      </c>
      <c r="B632" t="inlineStr">
        <is>
          <t>Enduring Affliction</t>
        </is>
      </c>
      <c r="E632" t="inlineStr">
        <is>
          <t>Melee</t>
        </is>
      </c>
      <c r="F632" t="n">
        <v>5</v>
      </c>
      <c r="G632" t="n">
        <v>1</v>
      </c>
      <c r="H632" t="inlineStr">
        <is>
          <t>Player trade (max rank)</t>
        </is>
      </c>
      <c r="I632" t="inlineStr">
        <is>
          <t>Yes</t>
        </is>
      </c>
      <c r="K632" t="inlineStr">
        <is>
          <t>Collection</t>
        </is>
      </c>
      <c r="L632" t="n">
        <v>24</v>
      </c>
      <c r="M632" t="n">
        <v>24</v>
      </c>
      <c r="N632" t="n">
        <v>53</v>
      </c>
      <c r="O632" t="inlineStr">
        <is>
          <t>2026-10-05 UTC (WFM pull 02:52-04:00)</t>
        </is>
      </c>
      <c r="P632" t="inlineStr">
        <is>
          <t>OK</t>
        </is>
      </c>
      <c r="R632" t="inlineStr">
        <is>
          <t>Every current tradeable mod at MAX RANK (WFM catalogue, rivens/locators excluded)</t>
        </is>
      </c>
      <c r="S632" t="inlineStr">
        <is>
          <t>enduring_affliction</t>
        </is>
      </c>
      <c r="T632" t="n">
        <v>4</v>
      </c>
      <c r="U632" t="n">
        <v>4</v>
      </c>
      <c r="V632" t="n">
        <v>11</v>
      </c>
      <c r="W632" t="n">
        <v>11</v>
      </c>
      <c r="X632" t="n">
        <v>10</v>
      </c>
      <c r="Y632" t="n">
        <v>3</v>
      </c>
      <c r="Z632" t="n">
        <v>0</v>
      </c>
      <c r="AN632" t="inlineStr">
        <is>
          <t>Melee</t>
        </is>
      </c>
      <c r="AO632" t="n">
        <v>620</v>
      </c>
      <c r="AP632" t="n">
        <v>29946</v>
      </c>
      <c r="AQ632" t="n">
        <v>3</v>
      </c>
      <c r="AS632" t="inlineStr">
        <is>
          <t>Yes</t>
        </is>
      </c>
    </row>
    <row r="633">
      <c r="A633" t="inlineStr">
        <is>
          <t>Mod</t>
        </is>
      </c>
      <c r="B633" t="inlineStr">
        <is>
          <t>Enduring Bastille</t>
        </is>
      </c>
      <c r="E633" t="inlineStr">
        <is>
          <t>Augment Vauban</t>
        </is>
      </c>
      <c r="F633" t="n">
        <v>3</v>
      </c>
      <c r="G633" t="n">
        <v>1</v>
      </c>
      <c r="H633" t="inlineStr">
        <is>
          <t>Player trade (max rank)</t>
        </is>
      </c>
      <c r="I633" t="inlineStr">
        <is>
          <t>Yes</t>
        </is>
      </c>
      <c r="K633" t="inlineStr">
        <is>
          <t>Collection</t>
        </is>
      </c>
      <c r="L633" t="n">
        <v>18</v>
      </c>
      <c r="M633" t="n">
        <v>22.5</v>
      </c>
      <c r="N633" t="n">
        <v>50</v>
      </c>
      <c r="O633" t="inlineStr">
        <is>
          <t>2026-10-05 UTC (WFM pull 02:52-04:00)</t>
        </is>
      </c>
      <c r="P633" t="inlineStr">
        <is>
          <t>OK</t>
        </is>
      </c>
      <c r="R633" t="inlineStr">
        <is>
          <t>Every current tradeable mod at MAX RANK (WFM catalogue, rivens/locators excluded)</t>
        </is>
      </c>
      <c r="S633" t="inlineStr">
        <is>
          <t>enduring_bastille</t>
        </is>
      </c>
      <c r="T633" t="n">
        <v>4</v>
      </c>
      <c r="U633" t="n">
        <v>4</v>
      </c>
      <c r="V633" t="n">
        <v>15</v>
      </c>
      <c r="W633" t="n">
        <v>14.5</v>
      </c>
      <c r="X633" t="n">
        <v>14.3</v>
      </c>
      <c r="Y633" t="n">
        <v>75</v>
      </c>
      <c r="Z633" t="n">
        <v>0</v>
      </c>
      <c r="AN633" t="inlineStr">
        <is>
          <t>Augment Vauban</t>
        </is>
      </c>
      <c r="AO633" t="n">
        <v>210</v>
      </c>
      <c r="AP633" t="n">
        <v>10143</v>
      </c>
      <c r="AQ633" t="n">
        <v>15</v>
      </c>
      <c r="AS633" t="inlineStr">
        <is>
          <t>Yes</t>
        </is>
      </c>
    </row>
    <row r="634">
      <c r="A634" t="inlineStr">
        <is>
          <t>Mod</t>
        </is>
      </c>
      <c r="B634" t="inlineStr">
        <is>
          <t>Enduring Strike</t>
        </is>
      </c>
      <c r="E634" t="inlineStr">
        <is>
          <t>Melee</t>
        </is>
      </c>
      <c r="F634" t="n">
        <v>3</v>
      </c>
      <c r="G634" t="n">
        <v>1</v>
      </c>
      <c r="H634" t="inlineStr">
        <is>
          <t>Player trade (max rank)</t>
        </is>
      </c>
      <c r="I634" t="inlineStr">
        <is>
          <t>Yes</t>
        </is>
      </c>
      <c r="K634" t="inlineStr">
        <is>
          <t>Collection</t>
        </is>
      </c>
      <c r="L634" t="n">
        <v>8</v>
      </c>
      <c r="M634" t="n">
        <v>10</v>
      </c>
      <c r="N634" t="n">
        <v>16</v>
      </c>
      <c r="O634" t="inlineStr">
        <is>
          <t>2026-10-05 UTC (WFM pull 02:52-04:00)</t>
        </is>
      </c>
      <c r="P634" t="inlineStr">
        <is>
          <t>OK</t>
        </is>
      </c>
      <c r="R634" t="inlineStr">
        <is>
          <t>Every current tradeable mod at MAX RANK (WFM catalogue, rivens/locators excluded)</t>
        </is>
      </c>
      <c r="S634" t="inlineStr">
        <is>
          <t>enduring_strike</t>
        </is>
      </c>
      <c r="T634" t="n">
        <v>49</v>
      </c>
      <c r="U634" t="n">
        <v>2</v>
      </c>
      <c r="V634" t="n">
        <v>10</v>
      </c>
      <c r="W634" t="n">
        <v>10</v>
      </c>
      <c r="X634" t="n">
        <v>10</v>
      </c>
      <c r="Y634" t="n">
        <v>1</v>
      </c>
      <c r="Z634" t="n">
        <v>0</v>
      </c>
      <c r="AN634" t="inlineStr">
        <is>
          <t>Melee</t>
        </is>
      </c>
      <c r="AO634" t="n">
        <v>70</v>
      </c>
      <c r="AP634" t="n">
        <v>3381</v>
      </c>
      <c r="AQ634" t="n">
        <v>10.5</v>
      </c>
      <c r="AS634" t="inlineStr">
        <is>
          <t>Yes</t>
        </is>
      </c>
    </row>
    <row r="635">
      <c r="A635" t="inlineStr">
        <is>
          <t>Mod</t>
        </is>
      </c>
      <c r="B635" t="inlineStr">
        <is>
          <t>Enemy Radar</t>
        </is>
      </c>
      <c r="E635" t="inlineStr">
        <is>
          <t>Aura</t>
        </is>
      </c>
      <c r="F635" t="n">
        <v>5</v>
      </c>
      <c r="G635" t="n">
        <v>1</v>
      </c>
      <c r="H635" t="inlineStr">
        <is>
          <t>Player trade (max rank)</t>
        </is>
      </c>
      <c r="I635" t="inlineStr">
        <is>
          <t>Yes</t>
        </is>
      </c>
      <c r="K635" t="inlineStr">
        <is>
          <t>Collection</t>
        </is>
      </c>
      <c r="L635" t="n">
        <v>15</v>
      </c>
      <c r="M635" t="n">
        <v>15</v>
      </c>
      <c r="N635" t="n">
        <v>22</v>
      </c>
      <c r="O635" t="inlineStr">
        <is>
          <t>2026-10-05 UTC (WFM pull 02:52-04:00)</t>
        </is>
      </c>
      <c r="P635" t="inlineStr">
        <is>
          <t>OK</t>
        </is>
      </c>
      <c r="R635" t="inlineStr">
        <is>
          <t>Every current tradeable mod at MAX RANK (WFM catalogue, rivens/locators excluded)</t>
        </is>
      </c>
      <c r="S635" t="inlineStr">
        <is>
          <t>enemy_radar</t>
        </is>
      </c>
      <c r="T635" t="n">
        <v>87</v>
      </c>
      <c r="U635" t="n">
        <v>2</v>
      </c>
      <c r="V635" t="n">
        <v>20</v>
      </c>
      <c r="W635" t="n">
        <v>20</v>
      </c>
      <c r="X635" t="n">
        <v>20.6</v>
      </c>
      <c r="Y635" t="n">
        <v>207</v>
      </c>
      <c r="Z635" t="n">
        <v>5</v>
      </c>
      <c r="AN635" t="inlineStr">
        <is>
          <t>Aura</t>
        </is>
      </c>
      <c r="AO635" t="n">
        <v>620</v>
      </c>
      <c r="AP635" t="n">
        <v>29946</v>
      </c>
      <c r="AQ635" t="n">
        <v>21.8</v>
      </c>
      <c r="AS635" t="inlineStr">
        <is>
          <t>Yes</t>
        </is>
      </c>
    </row>
    <row r="636">
      <c r="A636" t="inlineStr">
        <is>
          <t>Mod</t>
        </is>
      </c>
      <c r="B636" t="inlineStr">
        <is>
          <t>Enemy Sense</t>
        </is>
      </c>
      <c r="E636" t="inlineStr">
        <is>
          <t>Warframe</t>
        </is>
      </c>
      <c r="F636" t="n">
        <v>5</v>
      </c>
      <c r="G636" t="n">
        <v>1</v>
      </c>
      <c r="H636" t="inlineStr">
        <is>
          <t>Player trade (max rank)</t>
        </is>
      </c>
      <c r="I636" t="inlineStr">
        <is>
          <t>Yes</t>
        </is>
      </c>
      <c r="K636" t="inlineStr">
        <is>
          <t>Collection</t>
        </is>
      </c>
      <c r="L636" t="n">
        <v>10</v>
      </c>
      <c r="M636" t="n">
        <v>15</v>
      </c>
      <c r="N636" t="n">
        <v>33</v>
      </c>
      <c r="O636" t="inlineStr">
        <is>
          <t>2026-10-05 UTC (WFM pull 02:52-04:00)</t>
        </is>
      </c>
      <c r="P636" t="inlineStr">
        <is>
          <t>OK</t>
        </is>
      </c>
      <c r="R636" t="inlineStr">
        <is>
          <t>Every current tradeable mod at MAX RANK (WFM catalogue, rivens/locators excluded)</t>
        </is>
      </c>
      <c r="S636" t="inlineStr">
        <is>
          <t>enemy_sense</t>
        </is>
      </c>
      <c r="T636" t="n">
        <v>5</v>
      </c>
      <c r="U636" t="n">
        <v>5</v>
      </c>
      <c r="V636" t="n">
        <v>10</v>
      </c>
      <c r="W636" t="n">
        <v>10</v>
      </c>
      <c r="X636" t="n">
        <v>9.800000000000001</v>
      </c>
      <c r="Y636" t="n">
        <v>66</v>
      </c>
      <c r="Z636" t="n">
        <v>1</v>
      </c>
      <c r="AN636" t="inlineStr">
        <is>
          <t>Warframe</t>
        </is>
      </c>
      <c r="AO636" t="n">
        <v>930</v>
      </c>
      <c r="AP636" t="n">
        <v>44919</v>
      </c>
      <c r="AQ636" t="n">
        <v>5</v>
      </c>
      <c r="AS636" t="inlineStr">
        <is>
          <t>Yes</t>
        </is>
      </c>
    </row>
    <row r="637">
      <c r="A637" t="inlineStr">
        <is>
          <t>Mod</t>
        </is>
      </c>
      <c r="B637" t="inlineStr">
        <is>
          <t>Energizing Shot</t>
        </is>
      </c>
      <c r="E637" t="inlineStr">
        <is>
          <t>Pistol (No AoE)</t>
        </is>
      </c>
      <c r="F637" t="n">
        <v>10</v>
      </c>
      <c r="G637" t="n">
        <v>1</v>
      </c>
      <c r="H637" t="inlineStr">
        <is>
          <t>Player trade (max rank)</t>
        </is>
      </c>
      <c r="I637" t="inlineStr">
        <is>
          <t>Yes</t>
        </is>
      </c>
      <c r="K637" t="inlineStr">
        <is>
          <t>Collection</t>
        </is>
      </c>
      <c r="L637" t="n">
        <v>85</v>
      </c>
      <c r="M637" t="n">
        <v>90</v>
      </c>
      <c r="N637" t="n">
        <v>100</v>
      </c>
      <c r="O637" t="inlineStr">
        <is>
          <t>2026-10-05 UTC (WFM pull 02:52-04:00)</t>
        </is>
      </c>
      <c r="P637" t="inlineStr">
        <is>
          <t>OK</t>
        </is>
      </c>
      <c r="R637" t="inlineStr">
        <is>
          <t>Every current tradeable mod at MAX RANK (WFM catalogue, rivens/locators excluded)</t>
        </is>
      </c>
      <c r="S637" t="inlineStr">
        <is>
          <t>energizing_shot</t>
        </is>
      </c>
      <c r="T637" t="n">
        <v>9</v>
      </c>
      <c r="U637" t="n">
        <v>9</v>
      </c>
      <c r="V637" t="n">
        <v>89</v>
      </c>
      <c r="W637" t="n">
        <v>85</v>
      </c>
      <c r="X637" t="n">
        <v>84.3</v>
      </c>
      <c r="Y637" t="n">
        <v>116</v>
      </c>
      <c r="Z637" t="n">
        <v>1</v>
      </c>
      <c r="AN637" t="inlineStr">
        <is>
          <t>Pistol (No AoE)</t>
        </is>
      </c>
      <c r="AO637" t="n">
        <v>30690</v>
      </c>
      <c r="AP637" t="n">
        <v>1482327</v>
      </c>
      <c r="AQ637" t="n">
        <v>21</v>
      </c>
      <c r="AS637" t="inlineStr">
        <is>
          <t>Yes</t>
        </is>
      </c>
    </row>
    <row r="638">
      <c r="A638" t="inlineStr">
        <is>
          <t>Mod</t>
        </is>
      </c>
      <c r="B638" t="inlineStr">
        <is>
          <t>Energy Amplifier</t>
        </is>
      </c>
      <c r="E638" t="inlineStr">
        <is>
          <t>Archwing</t>
        </is>
      </c>
      <c r="F638" t="n">
        <v>5</v>
      </c>
      <c r="G638" t="n">
        <v>1</v>
      </c>
      <c r="H638" t="inlineStr">
        <is>
          <t>Player trade (max rank)</t>
        </is>
      </c>
      <c r="I638" t="inlineStr">
        <is>
          <t>Yes</t>
        </is>
      </c>
      <c r="K638" t="inlineStr">
        <is>
          <t>Collection</t>
        </is>
      </c>
      <c r="L638" t="n">
        <v>30</v>
      </c>
      <c r="M638" t="n">
        <v>48.8</v>
      </c>
      <c r="N638" t="n">
        <v>88</v>
      </c>
      <c r="O638" t="inlineStr">
        <is>
          <t>2026-10-05 UTC (WFM pull 02:52-04:00)</t>
        </is>
      </c>
      <c r="P638" t="inlineStr">
        <is>
          <t>OK</t>
        </is>
      </c>
      <c r="R638" t="inlineStr">
        <is>
          <t>Every current tradeable mod at MAX RANK (WFM catalogue, rivens/locators excluded)</t>
        </is>
      </c>
      <c r="S638" t="inlineStr">
        <is>
          <t>energy_amplifier</t>
        </is>
      </c>
      <c r="T638" t="n">
        <v>5</v>
      </c>
      <c r="U638" t="n">
        <v>5</v>
      </c>
      <c r="V638" t="n">
        <v>32.5</v>
      </c>
      <c r="W638" t="n">
        <v>27</v>
      </c>
      <c r="X638" t="n">
        <v>25.8</v>
      </c>
      <c r="Y638" t="n">
        <v>195</v>
      </c>
      <c r="Z638" t="n">
        <v>2</v>
      </c>
      <c r="AN638" t="inlineStr">
        <is>
          <t>Archwing</t>
        </is>
      </c>
      <c r="AO638" t="n">
        <v>620</v>
      </c>
      <c r="AP638" t="n">
        <v>29946</v>
      </c>
      <c r="AQ638" t="n">
        <v>14</v>
      </c>
      <c r="AS638" t="inlineStr">
        <is>
          <t>Yes</t>
        </is>
      </c>
    </row>
    <row r="639">
      <c r="A639" t="inlineStr">
        <is>
          <t>Mod</t>
        </is>
      </c>
      <c r="B639" t="inlineStr">
        <is>
          <t>Energy Channel</t>
        </is>
      </c>
      <c r="E639" t="inlineStr">
        <is>
          <t>Melee</t>
        </is>
      </c>
      <c r="F639" t="n">
        <v>3</v>
      </c>
      <c r="G639" t="n">
        <v>1</v>
      </c>
      <c r="H639" t="inlineStr">
        <is>
          <t>Player trade (max rank)</t>
        </is>
      </c>
      <c r="I639" t="inlineStr">
        <is>
          <t>Yes</t>
        </is>
      </c>
      <c r="K639" t="inlineStr">
        <is>
          <t>Collection</t>
        </is>
      </c>
      <c r="L639" t="n">
        <v>9</v>
      </c>
      <c r="M639" t="n">
        <v>9.800000000000001</v>
      </c>
      <c r="N639" t="n">
        <v>11</v>
      </c>
      <c r="O639" t="inlineStr">
        <is>
          <t>2026-10-05 UTC (WFM pull 02:52-04:00)</t>
        </is>
      </c>
      <c r="P639" t="inlineStr">
        <is>
          <t>OK</t>
        </is>
      </c>
      <c r="R639" t="inlineStr">
        <is>
          <t>Every current tradeable mod at MAX RANK (WFM catalogue, rivens/locators excluded)</t>
        </is>
      </c>
      <c r="S639" t="inlineStr">
        <is>
          <t>energy_channel</t>
        </is>
      </c>
      <c r="T639" t="n">
        <v>4</v>
      </c>
      <c r="U639" t="n">
        <v>4</v>
      </c>
      <c r="V639" t="n">
        <v>6.5</v>
      </c>
      <c r="W639" t="n">
        <v>8</v>
      </c>
      <c r="X639" t="n">
        <v>7.9</v>
      </c>
      <c r="Y639" t="n">
        <v>18</v>
      </c>
      <c r="Z639" t="n">
        <v>1</v>
      </c>
      <c r="AN639" t="inlineStr">
        <is>
          <t>Melee</t>
        </is>
      </c>
      <c r="AO639" t="n">
        <v>210</v>
      </c>
      <c r="AP639" t="n">
        <v>10143</v>
      </c>
      <c r="AQ639" t="n">
        <v>2</v>
      </c>
      <c r="AS639" t="inlineStr">
        <is>
          <t>Yes</t>
        </is>
      </c>
    </row>
    <row r="640">
      <c r="A640" t="inlineStr">
        <is>
          <t>Mod</t>
        </is>
      </c>
      <c r="B640" t="inlineStr">
        <is>
          <t>Energy Conversion</t>
        </is>
      </c>
      <c r="E640" t="inlineStr">
        <is>
          <t>Warframe</t>
        </is>
      </c>
      <c r="F640" t="n">
        <v>5</v>
      </c>
      <c r="G640" t="n">
        <v>1</v>
      </c>
      <c r="H640" t="inlineStr">
        <is>
          <t>Player trade (max rank)</t>
        </is>
      </c>
      <c r="I640" t="inlineStr">
        <is>
          <t>Yes</t>
        </is>
      </c>
      <c r="K640" t="inlineStr">
        <is>
          <t>Collection</t>
        </is>
      </c>
      <c r="L640" t="n">
        <v>60</v>
      </c>
      <c r="M640" t="n">
        <v>65</v>
      </c>
      <c r="N640" t="n">
        <v>72</v>
      </c>
      <c r="O640" t="inlineStr">
        <is>
          <t>2026-10-05 UTC (WFM pull 02:52-04:00)</t>
        </is>
      </c>
      <c r="P640" t="inlineStr">
        <is>
          <t>OK</t>
        </is>
      </c>
      <c r="R640" t="inlineStr">
        <is>
          <t>Every current tradeable mod at MAX RANK (WFM catalogue, rivens/locators excluded)</t>
        </is>
      </c>
      <c r="S640" t="inlineStr">
        <is>
          <t>energy_conversion</t>
        </is>
      </c>
      <c r="T640" t="n">
        <v>15</v>
      </c>
      <c r="U640" t="n">
        <v>15</v>
      </c>
      <c r="V640" t="n">
        <v>55</v>
      </c>
      <c r="W640" t="n">
        <v>59.5</v>
      </c>
      <c r="X640" t="n">
        <v>57.6</v>
      </c>
      <c r="Y640" t="n">
        <v>2212</v>
      </c>
      <c r="Z640" t="n">
        <v>21</v>
      </c>
      <c r="AA640" t="n">
        <v>36</v>
      </c>
      <c r="AB640" t="n">
        <v>24</v>
      </c>
      <c r="AN640" t="inlineStr">
        <is>
          <t>Warframe</t>
        </is>
      </c>
      <c r="AO640" t="n">
        <v>930</v>
      </c>
      <c r="AP640" t="n">
        <v>44919</v>
      </c>
      <c r="AQ640" t="n">
        <v>60</v>
      </c>
      <c r="AS640" t="inlineStr">
        <is>
          <t>Yes</t>
        </is>
      </c>
    </row>
    <row r="641">
      <c r="A641" t="inlineStr">
        <is>
          <t>Mod</t>
        </is>
      </c>
      <c r="B641" t="inlineStr">
        <is>
          <t>Energy Field</t>
        </is>
      </c>
      <c r="E641" t="inlineStr">
        <is>
          <t>Augment Odonata</t>
        </is>
      </c>
      <c r="F641" t="n">
        <v>3</v>
      </c>
      <c r="G641" t="n">
        <v>1</v>
      </c>
      <c r="H641" t="inlineStr">
        <is>
          <t>Player trade (max rank)</t>
        </is>
      </c>
      <c r="I641" t="inlineStr">
        <is>
          <t>Yes</t>
        </is>
      </c>
      <c r="K641" t="inlineStr">
        <is>
          <t>Collection</t>
        </is>
      </c>
      <c r="L641" t="n">
        <v>30</v>
      </c>
      <c r="M641" t="n">
        <v>30</v>
      </c>
      <c r="N641" t="n">
        <v>66</v>
      </c>
      <c r="O641" t="inlineStr">
        <is>
          <t>2026-10-05 UTC (WFM pull 02:52-04:00)</t>
        </is>
      </c>
      <c r="P641" t="inlineStr">
        <is>
          <t>OK</t>
        </is>
      </c>
      <c r="R641" t="inlineStr">
        <is>
          <t>Every current tradeable mod at MAX RANK (WFM catalogue, rivens/locators excluded)</t>
        </is>
      </c>
      <c r="S641" t="inlineStr">
        <is>
          <t>energy_field</t>
        </is>
      </c>
      <c r="T641" t="n">
        <v>3</v>
      </c>
      <c r="U641" t="n">
        <v>3</v>
      </c>
      <c r="V641" t="n">
        <v>8</v>
      </c>
      <c r="W641" t="n">
        <v>8</v>
      </c>
      <c r="X641" t="n">
        <v>8.9</v>
      </c>
      <c r="Y641" t="n">
        <v>7</v>
      </c>
      <c r="Z641" t="n">
        <v>0</v>
      </c>
      <c r="AN641" t="inlineStr">
        <is>
          <t>Augment Odonata</t>
        </is>
      </c>
      <c r="AO641" t="n">
        <v>210</v>
      </c>
      <c r="AP641" t="n">
        <v>10143</v>
      </c>
      <c r="AQ641" t="n">
        <v>5</v>
      </c>
      <c r="AS641" t="inlineStr">
        <is>
          <t>Yes</t>
        </is>
      </c>
    </row>
    <row r="642">
      <c r="A642" t="inlineStr">
        <is>
          <t>Mod</t>
        </is>
      </c>
      <c r="B642" t="inlineStr">
        <is>
          <t>Energy Generator</t>
        </is>
      </c>
      <c r="E642" t="inlineStr">
        <is>
          <t>Dethcube</t>
        </is>
      </c>
      <c r="F642" t="n">
        <v>5</v>
      </c>
      <c r="G642" t="n">
        <v>1</v>
      </c>
      <c r="H642" t="inlineStr">
        <is>
          <t>Player trade (max rank)</t>
        </is>
      </c>
      <c r="I642" t="inlineStr">
        <is>
          <t>Yes</t>
        </is>
      </c>
      <c r="K642" t="inlineStr">
        <is>
          <t>Collection</t>
        </is>
      </c>
      <c r="L642" t="n">
        <v>54</v>
      </c>
      <c r="M642" t="n">
        <v>55</v>
      </c>
      <c r="N642" t="n">
        <v>64</v>
      </c>
      <c r="O642" t="inlineStr">
        <is>
          <t>2026-10-05 UTC (WFM pull 02:52-04:00)</t>
        </is>
      </c>
      <c r="P642" t="inlineStr">
        <is>
          <t>OK</t>
        </is>
      </c>
      <c r="R642" t="inlineStr">
        <is>
          <t>Every current tradeable mod at MAX RANK (WFM catalogue, rivens/locators excluded)</t>
        </is>
      </c>
      <c r="S642" t="inlineStr">
        <is>
          <t>energy_generator</t>
        </is>
      </c>
      <c r="T642" t="n">
        <v>13</v>
      </c>
      <c r="U642" t="n">
        <v>13</v>
      </c>
      <c r="V642" t="n">
        <v>50</v>
      </c>
      <c r="W642" t="n">
        <v>50</v>
      </c>
      <c r="X642" t="n">
        <v>51.9</v>
      </c>
      <c r="Y642" t="n">
        <v>446</v>
      </c>
      <c r="Z642" t="n">
        <v>20</v>
      </c>
      <c r="AN642" t="inlineStr">
        <is>
          <t>Dethcube</t>
        </is>
      </c>
      <c r="AO642" t="n">
        <v>930</v>
      </c>
      <c r="AP642" t="n">
        <v>44919</v>
      </c>
      <c r="AQ642" t="n">
        <v>50</v>
      </c>
      <c r="AS642" t="inlineStr">
        <is>
          <t>Yes</t>
        </is>
      </c>
    </row>
    <row r="643">
      <c r="A643" t="inlineStr">
        <is>
          <t>Mod</t>
        </is>
      </c>
      <c r="B643" t="inlineStr">
        <is>
          <t>Energy Inversion</t>
        </is>
      </c>
      <c r="E643" t="inlineStr">
        <is>
          <t>Archwing</t>
        </is>
      </c>
      <c r="F643" t="n">
        <v>3</v>
      </c>
      <c r="G643" t="n">
        <v>1</v>
      </c>
      <c r="H643" t="inlineStr">
        <is>
          <t>Player trade (max rank)</t>
        </is>
      </c>
      <c r="I643" t="inlineStr">
        <is>
          <t>Yes</t>
        </is>
      </c>
      <c r="K643" t="inlineStr">
        <is>
          <t>Collection</t>
        </is>
      </c>
      <c r="L643" t="n">
        <v>12</v>
      </c>
      <c r="M643" t="n">
        <v>15</v>
      </c>
      <c r="N643" t="n">
        <v>33</v>
      </c>
      <c r="O643" t="inlineStr">
        <is>
          <t>2026-10-05 UTC (WFM pull 02:52-04:00)</t>
        </is>
      </c>
      <c r="P643" t="inlineStr">
        <is>
          <t>OK</t>
        </is>
      </c>
      <c r="R643" t="inlineStr">
        <is>
          <t>Every current tradeable mod at MAX RANK (WFM catalogue, rivens/locators excluded)</t>
        </is>
      </c>
      <c r="S643" t="inlineStr">
        <is>
          <t>energy_inversion</t>
        </is>
      </c>
      <c r="T643" t="n">
        <v>5</v>
      </c>
      <c r="U643" t="n">
        <v>5</v>
      </c>
      <c r="V643" t="n">
        <v>10</v>
      </c>
      <c r="W643" t="n">
        <v>5</v>
      </c>
      <c r="X643" t="n">
        <v>9.5</v>
      </c>
      <c r="Y643" t="n">
        <v>6</v>
      </c>
      <c r="Z643" t="n">
        <v>0</v>
      </c>
      <c r="AN643" t="inlineStr">
        <is>
          <t>Archwing</t>
        </is>
      </c>
      <c r="AO643" t="n">
        <v>70</v>
      </c>
      <c r="AP643" t="n">
        <v>3381</v>
      </c>
      <c r="AQ643" t="n">
        <v>4</v>
      </c>
      <c r="AS643" t="inlineStr">
        <is>
          <t>Yes</t>
        </is>
      </c>
    </row>
    <row r="644">
      <c r="A644" t="inlineStr">
        <is>
          <t>Mod</t>
        </is>
      </c>
      <c r="B644" t="inlineStr">
        <is>
          <t>Energy Nexus</t>
        </is>
      </c>
      <c r="E644" t="inlineStr">
        <is>
          <t>Warframe</t>
        </is>
      </c>
      <c r="F644" t="n">
        <v>5</v>
      </c>
      <c r="G644" t="n">
        <v>1</v>
      </c>
      <c r="H644" t="inlineStr">
        <is>
          <t>Player trade (max rank)</t>
        </is>
      </c>
      <c r="I644" t="inlineStr">
        <is>
          <t>Yes</t>
        </is>
      </c>
      <c r="K644" t="inlineStr">
        <is>
          <t>Collection</t>
        </is>
      </c>
      <c r="L644" t="n">
        <v>7</v>
      </c>
      <c r="M644" t="n">
        <v>8</v>
      </c>
      <c r="N644" t="n">
        <v>11</v>
      </c>
      <c r="O644" t="inlineStr">
        <is>
          <t>2026-10-05 UTC (WFM pull 02:52-04:00)</t>
        </is>
      </c>
      <c r="P644" t="inlineStr">
        <is>
          <t>OK</t>
        </is>
      </c>
      <c r="R644" t="inlineStr">
        <is>
          <t>Every current tradeable mod at MAX RANK (WFM catalogue, rivens/locators excluded)</t>
        </is>
      </c>
      <c r="S644" t="inlineStr">
        <is>
          <t>energy_nexus</t>
        </is>
      </c>
      <c r="T644" t="n">
        <v>17</v>
      </c>
      <c r="U644" t="n">
        <v>17</v>
      </c>
      <c r="V644" t="n">
        <v>9</v>
      </c>
      <c r="W644" t="n">
        <v>9.5</v>
      </c>
      <c r="X644" t="n">
        <v>9.1</v>
      </c>
      <c r="Y644" t="n">
        <v>819</v>
      </c>
      <c r="Z644" t="n">
        <v>19</v>
      </c>
      <c r="AN644" t="inlineStr">
        <is>
          <t>Warframe</t>
        </is>
      </c>
      <c r="AO644" t="n">
        <v>930</v>
      </c>
      <c r="AP644" t="n">
        <v>44919</v>
      </c>
      <c r="AQ644" t="n">
        <v>5</v>
      </c>
      <c r="AS644" t="inlineStr">
        <is>
          <t>Yes</t>
        </is>
      </c>
    </row>
    <row r="645">
      <c r="A645" t="inlineStr">
        <is>
          <t>Mod</t>
        </is>
      </c>
      <c r="B645" t="inlineStr">
        <is>
          <t>Energy Siphon</t>
        </is>
      </c>
      <c r="E645" t="inlineStr">
        <is>
          <t>Aura</t>
        </is>
      </c>
      <c r="F645" t="n">
        <v>5</v>
      </c>
      <c r="G645" t="n">
        <v>1</v>
      </c>
      <c r="H645" t="inlineStr">
        <is>
          <t>Player trade (max rank)</t>
        </is>
      </c>
      <c r="I645" t="inlineStr">
        <is>
          <t>Yes</t>
        </is>
      </c>
      <c r="K645" t="inlineStr">
        <is>
          <t>Collection</t>
        </is>
      </c>
      <c r="L645" t="n">
        <v>18</v>
      </c>
      <c r="M645" t="n">
        <v>22.5</v>
      </c>
      <c r="N645" t="n">
        <v>50</v>
      </c>
      <c r="O645" t="inlineStr">
        <is>
          <t>2026-10-05 UTC (WFM pull 02:52-04:00)</t>
        </is>
      </c>
      <c r="P645" t="inlineStr">
        <is>
          <t>OK</t>
        </is>
      </c>
      <c r="R645" t="inlineStr">
        <is>
          <t>Every current tradeable mod at MAX RANK (WFM catalogue, rivens/locators excluded)</t>
        </is>
      </c>
      <c r="S645" t="inlineStr">
        <is>
          <t>energy_siphon</t>
        </is>
      </c>
      <c r="T645" t="n">
        <v>6</v>
      </c>
      <c r="U645" t="n">
        <v>6</v>
      </c>
      <c r="V645" t="n">
        <v>15</v>
      </c>
      <c r="W645" t="n">
        <v>15</v>
      </c>
      <c r="X645" t="n">
        <v>15.9</v>
      </c>
      <c r="Y645" t="n">
        <v>338</v>
      </c>
      <c r="Z645" t="n">
        <v>6</v>
      </c>
      <c r="AN645" t="inlineStr">
        <is>
          <t>Aura</t>
        </is>
      </c>
      <c r="AO645" t="n">
        <v>620</v>
      </c>
      <c r="AP645" t="n">
        <v>29946</v>
      </c>
      <c r="AQ645" t="n">
        <v>10</v>
      </c>
      <c r="AS645" t="inlineStr">
        <is>
          <t>Yes</t>
        </is>
      </c>
    </row>
    <row r="646">
      <c r="A646" t="inlineStr">
        <is>
          <t>Mod</t>
        </is>
      </c>
      <c r="B646" t="inlineStr">
        <is>
          <t>Energy Transfer</t>
        </is>
      </c>
      <c r="E646" t="inlineStr">
        <is>
          <t>Augment Equinox</t>
        </is>
      </c>
      <c r="F646" t="n">
        <v>3</v>
      </c>
      <c r="G646" t="n">
        <v>1</v>
      </c>
      <c r="H646" t="inlineStr">
        <is>
          <t>Player trade (max rank)</t>
        </is>
      </c>
      <c r="I646" t="inlineStr">
        <is>
          <t>Yes</t>
        </is>
      </c>
      <c r="K646" t="inlineStr">
        <is>
          <t>Collection</t>
        </is>
      </c>
      <c r="L646" t="n">
        <v>24</v>
      </c>
      <c r="M646" t="n">
        <v>24</v>
      </c>
      <c r="N646" t="n">
        <v>53</v>
      </c>
      <c r="O646" t="inlineStr">
        <is>
          <t>2026-10-05 UTC (WFM pull 02:52-04:00)</t>
        </is>
      </c>
      <c r="P646" t="inlineStr">
        <is>
          <t>OK</t>
        </is>
      </c>
      <c r="R646" t="inlineStr">
        <is>
          <t>Every current tradeable mod at MAX RANK (WFM catalogue, rivens/locators excluded)</t>
        </is>
      </c>
      <c r="S646" t="inlineStr">
        <is>
          <t>energy_transfer</t>
        </is>
      </c>
      <c r="T646" t="n">
        <v>5</v>
      </c>
      <c r="U646" t="n">
        <v>5</v>
      </c>
      <c r="V646" t="n">
        <v>15</v>
      </c>
      <c r="W646" t="n">
        <v>15</v>
      </c>
      <c r="X646" t="n">
        <v>15.3</v>
      </c>
      <c r="Y646" t="n">
        <v>74</v>
      </c>
      <c r="Z646" t="n">
        <v>0</v>
      </c>
      <c r="AN646" t="inlineStr">
        <is>
          <t>Augment Equinox</t>
        </is>
      </c>
      <c r="AO646" t="n">
        <v>210</v>
      </c>
      <c r="AP646" t="n">
        <v>10143</v>
      </c>
      <c r="AQ646" t="n">
        <v>10</v>
      </c>
      <c r="AS646" t="inlineStr">
        <is>
          <t>Yes</t>
        </is>
      </c>
    </row>
    <row r="647">
      <c r="A647" t="inlineStr">
        <is>
          <t>Mod</t>
        </is>
      </c>
      <c r="B647" t="inlineStr">
        <is>
          <t>Enhanced Durability</t>
        </is>
      </c>
      <c r="E647" t="inlineStr">
        <is>
          <t>Archwing</t>
        </is>
      </c>
      <c r="F647" t="n">
        <v>5</v>
      </c>
      <c r="G647" t="n">
        <v>1</v>
      </c>
      <c r="H647" t="inlineStr">
        <is>
          <t>Player trade (max rank)</t>
        </is>
      </c>
      <c r="I647" t="inlineStr">
        <is>
          <t>Yes</t>
        </is>
      </c>
      <c r="K647" t="inlineStr">
        <is>
          <t>Collection</t>
        </is>
      </c>
      <c r="L647" t="n">
        <v>15</v>
      </c>
      <c r="M647" t="n">
        <v>18</v>
      </c>
      <c r="N647" t="n">
        <v>33</v>
      </c>
      <c r="O647" t="inlineStr">
        <is>
          <t>2026-10-05 UTC (WFM pull 02:52-04:00)</t>
        </is>
      </c>
      <c r="P647" t="inlineStr">
        <is>
          <t>OK</t>
        </is>
      </c>
      <c r="R647" t="inlineStr">
        <is>
          <t>Every current tradeable mod at MAX RANK (WFM catalogue, rivens/locators excluded)</t>
        </is>
      </c>
      <c r="S647" t="inlineStr">
        <is>
          <t>enhanced_durability</t>
        </is>
      </c>
      <c r="T647" t="n">
        <v>3</v>
      </c>
      <c r="U647" t="n">
        <v>3</v>
      </c>
      <c r="V647" t="n">
        <v>12</v>
      </c>
      <c r="W647" t="n">
        <v>10</v>
      </c>
      <c r="X647" t="n">
        <v>10.6</v>
      </c>
      <c r="Y647" t="n">
        <v>11</v>
      </c>
      <c r="Z647" t="n">
        <v>0</v>
      </c>
      <c r="AN647" t="inlineStr">
        <is>
          <t>Archwing</t>
        </is>
      </c>
      <c r="AO647" t="n">
        <v>620</v>
      </c>
      <c r="AP647" t="n">
        <v>29946</v>
      </c>
      <c r="AQ647" t="n">
        <v>3</v>
      </c>
      <c r="AS647" t="inlineStr">
        <is>
          <t>Yes</t>
        </is>
      </c>
    </row>
    <row r="648">
      <c r="A648" t="inlineStr">
        <is>
          <t>Mod</t>
        </is>
      </c>
      <c r="B648" t="inlineStr">
        <is>
          <t>Enhanced Vitality</t>
        </is>
      </c>
      <c r="E648" t="inlineStr">
        <is>
          <t>Companion</t>
        </is>
      </c>
      <c r="F648" t="n">
        <v>10</v>
      </c>
      <c r="G648" t="n">
        <v>1</v>
      </c>
      <c r="H648" t="inlineStr">
        <is>
          <t>Player trade (max rank)</t>
        </is>
      </c>
      <c r="I648" t="inlineStr">
        <is>
          <t>Yes</t>
        </is>
      </c>
      <c r="K648" t="inlineStr">
        <is>
          <t>Collection</t>
        </is>
      </c>
      <c r="L648" t="n">
        <v>28</v>
      </c>
      <c r="M648" t="n">
        <v>35</v>
      </c>
      <c r="N648" t="n">
        <v>44</v>
      </c>
      <c r="O648" t="inlineStr">
        <is>
          <t>2026-10-05 UTC (WFM pull 02:52-04:00)</t>
        </is>
      </c>
      <c r="P648" t="inlineStr">
        <is>
          <t>OK</t>
        </is>
      </c>
      <c r="R648" t="inlineStr">
        <is>
          <t>Every current tradeable mod at MAX RANK (WFM catalogue, rivens/locators excluded)</t>
        </is>
      </c>
      <c r="S648" t="inlineStr">
        <is>
          <t>enhanced_vitality</t>
        </is>
      </c>
      <c r="T648" t="n">
        <v>8</v>
      </c>
      <c r="U648" t="n">
        <v>8</v>
      </c>
      <c r="V648" t="n">
        <v>29.5</v>
      </c>
      <c r="W648" t="n">
        <v>31.5</v>
      </c>
      <c r="X648" t="n">
        <v>32.1</v>
      </c>
      <c r="Y648" t="n">
        <v>54</v>
      </c>
      <c r="Z648" t="n">
        <v>0</v>
      </c>
      <c r="AN648" t="inlineStr">
        <is>
          <t>Companion</t>
        </is>
      </c>
      <c r="AO648" t="n">
        <v>10230</v>
      </c>
      <c r="AP648" t="n">
        <v>494109</v>
      </c>
      <c r="AQ648" t="n">
        <v>4.5</v>
      </c>
      <c r="AS648" t="inlineStr">
        <is>
          <t>Yes</t>
        </is>
      </c>
    </row>
    <row r="649">
      <c r="A649" t="inlineStr">
        <is>
          <t>Mod</t>
        </is>
      </c>
      <c r="B649" t="inlineStr">
        <is>
          <t>Enraged</t>
        </is>
      </c>
      <c r="E649" t="inlineStr">
        <is>
          <t>Augment Valkyr</t>
        </is>
      </c>
      <c r="F649" t="n">
        <v>3</v>
      </c>
      <c r="G649" t="n">
        <v>1</v>
      </c>
      <c r="H649" t="inlineStr">
        <is>
          <t>Player trade (max rank)</t>
        </is>
      </c>
      <c r="I649" t="inlineStr">
        <is>
          <t>Yes</t>
        </is>
      </c>
      <c r="K649" t="inlineStr">
        <is>
          <t>Collection</t>
        </is>
      </c>
      <c r="L649" t="n">
        <v>30</v>
      </c>
      <c r="M649" t="n">
        <v>30</v>
      </c>
      <c r="N649" t="n">
        <v>56</v>
      </c>
      <c r="O649" t="inlineStr">
        <is>
          <t>2026-10-05 UTC (WFM pull 02:52-04:00)</t>
        </is>
      </c>
      <c r="P649" t="inlineStr">
        <is>
          <t>OK</t>
        </is>
      </c>
      <c r="R649" t="inlineStr">
        <is>
          <t>Every current tradeable mod at MAX RANK (WFM catalogue, rivens/locators excluded)</t>
        </is>
      </c>
      <c r="S649" t="inlineStr">
        <is>
          <t>enraged</t>
        </is>
      </c>
      <c r="T649" t="n">
        <v>3</v>
      </c>
      <c r="U649" t="n">
        <v>3</v>
      </c>
      <c r="V649" t="n">
        <v>13</v>
      </c>
      <c r="W649" t="n">
        <v>14</v>
      </c>
      <c r="X649" t="n">
        <v>14.2</v>
      </c>
      <c r="Y649" t="n">
        <v>38</v>
      </c>
      <c r="Z649" t="n">
        <v>2</v>
      </c>
      <c r="AN649" t="inlineStr">
        <is>
          <t>Augment Valkyr</t>
        </is>
      </c>
      <c r="AO649" t="n">
        <v>210</v>
      </c>
      <c r="AP649" t="n">
        <v>10143</v>
      </c>
      <c r="AQ649" t="n">
        <v>18</v>
      </c>
      <c r="AS649" t="inlineStr">
        <is>
          <t>Yes</t>
        </is>
      </c>
    </row>
    <row r="650">
      <c r="A650" t="inlineStr">
        <is>
          <t>Mod</t>
        </is>
      </c>
      <c r="B650" t="inlineStr">
        <is>
          <t>Entropy Burst</t>
        </is>
      </c>
      <c r="E650" t="inlineStr">
        <is>
          <t>Augment Supra</t>
        </is>
      </c>
      <c r="F650" t="n">
        <v>3</v>
      </c>
      <c r="G650" t="n">
        <v>1</v>
      </c>
      <c r="H650" t="inlineStr">
        <is>
          <t>Player trade (max rank)</t>
        </is>
      </c>
      <c r="I650" t="inlineStr">
        <is>
          <t>Yes</t>
        </is>
      </c>
      <c r="K650" t="inlineStr">
        <is>
          <t>Collection</t>
        </is>
      </c>
      <c r="L650" t="n">
        <v>10</v>
      </c>
      <c r="M650" t="n">
        <v>15</v>
      </c>
      <c r="N650" t="n">
        <v>33</v>
      </c>
      <c r="O650" t="inlineStr">
        <is>
          <t>2026-10-05 UTC (WFM pull 02:52-04:00)</t>
        </is>
      </c>
      <c r="P650" t="inlineStr">
        <is>
          <t>OK</t>
        </is>
      </c>
      <c r="R650" t="inlineStr">
        <is>
          <t>Every current tradeable mod at MAX RANK (WFM catalogue, rivens/locators excluded)</t>
        </is>
      </c>
      <c r="S650" t="inlineStr">
        <is>
          <t>entropy_burst</t>
        </is>
      </c>
      <c r="T650" t="n">
        <v>3</v>
      </c>
      <c r="U650" t="n">
        <v>3</v>
      </c>
      <c r="V650" t="n">
        <v>10</v>
      </c>
      <c r="W650" t="n">
        <v>10</v>
      </c>
      <c r="X650" t="n">
        <v>12</v>
      </c>
      <c r="Y650" t="n">
        <v>24</v>
      </c>
      <c r="Z650" t="n">
        <v>1</v>
      </c>
      <c r="AN650" t="inlineStr">
        <is>
          <t>Augment Supra</t>
        </is>
      </c>
      <c r="AO650" t="n">
        <v>210</v>
      </c>
      <c r="AP650" t="n">
        <v>10143</v>
      </c>
      <c r="AQ650" t="n">
        <v>8</v>
      </c>
      <c r="AS650" t="inlineStr">
        <is>
          <t>Yes</t>
        </is>
      </c>
    </row>
    <row r="651">
      <c r="A651" t="inlineStr">
        <is>
          <t>Mod</t>
        </is>
      </c>
      <c r="B651" t="inlineStr">
        <is>
          <t>Entropy Detonation</t>
        </is>
      </c>
      <c r="E651" t="inlineStr">
        <is>
          <t>Augment Obex</t>
        </is>
      </c>
      <c r="F651" t="n">
        <v>3</v>
      </c>
      <c r="G651" t="n">
        <v>1</v>
      </c>
      <c r="H651" t="inlineStr">
        <is>
          <t>Player trade (max rank)</t>
        </is>
      </c>
      <c r="I651" t="inlineStr">
        <is>
          <t>Yes</t>
        </is>
      </c>
      <c r="K651" t="inlineStr">
        <is>
          <t>Collection</t>
        </is>
      </c>
      <c r="L651" t="n">
        <v>9</v>
      </c>
      <c r="M651" t="n">
        <v>10</v>
      </c>
      <c r="N651" t="n">
        <v>17</v>
      </c>
      <c r="O651" t="inlineStr">
        <is>
          <t>2026-10-05 UTC (WFM pull 02:52-04:00)</t>
        </is>
      </c>
      <c r="P651" t="inlineStr">
        <is>
          <t>OK</t>
        </is>
      </c>
      <c r="R651" t="inlineStr">
        <is>
          <t>Every current tradeable mod at MAX RANK (WFM catalogue, rivens/locators excluded)</t>
        </is>
      </c>
      <c r="S651" t="inlineStr">
        <is>
          <t>entropy_detonation</t>
        </is>
      </c>
      <c r="T651" t="n">
        <v>59</v>
      </c>
      <c r="U651" t="n">
        <v>2</v>
      </c>
      <c r="V651" t="n">
        <v>15</v>
      </c>
      <c r="W651" t="n">
        <v>14</v>
      </c>
      <c r="X651" t="n">
        <v>13.8</v>
      </c>
      <c r="Y651" t="n">
        <v>37</v>
      </c>
      <c r="Z651" t="n">
        <v>0</v>
      </c>
      <c r="AN651" t="inlineStr">
        <is>
          <t>Augment Obex</t>
        </is>
      </c>
      <c r="AO651" t="n">
        <v>210</v>
      </c>
      <c r="AP651" t="n">
        <v>10143</v>
      </c>
      <c r="AQ651" t="n">
        <v>14</v>
      </c>
      <c r="AS651" t="inlineStr">
        <is>
          <t>Yes</t>
        </is>
      </c>
    </row>
    <row r="652">
      <c r="A652" t="inlineStr">
        <is>
          <t>Mod</t>
        </is>
      </c>
      <c r="B652" t="inlineStr">
        <is>
          <t>Entropy Flight</t>
        </is>
      </c>
      <c r="E652" t="inlineStr">
        <is>
          <t>Augment Kestrel</t>
        </is>
      </c>
      <c r="F652" t="n">
        <v>3</v>
      </c>
      <c r="G652" t="n">
        <v>1</v>
      </c>
      <c r="H652" t="inlineStr">
        <is>
          <t>Player trade (max rank)</t>
        </is>
      </c>
      <c r="I652" t="inlineStr">
        <is>
          <t>Yes</t>
        </is>
      </c>
      <c r="K652" t="inlineStr">
        <is>
          <t>Collection</t>
        </is>
      </c>
      <c r="L652" t="n">
        <v>20</v>
      </c>
      <c r="M652" t="n">
        <v>20</v>
      </c>
      <c r="N652" t="n">
        <v>44</v>
      </c>
      <c r="O652" t="inlineStr">
        <is>
          <t>2026-10-05 UTC (WFM pull 02:52-04:00)</t>
        </is>
      </c>
      <c r="P652" t="inlineStr">
        <is>
          <t>OK</t>
        </is>
      </c>
      <c r="R652" t="inlineStr">
        <is>
          <t>Every current tradeable mod at MAX RANK (WFM catalogue, rivens/locators excluded)</t>
        </is>
      </c>
      <c r="S652" t="inlineStr">
        <is>
          <t>entropy_flight</t>
        </is>
      </c>
      <c r="T652" t="n">
        <v>3</v>
      </c>
      <c r="U652" t="n">
        <v>3</v>
      </c>
      <c r="V652" t="n">
        <v>10</v>
      </c>
      <c r="W652" t="n">
        <v>10.5</v>
      </c>
      <c r="X652" t="n">
        <v>13.5</v>
      </c>
      <c r="Y652" t="n">
        <v>15</v>
      </c>
      <c r="Z652" t="n">
        <v>0</v>
      </c>
      <c r="AN652" t="inlineStr">
        <is>
          <t>Augment Kestrel</t>
        </is>
      </c>
      <c r="AO652" t="n">
        <v>210</v>
      </c>
      <c r="AP652" t="n">
        <v>10143</v>
      </c>
      <c r="AQ652" t="n">
        <v>15</v>
      </c>
      <c r="AS652" t="inlineStr">
        <is>
          <t>Yes</t>
        </is>
      </c>
    </row>
    <row r="653">
      <c r="A653" t="inlineStr">
        <is>
          <t>Mod</t>
        </is>
      </c>
      <c r="B653" t="inlineStr">
        <is>
          <t>Entropy Spike</t>
        </is>
      </c>
      <c r="E653" t="inlineStr">
        <is>
          <t>Augment Bolto</t>
        </is>
      </c>
      <c r="F653" t="n">
        <v>3</v>
      </c>
      <c r="G653" t="n">
        <v>1</v>
      </c>
      <c r="H653" t="inlineStr">
        <is>
          <t>Player trade (max rank)</t>
        </is>
      </c>
      <c r="I653" t="inlineStr">
        <is>
          <t>Yes</t>
        </is>
      </c>
      <c r="K653" t="inlineStr">
        <is>
          <t>Collection</t>
        </is>
      </c>
      <c r="L653" t="n">
        <v>25</v>
      </c>
      <c r="M653" t="n">
        <v>25</v>
      </c>
      <c r="N653" t="n">
        <v>56</v>
      </c>
      <c r="O653" t="inlineStr">
        <is>
          <t>2026-10-05 UTC (WFM pull 02:52-04:00)</t>
        </is>
      </c>
      <c r="P653" t="inlineStr">
        <is>
          <t>OK</t>
        </is>
      </c>
      <c r="R653" t="inlineStr">
        <is>
          <t>Every current tradeable mod at MAX RANK (WFM catalogue, rivens/locators excluded)</t>
        </is>
      </c>
      <c r="S653" t="inlineStr">
        <is>
          <t>entropy_spike</t>
        </is>
      </c>
      <c r="T653" t="n">
        <v>3</v>
      </c>
      <c r="U653" t="n">
        <v>3</v>
      </c>
      <c r="W653" t="n">
        <v>15</v>
      </c>
      <c r="X653" t="n">
        <v>14.7</v>
      </c>
      <c r="Y653" t="n">
        <v>9</v>
      </c>
      <c r="Z653" t="n">
        <v>0</v>
      </c>
      <c r="AN653" t="inlineStr">
        <is>
          <t>Augment Bolto</t>
        </is>
      </c>
      <c r="AO653" t="n">
        <v>210</v>
      </c>
      <c r="AP653" t="n">
        <v>10143</v>
      </c>
      <c r="AQ653" t="n">
        <v>6</v>
      </c>
      <c r="AS653" t="inlineStr">
        <is>
          <t>Yes</t>
        </is>
      </c>
    </row>
    <row r="654">
      <c r="A654" t="inlineStr">
        <is>
          <t>Mod</t>
        </is>
      </c>
      <c r="B654" t="inlineStr">
        <is>
          <t>Enveloping Cloud</t>
        </is>
      </c>
      <c r="E654" t="inlineStr">
        <is>
          <t>Augment Wukong</t>
        </is>
      </c>
      <c r="F654" t="n">
        <v>3</v>
      </c>
      <c r="G654" t="n">
        <v>1</v>
      </c>
      <c r="H654" t="inlineStr">
        <is>
          <t>Player trade (max rank)</t>
        </is>
      </c>
      <c r="I654" t="inlineStr">
        <is>
          <t>Yes</t>
        </is>
      </c>
      <c r="K654" t="inlineStr">
        <is>
          <t>Collection</t>
        </is>
      </c>
      <c r="L654" t="n">
        <v>15</v>
      </c>
      <c r="M654" t="n">
        <v>22.5</v>
      </c>
      <c r="N654" t="n">
        <v>50</v>
      </c>
      <c r="O654" t="inlineStr">
        <is>
          <t>2026-10-05 UTC (WFM pull 02:52-04:00)</t>
        </is>
      </c>
      <c r="P654" t="inlineStr">
        <is>
          <t>OK</t>
        </is>
      </c>
      <c r="R654" t="inlineStr">
        <is>
          <t>Every current tradeable mod at MAX RANK (WFM catalogue, rivens/locators excluded)</t>
        </is>
      </c>
      <c r="S654" t="inlineStr">
        <is>
          <t>enveloping_cloud</t>
        </is>
      </c>
      <c r="T654" t="n">
        <v>7</v>
      </c>
      <c r="U654" t="n">
        <v>7</v>
      </c>
      <c r="V654" t="n">
        <v>15</v>
      </c>
      <c r="W654" t="n">
        <v>14</v>
      </c>
      <c r="X654" t="n">
        <v>14</v>
      </c>
      <c r="Y654" t="n">
        <v>67</v>
      </c>
      <c r="Z654" t="n">
        <v>1</v>
      </c>
      <c r="AN654" t="inlineStr">
        <is>
          <t>Augment Wukong</t>
        </is>
      </c>
      <c r="AO654" t="n">
        <v>210</v>
      </c>
      <c r="AP654" t="n">
        <v>10143</v>
      </c>
      <c r="AQ654" t="n">
        <v>14</v>
      </c>
      <c r="AS654" t="inlineStr">
        <is>
          <t>Yes</t>
        </is>
      </c>
    </row>
    <row r="655">
      <c r="A655" t="inlineStr">
        <is>
          <t>Mod</t>
        </is>
      </c>
      <c r="B655" t="inlineStr">
        <is>
          <t>Equilibrium</t>
        </is>
      </c>
      <c r="E655" t="inlineStr">
        <is>
          <t>Warframe</t>
        </is>
      </c>
      <c r="F655" t="n">
        <v>10</v>
      </c>
      <c r="G655" t="n">
        <v>1</v>
      </c>
      <c r="H655" t="inlineStr">
        <is>
          <t>Player trade (max rank)</t>
        </is>
      </c>
      <c r="I655" t="inlineStr">
        <is>
          <t>Yes</t>
        </is>
      </c>
      <c r="K655" t="inlineStr">
        <is>
          <t>Collection</t>
        </is>
      </c>
      <c r="L655" t="n">
        <v>54</v>
      </c>
      <c r="M655" t="n">
        <v>55</v>
      </c>
      <c r="N655" t="n">
        <v>61</v>
      </c>
      <c r="O655" t="inlineStr">
        <is>
          <t>2026-10-05 UTC (WFM pull 02:52-04:00)</t>
        </is>
      </c>
      <c r="P655" t="inlineStr">
        <is>
          <t>OK</t>
        </is>
      </c>
      <c r="R655" t="inlineStr">
        <is>
          <t>Every current tradeable mod at MAX RANK (WFM catalogue, rivens/locators excluded)</t>
        </is>
      </c>
      <c r="S655" t="inlineStr">
        <is>
          <t>equilibrium</t>
        </is>
      </c>
      <c r="T655" t="n">
        <v>15</v>
      </c>
      <c r="U655" t="n">
        <v>15</v>
      </c>
      <c r="V655" t="n">
        <v>50</v>
      </c>
      <c r="W655" t="n">
        <v>50</v>
      </c>
      <c r="X655" t="n">
        <v>49.7</v>
      </c>
      <c r="Y655" t="n">
        <v>2060</v>
      </c>
      <c r="Z655" t="n">
        <v>36</v>
      </c>
      <c r="AA655" t="n">
        <v>38</v>
      </c>
      <c r="AB655" t="n">
        <v>16</v>
      </c>
      <c r="AN655" t="inlineStr">
        <is>
          <t>Warframe</t>
        </is>
      </c>
      <c r="AO655" t="n">
        <v>20460</v>
      </c>
      <c r="AP655" t="n">
        <v>988218</v>
      </c>
      <c r="AQ655" t="n">
        <v>6</v>
      </c>
      <c r="AS655" t="inlineStr">
        <is>
          <t>Yes</t>
        </is>
      </c>
    </row>
    <row r="656">
      <c r="A656" t="inlineStr">
        <is>
          <t>Mod</t>
        </is>
      </c>
      <c r="B656" t="inlineStr">
        <is>
          <t>Equilibrium Audit</t>
        </is>
      </c>
      <c r="E656" t="inlineStr">
        <is>
          <t>Hound</t>
        </is>
      </c>
      <c r="F656" t="n">
        <v>5</v>
      </c>
      <c r="G656" t="n">
        <v>1</v>
      </c>
      <c r="H656" t="inlineStr">
        <is>
          <t>Player trade (max rank)</t>
        </is>
      </c>
      <c r="I656" t="inlineStr">
        <is>
          <t>Yes</t>
        </is>
      </c>
      <c r="K656" t="inlineStr">
        <is>
          <t>Collection</t>
        </is>
      </c>
      <c r="L656" t="n">
        <v>20</v>
      </c>
      <c r="M656" t="n">
        <v>20</v>
      </c>
      <c r="N656" t="n">
        <v>44</v>
      </c>
      <c r="O656" t="inlineStr">
        <is>
          <t>2026-10-05 UTC (WFM pull 02:52-04:00)</t>
        </is>
      </c>
      <c r="P656" t="inlineStr">
        <is>
          <t>OK</t>
        </is>
      </c>
      <c r="R656" t="inlineStr">
        <is>
          <t>Every current tradeable mod at MAX RANK (WFM catalogue, rivens/locators excluded)</t>
        </is>
      </c>
      <c r="S656" t="inlineStr">
        <is>
          <t>equilibrium_audit</t>
        </is>
      </c>
      <c r="T656" t="n">
        <v>3</v>
      </c>
      <c r="U656" t="n">
        <v>3</v>
      </c>
      <c r="V656" t="n">
        <v>15</v>
      </c>
      <c r="W656" t="n">
        <v>15</v>
      </c>
      <c r="X656" t="n">
        <v>14.6</v>
      </c>
      <c r="Y656" t="n">
        <v>10</v>
      </c>
      <c r="Z656" t="n">
        <v>0</v>
      </c>
      <c r="AN656" t="inlineStr">
        <is>
          <t>Hound</t>
        </is>
      </c>
      <c r="AO656" t="n">
        <v>930</v>
      </c>
      <c r="AP656" t="n">
        <v>44919</v>
      </c>
      <c r="AQ656" t="n">
        <v>4</v>
      </c>
      <c r="AS656" t="inlineStr">
        <is>
          <t>Yes</t>
        </is>
      </c>
    </row>
    <row r="657">
      <c r="A657" t="inlineStr">
        <is>
          <t>Mod</t>
        </is>
      </c>
      <c r="B657" t="inlineStr">
        <is>
          <t>Eroding Blight</t>
        </is>
      </c>
      <c r="E657" t="inlineStr">
        <is>
          <t>Augment Embolist</t>
        </is>
      </c>
      <c r="F657" t="n">
        <v>3</v>
      </c>
      <c r="G657" t="n">
        <v>1</v>
      </c>
      <c r="H657" t="inlineStr">
        <is>
          <t>Player trade (max rank)</t>
        </is>
      </c>
      <c r="I657" t="inlineStr">
        <is>
          <t>Yes</t>
        </is>
      </c>
      <c r="K657" t="inlineStr">
        <is>
          <t>Collection</t>
        </is>
      </c>
      <c r="L657" t="n">
        <v>20</v>
      </c>
      <c r="M657" t="n">
        <v>20</v>
      </c>
      <c r="N657" t="n">
        <v>44</v>
      </c>
      <c r="O657" t="inlineStr">
        <is>
          <t>2026-10-05 UTC (WFM pull 02:52-04:00)</t>
        </is>
      </c>
      <c r="P657" t="inlineStr">
        <is>
          <t>OK</t>
        </is>
      </c>
      <c r="R657" t="inlineStr">
        <is>
          <t>Every current tradeable mod at MAX RANK (WFM catalogue, rivens/locators excluded)</t>
        </is>
      </c>
      <c r="S657" t="inlineStr">
        <is>
          <t>eroding_blight</t>
        </is>
      </c>
      <c r="T657" t="n">
        <v>4</v>
      </c>
      <c r="U657" t="n">
        <v>4</v>
      </c>
      <c r="V657" t="n">
        <v>10</v>
      </c>
      <c r="W657" t="n">
        <v>10</v>
      </c>
      <c r="X657" t="n">
        <v>12.3</v>
      </c>
      <c r="Y657" t="n">
        <v>13</v>
      </c>
      <c r="Z657" t="n">
        <v>1</v>
      </c>
      <c r="AN657" t="inlineStr">
        <is>
          <t>Augment Embolist</t>
        </is>
      </c>
      <c r="AO657" t="n">
        <v>210</v>
      </c>
      <c r="AP657" t="n">
        <v>10143</v>
      </c>
      <c r="AQ657" t="n">
        <v>15</v>
      </c>
      <c r="AS657" t="inlineStr">
        <is>
          <t>Yes</t>
        </is>
      </c>
    </row>
    <row r="658">
      <c r="A658" t="inlineStr">
        <is>
          <t>Mod</t>
        </is>
      </c>
      <c r="B658" t="inlineStr">
        <is>
          <t>Escape Velocity</t>
        </is>
      </c>
      <c r="E658" t="inlineStr">
        <is>
          <t>Augment Nova</t>
        </is>
      </c>
      <c r="F658" t="n">
        <v>3</v>
      </c>
      <c r="G658" t="n">
        <v>1</v>
      </c>
      <c r="H658" t="inlineStr">
        <is>
          <t>Player trade (max rank)</t>
        </is>
      </c>
      <c r="I658" t="inlineStr">
        <is>
          <t>Yes</t>
        </is>
      </c>
      <c r="K658" t="inlineStr">
        <is>
          <t>Collection</t>
        </is>
      </c>
      <c r="L658" t="n">
        <v>10</v>
      </c>
      <c r="M658" t="n">
        <v>10</v>
      </c>
      <c r="N658" t="n">
        <v>17</v>
      </c>
      <c r="O658" t="inlineStr">
        <is>
          <t>2026-10-05 UTC (WFM pull 02:52-04:00)</t>
        </is>
      </c>
      <c r="P658" t="inlineStr">
        <is>
          <t>OK</t>
        </is>
      </c>
      <c r="R658" t="inlineStr">
        <is>
          <t>Every current tradeable mod at MAX RANK (WFM catalogue, rivens/locators excluded)</t>
        </is>
      </c>
      <c r="S658" t="inlineStr">
        <is>
          <t>escape_velocity</t>
        </is>
      </c>
      <c r="T658" t="n">
        <v>96</v>
      </c>
      <c r="U658" t="n">
        <v>1</v>
      </c>
      <c r="V658" t="n">
        <v>15</v>
      </c>
      <c r="W658" t="n">
        <v>15</v>
      </c>
      <c r="X658" t="n">
        <v>15.6</v>
      </c>
      <c r="Y658" t="n">
        <v>148</v>
      </c>
      <c r="Z658" t="n">
        <v>0</v>
      </c>
      <c r="AN658" t="inlineStr">
        <is>
          <t>Augment Nova</t>
        </is>
      </c>
      <c r="AO658" t="n">
        <v>210</v>
      </c>
      <c r="AP658" t="n">
        <v>10143</v>
      </c>
      <c r="AQ658" t="n">
        <v>13.5</v>
      </c>
      <c r="AS658" t="inlineStr">
        <is>
          <t>Yes</t>
        </is>
      </c>
    </row>
    <row r="659">
      <c r="A659" t="inlineStr">
        <is>
          <t>Mod</t>
        </is>
      </c>
      <c r="B659" t="inlineStr">
        <is>
          <t>Esti Vel-Ikha</t>
        </is>
      </c>
      <c r="E659" t="inlineStr">
        <is>
          <t>Antique</t>
        </is>
      </c>
      <c r="F659" t="n">
        <v>5</v>
      </c>
      <c r="G659" t="n">
        <v>1</v>
      </c>
      <c r="H659" t="inlineStr">
        <is>
          <t>Player trade (max rank)</t>
        </is>
      </c>
      <c r="I659" t="inlineStr">
        <is>
          <t>Yes</t>
        </is>
      </c>
      <c r="K659" t="inlineStr">
        <is>
          <t>Collection</t>
        </is>
      </c>
      <c r="L659" t="n">
        <v>36</v>
      </c>
      <c r="M659" t="n">
        <v>43.5</v>
      </c>
      <c r="N659" t="n">
        <v>77</v>
      </c>
      <c r="O659" t="inlineStr">
        <is>
          <t>2026-10-05 UTC (WFM pull 02:52-04:00)</t>
        </is>
      </c>
      <c r="P659" t="inlineStr">
        <is>
          <t>OK</t>
        </is>
      </c>
      <c r="R659" t="inlineStr">
        <is>
          <t>Every current tradeable mod at MAX RANK (WFM catalogue, rivens/locators excluded)</t>
        </is>
      </c>
      <c r="S659" t="inlineStr">
        <is>
          <t>esti_vel_ikha</t>
        </is>
      </c>
      <c r="T659" t="n">
        <v>3</v>
      </c>
      <c r="U659" t="n">
        <v>3</v>
      </c>
      <c r="V659" t="n">
        <v>29</v>
      </c>
      <c r="W659" t="n">
        <v>29</v>
      </c>
      <c r="X659" t="n">
        <v>28.4</v>
      </c>
      <c r="Y659" t="n">
        <v>66</v>
      </c>
      <c r="Z659" t="n">
        <v>2</v>
      </c>
      <c r="AN659" t="inlineStr">
        <is>
          <t>Antique</t>
        </is>
      </c>
      <c r="AO659" t="n">
        <v>930</v>
      </c>
      <c r="AP659" t="n">
        <v>44919</v>
      </c>
      <c r="AQ659" t="n">
        <v>3</v>
      </c>
      <c r="AS659" t="inlineStr">
        <is>
          <t>Yes</t>
        </is>
      </c>
    </row>
    <row r="660">
      <c r="A660" t="inlineStr">
        <is>
          <t>Mod</t>
        </is>
      </c>
      <c r="B660" t="inlineStr">
        <is>
          <t>Eternal War</t>
        </is>
      </c>
      <c r="E660" t="inlineStr">
        <is>
          <t>Augment Valkyr</t>
        </is>
      </c>
      <c r="F660" t="n">
        <v>3</v>
      </c>
      <c r="G660" t="n">
        <v>1</v>
      </c>
      <c r="H660" t="inlineStr">
        <is>
          <t>Player trade (max rank)</t>
        </is>
      </c>
      <c r="I660" t="inlineStr">
        <is>
          <t>Yes</t>
        </is>
      </c>
      <c r="K660" t="inlineStr">
        <is>
          <t>Collection</t>
        </is>
      </c>
      <c r="L660" t="n">
        <v>13</v>
      </c>
      <c r="M660" t="n">
        <v>22.5</v>
      </c>
      <c r="N660" t="n">
        <v>39</v>
      </c>
      <c r="O660" t="inlineStr">
        <is>
          <t>2026-10-05 UTC (WFM pull 02:52-04:00)</t>
        </is>
      </c>
      <c r="P660" t="inlineStr">
        <is>
          <t>OK</t>
        </is>
      </c>
      <c r="R660" t="inlineStr">
        <is>
          <t>Every current tradeable mod at MAX RANK (WFM catalogue, rivens/locators excluded)</t>
        </is>
      </c>
      <c r="S660" t="inlineStr">
        <is>
          <t>eternal_war</t>
        </is>
      </c>
      <c r="T660" t="n">
        <v>5</v>
      </c>
      <c r="U660" t="n">
        <v>5</v>
      </c>
      <c r="V660" t="n">
        <v>15</v>
      </c>
      <c r="W660" t="n">
        <v>15</v>
      </c>
      <c r="X660" t="n">
        <v>14.3</v>
      </c>
      <c r="Y660" t="n">
        <v>688</v>
      </c>
      <c r="Z660" t="n">
        <v>20</v>
      </c>
      <c r="AN660" t="inlineStr">
        <is>
          <t>Augment Valkyr</t>
        </is>
      </c>
      <c r="AO660" t="n">
        <v>210</v>
      </c>
      <c r="AP660" t="n">
        <v>10143</v>
      </c>
      <c r="AQ660" t="n">
        <v>13</v>
      </c>
      <c r="AS660" t="inlineStr">
        <is>
          <t>Yes</t>
        </is>
      </c>
    </row>
    <row r="661">
      <c r="A661" t="inlineStr">
        <is>
          <t>Mod</t>
        </is>
      </c>
      <c r="B661" t="inlineStr">
        <is>
          <t>Evasive Denial</t>
        </is>
      </c>
      <c r="E661" t="inlineStr">
        <is>
          <t>Hound</t>
        </is>
      </c>
      <c r="F661" t="n">
        <v>5</v>
      </c>
      <c r="G661" t="n">
        <v>1</v>
      </c>
      <c r="H661" t="inlineStr">
        <is>
          <t>Player trade (max rank)</t>
        </is>
      </c>
      <c r="I661" t="inlineStr">
        <is>
          <t>Yes</t>
        </is>
      </c>
      <c r="K661" t="inlineStr">
        <is>
          <t>Collection</t>
        </is>
      </c>
      <c r="L661" t="n">
        <v>7</v>
      </c>
      <c r="M661" t="n">
        <v>10.5</v>
      </c>
      <c r="N661" t="n">
        <v>24</v>
      </c>
      <c r="O661" t="inlineStr">
        <is>
          <t>2026-10-05 UTC (WFM pull 02:52-04:00)</t>
        </is>
      </c>
      <c r="P661" t="inlineStr">
        <is>
          <t>OK</t>
        </is>
      </c>
      <c r="R661" t="inlineStr">
        <is>
          <t>Every current tradeable mod at MAX RANK (WFM catalogue, rivens/locators excluded)</t>
        </is>
      </c>
      <c r="S661" t="inlineStr">
        <is>
          <t>evasive_denial</t>
        </is>
      </c>
      <c r="T661" t="n">
        <v>4</v>
      </c>
      <c r="U661" t="n">
        <v>4</v>
      </c>
      <c r="V661" t="n">
        <v>7</v>
      </c>
      <c r="W661" t="n">
        <v>11</v>
      </c>
      <c r="X661" t="n">
        <v>19</v>
      </c>
      <c r="Y661" t="n">
        <v>5</v>
      </c>
      <c r="Z661" t="n">
        <v>0</v>
      </c>
      <c r="AN661" t="inlineStr">
        <is>
          <t>Hound</t>
        </is>
      </c>
      <c r="AO661" t="n">
        <v>930</v>
      </c>
      <c r="AP661" t="n">
        <v>44919</v>
      </c>
      <c r="AQ661" t="n">
        <v>4</v>
      </c>
      <c r="AS661" t="inlineStr">
        <is>
          <t>Yes</t>
        </is>
      </c>
    </row>
    <row r="662">
      <c r="A662" t="inlineStr">
        <is>
          <t>Mod</t>
        </is>
      </c>
      <c r="B662" t="inlineStr">
        <is>
          <t>Everlasting Ward</t>
        </is>
      </c>
      <c r="E662" t="inlineStr">
        <is>
          <t>Augment Chroma</t>
        </is>
      </c>
      <c r="F662" t="n">
        <v>3</v>
      </c>
      <c r="G662" t="n">
        <v>1</v>
      </c>
      <c r="H662" t="inlineStr">
        <is>
          <t>Player trade (max rank)</t>
        </is>
      </c>
      <c r="I662" t="inlineStr">
        <is>
          <t>Yes</t>
        </is>
      </c>
      <c r="K662" t="inlineStr">
        <is>
          <t>Collection</t>
        </is>
      </c>
      <c r="L662" t="n">
        <v>15</v>
      </c>
      <c r="M662" t="n">
        <v>15</v>
      </c>
      <c r="N662" t="n">
        <v>33</v>
      </c>
      <c r="O662" t="inlineStr">
        <is>
          <t>2026-10-05 UTC (WFM pull 02:52-04:00)</t>
        </is>
      </c>
      <c r="P662" t="inlineStr">
        <is>
          <t>OK</t>
        </is>
      </c>
      <c r="R662" t="inlineStr">
        <is>
          <t>Every current tradeable mod at MAX RANK (WFM catalogue, rivens/locators excluded)</t>
        </is>
      </c>
      <c r="S662" t="inlineStr">
        <is>
          <t>everlasting_ward</t>
        </is>
      </c>
      <c r="T662" t="n">
        <v>5</v>
      </c>
      <c r="U662" t="n">
        <v>5</v>
      </c>
      <c r="V662" t="n">
        <v>10</v>
      </c>
      <c r="W662" t="n">
        <v>12</v>
      </c>
      <c r="X662" t="n">
        <v>13.8</v>
      </c>
      <c r="Y662" t="n">
        <v>12</v>
      </c>
      <c r="Z662" t="n">
        <v>0</v>
      </c>
      <c r="AN662" t="inlineStr">
        <is>
          <t>Augment Chroma</t>
        </is>
      </c>
      <c r="AO662" t="n">
        <v>210</v>
      </c>
      <c r="AP662" t="n">
        <v>10143</v>
      </c>
      <c r="AQ662" t="n">
        <v>10</v>
      </c>
      <c r="AS662" t="inlineStr">
        <is>
          <t>Yes</t>
        </is>
      </c>
    </row>
    <row r="663">
      <c r="A663" t="inlineStr">
        <is>
          <t>Mod</t>
        </is>
      </c>
      <c r="B663" t="inlineStr">
        <is>
          <t>Evir-Ti</t>
        </is>
      </c>
      <c r="E663" t="inlineStr">
        <is>
          <t>Antique</t>
        </is>
      </c>
      <c r="F663" t="n">
        <v>3</v>
      </c>
      <c r="G663" t="n">
        <v>1</v>
      </c>
      <c r="H663" t="inlineStr">
        <is>
          <t>Player trade (max rank)</t>
        </is>
      </c>
      <c r="I663" t="inlineStr">
        <is>
          <t>Yes</t>
        </is>
      </c>
      <c r="K663" t="inlineStr">
        <is>
          <t>Collection</t>
        </is>
      </c>
      <c r="L663" t="n">
        <v>5</v>
      </c>
      <c r="M663" t="n">
        <v>9</v>
      </c>
      <c r="N663" t="n">
        <v>11</v>
      </c>
      <c r="O663" t="inlineStr">
        <is>
          <t>2026-10-05 UTC (WFM pull 02:52-04:00)</t>
        </is>
      </c>
      <c r="P663" t="inlineStr">
        <is>
          <t>OK</t>
        </is>
      </c>
      <c r="R663" t="inlineStr">
        <is>
          <t>Every current tradeable mod at MAX RANK (WFM catalogue, rivens/locators excluded)</t>
        </is>
      </c>
      <c r="S663" t="inlineStr">
        <is>
          <t>evir_ti</t>
        </is>
      </c>
      <c r="T663" t="n">
        <v>77</v>
      </c>
      <c r="U663" t="n">
        <v>2</v>
      </c>
      <c r="V663" t="n">
        <v>10</v>
      </c>
      <c r="W663" t="n">
        <v>10</v>
      </c>
      <c r="X663" t="n">
        <v>11.2</v>
      </c>
      <c r="Y663" t="n">
        <v>13</v>
      </c>
      <c r="Z663" t="n">
        <v>11</v>
      </c>
      <c r="AN663" t="inlineStr">
        <is>
          <t>Antique</t>
        </is>
      </c>
      <c r="AO663" t="n">
        <v>70</v>
      </c>
      <c r="AP663" t="n">
        <v>3381</v>
      </c>
      <c r="AQ663" t="n">
        <v>4</v>
      </c>
      <c r="AS663" t="inlineStr">
        <is>
          <t>Yes</t>
        </is>
      </c>
    </row>
    <row r="664">
      <c r="A664" t="inlineStr">
        <is>
          <t>Mod</t>
        </is>
      </c>
      <c r="B664" t="inlineStr">
        <is>
          <t>Eximus Advantage</t>
        </is>
      </c>
      <c r="E664" t="inlineStr">
        <is>
          <t>Zylok</t>
        </is>
      </c>
      <c r="F664" t="n">
        <v>5</v>
      </c>
      <c r="G664" t="n">
        <v>1</v>
      </c>
      <c r="H664" t="inlineStr">
        <is>
          <t>Player trade (max rank)</t>
        </is>
      </c>
      <c r="I664" t="inlineStr">
        <is>
          <t>Yes</t>
        </is>
      </c>
      <c r="K664" t="inlineStr">
        <is>
          <t>Collection</t>
        </is>
      </c>
      <c r="L664" t="n">
        <v>12</v>
      </c>
      <c r="M664" t="n">
        <v>52.5</v>
      </c>
      <c r="N664" t="n">
        <v>116</v>
      </c>
      <c r="O664" t="inlineStr">
        <is>
          <t>2026-10-05 UTC (WFM pull 02:52-04:00)</t>
        </is>
      </c>
      <c r="P664" t="inlineStr">
        <is>
          <t>OK</t>
        </is>
      </c>
      <c r="R664" t="inlineStr">
        <is>
          <t>Every current tradeable mod at MAX RANK (WFM catalogue, rivens/locators excluded)</t>
        </is>
      </c>
      <c r="S664" t="inlineStr">
        <is>
          <t>eximus_advantage</t>
        </is>
      </c>
      <c r="T664" t="n">
        <v>5</v>
      </c>
      <c r="U664" t="n">
        <v>5</v>
      </c>
      <c r="V664" t="n">
        <v>35</v>
      </c>
      <c r="W664" t="n">
        <v>28</v>
      </c>
      <c r="X664" t="n">
        <v>28.4</v>
      </c>
      <c r="Y664" t="n">
        <v>67</v>
      </c>
      <c r="Z664" t="n">
        <v>1</v>
      </c>
      <c r="AN664" t="inlineStr">
        <is>
          <t>Zylok</t>
        </is>
      </c>
      <c r="AO664" t="n">
        <v>930</v>
      </c>
      <c r="AP664" t="n">
        <v>44919</v>
      </c>
      <c r="AQ664" t="n">
        <v>10</v>
      </c>
      <c r="AS664" t="inlineStr">
        <is>
          <t>Yes</t>
        </is>
      </c>
    </row>
    <row r="665">
      <c r="A665" t="inlineStr">
        <is>
          <t>Mod</t>
        </is>
      </c>
      <c r="B665" t="inlineStr">
        <is>
          <t>Exothermic</t>
        </is>
      </c>
      <c r="E665" t="inlineStr">
        <is>
          <t>Augment Ember</t>
        </is>
      </c>
      <c r="F665" t="n">
        <v>3</v>
      </c>
      <c r="G665" t="n">
        <v>1</v>
      </c>
      <c r="H665" t="inlineStr">
        <is>
          <t>Player trade (max rank)</t>
        </is>
      </c>
      <c r="I665" t="inlineStr">
        <is>
          <t>Yes</t>
        </is>
      </c>
      <c r="K665" t="inlineStr">
        <is>
          <t>Collection</t>
        </is>
      </c>
      <c r="L665" t="n">
        <v>8</v>
      </c>
      <c r="M665" t="n">
        <v>10</v>
      </c>
      <c r="N665" t="n">
        <v>14</v>
      </c>
      <c r="O665" t="inlineStr">
        <is>
          <t>2026-10-05 UTC (WFM pull 02:52-04:00)</t>
        </is>
      </c>
      <c r="P665" t="inlineStr">
        <is>
          <t>OK</t>
        </is>
      </c>
      <c r="R665" t="inlineStr">
        <is>
          <t>Every current tradeable mod at MAX RANK (WFM catalogue, rivens/locators excluded)</t>
        </is>
      </c>
      <c r="S665" t="inlineStr">
        <is>
          <t>exothermic</t>
        </is>
      </c>
      <c r="T665" t="n">
        <v>94</v>
      </c>
      <c r="U665" t="n">
        <v>2</v>
      </c>
      <c r="V665" t="n">
        <v>12.5</v>
      </c>
      <c r="W665" t="n">
        <v>10</v>
      </c>
      <c r="X665" t="n">
        <v>11.3</v>
      </c>
      <c r="Y665" t="n">
        <v>102</v>
      </c>
      <c r="Z665" t="n">
        <v>3</v>
      </c>
      <c r="AN665" t="inlineStr">
        <is>
          <t>Augment Ember</t>
        </is>
      </c>
      <c r="AO665" t="n">
        <v>210</v>
      </c>
      <c r="AP665" t="n">
        <v>10143</v>
      </c>
      <c r="AQ665" t="n">
        <v>11</v>
      </c>
      <c r="AS665" t="inlineStr">
        <is>
          <t>Yes</t>
        </is>
      </c>
    </row>
    <row r="666">
      <c r="A666" t="inlineStr">
        <is>
          <t>Mod</t>
        </is>
      </c>
      <c r="B666" t="inlineStr">
        <is>
          <t>Expel Corpus</t>
        </is>
      </c>
      <c r="E666" t="inlineStr">
        <is>
          <t>Pistol</t>
        </is>
      </c>
      <c r="F666" t="n">
        <v>5</v>
      </c>
      <c r="G666" t="n">
        <v>1</v>
      </c>
      <c r="H666" t="inlineStr">
        <is>
          <t>Player trade (max rank)</t>
        </is>
      </c>
      <c r="I666" t="inlineStr">
        <is>
          <t>Yes</t>
        </is>
      </c>
      <c r="K666" t="inlineStr">
        <is>
          <t>Collection</t>
        </is>
      </c>
      <c r="L666" t="n">
        <v>4</v>
      </c>
      <c r="M666" t="n">
        <v>7</v>
      </c>
      <c r="N666" t="n">
        <v>10</v>
      </c>
      <c r="O666" t="inlineStr">
        <is>
          <t>2026-10-05 UTC (WFM pull 02:52-04:00)</t>
        </is>
      </c>
      <c r="P666" t="inlineStr">
        <is>
          <t>OK</t>
        </is>
      </c>
      <c r="R666" t="inlineStr">
        <is>
          <t>Every current tradeable mod at MAX RANK (WFM catalogue, rivens/locators excluded)</t>
        </is>
      </c>
      <c r="S666" t="inlineStr">
        <is>
          <t>expel_corpus</t>
        </is>
      </c>
      <c r="T666" t="n">
        <v>73</v>
      </c>
      <c r="U666" t="n">
        <v>2</v>
      </c>
      <c r="W666" t="n">
        <v>10</v>
      </c>
      <c r="X666" t="n">
        <v>8</v>
      </c>
      <c r="Y666" t="n">
        <v>5</v>
      </c>
      <c r="Z666" t="n">
        <v>0</v>
      </c>
      <c r="AN666" t="inlineStr">
        <is>
          <t>Pistol</t>
        </is>
      </c>
      <c r="AO666" t="n">
        <v>620</v>
      </c>
      <c r="AP666" t="n">
        <v>29946</v>
      </c>
      <c r="AQ666" t="n">
        <v>6</v>
      </c>
      <c r="AS666" t="inlineStr">
        <is>
          <t>Yes</t>
        </is>
      </c>
    </row>
    <row r="667">
      <c r="A667" t="inlineStr">
        <is>
          <t>Mod</t>
        </is>
      </c>
      <c r="B667" t="inlineStr">
        <is>
          <t>Expel Grineer</t>
        </is>
      </c>
      <c r="E667" t="inlineStr">
        <is>
          <t>Pistol</t>
        </is>
      </c>
      <c r="F667" t="n">
        <v>5</v>
      </c>
      <c r="G667" t="n">
        <v>1</v>
      </c>
      <c r="H667" t="inlineStr">
        <is>
          <t>Player trade (max rank)</t>
        </is>
      </c>
      <c r="I667" t="inlineStr">
        <is>
          <t>Yes</t>
        </is>
      </c>
      <c r="K667" t="inlineStr">
        <is>
          <t>Collection</t>
        </is>
      </c>
      <c r="L667" t="n">
        <v>9</v>
      </c>
      <c r="M667" t="n">
        <v>15</v>
      </c>
      <c r="N667" t="n">
        <v>30</v>
      </c>
      <c r="O667" t="inlineStr">
        <is>
          <t>2026-10-05 UTC (WFM pull 02:52-04:00)</t>
        </is>
      </c>
      <c r="P667" t="inlineStr">
        <is>
          <t>OK</t>
        </is>
      </c>
      <c r="R667" t="inlineStr">
        <is>
          <t>Every current tradeable mod at MAX RANK (WFM catalogue, rivens/locators excluded)</t>
        </is>
      </c>
      <c r="S667" t="inlineStr">
        <is>
          <t>expel_grineer</t>
        </is>
      </c>
      <c r="T667" t="n">
        <v>6</v>
      </c>
      <c r="U667" t="n">
        <v>6</v>
      </c>
      <c r="V667" t="n">
        <v>10</v>
      </c>
      <c r="W667" t="n">
        <v>10</v>
      </c>
      <c r="X667" t="n">
        <v>10</v>
      </c>
      <c r="Y667" t="n">
        <v>1</v>
      </c>
      <c r="Z667" t="n">
        <v>0</v>
      </c>
      <c r="AN667" t="inlineStr">
        <is>
          <t>Pistol</t>
        </is>
      </c>
      <c r="AO667" t="n">
        <v>620</v>
      </c>
      <c r="AP667" t="n">
        <v>29946</v>
      </c>
      <c r="AQ667" t="n">
        <v>5</v>
      </c>
      <c r="AS667" t="inlineStr">
        <is>
          <t>Yes</t>
        </is>
      </c>
    </row>
    <row r="668">
      <c r="A668" t="inlineStr">
        <is>
          <t>Mod</t>
        </is>
      </c>
      <c r="B668" t="inlineStr">
        <is>
          <t>Expel Infested</t>
        </is>
      </c>
      <c r="E668" t="inlineStr">
        <is>
          <t>Pistol</t>
        </is>
      </c>
      <c r="F668" t="n">
        <v>5</v>
      </c>
      <c r="G668" t="n">
        <v>1</v>
      </c>
      <c r="H668" t="inlineStr">
        <is>
          <t>Player trade (max rank)</t>
        </is>
      </c>
      <c r="I668" t="inlineStr">
        <is>
          <t>Yes</t>
        </is>
      </c>
      <c r="K668" t="inlineStr">
        <is>
          <t>Collection</t>
        </is>
      </c>
      <c r="L668" t="n">
        <v>9</v>
      </c>
      <c r="M668" t="n">
        <v>15</v>
      </c>
      <c r="N668" t="n">
        <v>32</v>
      </c>
      <c r="O668" t="inlineStr">
        <is>
          <t>2026-10-05 UTC (WFM pull 02:52-04:00)</t>
        </is>
      </c>
      <c r="P668" t="inlineStr">
        <is>
          <t>OK</t>
        </is>
      </c>
      <c r="R668" t="inlineStr">
        <is>
          <t>Every current tradeable mod at MAX RANK (WFM catalogue, rivens/locators excluded)</t>
        </is>
      </c>
      <c r="S668" t="inlineStr">
        <is>
          <t>expel_infested</t>
        </is>
      </c>
      <c r="T668" t="n">
        <v>6</v>
      </c>
      <c r="U668" t="n">
        <v>6</v>
      </c>
      <c r="Y668" t="n">
        <v>0</v>
      </c>
      <c r="Z668" t="n">
        <v>0</v>
      </c>
      <c r="AN668" t="inlineStr">
        <is>
          <t>Pistol</t>
        </is>
      </c>
      <c r="AO668" t="n">
        <v>620</v>
      </c>
      <c r="AP668" t="n">
        <v>29946</v>
      </c>
      <c r="AQ668" t="n">
        <v>4.5</v>
      </c>
      <c r="AS668" t="inlineStr">
        <is>
          <t>Yes</t>
        </is>
      </c>
    </row>
    <row r="669">
      <c r="A669" t="inlineStr">
        <is>
          <t>Mod</t>
        </is>
      </c>
      <c r="B669" t="inlineStr">
        <is>
          <t>Expel Orokin</t>
        </is>
      </c>
      <c r="E669" t="inlineStr">
        <is>
          <t>Pistol</t>
        </is>
      </c>
      <c r="F669" t="n">
        <v>5</v>
      </c>
      <c r="G669" t="n">
        <v>1</v>
      </c>
      <c r="H669" t="inlineStr">
        <is>
          <t>Player trade (max rank)</t>
        </is>
      </c>
      <c r="I669" t="inlineStr">
        <is>
          <t>Yes</t>
        </is>
      </c>
      <c r="K669" t="inlineStr">
        <is>
          <t>Collection</t>
        </is>
      </c>
      <c r="L669" t="n">
        <v>20</v>
      </c>
      <c r="M669" t="n">
        <v>20</v>
      </c>
      <c r="N669" t="n">
        <v>22</v>
      </c>
      <c r="O669" t="inlineStr">
        <is>
          <t>2026-10-05 UTC (WFM pull 02:52-04:00)</t>
        </is>
      </c>
      <c r="P669" t="inlineStr">
        <is>
          <t>OK</t>
        </is>
      </c>
      <c r="R669" t="inlineStr">
        <is>
          <t>Every current tradeable mod at MAX RANK (WFM catalogue, rivens/locators excluded)</t>
        </is>
      </c>
      <c r="S669" t="inlineStr">
        <is>
          <t>expel_orokin</t>
        </is>
      </c>
      <c r="T669" t="n">
        <v>39</v>
      </c>
      <c r="U669" t="n">
        <v>1</v>
      </c>
      <c r="V669" t="n">
        <v>20</v>
      </c>
      <c r="W669" t="n">
        <v>20</v>
      </c>
      <c r="X669" t="n">
        <v>19.7</v>
      </c>
      <c r="Y669" t="n">
        <v>19</v>
      </c>
      <c r="Z669" t="n">
        <v>0</v>
      </c>
      <c r="AN669" t="inlineStr">
        <is>
          <t>Pistol</t>
        </is>
      </c>
      <c r="AO669" t="n">
        <v>620</v>
      </c>
      <c r="AP669" t="n">
        <v>29946</v>
      </c>
      <c r="AQ669" t="n">
        <v>19.5</v>
      </c>
      <c r="AS669" t="inlineStr">
        <is>
          <t>Yes</t>
        </is>
      </c>
    </row>
    <row r="670">
      <c r="A670" t="inlineStr">
        <is>
          <t>Mod</t>
        </is>
      </c>
      <c r="B670" t="inlineStr">
        <is>
          <t>Expel The Murmur</t>
        </is>
      </c>
      <c r="E670" t="inlineStr">
        <is>
          <t>Pistol</t>
        </is>
      </c>
      <c r="F670" t="n">
        <v>5</v>
      </c>
      <c r="G670" t="n">
        <v>1</v>
      </c>
      <c r="H670" t="inlineStr">
        <is>
          <t>Player trade (max rank)</t>
        </is>
      </c>
      <c r="I670" t="inlineStr">
        <is>
          <t>Yes</t>
        </is>
      </c>
      <c r="K670" t="inlineStr">
        <is>
          <t>Collection</t>
        </is>
      </c>
      <c r="L670" t="n">
        <v>10</v>
      </c>
      <c r="M670" t="n">
        <v>13.5</v>
      </c>
      <c r="N670" t="n">
        <v>30</v>
      </c>
      <c r="O670" t="inlineStr">
        <is>
          <t>2026-10-05 UTC (WFM pull 02:52-04:00)</t>
        </is>
      </c>
      <c r="P670" t="inlineStr">
        <is>
          <t>OK</t>
        </is>
      </c>
      <c r="R670" t="inlineStr">
        <is>
          <t>Every current tradeable mod at MAX RANK (WFM catalogue, rivens/locators excluded)</t>
        </is>
      </c>
      <c r="S670" t="inlineStr">
        <is>
          <t>expel_the_murmur</t>
        </is>
      </c>
      <c r="T670" t="n">
        <v>5</v>
      </c>
      <c r="U670" t="n">
        <v>5</v>
      </c>
      <c r="W670" t="n">
        <v>9</v>
      </c>
      <c r="X670" t="n">
        <v>9</v>
      </c>
      <c r="Y670" t="n">
        <v>1</v>
      </c>
      <c r="Z670" t="n">
        <v>0</v>
      </c>
      <c r="AN670" t="inlineStr">
        <is>
          <t>Pistol</t>
        </is>
      </c>
      <c r="AO670" t="n">
        <v>620</v>
      </c>
      <c r="AP670" t="n">
        <v>29946</v>
      </c>
      <c r="AQ670" t="n">
        <v>4</v>
      </c>
      <c r="AS670" t="inlineStr">
        <is>
          <t>Yes</t>
        </is>
      </c>
    </row>
    <row r="671">
      <c r="A671" t="inlineStr">
        <is>
          <t>Mod</t>
        </is>
      </c>
      <c r="B671" t="inlineStr">
        <is>
          <t>Explosive Demise</t>
        </is>
      </c>
      <c r="E671" t="inlineStr">
        <is>
          <t>Conclave (PvP)</t>
        </is>
      </c>
      <c r="F671" t="n">
        <v>5</v>
      </c>
      <c r="G671" t="n">
        <v>1</v>
      </c>
      <c r="H671" t="inlineStr">
        <is>
          <t>Player trade (max rank)</t>
        </is>
      </c>
      <c r="I671" t="inlineStr">
        <is>
          <t>Yes</t>
        </is>
      </c>
      <c r="K671" t="inlineStr">
        <is>
          <t>Collection (PvP)</t>
        </is>
      </c>
      <c r="L671" t="n">
        <v>50</v>
      </c>
      <c r="M671" t="n">
        <v>50</v>
      </c>
      <c r="N671" t="n">
        <v>111</v>
      </c>
      <c r="O671" t="inlineStr">
        <is>
          <t>2026-10-05 UTC (WFM pull 02:52-04:00)</t>
        </is>
      </c>
      <c r="P671" t="inlineStr">
        <is>
          <t>OK</t>
        </is>
      </c>
      <c r="R671" t="inlineStr">
        <is>
          <t>Every current tradeable mod at MAX RANK (WFM catalogue, rivens/locators excluded)</t>
        </is>
      </c>
      <c r="S671" t="inlineStr">
        <is>
          <t>explosive_demise</t>
        </is>
      </c>
      <c r="T671" t="n">
        <v>3</v>
      </c>
      <c r="U671" t="n">
        <v>0</v>
      </c>
      <c r="V671" t="n">
        <v>30</v>
      </c>
      <c r="W671" t="n">
        <v>30</v>
      </c>
      <c r="X671" t="n">
        <v>30</v>
      </c>
      <c r="Y671" t="n">
        <v>1</v>
      </c>
      <c r="Z671" t="n">
        <v>0</v>
      </c>
      <c r="AN671" t="inlineStr">
        <is>
          <t>Conclave (PvP)</t>
        </is>
      </c>
      <c r="AO671" t="n">
        <v>930</v>
      </c>
      <c r="AP671" t="n">
        <v>44919</v>
      </c>
      <c r="AQ671" t="n">
        <v>50</v>
      </c>
      <c r="AS671" t="inlineStr">
        <is>
          <t>PvP subtotal</t>
        </is>
      </c>
    </row>
    <row r="672">
      <c r="A672" t="inlineStr">
        <is>
          <t>Mod</t>
        </is>
      </c>
      <c r="B672" t="inlineStr">
        <is>
          <t>Explosive Legerdemain</t>
        </is>
      </c>
      <c r="E672" t="inlineStr">
        <is>
          <t>Augment Mirage</t>
        </is>
      </c>
      <c r="F672" t="n">
        <v>3</v>
      </c>
      <c r="G672" t="n">
        <v>1</v>
      </c>
      <c r="H672" t="inlineStr">
        <is>
          <t>Player trade (max rank)</t>
        </is>
      </c>
      <c r="I672" t="inlineStr">
        <is>
          <t>Yes</t>
        </is>
      </c>
      <c r="K672" t="inlineStr">
        <is>
          <t>Collection</t>
        </is>
      </c>
      <c r="L672" t="n">
        <v>25</v>
      </c>
      <c r="M672" t="n">
        <v>25</v>
      </c>
      <c r="N672" t="n">
        <v>56</v>
      </c>
      <c r="O672" t="inlineStr">
        <is>
          <t>2026-10-05 UTC (WFM pull 02:52-04:00)</t>
        </is>
      </c>
      <c r="P672" t="inlineStr">
        <is>
          <t>OK</t>
        </is>
      </c>
      <c r="R672" t="inlineStr">
        <is>
          <t>Every current tradeable mod at MAX RANK (WFM catalogue, rivens/locators excluded)</t>
        </is>
      </c>
      <c r="S672" t="inlineStr">
        <is>
          <t>explosive_legerdemain</t>
        </is>
      </c>
      <c r="T672" t="n">
        <v>3</v>
      </c>
      <c r="U672" t="n">
        <v>3</v>
      </c>
      <c r="V672" t="n">
        <v>14</v>
      </c>
      <c r="W672" t="n">
        <v>12.5</v>
      </c>
      <c r="X672" t="n">
        <v>12.7</v>
      </c>
      <c r="Y672" t="n">
        <v>589</v>
      </c>
      <c r="Z672" t="n">
        <v>12</v>
      </c>
      <c r="AN672" t="inlineStr">
        <is>
          <t>Augment Mirage</t>
        </is>
      </c>
      <c r="AO672" t="n">
        <v>210</v>
      </c>
      <c r="AP672" t="n">
        <v>10143</v>
      </c>
      <c r="AQ672" t="n">
        <v>12</v>
      </c>
      <c r="AS672" t="inlineStr">
        <is>
          <t>Yes</t>
        </is>
      </c>
    </row>
    <row r="673">
      <c r="A673" t="inlineStr">
        <is>
          <t>Mod</t>
        </is>
      </c>
      <c r="B673" t="inlineStr">
        <is>
          <t>Exposing Harpoon</t>
        </is>
      </c>
      <c r="E673" t="inlineStr">
        <is>
          <t>Augment Harpak</t>
        </is>
      </c>
      <c r="F673" t="n">
        <v>5</v>
      </c>
      <c r="G673" t="n">
        <v>1</v>
      </c>
      <c r="H673" t="inlineStr">
        <is>
          <t>Player trade (max rank)</t>
        </is>
      </c>
      <c r="I673" t="inlineStr">
        <is>
          <t>Yes</t>
        </is>
      </c>
      <c r="K673" t="inlineStr">
        <is>
          <t>Collection</t>
        </is>
      </c>
      <c r="L673" t="n">
        <v>8</v>
      </c>
      <c r="M673" t="n">
        <v>10</v>
      </c>
      <c r="N673" t="n">
        <v>16</v>
      </c>
      <c r="O673" t="inlineStr">
        <is>
          <t>2026-10-05 UTC (WFM pull 02:52-04:00)</t>
        </is>
      </c>
      <c r="P673" t="inlineStr">
        <is>
          <t>OK</t>
        </is>
      </c>
      <c r="R673" t="inlineStr">
        <is>
          <t>Every current tradeable mod at MAX RANK (WFM catalogue, rivens/locators excluded)</t>
        </is>
      </c>
      <c r="S673" t="inlineStr">
        <is>
          <t>exposing_harpoon</t>
        </is>
      </c>
      <c r="T673" t="n">
        <v>64</v>
      </c>
      <c r="U673" t="n">
        <v>2</v>
      </c>
      <c r="V673" t="n">
        <v>10</v>
      </c>
      <c r="W673" t="n">
        <v>18</v>
      </c>
      <c r="X673" t="n">
        <v>19.1</v>
      </c>
      <c r="Y673" t="n">
        <v>13</v>
      </c>
      <c r="Z673" t="n">
        <v>1</v>
      </c>
      <c r="AN673" t="inlineStr">
        <is>
          <t>Augment Harpak</t>
        </is>
      </c>
      <c r="AO673" t="n">
        <v>930</v>
      </c>
      <c r="AP673" t="n">
        <v>44919</v>
      </c>
      <c r="AQ673" t="n">
        <v>15</v>
      </c>
      <c r="AS673" t="inlineStr">
        <is>
          <t>Yes</t>
        </is>
      </c>
    </row>
    <row r="674">
      <c r="A674" t="inlineStr">
        <is>
          <t>Mod</t>
        </is>
      </c>
      <c r="B674" t="inlineStr">
        <is>
          <t>Extend</t>
        </is>
      </c>
      <c r="E674" t="inlineStr">
        <is>
          <t>Archmelee</t>
        </is>
      </c>
      <c r="F674" t="n">
        <v>3</v>
      </c>
      <c r="G674" t="n">
        <v>1</v>
      </c>
      <c r="H674" t="inlineStr">
        <is>
          <t>Player trade (max rank)</t>
        </is>
      </c>
      <c r="I674" t="inlineStr">
        <is>
          <t>Yes</t>
        </is>
      </c>
      <c r="K674" t="inlineStr">
        <is>
          <t>Collection</t>
        </is>
      </c>
      <c r="L674" t="n">
        <v>15</v>
      </c>
      <c r="M674" t="n">
        <v>20</v>
      </c>
      <c r="N674" t="n">
        <v>44</v>
      </c>
      <c r="O674" t="inlineStr">
        <is>
          <t>2026-10-05 UTC (WFM pull 02:52-04:00)</t>
        </is>
      </c>
      <c r="P674" t="inlineStr">
        <is>
          <t>OK</t>
        </is>
      </c>
      <c r="R674" t="inlineStr">
        <is>
          <t>Every current tradeable mod at MAX RANK (WFM catalogue, rivens/locators excluded)</t>
        </is>
      </c>
      <c r="S674" t="inlineStr">
        <is>
          <t>extend</t>
        </is>
      </c>
      <c r="T674" t="n">
        <v>5</v>
      </c>
      <c r="U674" t="n">
        <v>5</v>
      </c>
      <c r="V674" t="n">
        <v>20</v>
      </c>
      <c r="W674" t="n">
        <v>15</v>
      </c>
      <c r="X674" t="n">
        <v>17.5</v>
      </c>
      <c r="Y674" t="n">
        <v>2</v>
      </c>
      <c r="Z674" t="n">
        <v>0</v>
      </c>
      <c r="AN674" t="inlineStr">
        <is>
          <t>Archmelee</t>
        </is>
      </c>
      <c r="AO674" t="n">
        <v>70</v>
      </c>
      <c r="AP674" t="n">
        <v>3381</v>
      </c>
      <c r="AQ674" t="n">
        <v>6</v>
      </c>
      <c r="AS674" t="inlineStr">
        <is>
          <t>Yes</t>
        </is>
      </c>
    </row>
    <row r="675">
      <c r="A675" t="inlineStr">
        <is>
          <t>Mod</t>
        </is>
      </c>
      <c r="B675" t="inlineStr">
        <is>
          <t>Extreme Velocity</t>
        </is>
      </c>
      <c r="E675" t="inlineStr">
        <is>
          <t>K-Drive</t>
        </is>
      </c>
      <c r="F675" t="n">
        <v>5</v>
      </c>
      <c r="G675" t="n">
        <v>1</v>
      </c>
      <c r="H675" t="inlineStr">
        <is>
          <t>Player trade (max rank)</t>
        </is>
      </c>
      <c r="I675" t="inlineStr">
        <is>
          <t>Yes</t>
        </is>
      </c>
      <c r="K675" t="inlineStr">
        <is>
          <t>Collection</t>
        </is>
      </c>
      <c r="L675" t="n">
        <v>25</v>
      </c>
      <c r="M675" t="n">
        <v>37.5</v>
      </c>
      <c r="N675" t="n">
        <v>56</v>
      </c>
      <c r="O675" t="inlineStr">
        <is>
          <t>2026-10-05 UTC (WFM pull 02:52-04:00)</t>
        </is>
      </c>
      <c r="P675" t="inlineStr">
        <is>
          <t>OK</t>
        </is>
      </c>
      <c r="R675" t="inlineStr">
        <is>
          <t>Every current tradeable mod at MAX RANK (WFM catalogue, rivens/locators excluded)</t>
        </is>
      </c>
      <c r="S675" t="inlineStr">
        <is>
          <t>extreme_velocity</t>
        </is>
      </c>
      <c r="T675" t="n">
        <v>3</v>
      </c>
      <c r="U675" t="n">
        <v>3</v>
      </c>
      <c r="V675" t="n">
        <v>25</v>
      </c>
      <c r="W675" t="n">
        <v>25</v>
      </c>
      <c r="X675" t="n">
        <v>24.3</v>
      </c>
      <c r="Y675" t="n">
        <v>25</v>
      </c>
      <c r="Z675" t="n">
        <v>1</v>
      </c>
      <c r="AN675" t="inlineStr">
        <is>
          <t>K-Drive</t>
        </is>
      </c>
      <c r="AO675" t="n">
        <v>930</v>
      </c>
      <c r="AP675" t="n">
        <v>44919</v>
      </c>
      <c r="AQ675" t="n">
        <v>20</v>
      </c>
      <c r="AS675" t="inlineStr">
        <is>
          <t>Yes</t>
        </is>
      </c>
    </row>
    <row r="676">
      <c r="A676" t="inlineStr">
        <is>
          <t>Mod</t>
        </is>
      </c>
      <c r="B676" t="inlineStr">
        <is>
          <t>Failsafe</t>
        </is>
      </c>
      <c r="E676" t="inlineStr">
        <is>
          <t>Parazon</t>
        </is>
      </c>
      <c r="G676" t="n">
        <v>1</v>
      </c>
      <c r="H676" t="inlineStr">
        <is>
          <t>Player trade (max rank)</t>
        </is>
      </c>
      <c r="I676" t="inlineStr">
        <is>
          <t>Yes</t>
        </is>
      </c>
      <c r="K676" t="inlineStr">
        <is>
          <t>Collection</t>
        </is>
      </c>
      <c r="L676" t="n">
        <v>3</v>
      </c>
      <c r="M676" t="n">
        <v>5</v>
      </c>
      <c r="N676" t="n">
        <v>10</v>
      </c>
      <c r="O676" t="inlineStr">
        <is>
          <t>2026-10-05 UTC (WFM pull 02:52-04:00)</t>
        </is>
      </c>
      <c r="P676" t="inlineStr">
        <is>
          <t>OK</t>
        </is>
      </c>
      <c r="R676" t="inlineStr">
        <is>
          <t>Every current tradeable mod at MAX RANK (WFM catalogue, rivens/locators excluded)</t>
        </is>
      </c>
      <c r="S676" t="inlineStr">
        <is>
          <t>failsafe</t>
        </is>
      </c>
      <c r="T676" t="n">
        <v>7</v>
      </c>
      <c r="U676" t="n">
        <v>7</v>
      </c>
      <c r="V676" t="n">
        <v>3.5</v>
      </c>
      <c r="W676" t="n">
        <v>3.5</v>
      </c>
      <c r="X676" t="n">
        <v>3.4</v>
      </c>
      <c r="Y676" t="n">
        <v>125</v>
      </c>
      <c r="Z676" t="n">
        <v>0</v>
      </c>
      <c r="AN676" t="inlineStr">
        <is>
          <t>Parazon</t>
        </is>
      </c>
      <c r="AO676" t="n">
        <v>0</v>
      </c>
      <c r="AP676" t="n">
        <v>0</v>
      </c>
      <c r="AS676" t="inlineStr">
        <is>
          <t>Yes</t>
        </is>
      </c>
    </row>
    <row r="677">
      <c r="A677" t="inlineStr">
        <is>
          <t>Mod</t>
        </is>
      </c>
      <c r="B677" t="inlineStr">
        <is>
          <t>Fanged Fusillade</t>
        </is>
      </c>
      <c r="E677" t="inlineStr">
        <is>
          <t>Rifle</t>
        </is>
      </c>
      <c r="F677" t="n">
        <v>5</v>
      </c>
      <c r="G677" t="n">
        <v>1</v>
      </c>
      <c r="H677" t="inlineStr">
        <is>
          <t>Player trade (max rank)</t>
        </is>
      </c>
      <c r="I677" t="inlineStr">
        <is>
          <t>Yes</t>
        </is>
      </c>
      <c r="K677" t="inlineStr">
        <is>
          <t>Collection</t>
        </is>
      </c>
      <c r="L677" t="n">
        <v>29</v>
      </c>
      <c r="M677" t="n">
        <v>29</v>
      </c>
      <c r="N677" t="n">
        <v>64</v>
      </c>
      <c r="O677" t="inlineStr">
        <is>
          <t>2026-10-05 UTC (WFM pull 02:52-04:00)</t>
        </is>
      </c>
      <c r="P677" t="inlineStr">
        <is>
          <t>OK</t>
        </is>
      </c>
      <c r="R677" t="inlineStr">
        <is>
          <t>Every current tradeable mod at MAX RANK (WFM catalogue, rivens/locators excluded)</t>
        </is>
      </c>
      <c r="S677" t="inlineStr">
        <is>
          <t>fanged_fusillade</t>
        </is>
      </c>
      <c r="T677" t="n">
        <v>6</v>
      </c>
      <c r="U677" t="n">
        <v>6</v>
      </c>
      <c r="V677" t="n">
        <v>15</v>
      </c>
      <c r="W677" t="n">
        <v>17.5</v>
      </c>
      <c r="X677" t="n">
        <v>17.8</v>
      </c>
      <c r="Y677" t="n">
        <v>41</v>
      </c>
      <c r="Z677" t="n">
        <v>0</v>
      </c>
      <c r="AN677" t="inlineStr">
        <is>
          <t>Rifle</t>
        </is>
      </c>
      <c r="AO677" t="n">
        <v>930</v>
      </c>
      <c r="AP677" t="n">
        <v>44919</v>
      </c>
      <c r="AQ677" t="n">
        <v>9</v>
      </c>
      <c r="AS677" t="inlineStr">
        <is>
          <t>Yes</t>
        </is>
      </c>
    </row>
    <row r="678">
      <c r="A678" t="inlineStr">
        <is>
          <t>Mod</t>
        </is>
      </c>
      <c r="B678" t="inlineStr">
        <is>
          <t>Fass</t>
        </is>
      </c>
      <c r="E678" t="inlineStr">
        <is>
          <t>Parazon</t>
        </is>
      </c>
      <c r="F678" t="n">
        <v>3</v>
      </c>
      <c r="G678" t="n">
        <v>1</v>
      </c>
      <c r="H678" t="inlineStr">
        <is>
          <t>Player trade (max rank)</t>
        </is>
      </c>
      <c r="I678" t="inlineStr">
        <is>
          <t>Yes</t>
        </is>
      </c>
      <c r="K678" t="inlineStr">
        <is>
          <t>Collection</t>
        </is>
      </c>
      <c r="L678" t="n">
        <v>8</v>
      </c>
      <c r="M678" t="n">
        <v>9</v>
      </c>
      <c r="N678" t="n">
        <v>11</v>
      </c>
      <c r="O678" t="inlineStr">
        <is>
          <t>2026-10-05 UTC (WFM pull 02:52-04:00)</t>
        </is>
      </c>
      <c r="P678" t="inlineStr">
        <is>
          <t>OK</t>
        </is>
      </c>
      <c r="R678" t="inlineStr">
        <is>
          <t>Every current tradeable mod at MAX RANK (WFM catalogue, rivens/locators excluded)</t>
        </is>
      </c>
      <c r="S678" t="inlineStr">
        <is>
          <t>fass</t>
        </is>
      </c>
      <c r="T678" t="n">
        <v>8</v>
      </c>
      <c r="U678" t="n">
        <v>8</v>
      </c>
      <c r="V678" t="n">
        <v>8</v>
      </c>
      <c r="W678" t="n">
        <v>8</v>
      </c>
      <c r="X678" t="n">
        <v>8.199999999999999</v>
      </c>
      <c r="Y678" t="n">
        <v>2739</v>
      </c>
      <c r="Z678" t="n">
        <v>54</v>
      </c>
      <c r="AN678" t="inlineStr">
        <is>
          <t>Parazon</t>
        </is>
      </c>
      <c r="AO678" t="n">
        <v>210</v>
      </c>
      <c r="AP678" t="n">
        <v>10143</v>
      </c>
      <c r="AQ678" t="n">
        <v>9</v>
      </c>
      <c r="AS678" t="inlineStr">
        <is>
          <t>Yes</t>
        </is>
      </c>
    </row>
    <row r="679">
      <c r="A679" t="inlineStr">
        <is>
          <t>Mod</t>
        </is>
      </c>
      <c r="B679" t="inlineStr">
        <is>
          <t>Fass Canticle</t>
        </is>
      </c>
      <c r="E679" t="inlineStr">
        <is>
          <t>Tome</t>
        </is>
      </c>
      <c r="F679" t="n">
        <v>3</v>
      </c>
      <c r="G679" t="n">
        <v>1</v>
      </c>
      <c r="H679" t="inlineStr">
        <is>
          <t>Player trade (max rank)</t>
        </is>
      </c>
      <c r="I679" t="inlineStr">
        <is>
          <t>Yes</t>
        </is>
      </c>
      <c r="K679" t="inlineStr">
        <is>
          <t>Collection</t>
        </is>
      </c>
      <c r="L679" t="n">
        <v>5</v>
      </c>
      <c r="M679" t="n">
        <v>6</v>
      </c>
      <c r="N679" t="n">
        <v>10</v>
      </c>
      <c r="O679" t="inlineStr">
        <is>
          <t>2026-10-05 UTC (WFM pull 02:52-04:00)</t>
        </is>
      </c>
      <c r="P679" t="inlineStr">
        <is>
          <t>OK</t>
        </is>
      </c>
      <c r="R679" t="inlineStr">
        <is>
          <t>Every current tradeable mod at MAX RANK (WFM catalogue, rivens/locators excluded)</t>
        </is>
      </c>
      <c r="S679" t="inlineStr">
        <is>
          <t>fass_canticle</t>
        </is>
      </c>
      <c r="T679" t="n">
        <v>105</v>
      </c>
      <c r="U679" t="n">
        <v>2</v>
      </c>
      <c r="V679" t="n">
        <v>8.5</v>
      </c>
      <c r="W679" t="n">
        <v>8.5</v>
      </c>
      <c r="X679" t="n">
        <v>8.199999999999999</v>
      </c>
      <c r="Y679" t="n">
        <v>100</v>
      </c>
      <c r="Z679" t="n">
        <v>3</v>
      </c>
      <c r="AN679" t="inlineStr">
        <is>
          <t>Tome</t>
        </is>
      </c>
      <c r="AO679" t="n">
        <v>210</v>
      </c>
      <c r="AP679" t="n">
        <v>10143</v>
      </c>
      <c r="AQ679" t="n">
        <v>7</v>
      </c>
      <c r="AS679" t="inlineStr">
        <is>
          <t>Yes</t>
        </is>
      </c>
    </row>
    <row r="680">
      <c r="A680" t="inlineStr">
        <is>
          <t>Mod</t>
        </is>
      </c>
      <c r="B680" t="inlineStr">
        <is>
          <t>Fast Deflection</t>
        </is>
      </c>
      <c r="E680" t="inlineStr">
        <is>
          <t>Warframe</t>
        </is>
      </c>
      <c r="F680" t="n">
        <v>5</v>
      </c>
      <c r="G680" t="n">
        <v>1</v>
      </c>
      <c r="H680" t="inlineStr">
        <is>
          <t>Player trade (max rank)</t>
        </is>
      </c>
      <c r="I680" t="inlineStr">
        <is>
          <t>Yes</t>
        </is>
      </c>
      <c r="K680" t="inlineStr">
        <is>
          <t>Collection</t>
        </is>
      </c>
      <c r="L680" t="n">
        <v>9</v>
      </c>
      <c r="M680" t="n">
        <v>9.5</v>
      </c>
      <c r="N680" t="n">
        <v>11</v>
      </c>
      <c r="O680" t="inlineStr">
        <is>
          <t>2026-10-05 UTC (WFM pull 02:52-04:00)</t>
        </is>
      </c>
      <c r="P680" t="inlineStr">
        <is>
          <t>OK</t>
        </is>
      </c>
      <c r="R680" t="inlineStr">
        <is>
          <t>Every current tradeable mod at MAX RANK (WFM catalogue, rivens/locators excluded)</t>
        </is>
      </c>
      <c r="S680" t="inlineStr">
        <is>
          <t>fast_deflection</t>
        </is>
      </c>
      <c r="T680" t="n">
        <v>4</v>
      </c>
      <c r="U680" t="n">
        <v>4</v>
      </c>
      <c r="V680" t="n">
        <v>10</v>
      </c>
      <c r="W680" t="n">
        <v>9.5</v>
      </c>
      <c r="X680" t="n">
        <v>9.300000000000001</v>
      </c>
      <c r="Y680" t="n">
        <v>59</v>
      </c>
      <c r="Z680" t="n">
        <v>0</v>
      </c>
      <c r="AN680" t="inlineStr">
        <is>
          <t>Warframe</t>
        </is>
      </c>
      <c r="AO680" t="n">
        <v>620</v>
      </c>
      <c r="AP680" t="n">
        <v>29946</v>
      </c>
      <c r="AQ680" t="n">
        <v>3</v>
      </c>
      <c r="AS680" t="inlineStr">
        <is>
          <t>Yes</t>
        </is>
      </c>
    </row>
    <row r="681">
      <c r="A681" t="inlineStr">
        <is>
          <t>Mod</t>
        </is>
      </c>
      <c r="B681" t="inlineStr">
        <is>
          <t>Fast Hands</t>
        </is>
      </c>
      <c r="E681" t="inlineStr">
        <is>
          <t>Rifle</t>
        </is>
      </c>
      <c r="F681" t="n">
        <v>5</v>
      </c>
      <c r="G681" t="n">
        <v>1</v>
      </c>
      <c r="H681" t="inlineStr">
        <is>
          <t>Player trade (max rank)</t>
        </is>
      </c>
      <c r="I681" t="inlineStr">
        <is>
          <t>Yes</t>
        </is>
      </c>
      <c r="K681" t="inlineStr">
        <is>
          <t>Collection</t>
        </is>
      </c>
      <c r="L681" t="n">
        <v>8</v>
      </c>
      <c r="M681" t="n">
        <v>10.5</v>
      </c>
      <c r="N681" t="n">
        <v>24</v>
      </c>
      <c r="O681" t="inlineStr">
        <is>
          <t>2026-10-05 UTC (WFM pull 02:52-04:00)</t>
        </is>
      </c>
      <c r="P681" t="inlineStr">
        <is>
          <t>OK</t>
        </is>
      </c>
      <c r="R681" t="inlineStr">
        <is>
          <t>Every current tradeable mod at MAX RANK (WFM catalogue, rivens/locators excluded)</t>
        </is>
      </c>
      <c r="S681" t="inlineStr">
        <is>
          <t>fast_hands</t>
        </is>
      </c>
      <c r="T681" t="n">
        <v>6</v>
      </c>
      <c r="U681" t="n">
        <v>6</v>
      </c>
      <c r="V681" t="n">
        <v>7</v>
      </c>
      <c r="W681" t="n">
        <v>8</v>
      </c>
      <c r="X681" t="n">
        <v>7.5</v>
      </c>
      <c r="Y681" t="n">
        <v>21</v>
      </c>
      <c r="Z681" t="n">
        <v>0</v>
      </c>
      <c r="AN681" t="inlineStr">
        <is>
          <t>Rifle</t>
        </is>
      </c>
      <c r="AO681" t="n">
        <v>310</v>
      </c>
      <c r="AP681" t="n">
        <v>14973</v>
      </c>
      <c r="AQ681" t="n">
        <v>4.5</v>
      </c>
      <c r="AS681" t="inlineStr">
        <is>
          <t>Yes</t>
        </is>
      </c>
    </row>
    <row r="682">
      <c r="A682" t="inlineStr">
        <is>
          <t>Mod</t>
        </is>
      </c>
      <c r="B682" t="inlineStr">
        <is>
          <t>Fatal Acceleration</t>
        </is>
      </c>
      <c r="E682" t="inlineStr">
        <is>
          <t>Shotgun</t>
        </is>
      </c>
      <c r="F682" t="n">
        <v>3</v>
      </c>
      <c r="G682" t="n">
        <v>1</v>
      </c>
      <c r="H682" t="inlineStr">
        <is>
          <t>Player trade (max rank)</t>
        </is>
      </c>
      <c r="I682" t="inlineStr">
        <is>
          <t>Yes</t>
        </is>
      </c>
      <c r="K682" t="inlineStr">
        <is>
          <t>Collection</t>
        </is>
      </c>
      <c r="L682" t="n">
        <v>3</v>
      </c>
      <c r="M682" t="n">
        <v>5</v>
      </c>
      <c r="N682" t="n">
        <v>11</v>
      </c>
      <c r="O682" t="inlineStr">
        <is>
          <t>2026-10-05 UTC (WFM pull 02:52-04:00)</t>
        </is>
      </c>
      <c r="P682" t="inlineStr">
        <is>
          <t>OK</t>
        </is>
      </c>
      <c r="R682" t="inlineStr">
        <is>
          <t>Every current tradeable mod at MAX RANK (WFM catalogue, rivens/locators excluded)</t>
        </is>
      </c>
      <c r="S682" t="inlineStr">
        <is>
          <t>fatal_acceleration</t>
        </is>
      </c>
      <c r="T682" t="n">
        <v>74</v>
      </c>
      <c r="U682" t="n">
        <v>2</v>
      </c>
      <c r="V682" t="n">
        <v>12.5</v>
      </c>
      <c r="W682" t="n">
        <v>12</v>
      </c>
      <c r="X682" t="n">
        <v>11.1</v>
      </c>
      <c r="Y682" t="n">
        <v>14</v>
      </c>
      <c r="Z682" t="n">
        <v>0</v>
      </c>
      <c r="AN682" t="inlineStr">
        <is>
          <t>Shotgun</t>
        </is>
      </c>
      <c r="AO682" t="n">
        <v>140</v>
      </c>
      <c r="AP682" t="n">
        <v>6762</v>
      </c>
      <c r="AQ682" t="n">
        <v>3.8</v>
      </c>
      <c r="AS682" t="inlineStr">
        <is>
          <t>Yes</t>
        </is>
      </c>
    </row>
    <row r="683">
      <c r="A683" t="inlineStr">
        <is>
          <t>Mod</t>
        </is>
      </c>
      <c r="B683" t="inlineStr">
        <is>
          <t>Fatal Attraction</t>
        </is>
      </c>
      <c r="E683" t="inlineStr">
        <is>
          <t>Djinn</t>
        </is>
      </c>
      <c r="F683" t="n">
        <v>5</v>
      </c>
      <c r="G683" t="n">
        <v>1</v>
      </c>
      <c r="H683" t="inlineStr">
        <is>
          <t>Player trade (max rank)</t>
        </is>
      </c>
      <c r="I683" t="inlineStr">
        <is>
          <t>Yes</t>
        </is>
      </c>
      <c r="K683" t="inlineStr">
        <is>
          <t>Collection</t>
        </is>
      </c>
      <c r="L683" t="n">
        <v>8</v>
      </c>
      <c r="M683" t="n">
        <v>35</v>
      </c>
      <c r="N683" t="n">
        <v>58</v>
      </c>
      <c r="O683" t="inlineStr">
        <is>
          <t>2026-10-05 UTC (WFM pull 02:52-04:00)</t>
        </is>
      </c>
      <c r="P683" t="inlineStr">
        <is>
          <t>OK</t>
        </is>
      </c>
      <c r="R683" t="inlineStr">
        <is>
          <t>Every current tradeable mod at MAX RANK (WFM catalogue, rivens/locators excluded)</t>
        </is>
      </c>
      <c r="S683" t="inlineStr">
        <is>
          <t>fatal_attraction</t>
        </is>
      </c>
      <c r="T683" t="n">
        <v>3</v>
      </c>
      <c r="U683" t="n">
        <v>3</v>
      </c>
      <c r="Y683" t="n">
        <v>0</v>
      </c>
      <c r="Z683" t="n">
        <v>0</v>
      </c>
      <c r="AN683" t="inlineStr">
        <is>
          <t>Djinn</t>
        </is>
      </c>
      <c r="AO683" t="n">
        <v>310</v>
      </c>
      <c r="AP683" t="n">
        <v>14973</v>
      </c>
      <c r="AQ683" t="n">
        <v>1</v>
      </c>
      <c r="AS683" t="inlineStr">
        <is>
          <t>Yes</t>
        </is>
      </c>
    </row>
    <row r="684">
      <c r="A684" t="inlineStr">
        <is>
          <t>Mod</t>
        </is>
      </c>
      <c r="B684" t="inlineStr">
        <is>
          <t>Fateful Truth</t>
        </is>
      </c>
      <c r="E684" t="inlineStr">
        <is>
          <t>Conclave (PvP)</t>
        </is>
      </c>
      <c r="F684" t="n">
        <v>3</v>
      </c>
      <c r="G684" t="n">
        <v>1</v>
      </c>
      <c r="H684" t="inlineStr">
        <is>
          <t>Player trade (max rank)</t>
        </is>
      </c>
      <c r="I684" t="inlineStr">
        <is>
          <t>Yes</t>
        </is>
      </c>
      <c r="K684" t="inlineStr">
        <is>
          <t>Collection (PvP)</t>
        </is>
      </c>
      <c r="L684" t="n">
        <v>99</v>
      </c>
      <c r="M684" t="n">
        <v>99</v>
      </c>
      <c r="N684" t="n">
        <v>218</v>
      </c>
      <c r="O684" t="inlineStr">
        <is>
          <t>2026-10-05 UTC (WFM pull 02:52-04:00)</t>
        </is>
      </c>
      <c r="P684" t="inlineStr">
        <is>
          <t>OK</t>
        </is>
      </c>
      <c r="R684" t="inlineStr">
        <is>
          <t>Every current tradeable mod at MAX RANK (WFM catalogue, rivens/locators excluded)</t>
        </is>
      </c>
      <c r="S684" t="inlineStr">
        <is>
          <t>fateful_truth</t>
        </is>
      </c>
      <c r="T684" t="n">
        <v>8</v>
      </c>
      <c r="U684" t="n">
        <v>0</v>
      </c>
      <c r="W684" t="n">
        <v>10</v>
      </c>
      <c r="X684" t="n">
        <v>25</v>
      </c>
      <c r="Y684" t="n">
        <v>2</v>
      </c>
      <c r="Z684" t="n">
        <v>0</v>
      </c>
      <c r="AN684" t="inlineStr">
        <is>
          <t>Conclave (PvP)</t>
        </is>
      </c>
      <c r="AO684" t="n">
        <v>140</v>
      </c>
      <c r="AP684" t="n">
        <v>6762</v>
      </c>
      <c r="AQ684" t="n">
        <v>20</v>
      </c>
      <c r="AS684" t="inlineStr">
        <is>
          <t>PvP subtotal</t>
        </is>
      </c>
    </row>
    <row r="685">
      <c r="A685" t="inlineStr">
        <is>
          <t>Mod</t>
        </is>
      </c>
      <c r="B685" t="inlineStr">
        <is>
          <t>Fear Sense</t>
        </is>
      </c>
      <c r="E685" t="inlineStr">
        <is>
          <t>Kavat</t>
        </is>
      </c>
      <c r="F685" t="n">
        <v>3</v>
      </c>
      <c r="G685" t="n">
        <v>1</v>
      </c>
      <c r="H685" t="inlineStr">
        <is>
          <t>Player trade (max rank)</t>
        </is>
      </c>
      <c r="I685" t="inlineStr">
        <is>
          <t>Yes</t>
        </is>
      </c>
      <c r="K685" t="inlineStr">
        <is>
          <t>Collection</t>
        </is>
      </c>
      <c r="L685" t="n">
        <v>7</v>
      </c>
      <c r="M685" t="n">
        <v>13.5</v>
      </c>
      <c r="N685" t="n">
        <v>30</v>
      </c>
      <c r="O685" t="inlineStr">
        <is>
          <t>2026-10-05 UTC (WFM pull 02:52-04:00)</t>
        </is>
      </c>
      <c r="P685" t="inlineStr">
        <is>
          <t>OK</t>
        </is>
      </c>
      <c r="R685" t="inlineStr">
        <is>
          <t>Every current tradeable mod at MAX RANK (WFM catalogue, rivens/locators excluded)</t>
        </is>
      </c>
      <c r="S685" t="inlineStr">
        <is>
          <t>fear_sense</t>
        </is>
      </c>
      <c r="T685" t="n">
        <v>4</v>
      </c>
      <c r="U685" t="n">
        <v>4</v>
      </c>
      <c r="V685" t="n">
        <v>9</v>
      </c>
      <c r="W685" t="n">
        <v>15</v>
      </c>
      <c r="X685" t="n">
        <v>17.5</v>
      </c>
      <c r="Y685" t="n">
        <v>16</v>
      </c>
      <c r="Z685" t="n">
        <v>0</v>
      </c>
      <c r="AN685" t="inlineStr">
        <is>
          <t>Kavat</t>
        </is>
      </c>
      <c r="AO685" t="n">
        <v>140</v>
      </c>
      <c r="AP685" t="n">
        <v>6762</v>
      </c>
      <c r="AQ685" t="n">
        <v>5</v>
      </c>
      <c r="AS685" t="inlineStr">
        <is>
          <t>Yes</t>
        </is>
      </c>
    </row>
    <row r="686">
      <c r="A686" t="inlineStr">
        <is>
          <t>Mod</t>
        </is>
      </c>
      <c r="B686" t="inlineStr">
        <is>
          <t>Feathered Arrows</t>
        </is>
      </c>
      <c r="E686" t="inlineStr">
        <is>
          <t>Conclave (PvP)</t>
        </is>
      </c>
      <c r="F686" t="n">
        <v>3</v>
      </c>
      <c r="G686" t="n">
        <v>1</v>
      </c>
      <c r="H686" t="inlineStr">
        <is>
          <t>Player trade (max rank)</t>
        </is>
      </c>
      <c r="I686" t="inlineStr">
        <is>
          <t>Yes</t>
        </is>
      </c>
      <c r="K686" t="inlineStr">
        <is>
          <t>Collection (PvP)</t>
        </is>
      </c>
      <c r="L686" t="n">
        <v>15</v>
      </c>
      <c r="M686" t="n">
        <v>30</v>
      </c>
      <c r="N686" t="n">
        <v>56</v>
      </c>
      <c r="O686" t="inlineStr">
        <is>
          <t>2026-10-05 UTC (WFM pull 02:52-04:00)</t>
        </is>
      </c>
      <c r="P686" t="inlineStr">
        <is>
          <t>OK</t>
        </is>
      </c>
      <c r="R686" t="inlineStr">
        <is>
          <t>Every current tradeable mod at MAX RANK (WFM catalogue, rivens/locators excluded)</t>
        </is>
      </c>
      <c r="S686" t="inlineStr">
        <is>
          <t>feathered_arrows</t>
        </is>
      </c>
      <c r="T686" t="n">
        <v>11</v>
      </c>
      <c r="U686" t="n">
        <v>1</v>
      </c>
      <c r="W686" t="n">
        <v>20</v>
      </c>
      <c r="X686" t="n">
        <v>21.7</v>
      </c>
      <c r="Y686" t="n">
        <v>3</v>
      </c>
      <c r="Z686" t="n">
        <v>0</v>
      </c>
      <c r="AN686" t="inlineStr">
        <is>
          <t>Conclave (PvP)</t>
        </is>
      </c>
      <c r="AO686" t="n">
        <v>140</v>
      </c>
      <c r="AP686" t="n">
        <v>6762</v>
      </c>
      <c r="AQ686" t="n">
        <v>10</v>
      </c>
      <c r="AS686" t="inlineStr">
        <is>
          <t>PvP subtotal</t>
        </is>
      </c>
    </row>
    <row r="687">
      <c r="A687" t="inlineStr">
        <is>
          <t>Mod</t>
        </is>
      </c>
      <c r="B687" t="inlineStr">
        <is>
          <t>Ferocity</t>
        </is>
      </c>
      <c r="E687" t="inlineStr">
        <is>
          <t>Sahasa Kubrow</t>
        </is>
      </c>
      <c r="F687" t="n">
        <v>5</v>
      </c>
      <c r="G687" t="n">
        <v>1</v>
      </c>
      <c r="H687" t="inlineStr">
        <is>
          <t>Player trade (max rank)</t>
        </is>
      </c>
      <c r="I687" t="inlineStr">
        <is>
          <t>Yes</t>
        </is>
      </c>
      <c r="K687" t="inlineStr">
        <is>
          <t>Collection</t>
        </is>
      </c>
      <c r="L687" t="n">
        <v>20</v>
      </c>
      <c r="M687" t="n">
        <v>41.2</v>
      </c>
      <c r="N687" t="n">
        <v>88</v>
      </c>
      <c r="O687" t="inlineStr">
        <is>
          <t>2026-10-05 UTC (WFM pull 02:52-04:00)</t>
        </is>
      </c>
      <c r="P687" t="inlineStr">
        <is>
          <t>OK</t>
        </is>
      </c>
      <c r="R687" t="inlineStr">
        <is>
          <t>Every current tradeable mod at MAX RANK (WFM catalogue, rivens/locators excluded)</t>
        </is>
      </c>
      <c r="S687" t="inlineStr">
        <is>
          <t>ferocity</t>
        </is>
      </c>
      <c r="T687" t="n">
        <v>4</v>
      </c>
      <c r="U687" t="n">
        <v>4</v>
      </c>
      <c r="V687" t="n">
        <v>27.5</v>
      </c>
      <c r="W687" t="n">
        <v>15</v>
      </c>
      <c r="X687" t="n">
        <v>17.9</v>
      </c>
      <c r="Y687" t="n">
        <v>12</v>
      </c>
      <c r="Z687" t="n">
        <v>0</v>
      </c>
      <c r="AN687" t="inlineStr">
        <is>
          <t>Sahasa Kubrow</t>
        </is>
      </c>
      <c r="AO687" t="n">
        <v>930</v>
      </c>
      <c r="AP687" t="n">
        <v>44919</v>
      </c>
      <c r="AQ687" t="n">
        <v>5</v>
      </c>
      <c r="AS687" t="inlineStr">
        <is>
          <t>Yes</t>
        </is>
      </c>
    </row>
    <row r="688">
      <c r="A688" t="inlineStr">
        <is>
          <t>Mod</t>
        </is>
      </c>
      <c r="B688" t="inlineStr">
        <is>
          <t>Fetch</t>
        </is>
      </c>
      <c r="E688" t="inlineStr">
        <is>
          <t>Beast</t>
        </is>
      </c>
      <c r="F688" t="n">
        <v>5</v>
      </c>
      <c r="G688" t="n">
        <v>1</v>
      </c>
      <c r="H688" t="inlineStr">
        <is>
          <t>Player trade (max rank)</t>
        </is>
      </c>
      <c r="I688" t="inlineStr">
        <is>
          <t>Yes</t>
        </is>
      </c>
      <c r="K688" t="inlineStr">
        <is>
          <t>Collection</t>
        </is>
      </c>
      <c r="L688" t="n">
        <v>4</v>
      </c>
      <c r="M688" t="n">
        <v>4</v>
      </c>
      <c r="N688" t="n">
        <v>9</v>
      </c>
      <c r="O688" t="inlineStr">
        <is>
          <t>2026-10-05 UTC (WFM pull 02:52-04:00)</t>
        </is>
      </c>
      <c r="P688" t="inlineStr">
        <is>
          <t>OK</t>
        </is>
      </c>
      <c r="R688" t="inlineStr">
        <is>
          <t>Every current tradeable mod at MAX RANK (WFM catalogue, rivens/locators excluded)</t>
        </is>
      </c>
      <c r="S688" t="inlineStr">
        <is>
          <t>fetch</t>
        </is>
      </c>
      <c r="T688" t="n">
        <v>104</v>
      </c>
      <c r="U688" t="n">
        <v>2</v>
      </c>
      <c r="V688" t="n">
        <v>8</v>
      </c>
      <c r="W688" t="n">
        <v>9</v>
      </c>
      <c r="X688" t="n">
        <v>8.800000000000001</v>
      </c>
      <c r="Y688" t="n">
        <v>90</v>
      </c>
      <c r="Z688" t="n">
        <v>0</v>
      </c>
      <c r="AN688" t="inlineStr">
        <is>
          <t>Beast</t>
        </is>
      </c>
      <c r="AO688" t="n">
        <v>620</v>
      </c>
      <c r="AP688" t="n">
        <v>29946</v>
      </c>
      <c r="AQ688" t="n">
        <v>3</v>
      </c>
      <c r="AS688" t="inlineStr">
        <is>
          <t>Yes</t>
        </is>
      </c>
    </row>
    <row r="689">
      <c r="A689" t="inlineStr">
        <is>
          <t>Mod</t>
        </is>
      </c>
      <c r="B689" t="inlineStr">
        <is>
          <t>Fever Strike</t>
        </is>
      </c>
      <c r="E689" t="inlineStr">
        <is>
          <t>Melee</t>
        </is>
      </c>
      <c r="F689" t="n">
        <v>5</v>
      </c>
      <c r="G689" t="n">
        <v>1</v>
      </c>
      <c r="H689" t="inlineStr">
        <is>
          <t>Player trade (max rank)</t>
        </is>
      </c>
      <c r="I689" t="inlineStr">
        <is>
          <t>Yes</t>
        </is>
      </c>
      <c r="K689" t="inlineStr">
        <is>
          <t>Collection</t>
        </is>
      </c>
      <c r="L689" t="n">
        <v>5</v>
      </c>
      <c r="M689" t="n">
        <v>13.5</v>
      </c>
      <c r="N689" t="n">
        <v>17</v>
      </c>
      <c r="O689" t="inlineStr">
        <is>
          <t>2026-10-05 UTC (WFM pull 02:52-04:00)</t>
        </is>
      </c>
      <c r="P689" t="inlineStr">
        <is>
          <t>OK</t>
        </is>
      </c>
      <c r="R689" t="inlineStr">
        <is>
          <t>Every current tradeable mod at MAX RANK (WFM catalogue, rivens/locators excluded)</t>
        </is>
      </c>
      <c r="S689" t="inlineStr">
        <is>
          <t>fever_strike</t>
        </is>
      </c>
      <c r="T689" t="n">
        <v>6</v>
      </c>
      <c r="U689" t="n">
        <v>6</v>
      </c>
      <c r="V689" t="n">
        <v>9</v>
      </c>
      <c r="W689" t="n">
        <v>9</v>
      </c>
      <c r="X689" t="n">
        <v>8.699999999999999</v>
      </c>
      <c r="Y689" t="n">
        <v>25</v>
      </c>
      <c r="Z689" t="n">
        <v>0</v>
      </c>
      <c r="AN689" t="inlineStr">
        <is>
          <t>Melee</t>
        </is>
      </c>
      <c r="AO689" t="n">
        <v>620</v>
      </c>
      <c r="AP689" t="n">
        <v>29946</v>
      </c>
      <c r="AQ689" t="n">
        <v>3</v>
      </c>
      <c r="AS689" t="inlineStr">
        <is>
          <t>Yes</t>
        </is>
      </c>
    </row>
    <row r="690">
      <c r="A690" t="inlineStr">
        <is>
          <t>Mod</t>
        </is>
      </c>
      <c r="B690" t="inlineStr">
        <is>
          <t>Final Act</t>
        </is>
      </c>
      <c r="E690" t="inlineStr">
        <is>
          <t>Conclave (PvP)</t>
        </is>
      </c>
      <c r="F690" t="n">
        <v>3</v>
      </c>
      <c r="G690" t="n">
        <v>1</v>
      </c>
      <c r="H690" t="inlineStr">
        <is>
          <t>Player trade (max rank)</t>
        </is>
      </c>
      <c r="I690" t="inlineStr">
        <is>
          <t>Yes</t>
        </is>
      </c>
      <c r="K690" t="inlineStr">
        <is>
          <t>Collection (PvP)</t>
        </is>
      </c>
      <c r="L690" t="n">
        <v>30</v>
      </c>
      <c r="M690" t="n">
        <v>30</v>
      </c>
      <c r="N690" t="n">
        <v>54</v>
      </c>
      <c r="O690" t="inlineStr">
        <is>
          <t>2026-10-05 UTC (WFM pull 02:52-04:00)</t>
        </is>
      </c>
      <c r="P690" t="inlineStr">
        <is>
          <t>OK</t>
        </is>
      </c>
      <c r="R690" t="inlineStr">
        <is>
          <t>Every current tradeable mod at MAX RANK (WFM catalogue, rivens/locators excluded)</t>
        </is>
      </c>
      <c r="S690" t="inlineStr">
        <is>
          <t>final_act</t>
        </is>
      </c>
      <c r="T690" t="n">
        <v>12</v>
      </c>
      <c r="U690" t="n">
        <v>0</v>
      </c>
      <c r="W690" t="n">
        <v>20</v>
      </c>
      <c r="X690" t="n">
        <v>20</v>
      </c>
      <c r="Y690" t="n">
        <v>1</v>
      </c>
      <c r="Z690" t="n">
        <v>0</v>
      </c>
      <c r="AN690" t="inlineStr">
        <is>
          <t>Conclave (PvP)</t>
        </is>
      </c>
      <c r="AO690" t="n">
        <v>210</v>
      </c>
      <c r="AP690" t="n">
        <v>10143</v>
      </c>
      <c r="AQ690" t="n">
        <v>9</v>
      </c>
      <c r="AS690" t="inlineStr">
        <is>
          <t>PvP subtotal</t>
        </is>
      </c>
    </row>
    <row r="691">
      <c r="A691" t="inlineStr">
        <is>
          <t>Mod</t>
        </is>
      </c>
      <c r="B691" t="inlineStr">
        <is>
          <t>Final Harbinger</t>
        </is>
      </c>
      <c r="E691" t="inlineStr">
        <is>
          <t>Stance</t>
        </is>
      </c>
      <c r="F691" t="n">
        <v>3</v>
      </c>
      <c r="G691" t="n">
        <v>1</v>
      </c>
      <c r="H691" t="inlineStr">
        <is>
          <t>Player trade (max rank)</t>
        </is>
      </c>
      <c r="I691" t="inlineStr">
        <is>
          <t>Yes</t>
        </is>
      </c>
      <c r="K691" t="inlineStr">
        <is>
          <t>Collection</t>
        </is>
      </c>
      <c r="L691" t="n">
        <v>15</v>
      </c>
      <c r="M691" t="n">
        <v>22.5</v>
      </c>
      <c r="N691" t="n">
        <v>50</v>
      </c>
      <c r="O691" t="inlineStr">
        <is>
          <t>2026-10-05 UTC (WFM pull 02:52-04:00)</t>
        </is>
      </c>
      <c r="P691" t="inlineStr">
        <is>
          <t>OK</t>
        </is>
      </c>
      <c r="R691" t="inlineStr">
        <is>
          <t>Every current tradeable mod at MAX RANK (WFM catalogue, rivens/locators excluded)</t>
        </is>
      </c>
      <c r="S691" t="inlineStr">
        <is>
          <t>final_harbinger</t>
        </is>
      </c>
      <c r="T691" t="n">
        <v>5</v>
      </c>
      <c r="U691" t="n">
        <v>5</v>
      </c>
      <c r="V691" t="n">
        <v>15</v>
      </c>
      <c r="W691" t="n">
        <v>15</v>
      </c>
      <c r="X691" t="n">
        <v>18</v>
      </c>
      <c r="Y691" t="n">
        <v>55</v>
      </c>
      <c r="Z691" t="n">
        <v>1</v>
      </c>
      <c r="AN691" t="inlineStr">
        <is>
          <t>Stance</t>
        </is>
      </c>
      <c r="AO691" t="n">
        <v>140</v>
      </c>
      <c r="AP691" t="n">
        <v>6762</v>
      </c>
      <c r="AQ691" t="n">
        <v>15</v>
      </c>
      <c r="AS691" t="inlineStr">
        <is>
          <t>Yes</t>
        </is>
      </c>
    </row>
    <row r="692">
      <c r="A692" t="inlineStr">
        <is>
          <t>Mod</t>
        </is>
      </c>
      <c r="B692" t="inlineStr">
        <is>
          <t>Final Tap</t>
        </is>
      </c>
      <c r="E692" t="inlineStr">
        <is>
          <t>Conclave (PvP)</t>
        </is>
      </c>
      <c r="F692" t="n">
        <v>3</v>
      </c>
      <c r="G692" t="n">
        <v>1</v>
      </c>
      <c r="H692" t="inlineStr">
        <is>
          <t>Player trade (max rank)</t>
        </is>
      </c>
      <c r="I692" t="inlineStr">
        <is>
          <t>Yes</t>
        </is>
      </c>
      <c r="K692" t="inlineStr">
        <is>
          <t>Collection (PvP)</t>
        </is>
      </c>
      <c r="L692" t="n">
        <v>20</v>
      </c>
      <c r="M692" t="n">
        <v>22.5</v>
      </c>
      <c r="N692" t="n">
        <v>32</v>
      </c>
      <c r="O692" t="inlineStr">
        <is>
          <t>2026-10-05 UTC (WFM pull 02:52-04:00)</t>
        </is>
      </c>
      <c r="P692" t="inlineStr">
        <is>
          <t>OK</t>
        </is>
      </c>
      <c r="R692" t="inlineStr">
        <is>
          <t>Every current tradeable mod at MAX RANK (WFM catalogue, rivens/locators excluded)</t>
        </is>
      </c>
      <c r="S692" t="inlineStr">
        <is>
          <t>final_tap</t>
        </is>
      </c>
      <c r="T692" t="n">
        <v>19</v>
      </c>
      <c r="U692" t="n">
        <v>2</v>
      </c>
      <c r="V692" t="n">
        <v>15</v>
      </c>
      <c r="W692" t="n">
        <v>15</v>
      </c>
      <c r="X692" t="n">
        <v>15</v>
      </c>
      <c r="Y692" t="n">
        <v>1</v>
      </c>
      <c r="Z692" t="n">
        <v>1</v>
      </c>
      <c r="AN692" t="inlineStr">
        <is>
          <t>Conclave (PvP)</t>
        </is>
      </c>
      <c r="AO692" t="n">
        <v>210</v>
      </c>
      <c r="AP692" t="n">
        <v>10143</v>
      </c>
      <c r="AQ692" t="n">
        <v>15</v>
      </c>
      <c r="AS692" t="inlineStr">
        <is>
          <t>PvP subtotal</t>
        </is>
      </c>
    </row>
    <row r="693">
      <c r="A693" t="inlineStr">
        <is>
          <t>Mod</t>
        </is>
      </c>
      <c r="B693" t="inlineStr">
        <is>
          <t>Finishing Touch</t>
        </is>
      </c>
      <c r="E693" t="inlineStr">
        <is>
          <t>Melee</t>
        </is>
      </c>
      <c r="F693" t="n">
        <v>3</v>
      </c>
      <c r="G693" t="n">
        <v>1</v>
      </c>
      <c r="H693" t="inlineStr">
        <is>
          <t>Player trade (max rank)</t>
        </is>
      </c>
      <c r="I693" t="inlineStr">
        <is>
          <t>Yes</t>
        </is>
      </c>
      <c r="K693" t="inlineStr">
        <is>
          <t>Collection</t>
        </is>
      </c>
      <c r="L693" t="n">
        <v>2</v>
      </c>
      <c r="M693" t="n">
        <v>9</v>
      </c>
      <c r="N693" t="n">
        <v>17</v>
      </c>
      <c r="O693" t="inlineStr">
        <is>
          <t>2026-10-05 UTC (WFM pull 02:52-04:00)</t>
        </is>
      </c>
      <c r="P693" t="inlineStr">
        <is>
          <t>OK</t>
        </is>
      </c>
      <c r="R693" t="inlineStr">
        <is>
          <t>Every current tradeable mod at MAX RANK (WFM catalogue, rivens/locators excluded)</t>
        </is>
      </c>
      <c r="S693" t="inlineStr">
        <is>
          <t>finishing_touch</t>
        </is>
      </c>
      <c r="T693" t="n">
        <v>9</v>
      </c>
      <c r="U693" t="n">
        <v>9</v>
      </c>
      <c r="V693" t="n">
        <v>6</v>
      </c>
      <c r="W693" t="n">
        <v>9</v>
      </c>
      <c r="X693" t="n">
        <v>10.7</v>
      </c>
      <c r="Y693" t="n">
        <v>11</v>
      </c>
      <c r="Z693" t="n">
        <v>0</v>
      </c>
      <c r="AN693" t="inlineStr">
        <is>
          <t>Melee</t>
        </is>
      </c>
      <c r="AO693" t="n">
        <v>140</v>
      </c>
      <c r="AP693" t="n">
        <v>6762</v>
      </c>
      <c r="AQ693" t="n">
        <v>3</v>
      </c>
      <c r="AS693" t="inlineStr">
        <is>
          <t>Yes</t>
        </is>
      </c>
    </row>
    <row r="694">
      <c r="A694" t="inlineStr">
        <is>
          <t>Mod</t>
        </is>
      </c>
      <c r="B694" t="inlineStr">
        <is>
          <t>Fire Suppression</t>
        </is>
      </c>
      <c r="E694" t="inlineStr">
        <is>
          <t>Railjack (Tactical, Slot 1)</t>
        </is>
      </c>
      <c r="F694" t="n">
        <v>5</v>
      </c>
      <c r="G694" t="n">
        <v>1</v>
      </c>
      <c r="H694" t="inlineStr">
        <is>
          <t>Player trade (max rank)</t>
        </is>
      </c>
      <c r="I694" t="inlineStr">
        <is>
          <t>Yes</t>
        </is>
      </c>
      <c r="K694" t="inlineStr">
        <is>
          <t>Collection</t>
        </is>
      </c>
      <c r="L694" t="n">
        <v>4</v>
      </c>
      <c r="M694" t="n">
        <v>8</v>
      </c>
      <c r="N694" t="n">
        <v>10</v>
      </c>
      <c r="O694" t="inlineStr">
        <is>
          <t>2026-10-05 UTC (WFM pull 02:52-04:00)</t>
        </is>
      </c>
      <c r="P694" t="inlineStr">
        <is>
          <t>OK</t>
        </is>
      </c>
      <c r="R694" t="inlineStr">
        <is>
          <t>Every current tradeable mod at MAX RANK (WFM catalogue, rivens/locators excluded)</t>
        </is>
      </c>
      <c r="S694" t="inlineStr">
        <is>
          <t>fire_suppression</t>
        </is>
      </c>
      <c r="T694" t="n">
        <v>69</v>
      </c>
      <c r="U694" t="n">
        <v>2</v>
      </c>
      <c r="V694" t="n">
        <v>8</v>
      </c>
      <c r="W694" t="n">
        <v>10</v>
      </c>
      <c r="X694" t="n">
        <v>10.9</v>
      </c>
      <c r="Y694" t="n">
        <v>8</v>
      </c>
      <c r="Z694" t="n">
        <v>0</v>
      </c>
      <c r="AN694" t="inlineStr">
        <is>
          <t>Railjack (Tactical, Slot 1)</t>
        </is>
      </c>
      <c r="AO694" t="n">
        <v>310</v>
      </c>
      <c r="AP694" t="n">
        <v>14973</v>
      </c>
      <c r="AQ694" t="n">
        <v>3</v>
      </c>
      <c r="AS694" t="inlineStr">
        <is>
          <t>Yes</t>
        </is>
      </c>
    </row>
    <row r="695">
      <c r="A695" t="inlineStr">
        <is>
          <t>Mod</t>
        </is>
      </c>
      <c r="B695" t="inlineStr">
        <is>
          <t>Fireball Frenzy</t>
        </is>
      </c>
      <c r="E695" t="inlineStr">
        <is>
          <t>Augment Ember</t>
        </is>
      </c>
      <c r="F695" t="n">
        <v>3</v>
      </c>
      <c r="G695" t="n">
        <v>1</v>
      </c>
      <c r="H695" t="inlineStr">
        <is>
          <t>Player trade (max rank)</t>
        </is>
      </c>
      <c r="I695" t="inlineStr">
        <is>
          <t>Yes</t>
        </is>
      </c>
      <c r="K695" t="inlineStr">
        <is>
          <t>Collection</t>
        </is>
      </c>
      <c r="L695" t="n">
        <v>15</v>
      </c>
      <c r="M695" t="n">
        <v>19</v>
      </c>
      <c r="N695" t="n">
        <v>22</v>
      </c>
      <c r="O695" t="inlineStr">
        <is>
          <t>2026-10-05 UTC (WFM pull 02:52-04:00)</t>
        </is>
      </c>
      <c r="P695" t="inlineStr">
        <is>
          <t>OK</t>
        </is>
      </c>
      <c r="R695" t="inlineStr">
        <is>
          <t>Every current tradeable mod at MAX RANK (WFM catalogue, rivens/locators excluded)</t>
        </is>
      </c>
      <c r="S695" t="inlineStr">
        <is>
          <t>fireball_frenzy</t>
        </is>
      </c>
      <c r="T695" t="n">
        <v>3</v>
      </c>
      <c r="U695" t="n">
        <v>3</v>
      </c>
      <c r="V695" t="n">
        <v>15</v>
      </c>
      <c r="W695" t="n">
        <v>14.5</v>
      </c>
      <c r="X695" t="n">
        <v>14</v>
      </c>
      <c r="Y695" t="n">
        <v>89</v>
      </c>
      <c r="Z695" t="n">
        <v>2</v>
      </c>
      <c r="AN695" t="inlineStr">
        <is>
          <t>Augment Ember</t>
        </is>
      </c>
      <c r="AO695" t="n">
        <v>210</v>
      </c>
      <c r="AP695" t="n">
        <v>10143</v>
      </c>
      <c r="AQ695" t="n">
        <v>15</v>
      </c>
      <c r="AS695" t="inlineStr">
        <is>
          <t>Yes</t>
        </is>
      </c>
    </row>
    <row r="696">
      <c r="A696" t="inlineStr">
        <is>
          <t>Mod</t>
        </is>
      </c>
      <c r="B696" t="inlineStr">
        <is>
          <t>Fired Up</t>
        </is>
      </c>
      <c r="E696" t="inlineStr">
        <is>
          <t>Sentinel</t>
        </is>
      </c>
      <c r="F696" t="n">
        <v>5</v>
      </c>
      <c r="G696" t="n">
        <v>1</v>
      </c>
      <c r="H696" t="inlineStr">
        <is>
          <t>Player trade (max rank)</t>
        </is>
      </c>
      <c r="I696" t="inlineStr">
        <is>
          <t>Yes</t>
        </is>
      </c>
      <c r="K696" t="inlineStr">
        <is>
          <t>Collection</t>
        </is>
      </c>
      <c r="L696" t="n">
        <v>9</v>
      </c>
      <c r="M696" t="n">
        <v>10</v>
      </c>
      <c r="N696" t="n">
        <v>17</v>
      </c>
      <c r="O696" t="inlineStr">
        <is>
          <t>2026-10-05 UTC (WFM pull 02:52-04:00)</t>
        </is>
      </c>
      <c r="P696" t="inlineStr">
        <is>
          <t>OK</t>
        </is>
      </c>
      <c r="R696" t="inlineStr">
        <is>
          <t>Every current tradeable mod at MAX RANK (WFM catalogue, rivens/locators excluded)</t>
        </is>
      </c>
      <c r="S696" t="inlineStr">
        <is>
          <t>fired_up</t>
        </is>
      </c>
      <c r="T696" t="n">
        <v>7</v>
      </c>
      <c r="U696" t="n">
        <v>7</v>
      </c>
      <c r="V696" t="n">
        <v>8</v>
      </c>
      <c r="W696" t="n">
        <v>9</v>
      </c>
      <c r="X696" t="n">
        <v>8.6</v>
      </c>
      <c r="Y696" t="n">
        <v>162</v>
      </c>
      <c r="Z696" t="n">
        <v>3</v>
      </c>
      <c r="AN696" t="inlineStr">
        <is>
          <t>Sentinel</t>
        </is>
      </c>
      <c r="AO696" t="n">
        <v>930</v>
      </c>
      <c r="AP696" t="n">
        <v>44919</v>
      </c>
      <c r="AQ696" t="n">
        <v>4.5</v>
      </c>
      <c r="AS696" t="inlineStr">
        <is>
          <t>Yes</t>
        </is>
      </c>
    </row>
    <row r="697">
      <c r="A697" t="inlineStr">
        <is>
          <t>Mod</t>
        </is>
      </c>
      <c r="B697" t="inlineStr">
        <is>
          <t>Firestorm</t>
        </is>
      </c>
      <c r="E697" t="inlineStr">
        <is>
          <t>Rifle</t>
        </is>
      </c>
      <c r="F697" t="n">
        <v>3</v>
      </c>
      <c r="G697" t="n">
        <v>1</v>
      </c>
      <c r="H697" t="inlineStr">
        <is>
          <t>Player trade (max rank)</t>
        </is>
      </c>
      <c r="I697" t="inlineStr">
        <is>
          <t>Yes</t>
        </is>
      </c>
      <c r="K697" t="inlineStr">
        <is>
          <t>Collection</t>
        </is>
      </c>
      <c r="L697" t="n">
        <v>9</v>
      </c>
      <c r="M697" t="n">
        <v>10</v>
      </c>
      <c r="N697" t="n">
        <v>22</v>
      </c>
      <c r="O697" t="inlineStr">
        <is>
          <t>2026-10-05 UTC (WFM pull 02:52-04:00)</t>
        </is>
      </c>
      <c r="P697" t="inlineStr">
        <is>
          <t>OK</t>
        </is>
      </c>
      <c r="R697" t="inlineStr">
        <is>
          <t>Every current tradeable mod at MAX RANK (WFM catalogue, rivens/locators excluded)</t>
        </is>
      </c>
      <c r="S697" t="inlineStr">
        <is>
          <t>firestorm</t>
        </is>
      </c>
      <c r="T697" t="n">
        <v>9</v>
      </c>
      <c r="U697" t="n">
        <v>9</v>
      </c>
      <c r="V697" t="n">
        <v>9</v>
      </c>
      <c r="W697" t="n">
        <v>8</v>
      </c>
      <c r="X697" t="n">
        <v>7.8</v>
      </c>
      <c r="Y697" t="n">
        <v>192</v>
      </c>
      <c r="Z697" t="n">
        <v>1</v>
      </c>
      <c r="AN697" t="inlineStr">
        <is>
          <t>Rifle</t>
        </is>
      </c>
      <c r="AO697" t="n">
        <v>210</v>
      </c>
      <c r="AP697" t="n">
        <v>10143</v>
      </c>
      <c r="AQ697" t="n">
        <v>5</v>
      </c>
      <c r="AS697" t="inlineStr">
        <is>
          <t>Yes</t>
        </is>
      </c>
    </row>
    <row r="698">
      <c r="A698" t="inlineStr">
        <is>
          <t>Mod</t>
        </is>
      </c>
      <c r="B698" t="inlineStr">
        <is>
          <t>Firewalker</t>
        </is>
      </c>
      <c r="E698" t="inlineStr">
        <is>
          <t>Warframe</t>
        </is>
      </c>
      <c r="F698" t="n">
        <v>10</v>
      </c>
      <c r="G698" t="n">
        <v>1</v>
      </c>
      <c r="H698" t="inlineStr">
        <is>
          <t>Player trade (max rank)</t>
        </is>
      </c>
      <c r="I698" t="inlineStr">
        <is>
          <t>Yes</t>
        </is>
      </c>
      <c r="K698" t="inlineStr">
        <is>
          <t>Collection</t>
        </is>
      </c>
      <c r="L698" t="n">
        <v>55</v>
      </c>
      <c r="M698" t="n">
        <v>70</v>
      </c>
      <c r="N698" t="n">
        <v>83</v>
      </c>
      <c r="O698" t="inlineStr">
        <is>
          <t>2026-10-05 UTC (WFM pull 02:52-04:00)</t>
        </is>
      </c>
      <c r="P698" t="inlineStr">
        <is>
          <t>OK</t>
        </is>
      </c>
      <c r="R698" t="inlineStr">
        <is>
          <t>Every current tradeable mod at MAX RANK (WFM catalogue, rivens/locators excluded)</t>
        </is>
      </c>
      <c r="S698" t="inlineStr">
        <is>
          <t>firewalker</t>
        </is>
      </c>
      <c r="T698" t="n">
        <v>10</v>
      </c>
      <c r="U698" t="n">
        <v>10</v>
      </c>
      <c r="V698" t="n">
        <v>50</v>
      </c>
      <c r="W698" t="n">
        <v>55</v>
      </c>
      <c r="X698" t="n">
        <v>55.8</v>
      </c>
      <c r="Y698" t="n">
        <v>207</v>
      </c>
      <c r="Z698" t="n">
        <v>10</v>
      </c>
      <c r="AA698" t="n">
        <v>40</v>
      </c>
      <c r="AB698" t="n">
        <v>15</v>
      </c>
      <c r="AN698" t="inlineStr">
        <is>
          <t>Warframe</t>
        </is>
      </c>
      <c r="AO698" t="n">
        <v>30690</v>
      </c>
      <c r="AP698" t="n">
        <v>1482327</v>
      </c>
      <c r="AQ698" t="n">
        <v>4</v>
      </c>
      <c r="AS698" t="inlineStr">
        <is>
          <t>Yes</t>
        </is>
      </c>
    </row>
    <row r="699">
      <c r="A699" t="inlineStr">
        <is>
          <t>Mod</t>
        </is>
      </c>
      <c r="B699" t="inlineStr">
        <is>
          <t>Firewall</t>
        </is>
      </c>
      <c r="E699" t="inlineStr">
        <is>
          <t>Parazon</t>
        </is>
      </c>
      <c r="G699" t="n">
        <v>1</v>
      </c>
      <c r="H699" t="inlineStr">
        <is>
          <t>Player trade (max rank)</t>
        </is>
      </c>
      <c r="I699" t="inlineStr">
        <is>
          <t>Yes</t>
        </is>
      </c>
      <c r="K699" t="inlineStr">
        <is>
          <t>Collection</t>
        </is>
      </c>
      <c r="L699" t="n">
        <v>7</v>
      </c>
      <c r="M699" t="n">
        <v>12</v>
      </c>
      <c r="N699" t="n">
        <v>27</v>
      </c>
      <c r="O699" t="inlineStr">
        <is>
          <t>2026-10-05 UTC (WFM pull 02:52-04:00)</t>
        </is>
      </c>
      <c r="P699" t="inlineStr">
        <is>
          <t>OK</t>
        </is>
      </c>
      <c r="R699" t="inlineStr">
        <is>
          <t>Every current tradeable mod at MAX RANK (WFM catalogue, rivens/locators excluded)</t>
        </is>
      </c>
      <c r="S699" t="inlineStr">
        <is>
          <t>firewall</t>
        </is>
      </c>
      <c r="T699" t="n">
        <v>4</v>
      </c>
      <c r="U699" t="n">
        <v>4</v>
      </c>
      <c r="V699" t="n">
        <v>8</v>
      </c>
      <c r="W699" t="n">
        <v>8</v>
      </c>
      <c r="X699" t="n">
        <v>8.199999999999999</v>
      </c>
      <c r="Y699" t="n">
        <v>113</v>
      </c>
      <c r="Z699" t="n">
        <v>2</v>
      </c>
      <c r="AN699" t="inlineStr">
        <is>
          <t>Parazon</t>
        </is>
      </c>
      <c r="AO699" t="n">
        <v>0</v>
      </c>
      <c r="AP699" t="n">
        <v>0</v>
      </c>
      <c r="AS699" t="inlineStr">
        <is>
          <t>Yes</t>
        </is>
      </c>
    </row>
    <row r="700">
      <c r="A700" t="inlineStr">
        <is>
          <t>Mod</t>
        </is>
      </c>
      <c r="B700" t="inlineStr">
        <is>
          <t>Flailing Branch</t>
        </is>
      </c>
      <c r="E700" t="inlineStr">
        <is>
          <t>Stance</t>
        </is>
      </c>
      <c r="F700" t="n">
        <v>3</v>
      </c>
      <c r="G700" t="n">
        <v>1</v>
      </c>
      <c r="H700" t="inlineStr">
        <is>
          <t>Player trade (max rank)</t>
        </is>
      </c>
      <c r="I700" t="inlineStr">
        <is>
          <t>Yes</t>
        </is>
      </c>
      <c r="K700" t="inlineStr">
        <is>
          <t>Collection</t>
        </is>
      </c>
      <c r="L700" t="n">
        <v>7</v>
      </c>
      <c r="M700" t="n">
        <v>9</v>
      </c>
      <c r="N700" t="n">
        <v>10</v>
      </c>
      <c r="O700" t="inlineStr">
        <is>
          <t>2026-10-05 UTC (WFM pull 02:52-04:00)</t>
        </is>
      </c>
      <c r="P700" t="inlineStr">
        <is>
          <t>OK</t>
        </is>
      </c>
      <c r="R700" t="inlineStr">
        <is>
          <t>Every current tradeable mod at MAX RANK (WFM catalogue, rivens/locators excluded)</t>
        </is>
      </c>
      <c r="S700" t="inlineStr">
        <is>
          <t>flailing_branch</t>
        </is>
      </c>
      <c r="T700" t="n">
        <v>11</v>
      </c>
      <c r="U700" t="n">
        <v>11</v>
      </c>
      <c r="V700" t="n">
        <v>7</v>
      </c>
      <c r="W700" t="n">
        <v>10</v>
      </c>
      <c r="X700" t="n">
        <v>7.9</v>
      </c>
      <c r="Y700" t="n">
        <v>33</v>
      </c>
      <c r="Z700" t="n">
        <v>1</v>
      </c>
      <c r="AN700" t="inlineStr">
        <is>
          <t>Stance</t>
        </is>
      </c>
      <c r="AO700" t="n">
        <v>210</v>
      </c>
      <c r="AP700" t="n">
        <v>10143</v>
      </c>
      <c r="AQ700" t="n">
        <v>3</v>
      </c>
      <c r="AS700" t="inlineStr">
        <is>
          <t>Yes</t>
        </is>
      </c>
    </row>
    <row r="701">
      <c r="A701" t="inlineStr">
        <is>
          <t>Mod</t>
        </is>
      </c>
      <c r="B701" t="inlineStr">
        <is>
          <t>Flak Shot</t>
        </is>
      </c>
      <c r="E701" t="inlineStr">
        <is>
          <t>Conclave (PvP)</t>
        </is>
      </c>
      <c r="F701" t="n">
        <v>3</v>
      </c>
      <c r="G701" t="n">
        <v>1</v>
      </c>
      <c r="H701" t="inlineStr">
        <is>
          <t>Player trade (max rank)</t>
        </is>
      </c>
      <c r="I701" t="inlineStr">
        <is>
          <t>Yes</t>
        </is>
      </c>
      <c r="K701" t="inlineStr">
        <is>
          <t>Collection (PvP)</t>
        </is>
      </c>
      <c r="L701" t="n">
        <v>200</v>
      </c>
      <c r="M701" t="n">
        <v>200</v>
      </c>
      <c r="N701" t="n">
        <v>275</v>
      </c>
      <c r="O701" t="inlineStr">
        <is>
          <t>2026-10-05 UTC (WFM pull 02:52-04:00)</t>
        </is>
      </c>
      <c r="P701" t="inlineStr">
        <is>
          <t>THIN</t>
        </is>
      </c>
      <c r="R701" t="inlineStr">
        <is>
          <t>Every current tradeable mod at MAX RANK (WFM catalogue, rivens/locators excluded)</t>
        </is>
      </c>
      <c r="S701" t="inlineStr">
        <is>
          <t>flak_shot</t>
        </is>
      </c>
      <c r="T701" t="n">
        <v>2</v>
      </c>
      <c r="U701" t="n">
        <v>0</v>
      </c>
      <c r="W701" t="n">
        <v>20</v>
      </c>
      <c r="X701" t="n">
        <v>20</v>
      </c>
      <c r="Y701" t="n">
        <v>1</v>
      </c>
      <c r="Z701" t="n">
        <v>0</v>
      </c>
      <c r="AN701" t="inlineStr">
        <is>
          <t>Conclave (PvP)</t>
        </is>
      </c>
      <c r="AO701" t="n">
        <v>140</v>
      </c>
      <c r="AP701" t="n">
        <v>6762</v>
      </c>
      <c r="AQ701" t="n">
        <v>40</v>
      </c>
      <c r="AS701" t="inlineStr">
        <is>
          <t>PvP subtotal</t>
        </is>
      </c>
    </row>
    <row r="702">
      <c r="A702" t="inlineStr">
        <is>
          <t>Mod</t>
        </is>
      </c>
      <c r="B702" t="inlineStr">
        <is>
          <t>Flame Gland</t>
        </is>
      </c>
      <c r="E702" t="inlineStr">
        <is>
          <t>Claws</t>
        </is>
      </c>
      <c r="F702" t="n">
        <v>3</v>
      </c>
      <c r="G702" t="n">
        <v>1</v>
      </c>
      <c r="H702" t="inlineStr">
        <is>
          <t>Player trade (max rank)</t>
        </is>
      </c>
      <c r="I702" t="inlineStr">
        <is>
          <t>Yes</t>
        </is>
      </c>
      <c r="K702" t="inlineStr">
        <is>
          <t>Collection</t>
        </is>
      </c>
      <c r="L702" t="n">
        <v>45</v>
      </c>
      <c r="M702" t="n">
        <v>45</v>
      </c>
      <c r="N702" t="n">
        <v>83</v>
      </c>
      <c r="O702" t="inlineStr">
        <is>
          <t>2026-10-05 UTC (WFM pull 02:52-04:00)</t>
        </is>
      </c>
      <c r="P702" t="inlineStr">
        <is>
          <t>OK</t>
        </is>
      </c>
      <c r="R702" t="inlineStr">
        <is>
          <t>Every current tradeable mod at MAX RANK (WFM catalogue, rivens/locators excluded)</t>
        </is>
      </c>
      <c r="S702" t="inlineStr">
        <is>
          <t>flame_gland</t>
        </is>
      </c>
      <c r="T702" t="n">
        <v>4</v>
      </c>
      <c r="U702" t="n">
        <v>4</v>
      </c>
      <c r="V702" t="n">
        <v>29</v>
      </c>
      <c r="W702" t="n">
        <v>25</v>
      </c>
      <c r="X702" t="n">
        <v>26.4</v>
      </c>
      <c r="Y702" t="n">
        <v>395</v>
      </c>
      <c r="Z702" t="n">
        <v>6</v>
      </c>
      <c r="AN702" t="inlineStr">
        <is>
          <t>Claws</t>
        </is>
      </c>
      <c r="AO702" t="n">
        <v>210</v>
      </c>
      <c r="AP702" t="n">
        <v>10143</v>
      </c>
      <c r="AQ702" t="n">
        <v>30</v>
      </c>
      <c r="AS702" t="inlineStr">
        <is>
          <t>Yes</t>
        </is>
      </c>
    </row>
    <row r="703">
      <c r="A703" t="inlineStr">
        <is>
          <t>Mod</t>
        </is>
      </c>
      <c r="B703" t="inlineStr">
        <is>
          <t>Flame Repellent</t>
        </is>
      </c>
      <c r="E703" t="inlineStr">
        <is>
          <t>Warframe</t>
        </is>
      </c>
      <c r="F703" t="n">
        <v>5</v>
      </c>
      <c r="G703" t="n">
        <v>1</v>
      </c>
      <c r="H703" t="inlineStr">
        <is>
          <t>Player trade (max rank)</t>
        </is>
      </c>
      <c r="I703" t="inlineStr">
        <is>
          <t>Yes</t>
        </is>
      </c>
      <c r="K703" t="inlineStr">
        <is>
          <t>Collection</t>
        </is>
      </c>
      <c r="L703" t="n">
        <v>10</v>
      </c>
      <c r="M703" t="n">
        <v>15</v>
      </c>
      <c r="N703" t="n">
        <v>33</v>
      </c>
      <c r="O703" t="inlineStr">
        <is>
          <t>2026-10-05 UTC (WFM pull 02:52-04:00)</t>
        </is>
      </c>
      <c r="P703" t="inlineStr">
        <is>
          <t>OK</t>
        </is>
      </c>
      <c r="R703" t="inlineStr">
        <is>
          <t>Every current tradeable mod at MAX RANK (WFM catalogue, rivens/locators excluded)</t>
        </is>
      </c>
      <c r="S703" t="inlineStr">
        <is>
          <t>flame_repellent</t>
        </is>
      </c>
      <c r="T703" t="n">
        <v>3</v>
      </c>
      <c r="U703" t="n">
        <v>3</v>
      </c>
      <c r="Y703" t="n">
        <v>0</v>
      </c>
      <c r="Z703" t="n">
        <v>0</v>
      </c>
      <c r="AN703" t="inlineStr">
        <is>
          <t>Warframe</t>
        </is>
      </c>
      <c r="AO703" t="n">
        <v>310</v>
      </c>
      <c r="AP703" t="n">
        <v>14973</v>
      </c>
      <c r="AQ703" t="n">
        <v>2</v>
      </c>
      <c r="AS703" t="inlineStr">
        <is>
          <t>Yes</t>
        </is>
      </c>
    </row>
    <row r="704">
      <c r="A704" t="inlineStr">
        <is>
          <t>Mod</t>
        </is>
      </c>
      <c r="B704" t="inlineStr">
        <is>
          <t>Flechette</t>
        </is>
      </c>
      <c r="E704" t="inlineStr">
        <is>
          <t>Shotgun</t>
        </is>
      </c>
      <c r="F704" t="n">
        <v>5</v>
      </c>
      <c r="G704" t="n">
        <v>1</v>
      </c>
      <c r="H704" t="inlineStr">
        <is>
          <t>Player trade (max rank)</t>
        </is>
      </c>
      <c r="I704" t="inlineStr">
        <is>
          <t>Yes</t>
        </is>
      </c>
      <c r="K704" t="inlineStr">
        <is>
          <t>Collection</t>
        </is>
      </c>
      <c r="L704" t="n">
        <v>6</v>
      </c>
      <c r="M704" t="n">
        <v>29</v>
      </c>
      <c r="N704" t="n">
        <v>58</v>
      </c>
      <c r="O704" t="inlineStr">
        <is>
          <t>2026-10-05 UTC (WFM pull 02:52-04:00)</t>
        </is>
      </c>
      <c r="P704" t="inlineStr">
        <is>
          <t>OK</t>
        </is>
      </c>
      <c r="R704" t="inlineStr">
        <is>
          <t>Every current tradeable mod at MAX RANK (WFM catalogue, rivens/locators excluded)</t>
        </is>
      </c>
      <c r="S704" t="inlineStr">
        <is>
          <t>flechette</t>
        </is>
      </c>
      <c r="T704" t="n">
        <v>5</v>
      </c>
      <c r="U704" t="n">
        <v>5</v>
      </c>
      <c r="Y704" t="n">
        <v>0</v>
      </c>
      <c r="Z704" t="n">
        <v>0</v>
      </c>
      <c r="AN704" t="inlineStr">
        <is>
          <t>Shotgun</t>
        </is>
      </c>
      <c r="AO704" t="n">
        <v>310</v>
      </c>
      <c r="AP704" t="n">
        <v>14973</v>
      </c>
      <c r="AQ704" t="n">
        <v>4.5</v>
      </c>
      <c r="AS704" t="inlineStr">
        <is>
          <t>Yes</t>
        </is>
      </c>
    </row>
    <row r="705">
      <c r="A705" t="inlineStr">
        <is>
          <t>Mod</t>
        </is>
      </c>
      <c r="B705" t="inlineStr">
        <is>
          <t>Fleeting Expertise</t>
        </is>
      </c>
      <c r="E705" t="inlineStr">
        <is>
          <t>Warframe</t>
        </is>
      </c>
      <c r="F705" t="n">
        <v>5</v>
      </c>
      <c r="G705" t="n">
        <v>1</v>
      </c>
      <c r="H705" t="inlineStr">
        <is>
          <t>Player trade (max rank)</t>
        </is>
      </c>
      <c r="I705" t="inlineStr">
        <is>
          <t>Yes</t>
        </is>
      </c>
      <c r="K705" t="inlineStr">
        <is>
          <t>Collection</t>
        </is>
      </c>
      <c r="L705" t="n">
        <v>10</v>
      </c>
      <c r="M705" t="n">
        <v>15</v>
      </c>
      <c r="N705" t="n">
        <v>17</v>
      </c>
      <c r="O705" t="inlineStr">
        <is>
          <t>2026-10-05 UTC (WFM pull 02:52-04:00)</t>
        </is>
      </c>
      <c r="P705" t="inlineStr">
        <is>
          <t>OK</t>
        </is>
      </c>
      <c r="R705" t="inlineStr">
        <is>
          <t>Every current tradeable mod at MAX RANK (WFM catalogue, rivens/locators excluded)</t>
        </is>
      </c>
      <c r="S705" t="inlineStr">
        <is>
          <t>fleeting_expertise</t>
        </is>
      </c>
      <c r="T705" t="n">
        <v>21</v>
      </c>
      <c r="U705" t="n">
        <v>21</v>
      </c>
      <c r="V705" t="n">
        <v>13</v>
      </c>
      <c r="W705" t="n">
        <v>12.5</v>
      </c>
      <c r="X705" t="n">
        <v>12.4</v>
      </c>
      <c r="Y705" t="n">
        <v>1606</v>
      </c>
      <c r="Z705" t="n">
        <v>25</v>
      </c>
      <c r="AN705" t="inlineStr">
        <is>
          <t>Warframe</t>
        </is>
      </c>
      <c r="AO705" t="n">
        <v>930</v>
      </c>
      <c r="AP705" t="n">
        <v>44919</v>
      </c>
      <c r="AQ705" t="n">
        <v>8</v>
      </c>
      <c r="AS705" t="inlineStr">
        <is>
          <t>Yes</t>
        </is>
      </c>
    </row>
    <row r="706">
      <c r="A706" t="inlineStr">
        <is>
          <t>Mod</t>
        </is>
      </c>
      <c r="B706" t="inlineStr">
        <is>
          <t>Flow</t>
        </is>
      </c>
      <c r="E706" t="inlineStr">
        <is>
          <t>Warframe</t>
        </is>
      </c>
      <c r="F706" t="n">
        <v>5</v>
      </c>
      <c r="G706" t="n">
        <v>1</v>
      </c>
      <c r="H706" t="inlineStr">
        <is>
          <t>Player trade (max rank)</t>
        </is>
      </c>
      <c r="I706" t="inlineStr">
        <is>
          <t>Yes</t>
        </is>
      </c>
      <c r="K706" t="inlineStr">
        <is>
          <t>Collection</t>
        </is>
      </c>
      <c r="L706" t="n">
        <v>4</v>
      </c>
      <c r="M706" t="n">
        <v>7</v>
      </c>
      <c r="N706" t="n">
        <v>11</v>
      </c>
      <c r="O706" t="inlineStr">
        <is>
          <t>2026-10-05 UTC (WFM pull 02:52-04:00)</t>
        </is>
      </c>
      <c r="P706" t="inlineStr">
        <is>
          <t>OK</t>
        </is>
      </c>
      <c r="R706" t="inlineStr">
        <is>
          <t>Every current tradeable mod at MAX RANK (WFM catalogue, rivens/locators excluded)</t>
        </is>
      </c>
      <c r="S706" t="inlineStr">
        <is>
          <t>flow</t>
        </is>
      </c>
      <c r="T706" t="n">
        <v>11</v>
      </c>
      <c r="U706" t="n">
        <v>11</v>
      </c>
      <c r="V706" t="n">
        <v>5</v>
      </c>
      <c r="W706" t="n">
        <v>5</v>
      </c>
      <c r="X706" t="n">
        <v>5.1</v>
      </c>
      <c r="Y706" t="n">
        <v>67</v>
      </c>
      <c r="Z706" t="n">
        <v>1</v>
      </c>
      <c r="AN706" t="inlineStr">
        <is>
          <t>Warframe</t>
        </is>
      </c>
      <c r="AO706" t="n">
        <v>930</v>
      </c>
      <c r="AP706" t="n">
        <v>44919</v>
      </c>
      <c r="AQ706" t="n">
        <v>2</v>
      </c>
      <c r="AS706" t="inlineStr">
        <is>
          <t>Yes</t>
        </is>
      </c>
    </row>
    <row r="707">
      <c r="A707" t="inlineStr">
        <is>
          <t>Mod</t>
        </is>
      </c>
      <c r="B707" t="inlineStr">
        <is>
          <t>Flow Burn</t>
        </is>
      </c>
      <c r="E707" t="inlineStr">
        <is>
          <t>Railjack (Tactical, Slot 3)</t>
        </is>
      </c>
      <c r="F707" t="n">
        <v>10</v>
      </c>
      <c r="G707" t="n">
        <v>1</v>
      </c>
      <c r="H707" t="inlineStr">
        <is>
          <t>Player trade (max rank)</t>
        </is>
      </c>
      <c r="I707" t="inlineStr">
        <is>
          <t>Yes</t>
        </is>
      </c>
      <c r="K707" t="inlineStr">
        <is>
          <t>Collection</t>
        </is>
      </c>
      <c r="L707" t="n">
        <v>60</v>
      </c>
      <c r="M707" t="n">
        <v>60</v>
      </c>
      <c r="N707" t="n">
        <v>105</v>
      </c>
      <c r="O707" t="inlineStr">
        <is>
          <t>2026-10-05 UTC (WFM pull 02:52-04:00)</t>
        </is>
      </c>
      <c r="P707" t="inlineStr">
        <is>
          <t>OK</t>
        </is>
      </c>
      <c r="R707" t="inlineStr">
        <is>
          <t>Every current tradeable mod at MAX RANK (WFM catalogue, rivens/locators excluded)</t>
        </is>
      </c>
      <c r="S707" t="inlineStr">
        <is>
          <t>flow_burn</t>
        </is>
      </c>
      <c r="T707" t="n">
        <v>5</v>
      </c>
      <c r="U707" t="n">
        <v>5</v>
      </c>
      <c r="V707" t="n">
        <v>60</v>
      </c>
      <c r="W707" t="n">
        <v>60</v>
      </c>
      <c r="X707" t="n">
        <v>63.3</v>
      </c>
      <c r="Y707" t="n">
        <v>34</v>
      </c>
      <c r="Z707" t="n">
        <v>0</v>
      </c>
      <c r="AN707" t="inlineStr">
        <is>
          <t>Railjack (Tactical, Slot 3)</t>
        </is>
      </c>
      <c r="AO707" t="n">
        <v>20460</v>
      </c>
      <c r="AP707" t="n">
        <v>988218</v>
      </c>
      <c r="AQ707" t="n">
        <v>5</v>
      </c>
      <c r="AS707" t="inlineStr">
        <is>
          <t>Yes</t>
        </is>
      </c>
    </row>
    <row r="708">
      <c r="A708" t="inlineStr">
        <is>
          <t>Mod</t>
        </is>
      </c>
      <c r="B708" t="inlineStr">
        <is>
          <t>Flux Overdrive</t>
        </is>
      </c>
      <c r="E708" t="inlineStr">
        <is>
          <t>Augment Flux Rifle</t>
        </is>
      </c>
      <c r="F708" t="n">
        <v>5</v>
      </c>
      <c r="G708" t="n">
        <v>1</v>
      </c>
      <c r="H708" t="inlineStr">
        <is>
          <t>Player trade (max rank)</t>
        </is>
      </c>
      <c r="I708" t="inlineStr">
        <is>
          <t>Yes</t>
        </is>
      </c>
      <c r="K708" t="inlineStr">
        <is>
          <t>Collection</t>
        </is>
      </c>
      <c r="L708" t="n">
        <v>8</v>
      </c>
      <c r="M708" t="n">
        <v>8</v>
      </c>
      <c r="N708" t="n">
        <v>18</v>
      </c>
      <c r="O708" t="inlineStr">
        <is>
          <t>2026-10-05 UTC (WFM pull 02:52-04:00)</t>
        </is>
      </c>
      <c r="P708" t="inlineStr">
        <is>
          <t>OK</t>
        </is>
      </c>
      <c r="R708" t="inlineStr">
        <is>
          <t>Every current tradeable mod at MAX RANK (WFM catalogue, rivens/locators excluded)</t>
        </is>
      </c>
      <c r="S708" t="inlineStr">
        <is>
          <t>flux_overdrive</t>
        </is>
      </c>
      <c r="T708" t="n">
        <v>5</v>
      </c>
      <c r="U708" t="n">
        <v>5</v>
      </c>
      <c r="W708" t="n">
        <v>5</v>
      </c>
      <c r="X708" t="n">
        <v>8.5</v>
      </c>
      <c r="Y708" t="n">
        <v>8</v>
      </c>
      <c r="Z708" t="n">
        <v>0</v>
      </c>
      <c r="AN708" t="inlineStr">
        <is>
          <t>Augment Flux Rifle</t>
        </is>
      </c>
      <c r="AO708" t="n">
        <v>930</v>
      </c>
      <c r="AP708" t="n">
        <v>44919</v>
      </c>
      <c r="AQ708" t="n">
        <v>2</v>
      </c>
      <c r="AS708" t="inlineStr">
        <is>
          <t>Yes</t>
        </is>
      </c>
    </row>
    <row r="709">
      <c r="A709" t="inlineStr">
        <is>
          <t>Mod</t>
        </is>
      </c>
      <c r="B709" t="inlineStr">
        <is>
          <t>Focus Energy</t>
        </is>
      </c>
      <c r="E709" t="inlineStr">
        <is>
          <t>Melee</t>
        </is>
      </c>
      <c r="F709" t="n">
        <v>3</v>
      </c>
      <c r="G709" t="n">
        <v>1</v>
      </c>
      <c r="H709" t="inlineStr">
        <is>
          <t>Player trade (max rank)</t>
        </is>
      </c>
      <c r="I709" t="inlineStr">
        <is>
          <t>Yes</t>
        </is>
      </c>
      <c r="K709" t="inlineStr">
        <is>
          <t>Collection</t>
        </is>
      </c>
      <c r="L709" t="n">
        <v>5</v>
      </c>
      <c r="M709" t="n">
        <v>8</v>
      </c>
      <c r="N709" t="n">
        <v>10</v>
      </c>
      <c r="O709" t="inlineStr">
        <is>
          <t>2026-10-05 UTC (WFM pull 02:52-04:00)</t>
        </is>
      </c>
      <c r="P709" t="inlineStr">
        <is>
          <t>OK</t>
        </is>
      </c>
      <c r="R709" t="inlineStr">
        <is>
          <t>Every current tradeable mod at MAX RANK (WFM catalogue, rivens/locators excluded)</t>
        </is>
      </c>
      <c r="S709" t="inlineStr">
        <is>
          <t>focus_energy</t>
        </is>
      </c>
      <c r="T709" t="n">
        <v>10</v>
      </c>
      <c r="U709" t="n">
        <v>10</v>
      </c>
      <c r="V709" t="n">
        <v>8</v>
      </c>
      <c r="W709" t="n">
        <v>8</v>
      </c>
      <c r="X709" t="n">
        <v>7.9</v>
      </c>
      <c r="Y709" t="n">
        <v>142</v>
      </c>
      <c r="Z709" t="n">
        <v>6</v>
      </c>
      <c r="AN709" t="inlineStr">
        <is>
          <t>Melee</t>
        </is>
      </c>
      <c r="AO709" t="n">
        <v>210</v>
      </c>
      <c r="AP709" t="n">
        <v>10143</v>
      </c>
      <c r="AQ709" t="n">
        <v>4</v>
      </c>
      <c r="AS709" t="inlineStr">
        <is>
          <t>Yes</t>
        </is>
      </c>
    </row>
    <row r="710">
      <c r="A710" t="inlineStr">
        <is>
          <t>Mod</t>
        </is>
      </c>
      <c r="B710" t="inlineStr">
        <is>
          <t>Focus Radon</t>
        </is>
      </c>
      <c r="E710" t="inlineStr">
        <is>
          <t>Melee</t>
        </is>
      </c>
      <c r="F710" t="n">
        <v>3</v>
      </c>
      <c r="G710" t="n">
        <v>1</v>
      </c>
      <c r="H710" t="inlineStr">
        <is>
          <t>Player trade (max rank)</t>
        </is>
      </c>
      <c r="I710" t="inlineStr">
        <is>
          <t>Yes</t>
        </is>
      </c>
      <c r="K710" t="inlineStr">
        <is>
          <t>Collection</t>
        </is>
      </c>
      <c r="L710" t="n">
        <v>5</v>
      </c>
      <c r="M710" t="n">
        <v>7</v>
      </c>
      <c r="N710" t="n">
        <v>11</v>
      </c>
      <c r="O710" t="inlineStr">
        <is>
          <t>2026-10-05 UTC (WFM pull 02:52-04:00)</t>
        </is>
      </c>
      <c r="P710" t="inlineStr">
        <is>
          <t>OK</t>
        </is>
      </c>
      <c r="R710" t="inlineStr">
        <is>
          <t>Every current tradeable mod at MAX RANK (WFM catalogue, rivens/locators excluded)</t>
        </is>
      </c>
      <c r="S710" t="inlineStr">
        <is>
          <t>focus_radon</t>
        </is>
      </c>
      <c r="T710" t="n">
        <v>7</v>
      </c>
      <c r="U710" t="n">
        <v>7</v>
      </c>
      <c r="V710" t="n">
        <v>5</v>
      </c>
      <c r="W710" t="n">
        <v>5</v>
      </c>
      <c r="X710" t="n">
        <v>6.1</v>
      </c>
      <c r="Y710" t="n">
        <v>86</v>
      </c>
      <c r="Z710" t="n">
        <v>1</v>
      </c>
      <c r="AN710" t="inlineStr">
        <is>
          <t>Melee</t>
        </is>
      </c>
      <c r="AO710" t="n">
        <v>210</v>
      </c>
      <c r="AP710" t="n">
        <v>10143</v>
      </c>
      <c r="AQ710" t="n">
        <v>2</v>
      </c>
      <c r="AS710" t="inlineStr">
        <is>
          <t>Yes</t>
        </is>
      </c>
    </row>
    <row r="711">
      <c r="A711" t="inlineStr">
        <is>
          <t>Mod</t>
        </is>
      </c>
      <c r="B711" t="inlineStr">
        <is>
          <t>Focused Acceleration</t>
        </is>
      </c>
      <c r="E711" t="inlineStr">
        <is>
          <t>Conclave (PvP)</t>
        </is>
      </c>
      <c r="F711" t="n">
        <v>3</v>
      </c>
      <c r="G711" t="n">
        <v>1</v>
      </c>
      <c r="H711" t="inlineStr">
        <is>
          <t>Player trade (max rank)</t>
        </is>
      </c>
      <c r="I711" t="inlineStr">
        <is>
          <t>Yes</t>
        </is>
      </c>
      <c r="K711" t="inlineStr">
        <is>
          <t>Collection (PvP)</t>
        </is>
      </c>
      <c r="L711" t="n">
        <v>25</v>
      </c>
      <c r="M711" t="n">
        <v>25</v>
      </c>
      <c r="N711" t="n">
        <v>56</v>
      </c>
      <c r="O711" t="inlineStr">
        <is>
          <t>2026-10-05 UTC (WFM pull 02:52-04:00)</t>
        </is>
      </c>
      <c r="P711" t="inlineStr">
        <is>
          <t>OK</t>
        </is>
      </c>
      <c r="R711" t="inlineStr">
        <is>
          <t>Every current tradeable mod at MAX RANK (WFM catalogue, rivens/locators excluded)</t>
        </is>
      </c>
      <c r="S711" t="inlineStr">
        <is>
          <t>focused_acceleration</t>
        </is>
      </c>
      <c r="T711" t="n">
        <v>3</v>
      </c>
      <c r="U711" t="n">
        <v>3</v>
      </c>
      <c r="V711" t="n">
        <v>10</v>
      </c>
      <c r="W711" t="n">
        <v>14.5</v>
      </c>
      <c r="X711" t="n">
        <v>14.6</v>
      </c>
      <c r="Y711" t="n">
        <v>9</v>
      </c>
      <c r="Z711" t="n">
        <v>0</v>
      </c>
      <c r="AN711" t="inlineStr">
        <is>
          <t>Conclave (PvP)</t>
        </is>
      </c>
      <c r="AO711" t="n">
        <v>210</v>
      </c>
      <c r="AP711" t="n">
        <v>10143</v>
      </c>
      <c r="AQ711" t="n">
        <v>8</v>
      </c>
      <c r="AS711" t="inlineStr">
        <is>
          <t>PvP subtotal</t>
        </is>
      </c>
    </row>
    <row r="712">
      <c r="A712" t="inlineStr">
        <is>
          <t>Mod</t>
        </is>
      </c>
      <c r="B712" t="inlineStr">
        <is>
          <t>Focused Defense</t>
        </is>
      </c>
      <c r="E712" t="inlineStr">
        <is>
          <t>Melee</t>
        </is>
      </c>
      <c r="F712" t="n">
        <v>3</v>
      </c>
      <c r="G712" t="n">
        <v>1</v>
      </c>
      <c r="H712" t="inlineStr">
        <is>
          <t>Player trade (max rank)</t>
        </is>
      </c>
      <c r="I712" t="inlineStr">
        <is>
          <t>Yes</t>
        </is>
      </c>
      <c r="K712" t="inlineStr">
        <is>
          <t>Collection</t>
        </is>
      </c>
      <c r="L712" t="n">
        <v>28</v>
      </c>
      <c r="M712" t="n">
        <v>28</v>
      </c>
      <c r="N712" t="n">
        <v>53</v>
      </c>
      <c r="O712" t="inlineStr">
        <is>
          <t>2026-10-05 UTC (WFM pull 02:52-04:00)</t>
        </is>
      </c>
      <c r="P712" t="inlineStr">
        <is>
          <t>OK</t>
        </is>
      </c>
      <c r="R712" t="inlineStr">
        <is>
          <t>Every current tradeable mod at MAX RANK (WFM catalogue, rivens/locators excluded)</t>
        </is>
      </c>
      <c r="S712" t="inlineStr">
        <is>
          <t>focused_defense</t>
        </is>
      </c>
      <c r="T712" t="n">
        <v>3</v>
      </c>
      <c r="U712" t="n">
        <v>3</v>
      </c>
      <c r="V712" t="n">
        <v>14</v>
      </c>
      <c r="W712" t="n">
        <v>15</v>
      </c>
      <c r="X712" t="n">
        <v>18</v>
      </c>
      <c r="Y712" t="n">
        <v>9</v>
      </c>
      <c r="Z712" t="n">
        <v>0</v>
      </c>
      <c r="AN712" t="inlineStr">
        <is>
          <t>Melee</t>
        </is>
      </c>
      <c r="AO712" t="n">
        <v>70</v>
      </c>
      <c r="AP712" t="n">
        <v>3381</v>
      </c>
      <c r="AQ712" t="n">
        <v>10.5</v>
      </c>
      <c r="AS712" t="inlineStr">
        <is>
          <t>Yes</t>
        </is>
      </c>
    </row>
    <row r="713">
      <c r="A713" t="inlineStr">
        <is>
          <t>Mod</t>
        </is>
      </c>
      <c r="B713" t="inlineStr">
        <is>
          <t>Focused Prospectus</t>
        </is>
      </c>
      <c r="E713" t="inlineStr">
        <is>
          <t>Hound</t>
        </is>
      </c>
      <c r="F713" t="n">
        <v>5</v>
      </c>
      <c r="G713" t="n">
        <v>1</v>
      </c>
      <c r="H713" t="inlineStr">
        <is>
          <t>Player trade (max rank)</t>
        </is>
      </c>
      <c r="I713" t="inlineStr">
        <is>
          <t>Yes</t>
        </is>
      </c>
      <c r="K713" t="inlineStr">
        <is>
          <t>Collection</t>
        </is>
      </c>
      <c r="L713" t="n">
        <v>10</v>
      </c>
      <c r="M713" t="n">
        <v>10</v>
      </c>
      <c r="N713" t="n">
        <v>22</v>
      </c>
      <c r="O713" t="inlineStr">
        <is>
          <t>2026-10-05 UTC (WFM pull 02:52-04:00)</t>
        </is>
      </c>
      <c r="P713" t="inlineStr">
        <is>
          <t>OK</t>
        </is>
      </c>
      <c r="R713" t="inlineStr">
        <is>
          <t>Every current tradeable mod at MAX RANK (WFM catalogue, rivens/locators excluded)</t>
        </is>
      </c>
      <c r="S713" t="inlineStr">
        <is>
          <t>focused_prospectus</t>
        </is>
      </c>
      <c r="T713" t="n">
        <v>6</v>
      </c>
      <c r="U713" t="n">
        <v>6</v>
      </c>
      <c r="V713" t="n">
        <v>4</v>
      </c>
      <c r="W713" t="n">
        <v>10</v>
      </c>
      <c r="X713" t="n">
        <v>16.3</v>
      </c>
      <c r="Y713" t="n">
        <v>3</v>
      </c>
      <c r="Z713" t="n">
        <v>0</v>
      </c>
      <c r="AN713" t="inlineStr">
        <is>
          <t>Hound</t>
        </is>
      </c>
      <c r="AO713" t="n">
        <v>930</v>
      </c>
      <c r="AP713" t="n">
        <v>44919</v>
      </c>
      <c r="AQ713" t="n">
        <v>5</v>
      </c>
      <c r="AS713" t="inlineStr">
        <is>
          <t>Yes</t>
        </is>
      </c>
    </row>
    <row r="714">
      <c r="A714" t="inlineStr">
        <is>
          <t>Mod</t>
        </is>
      </c>
      <c r="B714" t="inlineStr">
        <is>
          <t>Follow Through</t>
        </is>
      </c>
      <c r="E714" t="inlineStr">
        <is>
          <t>Conclave (PvP)</t>
        </is>
      </c>
      <c r="F714" t="n">
        <v>3</v>
      </c>
      <c r="G714" t="n">
        <v>1</v>
      </c>
      <c r="H714" t="inlineStr">
        <is>
          <t>Player trade (max rank)</t>
        </is>
      </c>
      <c r="I714" t="inlineStr">
        <is>
          <t>Yes</t>
        </is>
      </c>
      <c r="K714" t="inlineStr">
        <is>
          <t>Collection (PvP)</t>
        </is>
      </c>
      <c r="L714" t="n">
        <v>275</v>
      </c>
      <c r="M714" t="n">
        <v>275</v>
      </c>
      <c r="N714" t="n">
        <v>330</v>
      </c>
      <c r="O714" t="inlineStr">
        <is>
          <t>2026-10-05 UTC (WFM pull 02:52-04:00)</t>
        </is>
      </c>
      <c r="P714" t="inlineStr">
        <is>
          <t>THIN</t>
        </is>
      </c>
      <c r="R714" t="inlineStr">
        <is>
          <t>Every current tradeable mod at MAX RANK (WFM catalogue, rivens/locators excluded)</t>
        </is>
      </c>
      <c r="S714" t="inlineStr">
        <is>
          <t>follow_through</t>
        </is>
      </c>
      <c r="T714" t="n">
        <v>2</v>
      </c>
      <c r="U714" t="n">
        <v>0</v>
      </c>
      <c r="V714" t="n">
        <v>30</v>
      </c>
      <c r="W714" t="n">
        <v>30</v>
      </c>
      <c r="X714" t="n">
        <v>30</v>
      </c>
      <c r="Y714" t="n">
        <v>1</v>
      </c>
      <c r="Z714" t="n">
        <v>0</v>
      </c>
      <c r="AN714" t="inlineStr">
        <is>
          <t>Conclave (PvP)</t>
        </is>
      </c>
      <c r="AO714" t="n">
        <v>140</v>
      </c>
      <c r="AP714" t="n">
        <v>6762</v>
      </c>
      <c r="AQ714" t="n">
        <v>50</v>
      </c>
      <c r="AS714" t="inlineStr">
        <is>
          <t>PvP subtotal</t>
        </is>
      </c>
    </row>
    <row r="715">
      <c r="A715" t="inlineStr">
        <is>
          <t>Mod</t>
        </is>
      </c>
      <c r="B715" t="inlineStr">
        <is>
          <t>Fomorian Accelerant</t>
        </is>
      </c>
      <c r="E715" t="inlineStr">
        <is>
          <t>Augment Drakgoon</t>
        </is>
      </c>
      <c r="F715" t="n">
        <v>3</v>
      </c>
      <c r="G715" t="n">
        <v>1</v>
      </c>
      <c r="H715" t="inlineStr">
        <is>
          <t>Player trade (max rank)</t>
        </is>
      </c>
      <c r="I715" t="inlineStr">
        <is>
          <t>Yes</t>
        </is>
      </c>
      <c r="K715" t="inlineStr">
        <is>
          <t>Collection</t>
        </is>
      </c>
      <c r="L715" t="n">
        <v>6</v>
      </c>
      <c r="M715" t="n">
        <v>10</v>
      </c>
      <c r="N715" t="n">
        <v>11</v>
      </c>
      <c r="O715" t="inlineStr">
        <is>
          <t>2026-10-05 UTC (WFM pull 02:52-04:00)</t>
        </is>
      </c>
      <c r="P715" t="inlineStr">
        <is>
          <t>OK</t>
        </is>
      </c>
      <c r="R715" t="inlineStr">
        <is>
          <t>Every current tradeable mod at MAX RANK (WFM catalogue, rivens/locators excluded)</t>
        </is>
      </c>
      <c r="S715" t="inlineStr">
        <is>
          <t>fomorian_accelerant</t>
        </is>
      </c>
      <c r="T715" t="n">
        <v>67</v>
      </c>
      <c r="U715" t="n">
        <v>2</v>
      </c>
      <c r="V715" t="n">
        <v>10</v>
      </c>
      <c r="W715" t="n">
        <v>11</v>
      </c>
      <c r="X715" t="n">
        <v>11.9</v>
      </c>
      <c r="Y715" t="n">
        <v>14</v>
      </c>
      <c r="Z715" t="n">
        <v>0</v>
      </c>
      <c r="AN715" t="inlineStr">
        <is>
          <t>Augment Drakgoon</t>
        </is>
      </c>
      <c r="AO715" t="n">
        <v>140</v>
      </c>
      <c r="AP715" t="n">
        <v>6762</v>
      </c>
      <c r="AQ715" t="n">
        <v>8</v>
      </c>
      <c r="AS715" t="inlineStr">
        <is>
          <t>Yes</t>
        </is>
      </c>
    </row>
    <row r="716">
      <c r="A716" t="inlineStr">
        <is>
          <t>Mod</t>
        </is>
      </c>
      <c r="B716" t="inlineStr">
        <is>
          <t>Form Up</t>
        </is>
      </c>
      <c r="E716" t="inlineStr">
        <is>
          <t>Railjack (Tactical, Slot 1)</t>
        </is>
      </c>
      <c r="F716" t="n">
        <v>5</v>
      </c>
      <c r="G716" t="n">
        <v>1</v>
      </c>
      <c r="H716" t="inlineStr">
        <is>
          <t>Player trade (max rank)</t>
        </is>
      </c>
      <c r="I716" t="inlineStr">
        <is>
          <t>Yes</t>
        </is>
      </c>
      <c r="K716" t="inlineStr">
        <is>
          <t>Collection</t>
        </is>
      </c>
      <c r="L716" t="n">
        <v>15</v>
      </c>
      <c r="M716" t="n">
        <v>18</v>
      </c>
      <c r="N716" t="n">
        <v>22</v>
      </c>
      <c r="O716" t="inlineStr">
        <is>
          <t>2026-10-05 UTC (WFM pull 02:52-04:00)</t>
        </is>
      </c>
      <c r="P716" t="inlineStr">
        <is>
          <t>OK</t>
        </is>
      </c>
      <c r="R716" t="inlineStr">
        <is>
          <t>Every current tradeable mod at MAX RANK (WFM catalogue, rivens/locators excluded)</t>
        </is>
      </c>
      <c r="S716" t="inlineStr">
        <is>
          <t>form_up</t>
        </is>
      </c>
      <c r="T716" t="n">
        <v>68</v>
      </c>
      <c r="U716" t="n">
        <v>2</v>
      </c>
      <c r="V716" t="n">
        <v>20</v>
      </c>
      <c r="W716" t="n">
        <v>23</v>
      </c>
      <c r="X716" t="n">
        <v>22.3</v>
      </c>
      <c r="Y716" t="n">
        <v>31</v>
      </c>
      <c r="Z716" t="n">
        <v>1</v>
      </c>
      <c r="AN716" t="inlineStr">
        <is>
          <t>Railjack (Tactical, Slot 1)</t>
        </is>
      </c>
      <c r="AO716" t="n">
        <v>620</v>
      </c>
      <c r="AP716" t="n">
        <v>29946</v>
      </c>
      <c r="AQ716" t="n">
        <v>10</v>
      </c>
      <c r="AS716" t="inlineStr">
        <is>
          <t>Yes</t>
        </is>
      </c>
    </row>
    <row r="717">
      <c r="A717" t="inlineStr">
        <is>
          <t>Mod</t>
        </is>
      </c>
      <c r="B717" t="inlineStr">
        <is>
          <t>Fortifying Fire</t>
        </is>
      </c>
      <c r="E717" t="inlineStr">
        <is>
          <t>Plexus</t>
        </is>
      </c>
      <c r="F717" t="n">
        <v>5</v>
      </c>
      <c r="G717" t="n">
        <v>1</v>
      </c>
      <c r="H717" t="inlineStr">
        <is>
          <t>Player trade (max rank)</t>
        </is>
      </c>
      <c r="I717" t="inlineStr">
        <is>
          <t>Yes</t>
        </is>
      </c>
      <c r="K717" t="inlineStr">
        <is>
          <t>Collection</t>
        </is>
      </c>
      <c r="L717" t="n">
        <v>10</v>
      </c>
      <c r="M717" t="n">
        <v>20</v>
      </c>
      <c r="N717" t="n">
        <v>22</v>
      </c>
      <c r="O717" t="inlineStr">
        <is>
          <t>2026-10-05 UTC (WFM pull 02:52-04:00)</t>
        </is>
      </c>
      <c r="P717" t="inlineStr">
        <is>
          <t>OK</t>
        </is>
      </c>
      <c r="R717" t="inlineStr">
        <is>
          <t>Every current tradeable mod at MAX RANK (WFM catalogue, rivens/locators excluded)</t>
        </is>
      </c>
      <c r="S717" t="inlineStr">
        <is>
          <t>fortifying_fire</t>
        </is>
      </c>
      <c r="T717" t="n">
        <v>44</v>
      </c>
      <c r="U717" t="n">
        <v>1</v>
      </c>
      <c r="V717" t="n">
        <v>19</v>
      </c>
      <c r="W717" t="n">
        <v>17.5</v>
      </c>
      <c r="X717" t="n">
        <v>20.2</v>
      </c>
      <c r="Y717" t="n">
        <v>62</v>
      </c>
      <c r="Z717" t="n">
        <v>1</v>
      </c>
      <c r="AN717" t="inlineStr">
        <is>
          <t>Plexus</t>
        </is>
      </c>
      <c r="AO717" t="n">
        <v>930</v>
      </c>
      <c r="AP717" t="n">
        <v>44919</v>
      </c>
      <c r="AQ717" t="n">
        <v>10</v>
      </c>
      <c r="AS717" t="inlineStr">
        <is>
          <t>Yes</t>
        </is>
      </c>
    </row>
    <row r="718">
      <c r="A718" t="inlineStr">
        <is>
          <t>Mod</t>
        </is>
      </c>
      <c r="B718" t="inlineStr">
        <is>
          <t>Fortitude</t>
        </is>
      </c>
      <c r="E718" t="inlineStr">
        <is>
          <t>Warframe</t>
        </is>
      </c>
      <c r="F718" t="n">
        <v>3</v>
      </c>
      <c r="G718" t="n">
        <v>1</v>
      </c>
      <c r="H718" t="inlineStr">
        <is>
          <t>Player trade (max rank)</t>
        </is>
      </c>
      <c r="I718" t="inlineStr">
        <is>
          <t>Yes</t>
        </is>
      </c>
      <c r="K718" t="inlineStr">
        <is>
          <t>Collection</t>
        </is>
      </c>
      <c r="L718" t="n">
        <v>10</v>
      </c>
      <c r="M718" t="n">
        <v>10</v>
      </c>
      <c r="N718" t="n">
        <v>11</v>
      </c>
      <c r="O718" t="inlineStr">
        <is>
          <t>2026-10-05 UTC (WFM pull 02:52-04:00)</t>
        </is>
      </c>
      <c r="P718" t="inlineStr">
        <is>
          <t>OK</t>
        </is>
      </c>
      <c r="R718" t="inlineStr">
        <is>
          <t>Every current tradeable mod at MAX RANK (WFM catalogue, rivens/locators excluded)</t>
        </is>
      </c>
      <c r="S718" t="inlineStr">
        <is>
          <t>fortitude</t>
        </is>
      </c>
      <c r="T718" t="n">
        <v>10</v>
      </c>
      <c r="U718" t="n">
        <v>10</v>
      </c>
      <c r="V718" t="n">
        <v>9</v>
      </c>
      <c r="W718" t="n">
        <v>9</v>
      </c>
      <c r="X718" t="n">
        <v>8.6</v>
      </c>
      <c r="Y718" t="n">
        <v>286</v>
      </c>
      <c r="Z718" t="n">
        <v>5</v>
      </c>
      <c r="AN718" t="inlineStr">
        <is>
          <t>Warframe</t>
        </is>
      </c>
      <c r="AO718" t="n">
        <v>210</v>
      </c>
      <c r="AP718" t="n">
        <v>10143</v>
      </c>
      <c r="AQ718" t="n">
        <v>5</v>
      </c>
      <c r="AS718" t="inlineStr">
        <is>
          <t>Yes</t>
        </is>
      </c>
    </row>
    <row r="719">
      <c r="A719" t="inlineStr">
        <is>
          <t>Mod</t>
        </is>
      </c>
      <c r="B719" t="inlineStr">
        <is>
          <t>Forward Artillery</t>
        </is>
      </c>
      <c r="E719" t="inlineStr">
        <is>
          <t>Plexus</t>
        </is>
      </c>
      <c r="F719" t="n">
        <v>10</v>
      </c>
      <c r="G719" t="n">
        <v>1</v>
      </c>
      <c r="H719" t="inlineStr">
        <is>
          <t>Player trade (max rank)</t>
        </is>
      </c>
      <c r="I719" t="inlineStr">
        <is>
          <t>Yes</t>
        </is>
      </c>
      <c r="K719" t="inlineStr">
        <is>
          <t>Collection</t>
        </is>
      </c>
      <c r="L719" t="n">
        <v>60</v>
      </c>
      <c r="M719" t="n">
        <v>60</v>
      </c>
      <c r="N719" t="n">
        <v>71</v>
      </c>
      <c r="O719" t="inlineStr">
        <is>
          <t>2026-10-05 UTC (WFM pull 02:52-04:00)</t>
        </is>
      </c>
      <c r="P719" t="inlineStr">
        <is>
          <t>OK</t>
        </is>
      </c>
      <c r="R719" t="inlineStr">
        <is>
          <t>Every current tradeable mod at MAX RANK (WFM catalogue, rivens/locators excluded)</t>
        </is>
      </c>
      <c r="S719" t="inlineStr">
        <is>
          <t>forward_artillery</t>
        </is>
      </c>
      <c r="T719" t="n">
        <v>21</v>
      </c>
      <c r="U719" t="n">
        <v>21</v>
      </c>
      <c r="V719" t="n">
        <v>64</v>
      </c>
      <c r="W719" t="n">
        <v>69</v>
      </c>
      <c r="X719" t="n">
        <v>64.5</v>
      </c>
      <c r="Y719" t="n">
        <v>169</v>
      </c>
      <c r="Z719" t="n">
        <v>8</v>
      </c>
      <c r="AA719" t="n">
        <v>35</v>
      </c>
      <c r="AB719" t="n">
        <v>25</v>
      </c>
      <c r="AN719" t="inlineStr">
        <is>
          <t>Plexus</t>
        </is>
      </c>
      <c r="AO719" t="n">
        <v>30690</v>
      </c>
      <c r="AP719" t="n">
        <v>1482327</v>
      </c>
      <c r="AQ719" t="n">
        <v>7.5</v>
      </c>
      <c r="AS719" t="inlineStr">
        <is>
          <t>Yes</t>
        </is>
      </c>
    </row>
    <row r="720">
      <c r="A720" t="inlineStr">
        <is>
          <t>Mod</t>
        </is>
      </c>
      <c r="B720" t="inlineStr">
        <is>
          <t>Four Riders</t>
        </is>
      </c>
      <c r="E720" t="inlineStr">
        <is>
          <t>Stance</t>
        </is>
      </c>
      <c r="F720" t="n">
        <v>3</v>
      </c>
      <c r="G720" t="n">
        <v>1</v>
      </c>
      <c r="H720" t="inlineStr">
        <is>
          <t>Player trade (max rank)</t>
        </is>
      </c>
      <c r="I720" t="inlineStr">
        <is>
          <t>Yes</t>
        </is>
      </c>
      <c r="K720" t="inlineStr">
        <is>
          <t>Collection</t>
        </is>
      </c>
      <c r="L720" t="n">
        <v>15</v>
      </c>
      <c r="M720" t="n">
        <v>18.8</v>
      </c>
      <c r="N720" t="n">
        <v>42</v>
      </c>
      <c r="O720" t="inlineStr">
        <is>
          <t>2026-10-05 UTC (WFM pull 02:52-04:00)</t>
        </is>
      </c>
      <c r="P720" t="inlineStr">
        <is>
          <t>OK</t>
        </is>
      </c>
      <c r="R720" t="inlineStr">
        <is>
          <t>Every current tradeable mod at MAX RANK (WFM catalogue, rivens/locators excluded)</t>
        </is>
      </c>
      <c r="S720" t="inlineStr">
        <is>
          <t>four_riders</t>
        </is>
      </c>
      <c r="T720" t="n">
        <v>4</v>
      </c>
      <c r="U720" t="n">
        <v>4</v>
      </c>
      <c r="V720" t="n">
        <v>12.5</v>
      </c>
      <c r="W720" t="n">
        <v>10</v>
      </c>
      <c r="X720" t="n">
        <v>10.7</v>
      </c>
      <c r="Y720" t="n">
        <v>59</v>
      </c>
      <c r="Z720" t="n">
        <v>2</v>
      </c>
      <c r="AN720" t="inlineStr">
        <is>
          <t>Stance</t>
        </is>
      </c>
      <c r="AO720" t="n">
        <v>210</v>
      </c>
      <c r="AP720" t="n">
        <v>10143</v>
      </c>
      <c r="AQ720" t="n">
        <v>9</v>
      </c>
      <c r="AS720" t="inlineStr">
        <is>
          <t>Yes</t>
        </is>
      </c>
    </row>
    <row r="721">
      <c r="A721" t="inlineStr">
        <is>
          <t>Mod</t>
        </is>
      </c>
      <c r="B721" t="inlineStr">
        <is>
          <t>Fracturing Crush</t>
        </is>
      </c>
      <c r="E721" t="inlineStr">
        <is>
          <t>Augment Mag</t>
        </is>
      </c>
      <c r="F721" t="n">
        <v>3</v>
      </c>
      <c r="G721" t="n">
        <v>1</v>
      </c>
      <c r="H721" t="inlineStr">
        <is>
          <t>Player trade (max rank)</t>
        </is>
      </c>
      <c r="I721" t="inlineStr">
        <is>
          <t>Yes</t>
        </is>
      </c>
      <c r="K721" t="inlineStr">
        <is>
          <t>Collection</t>
        </is>
      </c>
      <c r="L721" t="n">
        <v>15</v>
      </c>
      <c r="M721" t="n">
        <v>17</v>
      </c>
      <c r="N721" t="n">
        <v>33</v>
      </c>
      <c r="O721" t="inlineStr">
        <is>
          <t>2026-10-05 UTC (WFM pull 02:52-04:00)</t>
        </is>
      </c>
      <c r="P721" t="inlineStr">
        <is>
          <t>OK</t>
        </is>
      </c>
      <c r="R721" t="inlineStr">
        <is>
          <t>Every current tradeable mod at MAX RANK (WFM catalogue, rivens/locators excluded)</t>
        </is>
      </c>
      <c r="S721" t="inlineStr">
        <is>
          <t>fracturing_crush</t>
        </is>
      </c>
      <c r="T721" t="n">
        <v>4</v>
      </c>
      <c r="U721" t="n">
        <v>4</v>
      </c>
      <c r="V721" t="n">
        <v>17</v>
      </c>
      <c r="W721" t="n">
        <v>15</v>
      </c>
      <c r="X721" t="n">
        <v>15.9</v>
      </c>
      <c r="Y721" t="n">
        <v>228</v>
      </c>
      <c r="Z721" t="n">
        <v>0</v>
      </c>
      <c r="AN721" t="inlineStr">
        <is>
          <t>Augment Mag</t>
        </is>
      </c>
      <c r="AO721" t="n">
        <v>210</v>
      </c>
      <c r="AP721" t="n">
        <v>10143</v>
      </c>
      <c r="AQ721" t="n">
        <v>14</v>
      </c>
      <c r="AS721" t="inlineStr">
        <is>
          <t>Yes</t>
        </is>
      </c>
    </row>
    <row r="722">
      <c r="A722" t="inlineStr">
        <is>
          <t>Mod</t>
        </is>
      </c>
      <c r="B722" t="inlineStr">
        <is>
          <t>Fracturing Wind</t>
        </is>
      </c>
      <c r="E722" t="inlineStr">
        <is>
          <t>Stance</t>
        </is>
      </c>
      <c r="F722" t="n">
        <v>3</v>
      </c>
      <c r="G722" t="n">
        <v>1</v>
      </c>
      <c r="H722" t="inlineStr">
        <is>
          <t>Player trade (max rank)</t>
        </is>
      </c>
      <c r="I722" t="inlineStr">
        <is>
          <t>Yes</t>
        </is>
      </c>
      <c r="K722" t="inlineStr">
        <is>
          <t>Collection</t>
        </is>
      </c>
      <c r="L722" t="n">
        <v>7</v>
      </c>
      <c r="M722" t="n">
        <v>10</v>
      </c>
      <c r="N722" t="n">
        <v>22</v>
      </c>
      <c r="O722" t="inlineStr">
        <is>
          <t>2026-10-05 UTC (WFM pull 02:52-04:00)</t>
        </is>
      </c>
      <c r="P722" t="inlineStr">
        <is>
          <t>OK</t>
        </is>
      </c>
      <c r="R722" t="inlineStr">
        <is>
          <t>Every current tradeable mod at MAX RANK (WFM catalogue, rivens/locators excluded)</t>
        </is>
      </c>
      <c r="S722" t="inlineStr">
        <is>
          <t>fracturing_wind</t>
        </is>
      </c>
      <c r="T722" t="n">
        <v>6</v>
      </c>
      <c r="U722" t="n">
        <v>6</v>
      </c>
      <c r="V722" t="n">
        <v>10</v>
      </c>
      <c r="W722" t="n">
        <v>10</v>
      </c>
      <c r="X722" t="n">
        <v>9.199999999999999</v>
      </c>
      <c r="Y722" t="n">
        <v>8</v>
      </c>
      <c r="Z722" t="n">
        <v>0</v>
      </c>
      <c r="AN722" t="inlineStr">
        <is>
          <t>Stance</t>
        </is>
      </c>
      <c r="AO722" t="n">
        <v>140</v>
      </c>
      <c r="AP722" t="n">
        <v>6762</v>
      </c>
      <c r="AQ722" t="n">
        <v>3</v>
      </c>
      <c r="AS722" t="inlineStr">
        <is>
          <t>Yes</t>
        </is>
      </c>
    </row>
    <row r="723">
      <c r="A723" t="inlineStr">
        <is>
          <t>Mod</t>
        </is>
      </c>
      <c r="B723" t="inlineStr">
        <is>
          <t>Frail Momentum</t>
        </is>
      </c>
      <c r="E723" t="inlineStr">
        <is>
          <t>Shotgun</t>
        </is>
      </c>
      <c r="F723" t="n">
        <v>5</v>
      </c>
      <c r="G723" t="n">
        <v>1</v>
      </c>
      <c r="H723" t="inlineStr">
        <is>
          <t>Player trade (max rank)</t>
        </is>
      </c>
      <c r="I723" t="inlineStr">
        <is>
          <t>Yes</t>
        </is>
      </c>
      <c r="K723" t="inlineStr">
        <is>
          <t>Collection</t>
        </is>
      </c>
      <c r="L723" t="n">
        <v>5</v>
      </c>
      <c r="M723" t="n">
        <v>10</v>
      </c>
      <c r="N723" t="n">
        <v>13</v>
      </c>
      <c r="O723" t="inlineStr">
        <is>
          <t>2026-10-05 UTC (WFM pull 02:52-04:00)</t>
        </is>
      </c>
      <c r="P723" t="inlineStr">
        <is>
          <t>OK</t>
        </is>
      </c>
      <c r="R723" t="inlineStr">
        <is>
          <t>Every current tradeable mod at MAX RANK (WFM catalogue, rivens/locators excluded)</t>
        </is>
      </c>
      <c r="S723" t="inlineStr">
        <is>
          <t>frail_momentum</t>
        </is>
      </c>
      <c r="T723" t="n">
        <v>12</v>
      </c>
      <c r="U723" t="n">
        <v>12</v>
      </c>
      <c r="V723" t="n">
        <v>10</v>
      </c>
      <c r="W723" t="n">
        <v>9.5</v>
      </c>
      <c r="X723" t="n">
        <v>9.1</v>
      </c>
      <c r="Y723" t="n">
        <v>181</v>
      </c>
      <c r="Z723" t="n">
        <v>0</v>
      </c>
      <c r="AN723" t="inlineStr">
        <is>
          <t>Shotgun</t>
        </is>
      </c>
      <c r="AO723" t="n">
        <v>930</v>
      </c>
      <c r="AP723" t="n">
        <v>44919</v>
      </c>
      <c r="AQ723" t="n">
        <v>5</v>
      </c>
      <c r="AS723" t="inlineStr">
        <is>
          <t>Yes</t>
        </is>
      </c>
    </row>
    <row r="724">
      <c r="A724" t="inlineStr">
        <is>
          <t>Mod</t>
        </is>
      </c>
      <c r="B724" t="inlineStr">
        <is>
          <t>Freeze Force</t>
        </is>
      </c>
      <c r="E724" t="inlineStr">
        <is>
          <t>Augment Frost</t>
        </is>
      </c>
      <c r="F724" t="n">
        <v>3</v>
      </c>
      <c r="G724" t="n">
        <v>1</v>
      </c>
      <c r="H724" t="inlineStr">
        <is>
          <t>Player trade (max rank)</t>
        </is>
      </c>
      <c r="I724" t="inlineStr">
        <is>
          <t>Yes</t>
        </is>
      </c>
      <c r="K724" t="inlineStr">
        <is>
          <t>Collection</t>
        </is>
      </c>
      <c r="L724" t="n">
        <v>15</v>
      </c>
      <c r="M724" t="n">
        <v>26.2</v>
      </c>
      <c r="N724" t="n">
        <v>58</v>
      </c>
      <c r="O724" t="inlineStr">
        <is>
          <t>2026-10-05 UTC (WFM pull 02:52-04:00)</t>
        </is>
      </c>
      <c r="P724" t="inlineStr">
        <is>
          <t>OK</t>
        </is>
      </c>
      <c r="R724" t="inlineStr">
        <is>
          <t>Every current tradeable mod at MAX RANK (WFM catalogue, rivens/locators excluded)</t>
        </is>
      </c>
      <c r="S724" t="inlineStr">
        <is>
          <t>freeze_force</t>
        </is>
      </c>
      <c r="T724" t="n">
        <v>4</v>
      </c>
      <c r="U724" t="n">
        <v>4</v>
      </c>
      <c r="V724" t="n">
        <v>17.5</v>
      </c>
      <c r="W724" t="n">
        <v>15</v>
      </c>
      <c r="X724" t="n">
        <v>16.5</v>
      </c>
      <c r="Y724" t="n">
        <v>117</v>
      </c>
      <c r="Z724" t="n">
        <v>2</v>
      </c>
      <c r="AN724" t="inlineStr">
        <is>
          <t>Augment Frost</t>
        </is>
      </c>
      <c r="AO724" t="n">
        <v>210</v>
      </c>
      <c r="AP724" t="n">
        <v>10143</v>
      </c>
      <c r="AQ724" t="n">
        <v>17.5</v>
      </c>
      <c r="AS724" t="inlineStr">
        <is>
          <t>Yes</t>
        </is>
      </c>
    </row>
    <row r="725">
      <c r="A725" t="inlineStr">
        <is>
          <t>Mod</t>
        </is>
      </c>
      <c r="B725" t="inlineStr">
        <is>
          <t>Frenzied Posture</t>
        </is>
      </c>
      <c r="E725" t="inlineStr">
        <is>
          <t>Stance</t>
        </is>
      </c>
      <c r="F725" t="n">
        <v>3</v>
      </c>
      <c r="G725" t="n">
        <v>1</v>
      </c>
      <c r="H725" t="inlineStr">
        <is>
          <t>Player trade (max rank)</t>
        </is>
      </c>
      <c r="I725" t="inlineStr">
        <is>
          <t>Yes</t>
        </is>
      </c>
      <c r="K725" t="inlineStr">
        <is>
          <t>Collection</t>
        </is>
      </c>
      <c r="L725" t="n">
        <v>30</v>
      </c>
      <c r="M725" t="n">
        <v>30</v>
      </c>
      <c r="N725" t="n">
        <v>66</v>
      </c>
      <c r="O725" t="inlineStr">
        <is>
          <t>2026-10-05 UTC (WFM pull 02:52-04:00)</t>
        </is>
      </c>
      <c r="P725" t="inlineStr">
        <is>
          <t>OK</t>
        </is>
      </c>
      <c r="R725" t="inlineStr">
        <is>
          <t>Every current tradeable mod at MAX RANK (WFM catalogue, rivens/locators excluded)</t>
        </is>
      </c>
      <c r="S725" t="inlineStr">
        <is>
          <t>frenzied_posture</t>
        </is>
      </c>
      <c r="T725" t="n">
        <v>5</v>
      </c>
      <c r="U725" t="n">
        <v>5</v>
      </c>
      <c r="V725" t="n">
        <v>15</v>
      </c>
      <c r="W725" t="n">
        <v>17.5</v>
      </c>
      <c r="X725" t="n">
        <v>19</v>
      </c>
      <c r="Y725" t="n">
        <v>414</v>
      </c>
      <c r="Z725" t="n">
        <v>5</v>
      </c>
      <c r="AN725" t="inlineStr">
        <is>
          <t>Stance</t>
        </is>
      </c>
      <c r="AO725" t="n">
        <v>70</v>
      </c>
      <c r="AP725" t="n">
        <v>3381</v>
      </c>
      <c r="AQ725" t="n">
        <v>12</v>
      </c>
      <c r="AS725" t="inlineStr">
        <is>
          <t>Yes</t>
        </is>
      </c>
    </row>
    <row r="726">
      <c r="A726" t="inlineStr">
        <is>
          <t>Mod</t>
        </is>
      </c>
      <c r="B726" t="inlineStr">
        <is>
          <t>Frigid Blast</t>
        </is>
      </c>
      <c r="E726" t="inlineStr">
        <is>
          <t>Shotgun</t>
        </is>
      </c>
      <c r="F726" t="n">
        <v>3</v>
      </c>
      <c r="G726" t="n">
        <v>1</v>
      </c>
      <c r="H726" t="inlineStr">
        <is>
          <t>Player trade (max rank)</t>
        </is>
      </c>
      <c r="I726" t="inlineStr">
        <is>
          <t>Yes</t>
        </is>
      </c>
      <c r="K726" t="inlineStr">
        <is>
          <t>Collection</t>
        </is>
      </c>
      <c r="L726" t="n">
        <v>15</v>
      </c>
      <c r="M726" t="n">
        <v>19.5</v>
      </c>
      <c r="N726" t="n">
        <v>43</v>
      </c>
      <c r="O726" t="inlineStr">
        <is>
          <t>2026-10-05 UTC (WFM pull 02:52-04:00)</t>
        </is>
      </c>
      <c r="P726" t="inlineStr">
        <is>
          <t>OK</t>
        </is>
      </c>
      <c r="R726" t="inlineStr">
        <is>
          <t>Every current tradeable mod at MAX RANK (WFM catalogue, rivens/locators excluded)</t>
        </is>
      </c>
      <c r="S726" t="inlineStr">
        <is>
          <t>frigid_blast</t>
        </is>
      </c>
      <c r="T726" t="n">
        <v>5</v>
      </c>
      <c r="U726" t="n">
        <v>5</v>
      </c>
      <c r="V726" t="n">
        <v>13</v>
      </c>
      <c r="W726" t="n">
        <v>13</v>
      </c>
      <c r="X726" t="n">
        <v>12.5</v>
      </c>
      <c r="Y726" t="n">
        <v>741</v>
      </c>
      <c r="Z726" t="n">
        <v>9</v>
      </c>
      <c r="AN726" t="inlineStr">
        <is>
          <t>Shotgun</t>
        </is>
      </c>
      <c r="AO726" t="n">
        <v>210</v>
      </c>
      <c r="AP726" t="n">
        <v>10143</v>
      </c>
      <c r="AQ726" t="n">
        <v>9</v>
      </c>
      <c r="AS726" t="inlineStr">
        <is>
          <t>Yes</t>
        </is>
      </c>
    </row>
    <row r="727">
      <c r="A727" t="inlineStr">
        <is>
          <t>Mod</t>
        </is>
      </c>
      <c r="B727" t="inlineStr">
        <is>
          <t>Frost Jaw</t>
        </is>
      </c>
      <c r="E727" t="inlineStr">
        <is>
          <t>Claws</t>
        </is>
      </c>
      <c r="F727" t="n">
        <v>3</v>
      </c>
      <c r="G727" t="n">
        <v>1</v>
      </c>
      <c r="H727" t="inlineStr">
        <is>
          <t>Player trade (max rank)</t>
        </is>
      </c>
      <c r="I727" t="inlineStr">
        <is>
          <t>Yes</t>
        </is>
      </c>
      <c r="K727" t="inlineStr">
        <is>
          <t>Collection</t>
        </is>
      </c>
      <c r="L727" t="n">
        <v>7</v>
      </c>
      <c r="M727" t="n">
        <v>10</v>
      </c>
      <c r="N727" t="n">
        <v>15</v>
      </c>
      <c r="O727" t="inlineStr">
        <is>
          <t>2026-10-05 UTC (WFM pull 02:52-04:00)</t>
        </is>
      </c>
      <c r="P727" t="inlineStr">
        <is>
          <t>OK</t>
        </is>
      </c>
      <c r="R727" t="inlineStr">
        <is>
          <t>Every current tradeable mod at MAX RANK (WFM catalogue, rivens/locators excluded)</t>
        </is>
      </c>
      <c r="S727" t="inlineStr">
        <is>
          <t>frost_jaw</t>
        </is>
      </c>
      <c r="T727" t="n">
        <v>17</v>
      </c>
      <c r="U727" t="n">
        <v>17</v>
      </c>
      <c r="V727" t="n">
        <v>10</v>
      </c>
      <c r="W727" t="n">
        <v>10</v>
      </c>
      <c r="X727" t="n">
        <v>10.2</v>
      </c>
      <c r="Y727" t="n">
        <v>374</v>
      </c>
      <c r="Z727" t="n">
        <v>6</v>
      </c>
      <c r="AN727" t="inlineStr">
        <is>
          <t>Claws</t>
        </is>
      </c>
      <c r="AO727" t="n">
        <v>210</v>
      </c>
      <c r="AP727" t="n">
        <v>10143</v>
      </c>
      <c r="AQ727" t="n">
        <v>7</v>
      </c>
      <c r="AS727" t="inlineStr">
        <is>
          <t>Yes</t>
        </is>
      </c>
    </row>
    <row r="728">
      <c r="A728" t="inlineStr">
        <is>
          <t>Mod</t>
        </is>
      </c>
      <c r="B728" t="inlineStr">
        <is>
          <t>Frostbite</t>
        </is>
      </c>
      <c r="E728" t="inlineStr">
        <is>
          <t>Pistol</t>
        </is>
      </c>
      <c r="F728" t="n">
        <v>3</v>
      </c>
      <c r="G728" t="n">
        <v>1</v>
      </c>
      <c r="H728" t="inlineStr">
        <is>
          <t>Player trade (max rank)</t>
        </is>
      </c>
      <c r="I728" t="inlineStr">
        <is>
          <t>Yes</t>
        </is>
      </c>
      <c r="K728" t="inlineStr">
        <is>
          <t>Collection</t>
        </is>
      </c>
      <c r="L728" t="n">
        <v>35</v>
      </c>
      <c r="M728" t="n">
        <v>37.5</v>
      </c>
      <c r="N728" t="n">
        <v>50</v>
      </c>
      <c r="O728" t="inlineStr">
        <is>
          <t>2026-10-05 UTC (WFM pull 02:52-04:00)</t>
        </is>
      </c>
      <c r="P728" t="inlineStr">
        <is>
          <t>OK</t>
        </is>
      </c>
      <c r="R728" t="inlineStr">
        <is>
          <t>Every current tradeable mod at MAX RANK (WFM catalogue, rivens/locators excluded)</t>
        </is>
      </c>
      <c r="S728" t="inlineStr">
        <is>
          <t>frostbite</t>
        </is>
      </c>
      <c r="T728" t="n">
        <v>8</v>
      </c>
      <c r="U728" t="n">
        <v>8</v>
      </c>
      <c r="V728" t="n">
        <v>25</v>
      </c>
      <c r="W728" t="n">
        <v>24.5</v>
      </c>
      <c r="X728" t="n">
        <v>23.7</v>
      </c>
      <c r="Y728" t="n">
        <v>2709</v>
      </c>
      <c r="Z728" t="n">
        <v>74</v>
      </c>
      <c r="AN728" t="inlineStr">
        <is>
          <t>Pistol</t>
        </is>
      </c>
      <c r="AO728" t="n">
        <v>210</v>
      </c>
      <c r="AP728" t="n">
        <v>10143</v>
      </c>
      <c r="AQ728" t="n">
        <v>23</v>
      </c>
      <c r="AS728" t="inlineStr">
        <is>
          <t>Yes</t>
        </is>
      </c>
    </row>
    <row r="729">
      <c r="A729" t="inlineStr">
        <is>
          <t>Mod</t>
        </is>
      </c>
      <c r="B729" t="inlineStr">
        <is>
          <t>Full Capacity</t>
        </is>
      </c>
      <c r="E729" t="inlineStr">
        <is>
          <t>Conclave (PvP)</t>
        </is>
      </c>
      <c r="F729" t="n">
        <v>5</v>
      </c>
      <c r="G729" t="n">
        <v>1</v>
      </c>
      <c r="H729" t="inlineStr">
        <is>
          <t>Player trade (max rank)</t>
        </is>
      </c>
      <c r="I729" t="inlineStr">
        <is>
          <t>Yes</t>
        </is>
      </c>
      <c r="K729" t="inlineStr">
        <is>
          <t>Collection (PvP)</t>
        </is>
      </c>
      <c r="L729" t="n">
        <v>15</v>
      </c>
      <c r="M729" t="n">
        <v>22.5</v>
      </c>
      <c r="N729" t="n">
        <v>50</v>
      </c>
      <c r="O729" t="inlineStr">
        <is>
          <t>2026-10-05 UTC (WFM pull 02:52-04:00)</t>
        </is>
      </c>
      <c r="P729" t="inlineStr">
        <is>
          <t>OK</t>
        </is>
      </c>
      <c r="R729" t="inlineStr">
        <is>
          <t>Every current tradeable mod at MAX RANK (WFM catalogue, rivens/locators excluded)</t>
        </is>
      </c>
      <c r="S729" t="inlineStr">
        <is>
          <t>full_capacity</t>
        </is>
      </c>
      <c r="T729" t="n">
        <v>8</v>
      </c>
      <c r="U729" t="n">
        <v>0</v>
      </c>
      <c r="W729" t="n">
        <v>15</v>
      </c>
      <c r="X729" t="n">
        <v>15</v>
      </c>
      <c r="Y729" t="n">
        <v>1</v>
      </c>
      <c r="Z729" t="n">
        <v>0</v>
      </c>
      <c r="AN729" t="inlineStr">
        <is>
          <t>Conclave (PvP)</t>
        </is>
      </c>
      <c r="AO729" t="n">
        <v>310</v>
      </c>
      <c r="AP729" t="n">
        <v>14973</v>
      </c>
      <c r="AQ729" t="n">
        <v>10</v>
      </c>
      <c r="AS729" t="inlineStr">
        <is>
          <t>PvP subtotal</t>
        </is>
      </c>
    </row>
    <row r="730">
      <c r="A730" t="inlineStr">
        <is>
          <t>Mod</t>
        </is>
      </c>
      <c r="B730" t="inlineStr">
        <is>
          <t>Full Contact</t>
        </is>
      </c>
      <c r="E730" t="inlineStr">
        <is>
          <t>Shotgun</t>
        </is>
      </c>
      <c r="F730" t="n">
        <v>5</v>
      </c>
      <c r="G730" t="n">
        <v>1</v>
      </c>
      <c r="H730" t="inlineStr">
        <is>
          <t>Player trade (max rank)</t>
        </is>
      </c>
      <c r="I730" t="inlineStr">
        <is>
          <t>Yes</t>
        </is>
      </c>
      <c r="K730" t="inlineStr">
        <is>
          <t>Collection</t>
        </is>
      </c>
      <c r="L730" t="n">
        <v>9</v>
      </c>
      <c r="M730" t="n">
        <v>10</v>
      </c>
      <c r="N730" t="n">
        <v>22</v>
      </c>
      <c r="O730" t="inlineStr">
        <is>
          <t>2026-10-05 UTC (WFM pull 02:52-04:00)</t>
        </is>
      </c>
      <c r="P730" t="inlineStr">
        <is>
          <t>OK</t>
        </is>
      </c>
      <c r="R730" t="inlineStr">
        <is>
          <t>Every current tradeable mod at MAX RANK (WFM catalogue, rivens/locators excluded)</t>
        </is>
      </c>
      <c r="S730" t="inlineStr">
        <is>
          <t>full_contact</t>
        </is>
      </c>
      <c r="T730" t="n">
        <v>8</v>
      </c>
      <c r="U730" t="n">
        <v>8</v>
      </c>
      <c r="V730" t="n">
        <v>8</v>
      </c>
      <c r="W730" t="n">
        <v>10</v>
      </c>
      <c r="X730" t="n">
        <v>11.3</v>
      </c>
      <c r="Y730" t="n">
        <v>10</v>
      </c>
      <c r="Z730" t="n">
        <v>0</v>
      </c>
      <c r="AN730" t="inlineStr">
        <is>
          <t>Shotgun</t>
        </is>
      </c>
      <c r="AO730" t="n">
        <v>930</v>
      </c>
      <c r="AP730" t="n">
        <v>44919</v>
      </c>
      <c r="AQ730" t="n">
        <v>5</v>
      </c>
      <c r="AS730" t="inlineStr">
        <is>
          <t>Yes</t>
        </is>
      </c>
    </row>
    <row r="731">
      <c r="A731" t="inlineStr">
        <is>
          <t>Mod</t>
        </is>
      </c>
      <c r="B731" t="inlineStr">
        <is>
          <t>Fulmination</t>
        </is>
      </c>
      <c r="E731" t="inlineStr">
        <is>
          <t>Pistol</t>
        </is>
      </c>
      <c r="F731" t="n">
        <v>3</v>
      </c>
      <c r="G731" t="n">
        <v>1</v>
      </c>
      <c r="H731" t="inlineStr">
        <is>
          <t>Player trade (max rank)</t>
        </is>
      </c>
      <c r="I731" t="inlineStr">
        <is>
          <t>Yes</t>
        </is>
      </c>
      <c r="K731" t="inlineStr">
        <is>
          <t>Collection</t>
        </is>
      </c>
      <c r="L731" t="n">
        <v>49</v>
      </c>
      <c r="M731" t="n">
        <v>49</v>
      </c>
      <c r="N731" t="n">
        <v>108</v>
      </c>
      <c r="O731" t="inlineStr">
        <is>
          <t>2026-10-05 UTC (WFM pull 02:52-04:00)</t>
        </is>
      </c>
      <c r="P731" t="inlineStr">
        <is>
          <t>OK</t>
        </is>
      </c>
      <c r="R731" t="inlineStr">
        <is>
          <t>Every current tradeable mod at MAX RANK (WFM catalogue, rivens/locators excluded)</t>
        </is>
      </c>
      <c r="S731" t="inlineStr">
        <is>
          <t>fulmination</t>
        </is>
      </c>
      <c r="T731" t="n">
        <v>4</v>
      </c>
      <c r="U731" t="n">
        <v>4</v>
      </c>
      <c r="V731" t="n">
        <v>20</v>
      </c>
      <c r="W731" t="n">
        <v>45</v>
      </c>
      <c r="X731" t="n">
        <v>39.4</v>
      </c>
      <c r="Y731" t="n">
        <v>506</v>
      </c>
      <c r="Z731" t="n">
        <v>9</v>
      </c>
      <c r="AN731" t="inlineStr">
        <is>
          <t>Pistol</t>
        </is>
      </c>
      <c r="AO731" t="n">
        <v>210</v>
      </c>
      <c r="AP731" t="n">
        <v>10143</v>
      </c>
      <c r="AQ731" t="n">
        <v>19</v>
      </c>
      <c r="AS731" t="inlineStr">
        <is>
          <t>Yes</t>
        </is>
      </c>
    </row>
    <row r="732">
      <c r="A732" t="inlineStr">
        <is>
          <t>Mod</t>
        </is>
      </c>
      <c r="B732" t="inlineStr">
        <is>
          <t>Funnel Clouds</t>
        </is>
      </c>
      <c r="E732" t="inlineStr">
        <is>
          <t>Augment Zephyr</t>
        </is>
      </c>
      <c r="F732" t="n">
        <v>3</v>
      </c>
      <c r="G732" t="n">
        <v>1</v>
      </c>
      <c r="H732" t="inlineStr">
        <is>
          <t>Player trade (max rank)</t>
        </is>
      </c>
      <c r="I732" t="inlineStr">
        <is>
          <t>Yes</t>
        </is>
      </c>
      <c r="K732" t="inlineStr">
        <is>
          <t>Collection</t>
        </is>
      </c>
      <c r="L732" t="n">
        <v>9</v>
      </c>
      <c r="M732" t="n">
        <v>10</v>
      </c>
      <c r="N732" t="n">
        <v>16</v>
      </c>
      <c r="O732" t="inlineStr">
        <is>
          <t>2026-10-05 UTC (WFM pull 02:52-04:00)</t>
        </is>
      </c>
      <c r="P732" t="inlineStr">
        <is>
          <t>OK</t>
        </is>
      </c>
      <c r="R732" t="inlineStr">
        <is>
          <t>Every current tradeable mod at MAX RANK (WFM catalogue, rivens/locators excluded)</t>
        </is>
      </c>
      <c r="S732" t="inlineStr">
        <is>
          <t>funnel_clouds</t>
        </is>
      </c>
      <c r="T732" t="n">
        <v>81</v>
      </c>
      <c r="U732" t="n">
        <v>2</v>
      </c>
      <c r="V732" t="n">
        <v>14</v>
      </c>
      <c r="W732" t="n">
        <v>14.5</v>
      </c>
      <c r="X732" t="n">
        <v>14.8</v>
      </c>
      <c r="Y732" t="n">
        <v>45</v>
      </c>
      <c r="Z732" t="n">
        <v>0</v>
      </c>
      <c r="AN732" t="inlineStr">
        <is>
          <t>Augment Zephyr</t>
        </is>
      </c>
      <c r="AO732" t="n">
        <v>210</v>
      </c>
      <c r="AP732" t="n">
        <v>10143</v>
      </c>
      <c r="AQ732" t="n">
        <v>17.5</v>
      </c>
      <c r="AS732" t="inlineStr">
        <is>
          <t>Yes</t>
        </is>
      </c>
    </row>
    <row r="733">
      <c r="A733" t="inlineStr">
        <is>
          <t>Mod</t>
        </is>
      </c>
      <c r="B733" t="inlineStr">
        <is>
          <t>Furious Javelin</t>
        </is>
      </c>
      <c r="E733" t="inlineStr">
        <is>
          <t>Augment Excalibur</t>
        </is>
      </c>
      <c r="F733" t="n">
        <v>3</v>
      </c>
      <c r="G733" t="n">
        <v>1</v>
      </c>
      <c r="H733" t="inlineStr">
        <is>
          <t>Player trade (max rank)</t>
        </is>
      </c>
      <c r="I733" t="inlineStr">
        <is>
          <t>Yes</t>
        </is>
      </c>
      <c r="K733" t="inlineStr">
        <is>
          <t>Collection</t>
        </is>
      </c>
      <c r="L733" t="n">
        <v>20</v>
      </c>
      <c r="M733" t="n">
        <v>22.5</v>
      </c>
      <c r="N733" t="n">
        <v>50</v>
      </c>
      <c r="O733" t="inlineStr">
        <is>
          <t>2026-10-05 UTC (WFM pull 02:52-04:00)</t>
        </is>
      </c>
      <c r="P733" t="inlineStr">
        <is>
          <t>OK</t>
        </is>
      </c>
      <c r="R733" t="inlineStr">
        <is>
          <t>Every current tradeable mod at MAX RANK (WFM catalogue, rivens/locators excluded)</t>
        </is>
      </c>
      <c r="S733" t="inlineStr">
        <is>
          <t>furious_javelin</t>
        </is>
      </c>
      <c r="T733" t="n">
        <v>4</v>
      </c>
      <c r="U733" t="n">
        <v>4</v>
      </c>
      <c r="V733" t="n">
        <v>15</v>
      </c>
      <c r="W733" t="n">
        <v>16.5</v>
      </c>
      <c r="X733" t="n">
        <v>16.2</v>
      </c>
      <c r="Y733" t="n">
        <v>183</v>
      </c>
      <c r="Z733" t="n">
        <v>4</v>
      </c>
      <c r="AN733" t="inlineStr">
        <is>
          <t>Augment Excalibur</t>
        </is>
      </c>
      <c r="AO733" t="n">
        <v>210</v>
      </c>
      <c r="AP733" t="n">
        <v>10143</v>
      </c>
      <c r="AQ733" t="n">
        <v>14</v>
      </c>
      <c r="AS733" t="inlineStr">
        <is>
          <t>Yes</t>
        </is>
      </c>
    </row>
    <row r="734">
      <c r="A734" t="inlineStr">
        <is>
          <t>Mod</t>
        </is>
      </c>
      <c r="B734" t="inlineStr">
        <is>
          <t>Furor</t>
        </is>
      </c>
      <c r="E734" t="inlineStr">
        <is>
          <t>Archmelee</t>
        </is>
      </c>
      <c r="F734" t="n">
        <v>3</v>
      </c>
      <c r="G734" t="n">
        <v>1</v>
      </c>
      <c r="H734" t="inlineStr">
        <is>
          <t>Player trade (max rank)</t>
        </is>
      </c>
      <c r="I734" t="inlineStr">
        <is>
          <t>Yes</t>
        </is>
      </c>
      <c r="K734" t="inlineStr">
        <is>
          <t>Collection</t>
        </is>
      </c>
      <c r="L734" t="n">
        <v>5</v>
      </c>
      <c r="M734" t="n">
        <v>5</v>
      </c>
      <c r="N734" t="n">
        <v>11</v>
      </c>
      <c r="O734" t="inlineStr">
        <is>
          <t>2026-10-05 UTC (WFM pull 02:52-04:00)</t>
        </is>
      </c>
      <c r="P734" t="inlineStr">
        <is>
          <t>OK</t>
        </is>
      </c>
      <c r="R734" t="inlineStr">
        <is>
          <t>Every current tradeable mod at MAX RANK (WFM catalogue, rivens/locators excluded)</t>
        </is>
      </c>
      <c r="S734" t="inlineStr">
        <is>
          <t>furor</t>
        </is>
      </c>
      <c r="T734" t="n">
        <v>59</v>
      </c>
      <c r="U734" t="n">
        <v>2</v>
      </c>
      <c r="V734" t="n">
        <v>11</v>
      </c>
      <c r="W734" t="n">
        <v>10</v>
      </c>
      <c r="X734" t="n">
        <v>10.4</v>
      </c>
      <c r="Y734" t="n">
        <v>12</v>
      </c>
      <c r="Z734" t="n">
        <v>1</v>
      </c>
      <c r="AN734" t="inlineStr">
        <is>
          <t>Archmelee</t>
        </is>
      </c>
      <c r="AO734" t="n">
        <v>140</v>
      </c>
      <c r="AP734" t="n">
        <v>6762</v>
      </c>
      <c r="AQ734" t="n">
        <v>10</v>
      </c>
      <c r="AS734" t="inlineStr">
        <is>
          <t>Yes</t>
        </is>
      </c>
    </row>
    <row r="735">
      <c r="A735" t="inlineStr">
        <is>
          <t>Mod</t>
        </is>
      </c>
      <c r="B735" t="inlineStr">
        <is>
          <t>Fury</t>
        </is>
      </c>
      <c r="E735" t="inlineStr">
        <is>
          <t>Melee</t>
        </is>
      </c>
      <c r="F735" t="n">
        <v>5</v>
      </c>
      <c r="G735" t="n">
        <v>1</v>
      </c>
      <c r="H735" t="inlineStr">
        <is>
          <t>Player trade (max rank)</t>
        </is>
      </c>
      <c r="I735" t="inlineStr">
        <is>
          <t>Yes</t>
        </is>
      </c>
      <c r="K735" t="inlineStr">
        <is>
          <t>Collection</t>
        </is>
      </c>
      <c r="L735" t="n">
        <v>10</v>
      </c>
      <c r="M735" t="n">
        <v>12</v>
      </c>
      <c r="N735" t="n">
        <v>20</v>
      </c>
      <c r="O735" t="inlineStr">
        <is>
          <t>2026-10-05 UTC (WFM pull 02:52-04:00)</t>
        </is>
      </c>
      <c r="P735" t="inlineStr">
        <is>
          <t>OK</t>
        </is>
      </c>
      <c r="R735" t="inlineStr">
        <is>
          <t>Every current tradeable mod at MAX RANK (WFM catalogue, rivens/locators excluded)</t>
        </is>
      </c>
      <c r="S735" t="inlineStr">
        <is>
          <t>fury</t>
        </is>
      </c>
      <c r="T735" t="n">
        <v>7</v>
      </c>
      <c r="U735" t="n">
        <v>7</v>
      </c>
      <c r="V735" t="n">
        <v>10</v>
      </c>
      <c r="W735" t="n">
        <v>8</v>
      </c>
      <c r="X735" t="n">
        <v>13.5</v>
      </c>
      <c r="Y735" t="n">
        <v>10</v>
      </c>
      <c r="Z735" t="n">
        <v>0</v>
      </c>
      <c r="AN735" t="inlineStr">
        <is>
          <t>Melee</t>
        </is>
      </c>
      <c r="AO735" t="n">
        <v>620</v>
      </c>
      <c r="AP735" t="n">
        <v>29946</v>
      </c>
      <c r="AQ735" t="n">
        <v>3</v>
      </c>
      <c r="AS735" t="inlineStr">
        <is>
          <t>Yes</t>
        </is>
      </c>
    </row>
    <row r="736">
      <c r="A736" t="inlineStr">
        <is>
          <t>Mod</t>
        </is>
      </c>
      <c r="B736" t="inlineStr">
        <is>
          <t>Fused Crucible</t>
        </is>
      </c>
      <c r="E736" t="inlineStr">
        <is>
          <t>Augment Qorvex</t>
        </is>
      </c>
      <c r="F736" t="n">
        <v>3</v>
      </c>
      <c r="G736" t="n">
        <v>1</v>
      </c>
      <c r="H736" t="inlineStr">
        <is>
          <t>Player trade (max rank)</t>
        </is>
      </c>
      <c r="I736" t="inlineStr">
        <is>
          <t>Yes</t>
        </is>
      </c>
      <c r="K736" t="inlineStr">
        <is>
          <t>Collection</t>
        </is>
      </c>
      <c r="L736" t="n">
        <v>12</v>
      </c>
      <c r="M736" t="n">
        <v>15</v>
      </c>
      <c r="N736" t="n">
        <v>22</v>
      </c>
      <c r="O736" t="inlineStr">
        <is>
          <t>2026-10-05 UTC (WFM pull 02:52-04:00)</t>
        </is>
      </c>
      <c r="P736" t="inlineStr">
        <is>
          <t>OK</t>
        </is>
      </c>
      <c r="R736" t="inlineStr">
        <is>
          <t>Every current tradeable mod at MAX RANK (WFM catalogue, rivens/locators excluded)</t>
        </is>
      </c>
      <c r="S736" t="inlineStr">
        <is>
          <t>fused_crucible</t>
        </is>
      </c>
      <c r="T736" t="n">
        <v>50</v>
      </c>
      <c r="U736" t="n">
        <v>2</v>
      </c>
      <c r="V736" t="n">
        <v>19.5</v>
      </c>
      <c r="W736" t="n">
        <v>15</v>
      </c>
      <c r="X736" t="n">
        <v>16.4</v>
      </c>
      <c r="Y736" t="n">
        <v>145</v>
      </c>
      <c r="Z736" t="n">
        <v>6</v>
      </c>
      <c r="AN736" t="inlineStr">
        <is>
          <t>Augment Qorvex</t>
        </is>
      </c>
      <c r="AO736" t="n">
        <v>210</v>
      </c>
      <c r="AP736" t="n">
        <v>10143</v>
      </c>
      <c r="AQ736" t="n">
        <v>10</v>
      </c>
      <c r="AS736" t="inlineStr">
        <is>
          <t>Yes</t>
        </is>
      </c>
    </row>
    <row r="737">
      <c r="A737" t="inlineStr">
        <is>
          <t>Mod</t>
        </is>
      </c>
      <c r="B737" t="inlineStr">
        <is>
          <t>Fused Reservoir</t>
        </is>
      </c>
      <c r="E737" t="inlineStr">
        <is>
          <t>Augment Wisp</t>
        </is>
      </c>
      <c r="F737" t="n">
        <v>3</v>
      </c>
      <c r="G737" t="n">
        <v>1</v>
      </c>
      <c r="H737" t="inlineStr">
        <is>
          <t>Player trade (max rank)</t>
        </is>
      </c>
      <c r="I737" t="inlineStr">
        <is>
          <t>Yes</t>
        </is>
      </c>
      <c r="K737" t="inlineStr">
        <is>
          <t>Collection</t>
        </is>
      </c>
      <c r="L737" t="n">
        <v>10</v>
      </c>
      <c r="M737" t="n">
        <v>18</v>
      </c>
      <c r="N737" t="n">
        <v>33</v>
      </c>
      <c r="O737" t="inlineStr">
        <is>
          <t>2026-10-05 UTC (WFM pull 02:52-04:00)</t>
        </is>
      </c>
      <c r="P737" t="inlineStr">
        <is>
          <t>OK</t>
        </is>
      </c>
      <c r="R737" t="inlineStr">
        <is>
          <t>Every current tradeable mod at MAX RANK (WFM catalogue, rivens/locators excluded)</t>
        </is>
      </c>
      <c r="S737" t="inlineStr">
        <is>
          <t>fused_reservoir</t>
        </is>
      </c>
      <c r="T737" t="n">
        <v>7</v>
      </c>
      <c r="U737" t="n">
        <v>7</v>
      </c>
      <c r="V737" t="n">
        <v>12</v>
      </c>
      <c r="W737" t="n">
        <v>12</v>
      </c>
      <c r="X737" t="n">
        <v>12.5</v>
      </c>
      <c r="Y737" t="n">
        <v>767</v>
      </c>
      <c r="Z737" t="n">
        <v>9</v>
      </c>
      <c r="AN737" t="inlineStr">
        <is>
          <t>Augment Wisp</t>
        </is>
      </c>
      <c r="AO737" t="n">
        <v>210</v>
      </c>
      <c r="AP737" t="n">
        <v>10143</v>
      </c>
      <c r="AQ737" t="n">
        <v>15</v>
      </c>
      <c r="AS737" t="inlineStr">
        <is>
          <t>Yes</t>
        </is>
      </c>
    </row>
    <row r="738">
      <c r="A738" t="inlineStr">
        <is>
          <t>Mod</t>
        </is>
      </c>
      <c r="B738" t="inlineStr">
        <is>
          <t>Gaia's Tragedy</t>
        </is>
      </c>
      <c r="E738" t="inlineStr">
        <is>
          <t>Stance</t>
        </is>
      </c>
      <c r="F738" t="n">
        <v>3</v>
      </c>
      <c r="G738" t="n">
        <v>1</v>
      </c>
      <c r="H738" t="inlineStr">
        <is>
          <t>Player trade (max rank)</t>
        </is>
      </c>
      <c r="I738" t="inlineStr">
        <is>
          <t>Yes</t>
        </is>
      </c>
      <c r="K738" t="inlineStr">
        <is>
          <t>Collection</t>
        </is>
      </c>
      <c r="L738" t="n">
        <v>5</v>
      </c>
      <c r="M738" t="n">
        <v>5</v>
      </c>
      <c r="N738" t="n">
        <v>8</v>
      </c>
      <c r="O738" t="inlineStr">
        <is>
          <t>2026-10-05 UTC (WFM pull 02:52-04:00)</t>
        </is>
      </c>
      <c r="P738" t="inlineStr">
        <is>
          <t>OK</t>
        </is>
      </c>
      <c r="R738" t="inlineStr">
        <is>
          <t>Every current tradeable mod at MAX RANK (WFM catalogue, rivens/locators excluded)</t>
        </is>
      </c>
      <c r="S738" t="inlineStr">
        <is>
          <t>gaias_tragedy</t>
        </is>
      </c>
      <c r="T738" t="n">
        <v>13</v>
      </c>
      <c r="U738" t="n">
        <v>13</v>
      </c>
      <c r="V738" t="n">
        <v>6</v>
      </c>
      <c r="W738" t="n">
        <v>6</v>
      </c>
      <c r="X738" t="n">
        <v>7.4</v>
      </c>
      <c r="Y738" t="n">
        <v>27</v>
      </c>
      <c r="Z738" t="n">
        <v>0</v>
      </c>
      <c r="AN738" t="inlineStr">
        <is>
          <t>Stance</t>
        </is>
      </c>
      <c r="AO738" t="n">
        <v>210</v>
      </c>
      <c r="AP738" t="n">
        <v>10143</v>
      </c>
      <c r="AQ738" t="n">
        <v>2</v>
      </c>
      <c r="AS738" t="inlineStr">
        <is>
          <t>Yes</t>
        </is>
      </c>
    </row>
    <row r="739">
      <c r="A739" t="inlineStr">
        <is>
          <t>Mod</t>
        </is>
      </c>
      <c r="B739" t="inlineStr">
        <is>
          <t>Gale Kick</t>
        </is>
      </c>
      <c r="E739" t="inlineStr">
        <is>
          <t>Warframe</t>
        </is>
      </c>
      <c r="F739" t="n">
        <v>3</v>
      </c>
      <c r="G739" t="n">
        <v>1</v>
      </c>
      <c r="H739" t="inlineStr">
        <is>
          <t>Player trade (max rank)</t>
        </is>
      </c>
      <c r="I739" t="inlineStr">
        <is>
          <t>Yes</t>
        </is>
      </c>
      <c r="K739" t="inlineStr">
        <is>
          <t>Collection</t>
        </is>
      </c>
      <c r="L739" t="n">
        <v>8</v>
      </c>
      <c r="M739" t="n">
        <v>10</v>
      </c>
      <c r="N739" t="n">
        <v>17</v>
      </c>
      <c r="O739" t="inlineStr">
        <is>
          <t>2026-10-05 UTC (WFM pull 02:52-04:00)</t>
        </is>
      </c>
      <c r="P739" t="inlineStr">
        <is>
          <t>OK</t>
        </is>
      </c>
      <c r="R739" t="inlineStr">
        <is>
          <t>Every current tradeable mod at MAX RANK (WFM catalogue, rivens/locators excluded)</t>
        </is>
      </c>
      <c r="S739" t="inlineStr">
        <is>
          <t>gale_kick</t>
        </is>
      </c>
      <c r="T739" t="n">
        <v>40</v>
      </c>
      <c r="U739" t="n">
        <v>2</v>
      </c>
      <c r="V739" t="n">
        <v>8</v>
      </c>
      <c r="W739" t="n">
        <v>9</v>
      </c>
      <c r="X739" t="n">
        <v>9.199999999999999</v>
      </c>
      <c r="Y739" t="n">
        <v>4</v>
      </c>
      <c r="Z739" t="n">
        <v>0</v>
      </c>
      <c r="AN739" t="inlineStr">
        <is>
          <t>Warframe</t>
        </is>
      </c>
      <c r="AO739" t="n">
        <v>210</v>
      </c>
      <c r="AP739" t="n">
        <v>10143</v>
      </c>
      <c r="AQ739" t="n">
        <v>10</v>
      </c>
      <c r="AS739" t="inlineStr">
        <is>
          <t>Yes</t>
        </is>
      </c>
    </row>
    <row r="740">
      <c r="A740" t="inlineStr">
        <is>
          <t>Mod</t>
        </is>
      </c>
      <c r="B740" t="inlineStr">
        <is>
          <t>Galeforce Dawn</t>
        </is>
      </c>
      <c r="E740" t="inlineStr">
        <is>
          <t>Stance</t>
        </is>
      </c>
      <c r="F740" t="n">
        <v>3</v>
      </c>
      <c r="G740" t="n">
        <v>1</v>
      </c>
      <c r="H740" t="inlineStr">
        <is>
          <t>Player trade (max rank)</t>
        </is>
      </c>
      <c r="I740" t="inlineStr">
        <is>
          <t>Yes</t>
        </is>
      </c>
      <c r="K740" t="inlineStr">
        <is>
          <t>Collection</t>
        </is>
      </c>
      <c r="L740" t="n">
        <v>10</v>
      </c>
      <c r="M740" t="n">
        <v>15</v>
      </c>
      <c r="N740" t="n">
        <v>33</v>
      </c>
      <c r="O740" t="inlineStr">
        <is>
          <t>2026-10-05 UTC (WFM pull 02:52-04:00)</t>
        </is>
      </c>
      <c r="P740" t="inlineStr">
        <is>
          <t>OK</t>
        </is>
      </c>
      <c r="R740" t="inlineStr">
        <is>
          <t>Every current tradeable mod at MAX RANK (WFM catalogue, rivens/locators excluded)</t>
        </is>
      </c>
      <c r="S740" t="inlineStr">
        <is>
          <t>galeforce_dawn</t>
        </is>
      </c>
      <c r="T740" t="n">
        <v>4</v>
      </c>
      <c r="U740" t="n">
        <v>4</v>
      </c>
      <c r="V740" t="n">
        <v>10</v>
      </c>
      <c r="W740" t="n">
        <v>10</v>
      </c>
      <c r="X740" t="n">
        <v>9.6</v>
      </c>
      <c r="Y740" t="n">
        <v>198</v>
      </c>
      <c r="Z740" t="n">
        <v>7</v>
      </c>
      <c r="AN740" t="inlineStr">
        <is>
          <t>Stance</t>
        </is>
      </c>
      <c r="AO740" t="n">
        <v>140</v>
      </c>
      <c r="AP740" t="n">
        <v>6762</v>
      </c>
      <c r="AQ740" t="n">
        <v>5</v>
      </c>
      <c r="AS740" t="inlineStr">
        <is>
          <t>Yes</t>
        </is>
      </c>
    </row>
    <row r="741">
      <c r="A741" t="inlineStr">
        <is>
          <t>Mod</t>
        </is>
      </c>
      <c r="B741" t="inlineStr">
        <is>
          <t>Galvanized Acceleration</t>
        </is>
      </c>
      <c r="E741" t="inlineStr">
        <is>
          <t>Galvanized Shotgun</t>
        </is>
      </c>
      <c r="F741" t="n">
        <v>10</v>
      </c>
      <c r="G741" t="n">
        <v>1</v>
      </c>
      <c r="H741" t="inlineStr">
        <is>
          <t>Player trade (max rank)</t>
        </is>
      </c>
      <c r="I741" t="inlineStr">
        <is>
          <t>Yes</t>
        </is>
      </c>
      <c r="K741" t="inlineStr">
        <is>
          <t>Collection</t>
        </is>
      </c>
      <c r="L741" t="n">
        <v>68</v>
      </c>
      <c r="M741" t="n">
        <v>75</v>
      </c>
      <c r="N741" t="n">
        <v>85</v>
      </c>
      <c r="O741" t="inlineStr">
        <is>
          <t>2026-10-05 UTC (WFM pull 02:52-04:00)</t>
        </is>
      </c>
      <c r="P741" t="inlineStr">
        <is>
          <t>OK</t>
        </is>
      </c>
      <c r="R741" t="inlineStr">
        <is>
          <t>Every current tradeable mod at MAX RANK (WFM catalogue, rivens/locators excluded)</t>
        </is>
      </c>
      <c r="S741" t="inlineStr">
        <is>
          <t>galvanized_acceleration</t>
        </is>
      </c>
      <c r="T741" t="n">
        <v>14</v>
      </c>
      <c r="U741" t="n">
        <v>14</v>
      </c>
      <c r="V741" t="n">
        <v>66</v>
      </c>
      <c r="W741" t="n">
        <v>65</v>
      </c>
      <c r="X741" t="n">
        <v>64.8</v>
      </c>
      <c r="Y741" t="n">
        <v>2039</v>
      </c>
      <c r="Z741" t="n">
        <v>52</v>
      </c>
      <c r="AA741" t="n">
        <v>54</v>
      </c>
      <c r="AB741" t="n">
        <v>14</v>
      </c>
      <c r="AN741" t="inlineStr">
        <is>
          <t>Galvanized Shotgun</t>
        </is>
      </c>
      <c r="AO741" t="n">
        <v>30690</v>
      </c>
      <c r="AP741" t="n">
        <v>1482327</v>
      </c>
      <c r="AQ741" t="n">
        <v>10</v>
      </c>
      <c r="AS741" t="inlineStr">
        <is>
          <t>Yes</t>
        </is>
      </c>
    </row>
    <row r="742">
      <c r="A742" t="inlineStr">
        <is>
          <t>Mod</t>
        </is>
      </c>
      <c r="B742" t="inlineStr">
        <is>
          <t>Galvanized Aptitude</t>
        </is>
      </c>
      <c r="E742" t="inlineStr">
        <is>
          <t>Galvanized Rifle</t>
        </is>
      </c>
      <c r="F742" t="n">
        <v>10</v>
      </c>
      <c r="G742" t="n">
        <v>1</v>
      </c>
      <c r="H742" t="inlineStr">
        <is>
          <t>Player trade (max rank)</t>
        </is>
      </c>
      <c r="I742" t="inlineStr">
        <is>
          <t>Yes</t>
        </is>
      </c>
      <c r="K742" t="inlineStr">
        <is>
          <t>Collection</t>
        </is>
      </c>
      <c r="L742" t="n">
        <v>55</v>
      </c>
      <c r="M742" t="n">
        <v>65</v>
      </c>
      <c r="N742" t="n">
        <v>76</v>
      </c>
      <c r="O742" t="inlineStr">
        <is>
          <t>2026-10-05 UTC (WFM pull 02:52-04:00)</t>
        </is>
      </c>
      <c r="P742" t="inlineStr">
        <is>
          <t>OK</t>
        </is>
      </c>
      <c r="R742" t="inlineStr">
        <is>
          <t>Every current tradeable mod at MAX RANK (WFM catalogue, rivens/locators excluded)</t>
        </is>
      </c>
      <c r="S742" t="inlineStr">
        <is>
          <t>galvanized_aptitude</t>
        </is>
      </c>
      <c r="T742" t="n">
        <v>24</v>
      </c>
      <c r="U742" t="n">
        <v>24</v>
      </c>
      <c r="V742" t="n">
        <v>63.5</v>
      </c>
      <c r="W742" t="n">
        <v>65</v>
      </c>
      <c r="X742" t="n">
        <v>62.5</v>
      </c>
      <c r="Y742" t="n">
        <v>3583</v>
      </c>
      <c r="Z742" t="n">
        <v>81</v>
      </c>
      <c r="AA742" t="n">
        <v>46</v>
      </c>
      <c r="AB742" t="n">
        <v>9</v>
      </c>
      <c r="AN742" t="inlineStr">
        <is>
          <t>Galvanized Rifle</t>
        </is>
      </c>
      <c r="AO742" t="n">
        <v>30690</v>
      </c>
      <c r="AP742" t="n">
        <v>1482327</v>
      </c>
      <c r="AQ742" t="n">
        <v>10</v>
      </c>
      <c r="AS742" t="inlineStr">
        <is>
          <t>Yes</t>
        </is>
      </c>
    </row>
    <row r="743">
      <c r="A743" t="inlineStr">
        <is>
          <t>Mod</t>
        </is>
      </c>
      <c r="B743" t="inlineStr">
        <is>
          <t>Galvanized Chamber</t>
        </is>
      </c>
      <c r="E743" t="inlineStr">
        <is>
          <t>Galvanized Rifle</t>
        </is>
      </c>
      <c r="F743" t="n">
        <v>10</v>
      </c>
      <c r="G743" t="n">
        <v>1</v>
      </c>
      <c r="H743" t="inlineStr">
        <is>
          <t>Player trade (max rank)</t>
        </is>
      </c>
      <c r="I743" t="inlineStr">
        <is>
          <t>Yes</t>
        </is>
      </c>
      <c r="K743" t="inlineStr">
        <is>
          <t>Collection</t>
        </is>
      </c>
      <c r="L743" t="n">
        <v>55</v>
      </c>
      <c r="M743" t="n">
        <v>65</v>
      </c>
      <c r="N743" t="n">
        <v>83</v>
      </c>
      <c r="O743" t="inlineStr">
        <is>
          <t>2026-10-05 UTC (WFM pull 02:52-04:00)</t>
        </is>
      </c>
      <c r="P743" t="inlineStr">
        <is>
          <t>OK</t>
        </is>
      </c>
      <c r="R743" t="inlineStr">
        <is>
          <t>Every current tradeable mod at MAX RANK (WFM catalogue, rivens/locators excluded)</t>
        </is>
      </c>
      <c r="S743" t="inlineStr">
        <is>
          <t>galvanized_chamber</t>
        </is>
      </c>
      <c r="T743" t="n">
        <v>23</v>
      </c>
      <c r="U743" t="n">
        <v>23</v>
      </c>
      <c r="V743" t="n">
        <v>59</v>
      </c>
      <c r="W743" t="n">
        <v>60</v>
      </c>
      <c r="X743" t="n">
        <v>58.7</v>
      </c>
      <c r="Y743" t="n">
        <v>4991</v>
      </c>
      <c r="Z743" t="n">
        <v>114</v>
      </c>
      <c r="AA743" t="n">
        <v>50</v>
      </c>
      <c r="AB743" t="n">
        <v>5</v>
      </c>
      <c r="AN743" t="inlineStr">
        <is>
          <t>Galvanized Rifle</t>
        </is>
      </c>
      <c r="AO743" t="n">
        <v>30690</v>
      </c>
      <c r="AP743" t="n">
        <v>1482327</v>
      </c>
      <c r="AQ743" t="n">
        <v>9</v>
      </c>
      <c r="AS743" t="inlineStr">
        <is>
          <t>Yes</t>
        </is>
      </c>
    </row>
    <row r="744">
      <c r="A744" t="inlineStr">
        <is>
          <t>Mod</t>
        </is>
      </c>
      <c r="B744" t="inlineStr">
        <is>
          <t>Galvanized Crosshairs</t>
        </is>
      </c>
      <c r="E744" t="inlineStr">
        <is>
          <t>Galvanized Pistol</t>
        </is>
      </c>
      <c r="F744" t="n">
        <v>10</v>
      </c>
      <c r="G744" t="n">
        <v>1</v>
      </c>
      <c r="H744" t="inlineStr">
        <is>
          <t>Player trade (max rank)</t>
        </is>
      </c>
      <c r="I744" t="inlineStr">
        <is>
          <t>Yes</t>
        </is>
      </c>
      <c r="K744" t="inlineStr">
        <is>
          <t>Collection</t>
        </is>
      </c>
      <c r="L744" t="n">
        <v>74</v>
      </c>
      <c r="M744" t="n">
        <v>75</v>
      </c>
      <c r="N744" t="n">
        <v>83</v>
      </c>
      <c r="O744" t="inlineStr">
        <is>
          <t>2026-10-05 UTC (WFM pull 02:52-04:00)</t>
        </is>
      </c>
      <c r="P744" t="inlineStr">
        <is>
          <t>OK</t>
        </is>
      </c>
      <c r="R744" t="inlineStr">
        <is>
          <t>Every current tradeable mod at MAX RANK (WFM catalogue, rivens/locators excluded)</t>
        </is>
      </c>
      <c r="S744" t="inlineStr">
        <is>
          <t>galvanized_crosshairs</t>
        </is>
      </c>
      <c r="T744" t="n">
        <v>17</v>
      </c>
      <c r="U744" t="n">
        <v>17</v>
      </c>
      <c r="V744" t="n">
        <v>70</v>
      </c>
      <c r="W744" t="n">
        <v>68</v>
      </c>
      <c r="X744" t="n">
        <v>66.5</v>
      </c>
      <c r="Y744" t="n">
        <v>1051</v>
      </c>
      <c r="Z744" t="n">
        <v>51</v>
      </c>
      <c r="AA744" t="n">
        <v>60</v>
      </c>
      <c r="AB744" t="n">
        <v>14</v>
      </c>
      <c r="AN744" t="inlineStr">
        <is>
          <t>Galvanized Pistol</t>
        </is>
      </c>
      <c r="AO744" t="n">
        <v>30690</v>
      </c>
      <c r="AP744" t="n">
        <v>1482327</v>
      </c>
      <c r="AQ744" t="n">
        <v>10</v>
      </c>
      <c r="AS744" t="inlineStr">
        <is>
          <t>Yes</t>
        </is>
      </c>
    </row>
    <row r="745">
      <c r="A745" t="inlineStr">
        <is>
          <t>Mod</t>
        </is>
      </c>
      <c r="B745" t="inlineStr">
        <is>
          <t>Galvanized Diffusion</t>
        </is>
      </c>
      <c r="E745" t="inlineStr">
        <is>
          <t>Galvanized Pistol</t>
        </is>
      </c>
      <c r="F745" t="n">
        <v>10</v>
      </c>
      <c r="G745" t="n">
        <v>1</v>
      </c>
      <c r="H745" t="inlineStr">
        <is>
          <t>Player trade (max rank)</t>
        </is>
      </c>
      <c r="I745" t="inlineStr">
        <is>
          <t>Yes</t>
        </is>
      </c>
      <c r="K745" t="inlineStr">
        <is>
          <t>Collection</t>
        </is>
      </c>
      <c r="L745" t="n">
        <v>65</v>
      </c>
      <c r="M745" t="n">
        <v>65</v>
      </c>
      <c r="N745" t="n">
        <v>72</v>
      </c>
      <c r="O745" t="inlineStr">
        <is>
          <t>2026-10-05 UTC (WFM pull 02:52-04:00)</t>
        </is>
      </c>
      <c r="P745" t="inlineStr">
        <is>
          <t>OK</t>
        </is>
      </c>
      <c r="R745" t="inlineStr">
        <is>
          <t>Every current tradeable mod at MAX RANK (WFM catalogue, rivens/locators excluded)</t>
        </is>
      </c>
      <c r="S745" t="inlineStr">
        <is>
          <t>galvanized_diffusion</t>
        </is>
      </c>
      <c r="T745" t="n">
        <v>21</v>
      </c>
      <c r="U745" t="n">
        <v>21</v>
      </c>
      <c r="V745" t="n">
        <v>65</v>
      </c>
      <c r="W745" t="n">
        <v>65</v>
      </c>
      <c r="X745" t="n">
        <v>64.7</v>
      </c>
      <c r="Y745" t="n">
        <v>3670</v>
      </c>
      <c r="Z745" t="n">
        <v>65</v>
      </c>
      <c r="AA745" t="n">
        <v>55</v>
      </c>
      <c r="AB745" t="n">
        <v>10</v>
      </c>
      <c r="AN745" t="inlineStr">
        <is>
          <t>Galvanized Pistol</t>
        </is>
      </c>
      <c r="AO745" t="n">
        <v>30690</v>
      </c>
      <c r="AP745" t="n">
        <v>1482327</v>
      </c>
      <c r="AQ745" t="n">
        <v>10</v>
      </c>
      <c r="AS745" t="inlineStr">
        <is>
          <t>Yes</t>
        </is>
      </c>
    </row>
    <row r="746">
      <c r="A746" t="inlineStr">
        <is>
          <t>Mod</t>
        </is>
      </c>
      <c r="B746" t="inlineStr">
        <is>
          <t>Galvanized Elementalist</t>
        </is>
      </c>
      <c r="E746" t="inlineStr">
        <is>
          <t>Galvanized Melee</t>
        </is>
      </c>
      <c r="F746" t="n">
        <v>10</v>
      </c>
      <c r="G746" t="n">
        <v>1</v>
      </c>
      <c r="H746" t="inlineStr">
        <is>
          <t>Player trade (max rank)</t>
        </is>
      </c>
      <c r="I746" t="inlineStr">
        <is>
          <t>Yes</t>
        </is>
      </c>
      <c r="K746" t="inlineStr">
        <is>
          <t>Collection</t>
        </is>
      </c>
      <c r="L746" t="n">
        <v>65</v>
      </c>
      <c r="M746" t="n">
        <v>68</v>
      </c>
      <c r="N746" t="n">
        <v>77</v>
      </c>
      <c r="O746" t="inlineStr">
        <is>
          <t>2026-10-05 UTC (WFM pull 02:52-04:00)</t>
        </is>
      </c>
      <c r="P746" t="inlineStr">
        <is>
          <t>OK</t>
        </is>
      </c>
      <c r="R746" t="inlineStr">
        <is>
          <t>Every current tradeable mod at MAX RANK (WFM catalogue, rivens/locators excluded)</t>
        </is>
      </c>
      <c r="S746" t="inlineStr">
        <is>
          <t>galvanized_elementalist</t>
        </is>
      </c>
      <c r="T746" t="n">
        <v>21</v>
      </c>
      <c r="U746" t="n">
        <v>21</v>
      </c>
      <c r="V746" t="n">
        <v>65</v>
      </c>
      <c r="W746" t="n">
        <v>65</v>
      </c>
      <c r="X746" t="n">
        <v>65.3</v>
      </c>
      <c r="Y746" t="n">
        <v>2902</v>
      </c>
      <c r="Z746" t="n">
        <v>89</v>
      </c>
      <c r="AA746" t="n">
        <v>50</v>
      </c>
      <c r="AB746" t="n">
        <v>15</v>
      </c>
      <c r="AN746" t="inlineStr">
        <is>
          <t>Galvanized Melee</t>
        </is>
      </c>
      <c r="AO746" t="n">
        <v>30690</v>
      </c>
      <c r="AP746" t="n">
        <v>1482327</v>
      </c>
      <c r="AQ746" t="n">
        <v>10</v>
      </c>
      <c r="AS746" t="inlineStr">
        <is>
          <t>Yes</t>
        </is>
      </c>
    </row>
    <row r="747">
      <c r="A747" t="inlineStr">
        <is>
          <t>Mod</t>
        </is>
      </c>
      <c r="B747" t="inlineStr">
        <is>
          <t>Galvanized Hell</t>
        </is>
      </c>
      <c r="E747" t="inlineStr">
        <is>
          <t>Galvanized Shotgun</t>
        </is>
      </c>
      <c r="F747" t="n">
        <v>10</v>
      </c>
      <c r="G747" t="n">
        <v>1</v>
      </c>
      <c r="H747" t="inlineStr">
        <is>
          <t>Player trade (max rank)</t>
        </is>
      </c>
      <c r="I747" t="inlineStr">
        <is>
          <t>Yes</t>
        </is>
      </c>
      <c r="K747" t="inlineStr">
        <is>
          <t>Collection</t>
        </is>
      </c>
      <c r="L747" t="n">
        <v>64</v>
      </c>
      <c r="M747" t="n">
        <v>65</v>
      </c>
      <c r="N747" t="n">
        <v>72</v>
      </c>
      <c r="O747" t="inlineStr">
        <is>
          <t>2026-10-05 UTC (WFM pull 02:52-04:00)</t>
        </is>
      </c>
      <c r="P747" t="inlineStr">
        <is>
          <t>OK</t>
        </is>
      </c>
      <c r="R747" t="inlineStr">
        <is>
          <t>Every current tradeable mod at MAX RANK (WFM catalogue, rivens/locators excluded)</t>
        </is>
      </c>
      <c r="S747" t="inlineStr">
        <is>
          <t>galvanized_hell</t>
        </is>
      </c>
      <c r="T747" t="n">
        <v>28</v>
      </c>
      <c r="U747" t="n">
        <v>28</v>
      </c>
      <c r="V747" t="n">
        <v>60</v>
      </c>
      <c r="W747" t="n">
        <v>60</v>
      </c>
      <c r="X747" t="n">
        <v>61.1</v>
      </c>
      <c r="Y747" t="n">
        <v>3752</v>
      </c>
      <c r="Z747" t="n">
        <v>72</v>
      </c>
      <c r="AA747" t="n">
        <v>51</v>
      </c>
      <c r="AB747" t="n">
        <v>13</v>
      </c>
      <c r="AN747" t="inlineStr">
        <is>
          <t>Galvanized Shotgun</t>
        </is>
      </c>
      <c r="AO747" t="n">
        <v>30690</v>
      </c>
      <c r="AP747" t="n">
        <v>1482327</v>
      </c>
      <c r="AQ747" t="n">
        <v>10</v>
      </c>
      <c r="AS747" t="inlineStr">
        <is>
          <t>Yes</t>
        </is>
      </c>
    </row>
    <row r="748">
      <c r="A748" t="inlineStr">
        <is>
          <t>Mod</t>
        </is>
      </c>
      <c r="B748" t="inlineStr">
        <is>
          <t>Galvanized Reflex</t>
        </is>
      </c>
      <c r="E748" t="inlineStr">
        <is>
          <t>Galvanized Melee</t>
        </is>
      </c>
      <c r="F748" t="n">
        <v>10</v>
      </c>
      <c r="G748" t="n">
        <v>1</v>
      </c>
      <c r="H748" t="inlineStr">
        <is>
          <t>Player trade (max rank)</t>
        </is>
      </c>
      <c r="I748" t="inlineStr">
        <is>
          <t>Yes</t>
        </is>
      </c>
      <c r="K748" t="inlineStr">
        <is>
          <t>Collection</t>
        </is>
      </c>
      <c r="L748" t="n">
        <v>65</v>
      </c>
      <c r="M748" t="n">
        <v>70</v>
      </c>
      <c r="N748" t="n">
        <v>77</v>
      </c>
      <c r="O748" t="inlineStr">
        <is>
          <t>2026-10-05 UTC (WFM pull 02:52-04:00)</t>
        </is>
      </c>
      <c r="P748" t="inlineStr">
        <is>
          <t>OK</t>
        </is>
      </c>
      <c r="R748" t="inlineStr">
        <is>
          <t>Every current tradeable mod at MAX RANK (WFM catalogue, rivens/locators excluded)</t>
        </is>
      </c>
      <c r="S748" t="inlineStr">
        <is>
          <t>galvanized_reflex</t>
        </is>
      </c>
      <c r="T748" t="n">
        <v>19</v>
      </c>
      <c r="U748" t="n">
        <v>19</v>
      </c>
      <c r="V748" t="n">
        <v>65</v>
      </c>
      <c r="W748" t="n">
        <v>65</v>
      </c>
      <c r="X748" t="n">
        <v>64.7</v>
      </c>
      <c r="Y748" t="n">
        <v>2165</v>
      </c>
      <c r="Z748" t="n">
        <v>70</v>
      </c>
      <c r="AA748" t="n">
        <v>55</v>
      </c>
      <c r="AB748" t="n">
        <v>10</v>
      </c>
      <c r="AN748" t="inlineStr">
        <is>
          <t>Galvanized Melee</t>
        </is>
      </c>
      <c r="AO748" t="n">
        <v>30690</v>
      </c>
      <c r="AP748" t="n">
        <v>1482327</v>
      </c>
      <c r="AQ748" t="n">
        <v>10</v>
      </c>
      <c r="AS748" t="inlineStr">
        <is>
          <t>Yes</t>
        </is>
      </c>
    </row>
    <row r="749">
      <c r="A749" t="inlineStr">
        <is>
          <t>Mod</t>
        </is>
      </c>
      <c r="B749" t="inlineStr">
        <is>
          <t>Galvanized Savvy</t>
        </is>
      </c>
      <c r="E749" t="inlineStr">
        <is>
          <t>Galvanized Shotgun</t>
        </is>
      </c>
      <c r="F749" t="n">
        <v>10</v>
      </c>
      <c r="G749" t="n">
        <v>1</v>
      </c>
      <c r="H749" t="inlineStr">
        <is>
          <t>Player trade (max rank)</t>
        </is>
      </c>
      <c r="I749" t="inlineStr">
        <is>
          <t>Yes</t>
        </is>
      </c>
      <c r="K749" t="inlineStr">
        <is>
          <t>Collection</t>
        </is>
      </c>
      <c r="L749" t="n">
        <v>67</v>
      </c>
      <c r="M749" t="n">
        <v>67</v>
      </c>
      <c r="N749" t="n">
        <v>83</v>
      </c>
      <c r="O749" t="inlineStr">
        <is>
          <t>2026-10-05 UTC (WFM pull 02:52-04:00)</t>
        </is>
      </c>
      <c r="P749" t="inlineStr">
        <is>
          <t>OK</t>
        </is>
      </c>
      <c r="R749" t="inlineStr">
        <is>
          <t>Every current tradeable mod at MAX RANK (WFM catalogue, rivens/locators excluded)</t>
        </is>
      </c>
      <c r="S749" t="inlineStr">
        <is>
          <t>galvanized_savvy</t>
        </is>
      </c>
      <c r="T749" t="n">
        <v>20</v>
      </c>
      <c r="U749" t="n">
        <v>20</v>
      </c>
      <c r="V749" t="n">
        <v>65</v>
      </c>
      <c r="W749" t="n">
        <v>64.5</v>
      </c>
      <c r="X749" t="n">
        <v>62.8</v>
      </c>
      <c r="Y749" t="n">
        <v>3492</v>
      </c>
      <c r="Z749" t="n">
        <v>64</v>
      </c>
      <c r="AA749" t="n">
        <v>50</v>
      </c>
      <c r="AB749" t="n">
        <v>17</v>
      </c>
      <c r="AN749" t="inlineStr">
        <is>
          <t>Galvanized Shotgun</t>
        </is>
      </c>
      <c r="AO749" t="n">
        <v>30690</v>
      </c>
      <c r="AP749" t="n">
        <v>1482327</v>
      </c>
      <c r="AQ749" t="n">
        <v>10</v>
      </c>
      <c r="AS749" t="inlineStr">
        <is>
          <t>Yes</t>
        </is>
      </c>
    </row>
    <row r="750">
      <c r="A750" t="inlineStr">
        <is>
          <t>Mod</t>
        </is>
      </c>
      <c r="B750" t="inlineStr">
        <is>
          <t>Galvanized Scope</t>
        </is>
      </c>
      <c r="E750" t="inlineStr">
        <is>
          <t>Galvanized Rifle</t>
        </is>
      </c>
      <c r="F750" t="n">
        <v>10</v>
      </c>
      <c r="G750" t="n">
        <v>1</v>
      </c>
      <c r="H750" t="inlineStr">
        <is>
          <t>Player trade (max rank)</t>
        </is>
      </c>
      <c r="I750" t="inlineStr">
        <is>
          <t>Yes</t>
        </is>
      </c>
      <c r="K750" t="inlineStr">
        <is>
          <t>Collection</t>
        </is>
      </c>
      <c r="L750" t="n">
        <v>65</v>
      </c>
      <c r="M750" t="n">
        <v>72</v>
      </c>
      <c r="N750" t="n">
        <v>83</v>
      </c>
      <c r="O750" t="inlineStr">
        <is>
          <t>2026-10-05 UTC (WFM pull 02:52-04:00)</t>
        </is>
      </c>
      <c r="P750" t="inlineStr">
        <is>
          <t>OK</t>
        </is>
      </c>
      <c r="R750" t="inlineStr">
        <is>
          <t>Every current tradeable mod at MAX RANK (WFM catalogue, rivens/locators excluded)</t>
        </is>
      </c>
      <c r="S750" t="inlineStr">
        <is>
          <t>galvanized_scope</t>
        </is>
      </c>
      <c r="T750" t="n">
        <v>20</v>
      </c>
      <c r="U750" t="n">
        <v>20</v>
      </c>
      <c r="V750" t="n">
        <v>64</v>
      </c>
      <c r="W750" t="n">
        <v>64</v>
      </c>
      <c r="X750" t="n">
        <v>61.7</v>
      </c>
      <c r="Y750" t="n">
        <v>3521</v>
      </c>
      <c r="Z750" t="n">
        <v>85</v>
      </c>
      <c r="AA750" t="n">
        <v>55</v>
      </c>
      <c r="AB750" t="n">
        <v>10</v>
      </c>
      <c r="AN750" t="inlineStr">
        <is>
          <t>Galvanized Rifle</t>
        </is>
      </c>
      <c r="AO750" t="n">
        <v>30690</v>
      </c>
      <c r="AP750" t="n">
        <v>1482327</v>
      </c>
      <c r="AQ750" t="n">
        <v>10</v>
      </c>
      <c r="AS750" t="inlineStr">
        <is>
          <t>Yes</t>
        </is>
      </c>
    </row>
    <row r="751">
      <c r="A751" t="inlineStr">
        <is>
          <t>Mod</t>
        </is>
      </c>
      <c r="B751" t="inlineStr">
        <is>
          <t>Galvanized Shot</t>
        </is>
      </c>
      <c r="E751" t="inlineStr">
        <is>
          <t>Galvanized Pistol</t>
        </is>
      </c>
      <c r="F751" t="n">
        <v>10</v>
      </c>
      <c r="G751" t="n">
        <v>1</v>
      </c>
      <c r="H751" t="inlineStr">
        <is>
          <t>Player trade (max rank)</t>
        </is>
      </c>
      <c r="I751" t="inlineStr">
        <is>
          <t>Yes</t>
        </is>
      </c>
      <c r="K751" t="inlineStr">
        <is>
          <t>Collection</t>
        </is>
      </c>
      <c r="L751" t="n">
        <v>65</v>
      </c>
      <c r="M751" t="n">
        <v>70</v>
      </c>
      <c r="N751" t="n">
        <v>83</v>
      </c>
      <c r="O751" t="inlineStr">
        <is>
          <t>2026-10-05 UTC (WFM pull 02:52-04:00)</t>
        </is>
      </c>
      <c r="P751" t="inlineStr">
        <is>
          <t>OK</t>
        </is>
      </c>
      <c r="R751" t="inlineStr">
        <is>
          <t>Every current tradeable mod at MAX RANK (WFM catalogue, rivens/locators excluded)</t>
        </is>
      </c>
      <c r="S751" t="inlineStr">
        <is>
          <t>galvanized_shot</t>
        </is>
      </c>
      <c r="T751" t="n">
        <v>18</v>
      </c>
      <c r="U751" t="n">
        <v>18</v>
      </c>
      <c r="V751" t="n">
        <v>64</v>
      </c>
      <c r="W751" t="n">
        <v>64</v>
      </c>
      <c r="X751" t="n">
        <v>62.3</v>
      </c>
      <c r="Y751" t="n">
        <v>5160</v>
      </c>
      <c r="Z751" t="n">
        <v>112</v>
      </c>
      <c r="AA751" t="n">
        <v>55</v>
      </c>
      <c r="AB751" t="n">
        <v>10</v>
      </c>
      <c r="AN751" t="inlineStr">
        <is>
          <t>Galvanized Pistol</t>
        </is>
      </c>
      <c r="AO751" t="n">
        <v>30690</v>
      </c>
      <c r="AP751" t="n">
        <v>1482327</v>
      </c>
      <c r="AQ751" t="n">
        <v>10</v>
      </c>
      <c r="AS751" t="inlineStr">
        <is>
          <t>Yes</t>
        </is>
      </c>
    </row>
    <row r="752">
      <c r="A752" t="inlineStr">
        <is>
          <t>Mod</t>
        </is>
      </c>
      <c r="B752" t="inlineStr">
        <is>
          <t>Galvanized Steel</t>
        </is>
      </c>
      <c r="E752" t="inlineStr">
        <is>
          <t>Galvanized Melee</t>
        </is>
      </c>
      <c r="F752" t="n">
        <v>10</v>
      </c>
      <c r="G752" t="n">
        <v>1</v>
      </c>
      <c r="H752" t="inlineStr">
        <is>
          <t>Player trade (max rank)</t>
        </is>
      </c>
      <c r="I752" t="inlineStr">
        <is>
          <t>Yes</t>
        </is>
      </c>
      <c r="K752" t="inlineStr">
        <is>
          <t>Collection</t>
        </is>
      </c>
      <c r="L752" t="n">
        <v>65</v>
      </c>
      <c r="M752" t="n">
        <v>70</v>
      </c>
      <c r="N752" t="n">
        <v>77</v>
      </c>
      <c r="O752" t="inlineStr">
        <is>
          <t>2026-10-05 UTC (WFM pull 02:52-04:00)</t>
        </is>
      </c>
      <c r="P752" t="inlineStr">
        <is>
          <t>OK</t>
        </is>
      </c>
      <c r="R752" t="inlineStr">
        <is>
          <t>Every current tradeable mod at MAX RANK (WFM catalogue, rivens/locators excluded)</t>
        </is>
      </c>
      <c r="S752" t="inlineStr">
        <is>
          <t>galvanized_steel</t>
        </is>
      </c>
      <c r="T752" t="n">
        <v>24</v>
      </c>
      <c r="U752" t="n">
        <v>24</v>
      </c>
      <c r="V752" t="n">
        <v>63</v>
      </c>
      <c r="W752" t="n">
        <v>65</v>
      </c>
      <c r="X752" t="n">
        <v>62.8</v>
      </c>
      <c r="Y752" t="n">
        <v>4842</v>
      </c>
      <c r="Z752" t="n">
        <v>84</v>
      </c>
      <c r="AA752" t="n">
        <v>51</v>
      </c>
      <c r="AB752" t="n">
        <v>14</v>
      </c>
      <c r="AN752" t="inlineStr">
        <is>
          <t>Galvanized Melee</t>
        </is>
      </c>
      <c r="AO752" t="n">
        <v>30690</v>
      </c>
      <c r="AP752" t="n">
        <v>1482327</v>
      </c>
      <c r="AQ752" t="n">
        <v>10</v>
      </c>
      <c r="AS752" t="inlineStr">
        <is>
          <t>Yes</t>
        </is>
      </c>
    </row>
    <row r="753">
      <c r="A753" t="inlineStr">
        <is>
          <t>Mod</t>
        </is>
      </c>
      <c r="B753" t="inlineStr">
        <is>
          <t>Gaseous Quake</t>
        </is>
      </c>
      <c r="E753" t="inlineStr">
        <is>
          <t>Augment Banshee</t>
        </is>
      </c>
      <c r="F753" t="n">
        <v>3</v>
      </c>
      <c r="G753" t="n">
        <v>1</v>
      </c>
      <c r="H753" t="inlineStr">
        <is>
          <t>Player trade (max rank)</t>
        </is>
      </c>
      <c r="I753" t="inlineStr">
        <is>
          <t>Yes</t>
        </is>
      </c>
      <c r="K753" t="inlineStr">
        <is>
          <t>Collection</t>
        </is>
      </c>
      <c r="L753" t="n">
        <v>20</v>
      </c>
      <c r="M753" t="n">
        <v>20</v>
      </c>
      <c r="N753" t="n">
        <v>28</v>
      </c>
      <c r="O753" t="inlineStr">
        <is>
          <t>2026-10-05 UTC (WFM pull 02:52-04:00)</t>
        </is>
      </c>
      <c r="P753" t="inlineStr">
        <is>
          <t>OK</t>
        </is>
      </c>
      <c r="R753" t="inlineStr">
        <is>
          <t>Every current tradeable mod at MAX RANK (WFM catalogue, rivens/locators excluded)</t>
        </is>
      </c>
      <c r="S753" t="inlineStr">
        <is>
          <t>gaseous_quake</t>
        </is>
      </c>
      <c r="T753" t="n">
        <v>13</v>
      </c>
      <c r="U753" t="n">
        <v>13</v>
      </c>
      <c r="V753" t="n">
        <v>20</v>
      </c>
      <c r="W753" t="n">
        <v>20</v>
      </c>
      <c r="X753" t="n">
        <v>18.5</v>
      </c>
      <c r="Y753" t="n">
        <v>324</v>
      </c>
      <c r="Z753" t="n">
        <v>24</v>
      </c>
      <c r="AN753" t="inlineStr">
        <is>
          <t>Augment Banshee</t>
        </is>
      </c>
      <c r="AO753" t="n">
        <v>210</v>
      </c>
      <c r="AP753" t="n">
        <v>10143</v>
      </c>
      <c r="AQ753" t="n">
        <v>15</v>
      </c>
      <c r="AS753" t="inlineStr">
        <is>
          <t>Yes</t>
        </is>
      </c>
    </row>
    <row r="754">
      <c r="A754" t="inlineStr">
        <is>
          <t>Mod</t>
        </is>
      </c>
      <c r="B754" t="inlineStr">
        <is>
          <t>Gastro</t>
        </is>
      </c>
      <c r="E754" t="inlineStr">
        <is>
          <t>Augment Grendel</t>
        </is>
      </c>
      <c r="F754" t="n">
        <v>3</v>
      </c>
      <c r="G754" t="n">
        <v>1</v>
      </c>
      <c r="H754" t="inlineStr">
        <is>
          <t>Player trade (max rank)</t>
        </is>
      </c>
      <c r="I754" t="inlineStr">
        <is>
          <t>Yes</t>
        </is>
      </c>
      <c r="K754" t="inlineStr">
        <is>
          <t>Collection</t>
        </is>
      </c>
      <c r="L754" t="n">
        <v>17</v>
      </c>
      <c r="M754" t="n">
        <v>18</v>
      </c>
      <c r="N754" t="n">
        <v>22</v>
      </c>
      <c r="O754" t="inlineStr">
        <is>
          <t>2026-10-05 UTC (WFM pull 02:52-04:00)</t>
        </is>
      </c>
      <c r="P754" t="inlineStr">
        <is>
          <t>OK</t>
        </is>
      </c>
      <c r="R754" t="inlineStr">
        <is>
          <t>Every current tradeable mod at MAX RANK (WFM catalogue, rivens/locators excluded)</t>
        </is>
      </c>
      <c r="S754" t="inlineStr">
        <is>
          <t>gastro</t>
        </is>
      </c>
      <c r="T754" t="n">
        <v>3</v>
      </c>
      <c r="U754" t="n">
        <v>3</v>
      </c>
      <c r="V754" t="n">
        <v>15</v>
      </c>
      <c r="W754" t="n">
        <v>15</v>
      </c>
      <c r="X754" t="n">
        <v>14.4</v>
      </c>
      <c r="Y754" t="n">
        <v>123</v>
      </c>
      <c r="Z754" t="n">
        <v>3</v>
      </c>
      <c r="AN754" t="inlineStr">
        <is>
          <t>Augment Grendel</t>
        </is>
      </c>
      <c r="AO754" t="n">
        <v>210</v>
      </c>
      <c r="AP754" t="n">
        <v>10143</v>
      </c>
      <c r="AQ754" t="n">
        <v>14</v>
      </c>
      <c r="AS754" t="inlineStr">
        <is>
          <t>Yes</t>
        </is>
      </c>
    </row>
    <row r="755">
      <c r="A755" t="inlineStr">
        <is>
          <t>Mod</t>
        </is>
      </c>
      <c r="B755" t="inlineStr">
        <is>
          <t>Gastroparesis</t>
        </is>
      </c>
      <c r="E755" t="inlineStr">
        <is>
          <t>Augment Grendel</t>
        </is>
      </c>
      <c r="F755" t="n">
        <v>3</v>
      </c>
      <c r="G755" t="n">
        <v>1</v>
      </c>
      <c r="H755" t="inlineStr">
        <is>
          <t>Player trade (max rank)</t>
        </is>
      </c>
      <c r="I755" t="inlineStr">
        <is>
          <t>Yes</t>
        </is>
      </c>
      <c r="K755" t="inlineStr">
        <is>
          <t>Collection</t>
        </is>
      </c>
      <c r="L755" t="n">
        <v>15</v>
      </c>
      <c r="M755" t="n">
        <v>15</v>
      </c>
      <c r="N755" t="n">
        <v>33</v>
      </c>
      <c r="O755" t="inlineStr">
        <is>
          <t>2026-10-05 UTC (WFM pull 02:52-04:00)</t>
        </is>
      </c>
      <c r="P755" t="inlineStr">
        <is>
          <t>OK</t>
        </is>
      </c>
      <c r="R755" t="inlineStr">
        <is>
          <t>Every current tradeable mod at MAX RANK (WFM catalogue, rivens/locators excluded)</t>
        </is>
      </c>
      <c r="S755" t="inlineStr">
        <is>
          <t>gastroparesis</t>
        </is>
      </c>
      <c r="T755" t="n">
        <v>3</v>
      </c>
      <c r="U755" t="n">
        <v>3</v>
      </c>
      <c r="V755" t="n">
        <v>15</v>
      </c>
      <c r="W755" t="n">
        <v>15</v>
      </c>
      <c r="X755" t="n">
        <v>14.7</v>
      </c>
      <c r="Y755" t="n">
        <v>187</v>
      </c>
      <c r="Z755" t="n">
        <v>13</v>
      </c>
      <c r="AN755" t="inlineStr">
        <is>
          <t>Augment Grendel</t>
        </is>
      </c>
      <c r="AO755" t="n">
        <v>210</v>
      </c>
      <c r="AP755" t="n">
        <v>10143</v>
      </c>
      <c r="AQ755" t="n">
        <v>14</v>
      </c>
      <c r="AS755" t="inlineStr">
        <is>
          <t>Yes</t>
        </is>
      </c>
    </row>
    <row r="756">
      <c r="A756" t="inlineStr">
        <is>
          <t>Mod</t>
        </is>
      </c>
      <c r="B756" t="inlineStr">
        <is>
          <t>Gemini Cross</t>
        </is>
      </c>
      <c r="E756" t="inlineStr">
        <is>
          <t>Stance</t>
        </is>
      </c>
      <c r="F756" t="n">
        <v>3</v>
      </c>
      <c r="G756" t="n">
        <v>1</v>
      </c>
      <c r="H756" t="inlineStr">
        <is>
          <t>Player trade (max rank)</t>
        </is>
      </c>
      <c r="I756" t="inlineStr">
        <is>
          <t>Yes</t>
        </is>
      </c>
      <c r="K756" t="inlineStr">
        <is>
          <t>Collection</t>
        </is>
      </c>
      <c r="L756" t="n">
        <v>9</v>
      </c>
      <c r="M756" t="n">
        <v>9</v>
      </c>
      <c r="N756" t="n">
        <v>20</v>
      </c>
      <c r="O756" t="inlineStr">
        <is>
          <t>2026-10-05 UTC (WFM pull 02:52-04:00)</t>
        </is>
      </c>
      <c r="P756" t="inlineStr">
        <is>
          <t>OK</t>
        </is>
      </c>
      <c r="R756" t="inlineStr">
        <is>
          <t>Every current tradeable mod at MAX RANK (WFM catalogue, rivens/locators excluded)</t>
        </is>
      </c>
      <c r="S756" t="inlineStr">
        <is>
          <t>gemini_cross</t>
        </is>
      </c>
      <c r="T756" t="n">
        <v>5</v>
      </c>
      <c r="U756" t="n">
        <v>5</v>
      </c>
      <c r="V756" t="n">
        <v>2</v>
      </c>
      <c r="W756" t="n">
        <v>5</v>
      </c>
      <c r="X756" t="n">
        <v>6.8</v>
      </c>
      <c r="Y756" t="n">
        <v>8</v>
      </c>
      <c r="Z756" t="n">
        <v>0</v>
      </c>
      <c r="AN756" t="inlineStr">
        <is>
          <t>Stance</t>
        </is>
      </c>
      <c r="AO756" t="n">
        <v>140</v>
      </c>
      <c r="AP756" t="n">
        <v>6762</v>
      </c>
      <c r="AQ756" t="n">
        <v>5</v>
      </c>
      <c r="AS756" t="inlineStr">
        <is>
          <t>Yes</t>
        </is>
      </c>
    </row>
    <row r="757">
      <c r="A757" t="inlineStr">
        <is>
          <t>Mod</t>
        </is>
      </c>
      <c r="B757" t="inlineStr">
        <is>
          <t>Ghost</t>
        </is>
      </c>
      <c r="E757" t="inlineStr">
        <is>
          <t>Shade</t>
        </is>
      </c>
      <c r="F757" t="n">
        <v>5</v>
      </c>
      <c r="G757" t="n">
        <v>1</v>
      </c>
      <c r="H757" t="inlineStr">
        <is>
          <t>Player trade (max rank)</t>
        </is>
      </c>
      <c r="I757" t="inlineStr">
        <is>
          <t>Yes</t>
        </is>
      </c>
      <c r="K757" t="inlineStr">
        <is>
          <t>Collection</t>
        </is>
      </c>
      <c r="L757" t="n">
        <v>8</v>
      </c>
      <c r="M757" t="n">
        <v>8</v>
      </c>
      <c r="N757" t="n">
        <v>18</v>
      </c>
      <c r="O757" t="inlineStr">
        <is>
          <t>2026-10-05 UTC (WFM pull 02:52-04:00)</t>
        </is>
      </c>
      <c r="P757" t="inlineStr">
        <is>
          <t>OK</t>
        </is>
      </c>
      <c r="R757" t="inlineStr">
        <is>
          <t>Every current tradeable mod at MAX RANK (WFM catalogue, rivens/locators excluded)</t>
        </is>
      </c>
      <c r="S757" t="inlineStr">
        <is>
          <t>ghost</t>
        </is>
      </c>
      <c r="T757" t="n">
        <v>3</v>
      </c>
      <c r="U757" t="n">
        <v>3</v>
      </c>
      <c r="V757" t="n">
        <v>5</v>
      </c>
      <c r="W757" t="n">
        <v>10</v>
      </c>
      <c r="X757" t="n">
        <v>9.1</v>
      </c>
      <c r="Y757" t="n">
        <v>21</v>
      </c>
      <c r="Z757" t="n">
        <v>2</v>
      </c>
      <c r="AN757" t="inlineStr">
        <is>
          <t>Shade</t>
        </is>
      </c>
      <c r="AO757" t="n">
        <v>310</v>
      </c>
      <c r="AP757" t="n">
        <v>14973</v>
      </c>
      <c r="AQ757" t="n">
        <v>5</v>
      </c>
      <c r="AS757" t="inlineStr">
        <is>
          <t>Yes</t>
        </is>
      </c>
    </row>
    <row r="758">
      <c r="A758" t="inlineStr">
        <is>
          <t>Mod</t>
        </is>
      </c>
      <c r="B758" t="inlineStr">
        <is>
          <t>Gilded Truth</t>
        </is>
      </c>
      <c r="E758" t="inlineStr">
        <is>
          <t>Augment Burston Prime</t>
        </is>
      </c>
      <c r="F758" t="n">
        <v>3</v>
      </c>
      <c r="G758" t="n">
        <v>1</v>
      </c>
      <c r="H758" t="inlineStr">
        <is>
          <t>Player trade (max rank)</t>
        </is>
      </c>
      <c r="I758" t="inlineStr">
        <is>
          <t>Yes</t>
        </is>
      </c>
      <c r="K758" t="inlineStr">
        <is>
          <t>Collection</t>
        </is>
      </c>
      <c r="L758" t="n">
        <v>20</v>
      </c>
      <c r="M758" t="n">
        <v>20</v>
      </c>
      <c r="N758" t="n">
        <v>22</v>
      </c>
      <c r="O758" t="inlineStr">
        <is>
          <t>2026-10-05 UTC (WFM pull 02:52-04:00)</t>
        </is>
      </c>
      <c r="P758" t="inlineStr">
        <is>
          <t>OK</t>
        </is>
      </c>
      <c r="R758" t="inlineStr">
        <is>
          <t>Every current tradeable mod at MAX RANK (WFM catalogue, rivens/locators excluded)</t>
        </is>
      </c>
      <c r="S758" t="inlineStr">
        <is>
          <t>gilded_truth</t>
        </is>
      </c>
      <c r="T758" t="n">
        <v>7</v>
      </c>
      <c r="U758" t="n">
        <v>7</v>
      </c>
      <c r="V758" t="n">
        <v>14</v>
      </c>
      <c r="W758" t="n">
        <v>14.5</v>
      </c>
      <c r="X758" t="n">
        <v>13.9</v>
      </c>
      <c r="Y758" t="n">
        <v>1667</v>
      </c>
      <c r="Z758" t="n">
        <v>31</v>
      </c>
      <c r="AN758" t="inlineStr">
        <is>
          <t>Augment Burston Prime</t>
        </is>
      </c>
      <c r="AO758" t="n">
        <v>210</v>
      </c>
      <c r="AP758" t="n">
        <v>10143</v>
      </c>
      <c r="AQ758" t="n">
        <v>17</v>
      </c>
      <c r="AS758" t="inlineStr">
        <is>
          <t>Yes</t>
        </is>
      </c>
    </row>
    <row r="759">
      <c r="A759" t="inlineStr">
        <is>
          <t>Mod</t>
        </is>
      </c>
      <c r="B759" t="inlineStr">
        <is>
          <t>Glacial Edge</t>
        </is>
      </c>
      <c r="E759" t="inlineStr">
        <is>
          <t>Archmelee</t>
        </is>
      </c>
      <c r="F759" t="n">
        <v>5</v>
      </c>
      <c r="G759" t="n">
        <v>1</v>
      </c>
      <c r="H759" t="inlineStr">
        <is>
          <t>Player trade (max rank)</t>
        </is>
      </c>
      <c r="I759" t="inlineStr">
        <is>
          <t>Yes</t>
        </is>
      </c>
      <c r="K759" t="inlineStr">
        <is>
          <t>Collection</t>
        </is>
      </c>
      <c r="L759" t="n">
        <v>15</v>
      </c>
      <c r="M759" t="n">
        <v>19.5</v>
      </c>
      <c r="N759" t="n">
        <v>43</v>
      </c>
      <c r="O759" t="inlineStr">
        <is>
          <t>2026-10-05 UTC (WFM pull 02:52-04:00)</t>
        </is>
      </c>
      <c r="P759" t="inlineStr">
        <is>
          <t>OK</t>
        </is>
      </c>
      <c r="R759" t="inlineStr">
        <is>
          <t>Every current tradeable mod at MAX RANK (WFM catalogue, rivens/locators excluded)</t>
        </is>
      </c>
      <c r="S759" t="inlineStr">
        <is>
          <t>glacial_edge</t>
        </is>
      </c>
      <c r="T759" t="n">
        <v>4</v>
      </c>
      <c r="U759" t="n">
        <v>4</v>
      </c>
      <c r="W759" t="n">
        <v>14</v>
      </c>
      <c r="X759" t="n">
        <v>13.8</v>
      </c>
      <c r="Y759" t="n">
        <v>4</v>
      </c>
      <c r="Z759" t="n">
        <v>0</v>
      </c>
      <c r="AN759" t="inlineStr">
        <is>
          <t>Archmelee</t>
        </is>
      </c>
      <c r="AO759" t="n">
        <v>620</v>
      </c>
      <c r="AP759" t="n">
        <v>29946</v>
      </c>
      <c r="AQ759" t="n">
        <v>9</v>
      </c>
      <c r="AS759" t="inlineStr">
        <is>
          <t>Yes</t>
        </is>
      </c>
    </row>
    <row r="760">
      <c r="A760" t="inlineStr">
        <is>
          <t>Mod</t>
        </is>
      </c>
      <c r="B760" t="inlineStr">
        <is>
          <t>Gladiator Aegis</t>
        </is>
      </c>
      <c r="E760" t="inlineStr">
        <is>
          <t>Warframe</t>
        </is>
      </c>
      <c r="F760" t="n">
        <v>5</v>
      </c>
      <c r="G760" t="n">
        <v>1</v>
      </c>
      <c r="H760" t="inlineStr">
        <is>
          <t>Player trade (max rank)</t>
        </is>
      </c>
      <c r="I760" t="inlineStr">
        <is>
          <t>Yes</t>
        </is>
      </c>
      <c r="K760" t="inlineStr">
        <is>
          <t>Collection</t>
        </is>
      </c>
      <c r="L760" t="n">
        <v>10</v>
      </c>
      <c r="M760" t="n">
        <v>15</v>
      </c>
      <c r="N760" t="n">
        <v>33</v>
      </c>
      <c r="O760" t="inlineStr">
        <is>
          <t>2026-10-05 UTC (WFM pull 02:52-04:00)</t>
        </is>
      </c>
      <c r="P760" t="inlineStr">
        <is>
          <t>OK</t>
        </is>
      </c>
      <c r="R760" t="inlineStr">
        <is>
          <t>Every current tradeable mod at MAX RANK (WFM catalogue, rivens/locators excluded)</t>
        </is>
      </c>
      <c r="S760" t="inlineStr">
        <is>
          <t>gladiator_aegis</t>
        </is>
      </c>
      <c r="T760" t="n">
        <v>8</v>
      </c>
      <c r="U760" t="n">
        <v>8</v>
      </c>
      <c r="V760" t="n">
        <v>10</v>
      </c>
      <c r="W760" t="n">
        <v>9</v>
      </c>
      <c r="X760" t="n">
        <v>8.800000000000001</v>
      </c>
      <c r="Y760" t="n">
        <v>65</v>
      </c>
      <c r="Z760" t="n">
        <v>0</v>
      </c>
      <c r="AN760" t="inlineStr">
        <is>
          <t>Warframe</t>
        </is>
      </c>
      <c r="AO760" t="n">
        <v>310</v>
      </c>
      <c r="AP760" t="n">
        <v>14973</v>
      </c>
      <c r="AQ760" t="n">
        <v>4</v>
      </c>
      <c r="AS760" t="inlineStr">
        <is>
          <t>Yes</t>
        </is>
      </c>
    </row>
    <row r="761">
      <c r="A761" t="inlineStr">
        <is>
          <t>Mod</t>
        </is>
      </c>
      <c r="B761" t="inlineStr">
        <is>
          <t>Gladiator Finesse</t>
        </is>
      </c>
      <c r="E761" t="inlineStr">
        <is>
          <t>Warframe</t>
        </is>
      </c>
      <c r="F761" t="n">
        <v>5</v>
      </c>
      <c r="G761" t="n">
        <v>1</v>
      </c>
      <c r="H761" t="inlineStr">
        <is>
          <t>Player trade (max rank)</t>
        </is>
      </c>
      <c r="I761" t="inlineStr">
        <is>
          <t>Yes</t>
        </is>
      </c>
      <c r="K761" t="inlineStr">
        <is>
          <t>Collection</t>
        </is>
      </c>
      <c r="L761" t="n">
        <v>9</v>
      </c>
      <c r="M761" t="n">
        <v>10</v>
      </c>
      <c r="N761" t="n">
        <v>16</v>
      </c>
      <c r="O761" t="inlineStr">
        <is>
          <t>2026-10-05 UTC (WFM pull 02:52-04:00)</t>
        </is>
      </c>
      <c r="P761" t="inlineStr">
        <is>
          <t>OK</t>
        </is>
      </c>
      <c r="R761" t="inlineStr">
        <is>
          <t>Every current tradeable mod at MAX RANK (WFM catalogue, rivens/locators excluded)</t>
        </is>
      </c>
      <c r="S761" t="inlineStr">
        <is>
          <t>gladiator_finesse</t>
        </is>
      </c>
      <c r="T761" t="n">
        <v>12</v>
      </c>
      <c r="U761" t="n">
        <v>12</v>
      </c>
      <c r="V761" t="n">
        <v>8</v>
      </c>
      <c r="W761" t="n">
        <v>10</v>
      </c>
      <c r="X761" t="n">
        <v>9.6</v>
      </c>
      <c r="Y761" t="n">
        <v>101</v>
      </c>
      <c r="Z761" t="n">
        <v>0</v>
      </c>
      <c r="AN761" t="inlineStr">
        <is>
          <t>Warframe</t>
        </is>
      </c>
      <c r="AO761" t="n">
        <v>930</v>
      </c>
      <c r="AP761" t="n">
        <v>44919</v>
      </c>
      <c r="AQ761" t="n">
        <v>3</v>
      </c>
      <c r="AS761" t="inlineStr">
        <is>
          <t>Yes</t>
        </is>
      </c>
    </row>
    <row r="762">
      <c r="A762" t="inlineStr">
        <is>
          <t>Mod</t>
        </is>
      </c>
      <c r="B762" t="inlineStr">
        <is>
          <t>Gladiator Might</t>
        </is>
      </c>
      <c r="E762" t="inlineStr">
        <is>
          <t>Melee</t>
        </is>
      </c>
      <c r="F762" t="n">
        <v>5</v>
      </c>
      <c r="G762" t="n">
        <v>1</v>
      </c>
      <c r="H762" t="inlineStr">
        <is>
          <t>Player trade (max rank)</t>
        </is>
      </c>
      <c r="I762" t="inlineStr">
        <is>
          <t>Yes</t>
        </is>
      </c>
      <c r="K762" t="inlineStr">
        <is>
          <t>Collection</t>
        </is>
      </c>
      <c r="L762" t="n">
        <v>28</v>
      </c>
      <c r="M762" t="n">
        <v>30</v>
      </c>
      <c r="N762" t="n">
        <v>44</v>
      </c>
      <c r="O762" t="inlineStr">
        <is>
          <t>2026-10-05 UTC (WFM pull 02:52-04:00)</t>
        </is>
      </c>
      <c r="P762" t="inlineStr">
        <is>
          <t>OK</t>
        </is>
      </c>
      <c r="R762" t="inlineStr">
        <is>
          <t>Every current tradeable mod at MAX RANK (WFM catalogue, rivens/locators excluded)</t>
        </is>
      </c>
      <c r="S762" t="inlineStr">
        <is>
          <t>gladiator_might</t>
        </is>
      </c>
      <c r="T762" t="n">
        <v>11</v>
      </c>
      <c r="U762" t="n">
        <v>11</v>
      </c>
      <c r="V762" t="n">
        <v>20</v>
      </c>
      <c r="W762" t="n">
        <v>20</v>
      </c>
      <c r="X762" t="n">
        <v>20.3</v>
      </c>
      <c r="Y762" t="n">
        <v>1578</v>
      </c>
      <c r="Z762" t="n">
        <v>24</v>
      </c>
      <c r="AN762" t="inlineStr">
        <is>
          <t>Melee</t>
        </is>
      </c>
      <c r="AO762" t="n">
        <v>620</v>
      </c>
      <c r="AP762" t="n">
        <v>29946</v>
      </c>
      <c r="AQ762" t="n">
        <v>20</v>
      </c>
      <c r="AS762" t="inlineStr">
        <is>
          <t>Yes</t>
        </is>
      </c>
    </row>
    <row r="763">
      <c r="A763" t="inlineStr">
        <is>
          <t>Mod</t>
        </is>
      </c>
      <c r="B763" t="inlineStr">
        <is>
          <t>Gladiator Resolve</t>
        </is>
      </c>
      <c r="E763" t="inlineStr">
        <is>
          <t>Warframe</t>
        </is>
      </c>
      <c r="F763" t="n">
        <v>5</v>
      </c>
      <c r="G763" t="n">
        <v>1</v>
      </c>
      <c r="H763" t="inlineStr">
        <is>
          <t>Player trade (max rank)</t>
        </is>
      </c>
      <c r="I763" t="inlineStr">
        <is>
          <t>Yes</t>
        </is>
      </c>
      <c r="K763" t="inlineStr">
        <is>
          <t>Collection</t>
        </is>
      </c>
      <c r="L763" t="n">
        <v>15</v>
      </c>
      <c r="M763" t="n">
        <v>15</v>
      </c>
      <c r="N763" t="n">
        <v>33</v>
      </c>
      <c r="O763" t="inlineStr">
        <is>
          <t>2026-10-05 UTC (WFM pull 02:52-04:00)</t>
        </is>
      </c>
      <c r="P763" t="inlineStr">
        <is>
          <t>OK</t>
        </is>
      </c>
      <c r="R763" t="inlineStr">
        <is>
          <t>Every current tradeable mod at MAX RANK (WFM catalogue, rivens/locators excluded)</t>
        </is>
      </c>
      <c r="S763" t="inlineStr">
        <is>
          <t>gladiator_resolve</t>
        </is>
      </c>
      <c r="T763" t="n">
        <v>6</v>
      </c>
      <c r="U763" t="n">
        <v>6</v>
      </c>
      <c r="V763" t="n">
        <v>10</v>
      </c>
      <c r="W763" t="n">
        <v>10</v>
      </c>
      <c r="X763" t="n">
        <v>10.4</v>
      </c>
      <c r="Y763" t="n">
        <v>241</v>
      </c>
      <c r="Z763" t="n">
        <v>7</v>
      </c>
      <c r="AN763" t="inlineStr">
        <is>
          <t>Warframe</t>
        </is>
      </c>
      <c r="AO763" t="n">
        <v>620</v>
      </c>
      <c r="AP763" t="n">
        <v>29946</v>
      </c>
      <c r="AQ763" t="n">
        <v>7.5</v>
      </c>
      <c r="AS763" t="inlineStr">
        <is>
          <t>Yes</t>
        </is>
      </c>
    </row>
    <row r="764">
      <c r="A764" t="inlineStr">
        <is>
          <t>Mod</t>
        </is>
      </c>
      <c r="B764" t="inlineStr">
        <is>
          <t>Gladiator Rush</t>
        </is>
      </c>
      <c r="E764" t="inlineStr">
        <is>
          <t>Melee</t>
        </is>
      </c>
      <c r="F764" t="n">
        <v>5</v>
      </c>
      <c r="G764" t="n">
        <v>1</v>
      </c>
      <c r="H764" t="inlineStr">
        <is>
          <t>Player trade (max rank)</t>
        </is>
      </c>
      <c r="I764" t="inlineStr">
        <is>
          <t>Yes</t>
        </is>
      </c>
      <c r="K764" t="inlineStr">
        <is>
          <t>Collection</t>
        </is>
      </c>
      <c r="L764" t="n">
        <v>10</v>
      </c>
      <c r="M764" t="n">
        <v>15</v>
      </c>
      <c r="N764" t="n">
        <v>28</v>
      </c>
      <c r="O764" t="inlineStr">
        <is>
          <t>2026-10-05 UTC (WFM pull 02:52-04:00)</t>
        </is>
      </c>
      <c r="P764" t="inlineStr">
        <is>
          <t>OK</t>
        </is>
      </c>
      <c r="R764" t="inlineStr">
        <is>
          <t>Every current tradeable mod at MAX RANK (WFM catalogue, rivens/locators excluded)</t>
        </is>
      </c>
      <c r="S764" t="inlineStr">
        <is>
          <t>gladiator_rush</t>
        </is>
      </c>
      <c r="T764" t="n">
        <v>10</v>
      </c>
      <c r="U764" t="n">
        <v>10</v>
      </c>
      <c r="V764" t="n">
        <v>10</v>
      </c>
      <c r="W764" t="n">
        <v>9</v>
      </c>
      <c r="X764" t="n">
        <v>9.300000000000001</v>
      </c>
      <c r="Y764" t="n">
        <v>109</v>
      </c>
      <c r="Z764" t="n">
        <v>2</v>
      </c>
      <c r="AN764" t="inlineStr">
        <is>
          <t>Melee</t>
        </is>
      </c>
      <c r="AO764" t="n">
        <v>310</v>
      </c>
      <c r="AP764" t="n">
        <v>14973</v>
      </c>
      <c r="AQ764" t="n">
        <v>5</v>
      </c>
      <c r="AS764" t="inlineStr">
        <is>
          <t>Yes</t>
        </is>
      </c>
    </row>
    <row r="765">
      <c r="A765" t="inlineStr">
        <is>
          <t>Mod</t>
        </is>
      </c>
      <c r="B765" t="inlineStr">
        <is>
          <t>Gladiator Vice</t>
        </is>
      </c>
      <c r="E765" t="inlineStr">
        <is>
          <t>Melee</t>
        </is>
      </c>
      <c r="F765" t="n">
        <v>5</v>
      </c>
      <c r="G765" t="n">
        <v>1</v>
      </c>
      <c r="H765" t="inlineStr">
        <is>
          <t>Player trade (max rank)</t>
        </is>
      </c>
      <c r="I765" t="inlineStr">
        <is>
          <t>Yes</t>
        </is>
      </c>
      <c r="K765" t="inlineStr">
        <is>
          <t>Collection</t>
        </is>
      </c>
      <c r="L765" t="n">
        <v>14</v>
      </c>
      <c r="M765" t="n">
        <v>15</v>
      </c>
      <c r="N765" t="n">
        <v>21</v>
      </c>
      <c r="O765" t="inlineStr">
        <is>
          <t>2026-10-05 UTC (WFM pull 02:52-04:00)</t>
        </is>
      </c>
      <c r="P765" t="inlineStr">
        <is>
          <t>OK</t>
        </is>
      </c>
      <c r="R765" t="inlineStr">
        <is>
          <t>Every current tradeable mod at MAX RANK (WFM catalogue, rivens/locators excluded)</t>
        </is>
      </c>
      <c r="S765" t="inlineStr">
        <is>
          <t>gladiator_vice</t>
        </is>
      </c>
      <c r="T765" t="n">
        <v>14</v>
      </c>
      <c r="U765" t="n">
        <v>14</v>
      </c>
      <c r="V765" t="n">
        <v>10</v>
      </c>
      <c r="W765" t="n">
        <v>12</v>
      </c>
      <c r="X765" t="n">
        <v>11.8</v>
      </c>
      <c r="Y765" t="n">
        <v>299</v>
      </c>
      <c r="Z765" t="n">
        <v>6</v>
      </c>
      <c r="AN765" t="inlineStr">
        <is>
          <t>Melee</t>
        </is>
      </c>
      <c r="AO765" t="n">
        <v>930</v>
      </c>
      <c r="AP765" t="n">
        <v>44919</v>
      </c>
      <c r="AQ765" t="n">
        <v>9</v>
      </c>
      <c r="AS765" t="inlineStr">
        <is>
          <t>Yes</t>
        </is>
      </c>
    </row>
    <row r="766">
      <c r="A766" t="inlineStr">
        <is>
          <t>Mod</t>
        </is>
      </c>
      <c r="B766" t="inlineStr">
        <is>
          <t>Gleaming Blight</t>
        </is>
      </c>
      <c r="E766" t="inlineStr">
        <is>
          <t>Augment Dark Dagger</t>
        </is>
      </c>
      <c r="F766" t="n">
        <v>3</v>
      </c>
      <c r="G766" t="n">
        <v>1</v>
      </c>
      <c r="H766" t="inlineStr">
        <is>
          <t>Player trade (max rank)</t>
        </is>
      </c>
      <c r="I766" t="inlineStr">
        <is>
          <t>Yes</t>
        </is>
      </c>
      <c r="K766" t="inlineStr">
        <is>
          <t>Collection</t>
        </is>
      </c>
      <c r="L766" t="n">
        <v>15</v>
      </c>
      <c r="M766" t="n">
        <v>22.5</v>
      </c>
      <c r="N766" t="n">
        <v>50</v>
      </c>
      <c r="O766" t="inlineStr">
        <is>
          <t>2026-10-05 UTC (WFM pull 02:52-04:00)</t>
        </is>
      </c>
      <c r="P766" t="inlineStr">
        <is>
          <t>OK</t>
        </is>
      </c>
      <c r="R766" t="inlineStr">
        <is>
          <t>Every current tradeable mod at MAX RANK (WFM catalogue, rivens/locators excluded)</t>
        </is>
      </c>
      <c r="S766" t="inlineStr">
        <is>
          <t>gleaming_blight</t>
        </is>
      </c>
      <c r="T766" t="n">
        <v>5</v>
      </c>
      <c r="U766" t="n">
        <v>5</v>
      </c>
      <c r="V766" t="n">
        <v>15</v>
      </c>
      <c r="W766" t="n">
        <v>10</v>
      </c>
      <c r="X766" t="n">
        <v>13.6</v>
      </c>
      <c r="Y766" t="n">
        <v>29</v>
      </c>
      <c r="Z766" t="n">
        <v>1</v>
      </c>
      <c r="AN766" t="inlineStr">
        <is>
          <t>Augment Dark Dagger</t>
        </is>
      </c>
      <c r="AO766" t="n">
        <v>210</v>
      </c>
      <c r="AP766" t="n">
        <v>10143</v>
      </c>
      <c r="AQ766" t="n">
        <v>10</v>
      </c>
      <c r="AS766" t="inlineStr">
        <is>
          <t>Yes</t>
        </is>
      </c>
    </row>
    <row r="767">
      <c r="A767" t="inlineStr">
        <is>
          <t>Mod</t>
        </is>
      </c>
      <c r="B767" t="inlineStr">
        <is>
          <t>Gleaming Talon</t>
        </is>
      </c>
      <c r="E767" t="inlineStr">
        <is>
          <t>Stance</t>
        </is>
      </c>
      <c r="F767" t="n">
        <v>3</v>
      </c>
      <c r="G767" t="n">
        <v>1</v>
      </c>
      <c r="H767" t="inlineStr">
        <is>
          <t>Player trade (max rank)</t>
        </is>
      </c>
      <c r="I767" t="inlineStr">
        <is>
          <t>Yes</t>
        </is>
      </c>
      <c r="K767" t="inlineStr">
        <is>
          <t>Collection</t>
        </is>
      </c>
      <c r="L767" t="n">
        <v>10</v>
      </c>
      <c r="M767" t="n">
        <v>10</v>
      </c>
      <c r="N767" t="n">
        <v>17</v>
      </c>
      <c r="O767" t="inlineStr">
        <is>
          <t>2026-10-05 UTC (WFM pull 02:52-04:00)</t>
        </is>
      </c>
      <c r="P767" t="inlineStr">
        <is>
          <t>OK</t>
        </is>
      </c>
      <c r="R767" t="inlineStr">
        <is>
          <t>Every current tradeable mod at MAX RANK (WFM catalogue, rivens/locators excluded)</t>
        </is>
      </c>
      <c r="S767" t="inlineStr">
        <is>
          <t>gleaming_talon</t>
        </is>
      </c>
      <c r="T767" t="n">
        <v>76</v>
      </c>
      <c r="U767" t="n">
        <v>2</v>
      </c>
      <c r="V767" t="n">
        <v>15</v>
      </c>
      <c r="W767" t="n">
        <v>14</v>
      </c>
      <c r="X767" t="n">
        <v>13.7</v>
      </c>
      <c r="Y767" t="n">
        <v>278</v>
      </c>
      <c r="Z767" t="n">
        <v>9</v>
      </c>
      <c r="AN767" t="inlineStr">
        <is>
          <t>Stance</t>
        </is>
      </c>
      <c r="AO767" t="n">
        <v>210</v>
      </c>
      <c r="AP767" t="n">
        <v>10143</v>
      </c>
      <c r="AQ767" t="n">
        <v>9</v>
      </c>
      <c r="AS767" t="inlineStr">
        <is>
          <t>Yes</t>
        </is>
      </c>
    </row>
    <row r="768">
      <c r="A768" t="inlineStr">
        <is>
          <t>Mod</t>
        </is>
      </c>
      <c r="B768" t="inlineStr">
        <is>
          <t>Gnashing Payara</t>
        </is>
      </c>
      <c r="E768" t="inlineStr">
        <is>
          <t>Stance</t>
        </is>
      </c>
      <c r="F768" t="n">
        <v>3</v>
      </c>
      <c r="G768" t="n">
        <v>1</v>
      </c>
      <c r="H768" t="inlineStr">
        <is>
          <t>Player trade (max rank)</t>
        </is>
      </c>
      <c r="I768" t="inlineStr">
        <is>
          <t>Yes</t>
        </is>
      </c>
      <c r="K768" t="inlineStr">
        <is>
          <t>Collection</t>
        </is>
      </c>
      <c r="L768" t="n">
        <v>9</v>
      </c>
      <c r="M768" t="n">
        <v>10</v>
      </c>
      <c r="N768" t="n">
        <v>22</v>
      </c>
      <c r="O768" t="inlineStr">
        <is>
          <t>2026-10-05 UTC (WFM pull 02:52-04:00)</t>
        </is>
      </c>
      <c r="P768" t="inlineStr">
        <is>
          <t>OK</t>
        </is>
      </c>
      <c r="R768" t="inlineStr">
        <is>
          <t>Every current tradeable mod at MAX RANK (WFM catalogue, rivens/locators excluded)</t>
        </is>
      </c>
      <c r="S768" t="inlineStr">
        <is>
          <t>gnashing_payara</t>
        </is>
      </c>
      <c r="T768" t="n">
        <v>5</v>
      </c>
      <c r="U768" t="n">
        <v>5</v>
      </c>
      <c r="V768" t="n">
        <v>9</v>
      </c>
      <c r="W768" t="n">
        <v>9</v>
      </c>
      <c r="X768" t="n">
        <v>8.5</v>
      </c>
      <c r="Y768" t="n">
        <v>93</v>
      </c>
      <c r="Z768" t="n">
        <v>1</v>
      </c>
      <c r="AN768" t="inlineStr">
        <is>
          <t>Stance</t>
        </is>
      </c>
      <c r="AO768" t="n">
        <v>210</v>
      </c>
      <c r="AP768" t="n">
        <v>10143</v>
      </c>
      <c r="AQ768" t="n">
        <v>5</v>
      </c>
      <c r="AS768" t="inlineStr">
        <is>
          <t>Yes</t>
        </is>
      </c>
    </row>
    <row r="769">
      <c r="A769" t="inlineStr">
        <is>
          <t>Mod</t>
        </is>
      </c>
      <c r="B769" t="inlineStr">
        <is>
          <t>Gorgon Frenzy</t>
        </is>
      </c>
      <c r="E769" t="inlineStr">
        <is>
          <t>Conclave (PvP)</t>
        </is>
      </c>
      <c r="F769" t="n">
        <v>3</v>
      </c>
      <c r="G769" t="n">
        <v>1</v>
      </c>
      <c r="H769" t="inlineStr">
        <is>
          <t>Player trade (max rank)</t>
        </is>
      </c>
      <c r="I769" t="inlineStr">
        <is>
          <t>Yes</t>
        </is>
      </c>
      <c r="K769" t="inlineStr">
        <is>
          <t>Collection (PvP)</t>
        </is>
      </c>
      <c r="L769" t="n">
        <v>20</v>
      </c>
      <c r="M769" t="n">
        <v>30</v>
      </c>
      <c r="N769" t="n">
        <v>56</v>
      </c>
      <c r="O769" t="inlineStr">
        <is>
          <t>2026-10-05 UTC (WFM pull 02:52-04:00)</t>
        </is>
      </c>
      <c r="P769" t="inlineStr">
        <is>
          <t>OK</t>
        </is>
      </c>
      <c r="R769" t="inlineStr">
        <is>
          <t>Every current tradeable mod at MAX RANK (WFM catalogue, rivens/locators excluded)</t>
        </is>
      </c>
      <c r="S769" t="inlineStr">
        <is>
          <t>gorgon_frenzy</t>
        </is>
      </c>
      <c r="T769" t="n">
        <v>13</v>
      </c>
      <c r="U769" t="n">
        <v>1</v>
      </c>
      <c r="W769" t="n">
        <v>50</v>
      </c>
      <c r="X769" t="n">
        <v>50</v>
      </c>
      <c r="Y769" t="n">
        <v>1</v>
      </c>
      <c r="Z769" t="n">
        <v>0</v>
      </c>
      <c r="AN769" t="inlineStr">
        <is>
          <t>Conclave (PvP)</t>
        </is>
      </c>
      <c r="AO769" t="n">
        <v>210</v>
      </c>
      <c r="AP769" t="n">
        <v>10143</v>
      </c>
      <c r="AQ769" t="n">
        <v>10</v>
      </c>
      <c r="AS769" t="inlineStr">
        <is>
          <t>PvP subtotal</t>
        </is>
      </c>
    </row>
    <row r="770">
      <c r="A770" t="inlineStr">
        <is>
          <t>Mod</t>
        </is>
      </c>
      <c r="B770" t="inlineStr">
        <is>
          <t>Gourmand</t>
        </is>
      </c>
      <c r="E770" t="inlineStr">
        <is>
          <t>Augment Grendel</t>
        </is>
      </c>
      <c r="F770" t="n">
        <v>3</v>
      </c>
      <c r="G770" t="n">
        <v>1</v>
      </c>
      <c r="H770" t="inlineStr">
        <is>
          <t>Player trade (max rank)</t>
        </is>
      </c>
      <c r="I770" t="inlineStr">
        <is>
          <t>Yes</t>
        </is>
      </c>
      <c r="K770" t="inlineStr">
        <is>
          <t>Collection</t>
        </is>
      </c>
      <c r="L770" t="n">
        <v>10</v>
      </c>
      <c r="M770" t="n">
        <v>12</v>
      </c>
      <c r="N770" t="n">
        <v>14</v>
      </c>
      <c r="O770" t="inlineStr">
        <is>
          <t>2026-10-05 UTC (WFM pull 02:52-04:00)</t>
        </is>
      </c>
      <c r="P770" t="inlineStr">
        <is>
          <t>OK</t>
        </is>
      </c>
      <c r="R770" t="inlineStr">
        <is>
          <t>Every current tradeable mod at MAX RANK (WFM catalogue, rivens/locators excluded)</t>
        </is>
      </c>
      <c r="S770" t="inlineStr">
        <is>
          <t>gourmand</t>
        </is>
      </c>
      <c r="T770" t="n">
        <v>75</v>
      </c>
      <c r="U770" t="n">
        <v>1</v>
      </c>
      <c r="V770" t="n">
        <v>12.5</v>
      </c>
      <c r="W770" t="n">
        <v>11.5</v>
      </c>
      <c r="X770" t="n">
        <v>12.3</v>
      </c>
      <c r="Y770" t="n">
        <v>30</v>
      </c>
      <c r="Z770" t="n">
        <v>1</v>
      </c>
      <c r="AN770" t="inlineStr">
        <is>
          <t>Augment Grendel</t>
        </is>
      </c>
      <c r="AO770" t="n">
        <v>210</v>
      </c>
      <c r="AP770" t="n">
        <v>10143</v>
      </c>
      <c r="AQ770" t="n">
        <v>12</v>
      </c>
      <c r="AS770" t="inlineStr">
        <is>
          <t>Yes</t>
        </is>
      </c>
    </row>
    <row r="771">
      <c r="A771" t="inlineStr">
        <is>
          <t>Mod</t>
        </is>
      </c>
      <c r="B771" t="inlineStr">
        <is>
          <t>Granum's Nemesis</t>
        </is>
      </c>
      <c r="E771" t="inlineStr">
        <is>
          <t>Plexus</t>
        </is>
      </c>
      <c r="F771" t="n">
        <v>5</v>
      </c>
      <c r="G771" t="n">
        <v>1</v>
      </c>
      <c r="H771" t="inlineStr">
        <is>
          <t>Player trade (max rank)</t>
        </is>
      </c>
      <c r="I771" t="inlineStr">
        <is>
          <t>Yes</t>
        </is>
      </c>
      <c r="K771" t="inlineStr">
        <is>
          <t>Collection</t>
        </is>
      </c>
      <c r="L771" t="n">
        <v>4</v>
      </c>
      <c r="M771" t="n">
        <v>10</v>
      </c>
      <c r="N771" t="n">
        <v>17</v>
      </c>
      <c r="O771" t="inlineStr">
        <is>
          <t>2026-10-05 UTC (WFM pull 02:52-04:00)</t>
        </is>
      </c>
      <c r="P771" t="inlineStr">
        <is>
          <t>OK</t>
        </is>
      </c>
      <c r="R771" t="inlineStr">
        <is>
          <t>Every current tradeable mod at MAX RANK (WFM catalogue, rivens/locators excluded)</t>
        </is>
      </c>
      <c r="S771" t="inlineStr">
        <is>
          <t>granums_nemesis</t>
        </is>
      </c>
      <c r="T771" t="n">
        <v>65</v>
      </c>
      <c r="U771" t="n">
        <v>1</v>
      </c>
      <c r="V771" t="n">
        <v>15</v>
      </c>
      <c r="W771" t="n">
        <v>10</v>
      </c>
      <c r="X771" t="n">
        <v>12.9</v>
      </c>
      <c r="Y771" t="n">
        <v>10</v>
      </c>
      <c r="Z771" t="n">
        <v>0</v>
      </c>
      <c r="AN771" t="inlineStr">
        <is>
          <t>Plexus</t>
        </is>
      </c>
      <c r="AO771" t="n">
        <v>930</v>
      </c>
      <c r="AP771" t="n">
        <v>44919</v>
      </c>
      <c r="AQ771" t="n">
        <v>3.8</v>
      </c>
      <c r="AS771" t="inlineStr">
        <is>
          <t>Yes</t>
        </is>
      </c>
    </row>
    <row r="772">
      <c r="A772" t="inlineStr">
        <is>
          <t>Mod</t>
        </is>
      </c>
      <c r="B772" t="inlineStr">
        <is>
          <t>Greedy Pull</t>
        </is>
      </c>
      <c r="E772" t="inlineStr">
        <is>
          <t>Augment Mag</t>
        </is>
      </c>
      <c r="F772" t="n">
        <v>3</v>
      </c>
      <c r="G772" t="n">
        <v>1</v>
      </c>
      <c r="H772" t="inlineStr">
        <is>
          <t>Player trade (max rank)</t>
        </is>
      </c>
      <c r="I772" t="inlineStr">
        <is>
          <t>Yes</t>
        </is>
      </c>
      <c r="K772" t="inlineStr">
        <is>
          <t>Collection</t>
        </is>
      </c>
      <c r="L772" t="n">
        <v>14</v>
      </c>
      <c r="M772" t="n">
        <v>20</v>
      </c>
      <c r="N772" t="n">
        <v>27</v>
      </c>
      <c r="O772" t="inlineStr">
        <is>
          <t>2026-10-05 UTC (WFM pull 02:52-04:00)</t>
        </is>
      </c>
      <c r="P772" t="inlineStr">
        <is>
          <t>OK</t>
        </is>
      </c>
      <c r="R772" t="inlineStr">
        <is>
          <t>Every current tradeable mod at MAX RANK (WFM catalogue, rivens/locators excluded)</t>
        </is>
      </c>
      <c r="S772" t="inlineStr">
        <is>
          <t>greedy_pull</t>
        </is>
      </c>
      <c r="T772" t="n">
        <v>8</v>
      </c>
      <c r="U772" t="n">
        <v>8</v>
      </c>
      <c r="V772" t="n">
        <v>14.5</v>
      </c>
      <c r="W772" t="n">
        <v>15</v>
      </c>
      <c r="X772" t="n">
        <v>17.2</v>
      </c>
      <c r="Y772" t="n">
        <v>306</v>
      </c>
      <c r="Z772" t="n">
        <v>12</v>
      </c>
      <c r="AN772" t="inlineStr">
        <is>
          <t>Augment Mag</t>
        </is>
      </c>
      <c r="AO772" t="n">
        <v>210</v>
      </c>
      <c r="AP772" t="n">
        <v>10143</v>
      </c>
      <c r="AQ772" t="n">
        <v>14</v>
      </c>
      <c r="AS772" t="inlineStr">
        <is>
          <t>Yes</t>
        </is>
      </c>
    </row>
    <row r="773">
      <c r="A773" t="inlineStr">
        <is>
          <t>Mod</t>
        </is>
      </c>
      <c r="B773" t="inlineStr">
        <is>
          <t>Grim Fury</t>
        </is>
      </c>
      <c r="E773" t="inlineStr">
        <is>
          <t>Stance</t>
        </is>
      </c>
      <c r="F773" t="n">
        <v>3</v>
      </c>
      <c r="G773" t="n">
        <v>1</v>
      </c>
      <c r="H773" t="inlineStr">
        <is>
          <t>Player trade (max rank)</t>
        </is>
      </c>
      <c r="I773" t="inlineStr">
        <is>
          <t>Yes</t>
        </is>
      </c>
      <c r="K773" t="inlineStr">
        <is>
          <t>Collection</t>
        </is>
      </c>
      <c r="L773" t="n">
        <v>8</v>
      </c>
      <c r="M773" t="n">
        <v>20</v>
      </c>
      <c r="N773" t="n">
        <v>33</v>
      </c>
      <c r="O773" t="inlineStr">
        <is>
          <t>2026-10-05 UTC (WFM pull 02:52-04:00)</t>
        </is>
      </c>
      <c r="P773" t="inlineStr">
        <is>
          <t>OK</t>
        </is>
      </c>
      <c r="R773" t="inlineStr">
        <is>
          <t>Every current tradeable mod at MAX RANK (WFM catalogue, rivens/locators excluded)</t>
        </is>
      </c>
      <c r="S773" t="inlineStr">
        <is>
          <t>grim_fury</t>
        </is>
      </c>
      <c r="T773" t="n">
        <v>5</v>
      </c>
      <c r="U773" t="n">
        <v>5</v>
      </c>
      <c r="V773" t="n">
        <v>15</v>
      </c>
      <c r="W773" t="n">
        <v>10</v>
      </c>
      <c r="X773" t="n">
        <v>9.9</v>
      </c>
      <c r="Y773" t="n">
        <v>12</v>
      </c>
      <c r="Z773" t="n">
        <v>1</v>
      </c>
      <c r="AN773" t="inlineStr">
        <is>
          <t>Stance</t>
        </is>
      </c>
      <c r="AO773" t="n">
        <v>140</v>
      </c>
      <c r="AP773" t="n">
        <v>6762</v>
      </c>
      <c r="AQ773" t="n">
        <v>3</v>
      </c>
      <c r="AS773" t="inlineStr">
        <is>
          <t>Yes</t>
        </is>
      </c>
    </row>
    <row r="774">
      <c r="A774" t="inlineStr">
        <is>
          <t>Mod</t>
        </is>
      </c>
      <c r="B774" t="inlineStr">
        <is>
          <t>Grinloked</t>
        </is>
      </c>
      <c r="E774" t="inlineStr">
        <is>
          <t>Conclave (PvP)</t>
        </is>
      </c>
      <c r="F774" t="n">
        <v>3</v>
      </c>
      <c r="G774" t="n">
        <v>1</v>
      </c>
      <c r="H774" t="inlineStr">
        <is>
          <t>Player trade (max rank)</t>
        </is>
      </c>
      <c r="I774" t="inlineStr">
        <is>
          <t>Yes</t>
        </is>
      </c>
      <c r="K774" t="inlineStr">
        <is>
          <t>Collection (PvP)</t>
        </is>
      </c>
      <c r="L774" t="n">
        <v>10</v>
      </c>
      <c r="M774" t="n">
        <v>25</v>
      </c>
      <c r="N774" t="n">
        <v>33</v>
      </c>
      <c r="O774" t="inlineStr">
        <is>
          <t>2026-10-05 UTC (WFM pull 02:52-04:00)</t>
        </is>
      </c>
      <c r="P774" t="inlineStr">
        <is>
          <t>OK</t>
        </is>
      </c>
      <c r="R774" t="inlineStr">
        <is>
          <t>Every current tradeable mod at MAX RANK (WFM catalogue, rivens/locators excluded)</t>
        </is>
      </c>
      <c r="S774" t="inlineStr">
        <is>
          <t>grinloked</t>
        </is>
      </c>
      <c r="T774" t="n">
        <v>13</v>
      </c>
      <c r="U774" t="n">
        <v>0</v>
      </c>
      <c r="Y774" t="n">
        <v>0</v>
      </c>
      <c r="Z774" t="n">
        <v>0</v>
      </c>
      <c r="AN774" t="inlineStr">
        <is>
          <t>Conclave (PvP)</t>
        </is>
      </c>
      <c r="AO774" t="n">
        <v>210</v>
      </c>
      <c r="AP774" t="n">
        <v>10143</v>
      </c>
      <c r="AQ774" t="n">
        <v>15</v>
      </c>
      <c r="AS774" t="inlineStr">
        <is>
          <t>PvP subtotal</t>
        </is>
      </c>
    </row>
    <row r="775">
      <c r="A775" t="inlineStr">
        <is>
          <t>Mod</t>
        </is>
      </c>
      <c r="B775" t="inlineStr">
        <is>
          <t>Growing Power</t>
        </is>
      </c>
      <c r="E775" t="inlineStr">
        <is>
          <t>Aura</t>
        </is>
      </c>
      <c r="F775" t="n">
        <v>5</v>
      </c>
      <c r="G775" t="n">
        <v>1</v>
      </c>
      <c r="H775" t="inlineStr">
        <is>
          <t>Player trade (max rank)</t>
        </is>
      </c>
      <c r="I775" t="inlineStr">
        <is>
          <t>Yes</t>
        </is>
      </c>
      <c r="K775" t="inlineStr">
        <is>
          <t>Collection</t>
        </is>
      </c>
      <c r="L775" t="n">
        <v>35</v>
      </c>
      <c r="M775" t="n">
        <v>49.5</v>
      </c>
      <c r="N775" t="n">
        <v>100</v>
      </c>
      <c r="O775" t="inlineStr">
        <is>
          <t>2026-10-05 UTC (WFM pull 02:52-04:00)</t>
        </is>
      </c>
      <c r="P775" t="inlineStr">
        <is>
          <t>OK</t>
        </is>
      </c>
      <c r="R775" t="inlineStr">
        <is>
          <t>Every current tradeable mod at MAX RANK (WFM catalogue, rivens/locators excluded)</t>
        </is>
      </c>
      <c r="S775" t="inlineStr">
        <is>
          <t>growing_power</t>
        </is>
      </c>
      <c r="T775" t="n">
        <v>5</v>
      </c>
      <c r="U775" t="n">
        <v>5</v>
      </c>
      <c r="V775" t="n">
        <v>33</v>
      </c>
      <c r="W775" t="n">
        <v>33.5</v>
      </c>
      <c r="X775" t="n">
        <v>33.2</v>
      </c>
      <c r="Y775" t="n">
        <v>2897</v>
      </c>
      <c r="Z775" t="n">
        <v>40</v>
      </c>
      <c r="AA775" t="n">
        <v>20</v>
      </c>
      <c r="AB775" t="n">
        <v>15</v>
      </c>
      <c r="AN775" t="inlineStr">
        <is>
          <t>Aura</t>
        </is>
      </c>
      <c r="AO775" t="n">
        <v>930</v>
      </c>
      <c r="AP775" t="n">
        <v>44919</v>
      </c>
      <c r="AQ775" t="n">
        <v>29</v>
      </c>
      <c r="AS775" t="inlineStr">
        <is>
          <t>Yes</t>
        </is>
      </c>
    </row>
    <row r="776">
      <c r="A776" t="inlineStr">
        <is>
          <t>Mod</t>
        </is>
      </c>
      <c r="B776" t="inlineStr">
        <is>
          <t>Guardian</t>
        </is>
      </c>
      <c r="E776" t="inlineStr">
        <is>
          <t>Robotic</t>
        </is>
      </c>
      <c r="F776" t="n">
        <v>5</v>
      </c>
      <c r="G776" t="n">
        <v>1</v>
      </c>
      <c r="H776" t="inlineStr">
        <is>
          <t>Player trade (max rank)</t>
        </is>
      </c>
      <c r="I776" t="inlineStr">
        <is>
          <t>Yes</t>
        </is>
      </c>
      <c r="K776" t="inlineStr">
        <is>
          <t>Collection</t>
        </is>
      </c>
      <c r="L776" t="n">
        <v>12</v>
      </c>
      <c r="M776" t="n">
        <v>15</v>
      </c>
      <c r="N776" t="n">
        <v>33</v>
      </c>
      <c r="O776" t="inlineStr">
        <is>
          <t>2026-10-05 UTC (WFM pull 02:52-04:00)</t>
        </is>
      </c>
      <c r="P776" t="inlineStr">
        <is>
          <t>OK</t>
        </is>
      </c>
      <c r="R776" t="inlineStr">
        <is>
          <t>Every current tradeable mod at MAX RANK (WFM catalogue, rivens/locators excluded)</t>
        </is>
      </c>
      <c r="S776" t="inlineStr">
        <is>
          <t>guardian</t>
        </is>
      </c>
      <c r="T776" t="n">
        <v>5</v>
      </c>
      <c r="U776" t="n">
        <v>5</v>
      </c>
      <c r="V776" t="n">
        <v>10</v>
      </c>
      <c r="W776" t="n">
        <v>10</v>
      </c>
      <c r="X776" t="n">
        <v>10.7</v>
      </c>
      <c r="Y776" t="n">
        <v>32</v>
      </c>
      <c r="Z776" t="n">
        <v>1</v>
      </c>
      <c r="AN776" t="inlineStr">
        <is>
          <t>Robotic</t>
        </is>
      </c>
      <c r="AO776" t="n">
        <v>310</v>
      </c>
      <c r="AP776" t="n">
        <v>14973</v>
      </c>
      <c r="AQ776" t="n">
        <v>4</v>
      </c>
      <c r="AS776" t="inlineStr">
        <is>
          <t>Yes</t>
        </is>
      </c>
    </row>
    <row r="777">
      <c r="A777" t="inlineStr">
        <is>
          <t>Mod</t>
        </is>
      </c>
      <c r="B777" t="inlineStr">
        <is>
          <t>Guardian Armor</t>
        </is>
      </c>
      <c r="E777" t="inlineStr">
        <is>
          <t>Augment Chroma</t>
        </is>
      </c>
      <c r="F777" t="n">
        <v>3</v>
      </c>
      <c r="G777" t="n">
        <v>1</v>
      </c>
      <c r="H777" t="inlineStr">
        <is>
          <t>Player trade (max rank)</t>
        </is>
      </c>
      <c r="I777" t="inlineStr">
        <is>
          <t>Yes</t>
        </is>
      </c>
      <c r="K777" t="inlineStr">
        <is>
          <t>Collection</t>
        </is>
      </c>
      <c r="L777" t="n">
        <v>24</v>
      </c>
      <c r="M777" t="n">
        <v>30</v>
      </c>
      <c r="N777" t="n">
        <v>66</v>
      </c>
      <c r="O777" t="inlineStr">
        <is>
          <t>2026-10-05 UTC (WFM pull 02:52-04:00)</t>
        </is>
      </c>
      <c r="P777" t="inlineStr">
        <is>
          <t>OK</t>
        </is>
      </c>
      <c r="R777" t="inlineStr">
        <is>
          <t>Every current tradeable mod at MAX RANK (WFM catalogue, rivens/locators excluded)</t>
        </is>
      </c>
      <c r="S777" t="inlineStr">
        <is>
          <t>guardian_armor</t>
        </is>
      </c>
      <c r="T777" t="n">
        <v>5</v>
      </c>
      <c r="U777" t="n">
        <v>5</v>
      </c>
      <c r="V777" t="n">
        <v>20</v>
      </c>
      <c r="W777" t="n">
        <v>17.5</v>
      </c>
      <c r="X777" t="n">
        <v>18.2</v>
      </c>
      <c r="Y777" t="n">
        <v>181</v>
      </c>
      <c r="Z777" t="n">
        <v>2</v>
      </c>
      <c r="AN777" t="inlineStr">
        <is>
          <t>Augment Chroma</t>
        </is>
      </c>
      <c r="AO777" t="n">
        <v>210</v>
      </c>
      <c r="AP777" t="n">
        <v>10143</v>
      </c>
      <c r="AQ777" t="n">
        <v>21.8</v>
      </c>
      <c r="AS777" t="inlineStr">
        <is>
          <t>Yes</t>
        </is>
      </c>
    </row>
    <row r="778">
      <c r="A778" t="inlineStr">
        <is>
          <t>Mod</t>
        </is>
      </c>
      <c r="B778" t="inlineStr">
        <is>
          <t>Guardian Derision</t>
        </is>
      </c>
      <c r="E778" t="inlineStr">
        <is>
          <t>Melee</t>
        </is>
      </c>
      <c r="F778" t="n">
        <v>5</v>
      </c>
      <c r="G778" t="n">
        <v>1</v>
      </c>
      <c r="H778" t="inlineStr">
        <is>
          <t>Player trade (max rank)</t>
        </is>
      </c>
      <c r="I778" t="inlineStr">
        <is>
          <t>Yes</t>
        </is>
      </c>
      <c r="K778" t="inlineStr">
        <is>
          <t>Collection</t>
        </is>
      </c>
      <c r="L778" t="n">
        <v>4</v>
      </c>
      <c r="M778" t="n">
        <v>5</v>
      </c>
      <c r="N778" t="n">
        <v>10</v>
      </c>
      <c r="O778" t="inlineStr">
        <is>
          <t>2026-10-05 UTC (WFM pull 02:52-04:00)</t>
        </is>
      </c>
      <c r="P778" t="inlineStr">
        <is>
          <t>OK</t>
        </is>
      </c>
      <c r="R778" t="inlineStr">
        <is>
          <t>Every current tradeable mod at MAX RANK (WFM catalogue, rivens/locators excluded)</t>
        </is>
      </c>
      <c r="S778" t="inlineStr">
        <is>
          <t>guardian_derision</t>
        </is>
      </c>
      <c r="T778" t="n">
        <v>93</v>
      </c>
      <c r="U778" t="n">
        <v>1</v>
      </c>
      <c r="V778" t="n">
        <v>8</v>
      </c>
      <c r="W778" t="n">
        <v>9</v>
      </c>
      <c r="X778" t="n">
        <v>8.300000000000001</v>
      </c>
      <c r="Y778" t="n">
        <v>19</v>
      </c>
      <c r="Z778" t="n">
        <v>0</v>
      </c>
      <c r="AN778" t="inlineStr">
        <is>
          <t>Melee</t>
        </is>
      </c>
      <c r="AO778" t="n">
        <v>930</v>
      </c>
      <c r="AP778" t="n">
        <v>44919</v>
      </c>
      <c r="AQ778" t="n">
        <v>1</v>
      </c>
      <c r="AS778" t="inlineStr">
        <is>
          <t>Yes</t>
        </is>
      </c>
    </row>
    <row r="779">
      <c r="A779" t="inlineStr">
        <is>
          <t>Mod</t>
        </is>
      </c>
      <c r="B779" t="inlineStr">
        <is>
          <t>Guided Effigy</t>
        </is>
      </c>
      <c r="E779" t="inlineStr">
        <is>
          <t>Augment Chroma</t>
        </is>
      </c>
      <c r="F779" t="n">
        <v>3</v>
      </c>
      <c r="G779" t="n">
        <v>1</v>
      </c>
      <c r="H779" t="inlineStr">
        <is>
          <t>Player trade (max rank)</t>
        </is>
      </c>
      <c r="I779" t="inlineStr">
        <is>
          <t>Yes</t>
        </is>
      </c>
      <c r="K779" t="inlineStr">
        <is>
          <t>Collection</t>
        </is>
      </c>
      <c r="L779" t="n">
        <v>25</v>
      </c>
      <c r="M779" t="n">
        <v>25</v>
      </c>
      <c r="N779" t="n">
        <v>56</v>
      </c>
      <c r="O779" t="inlineStr">
        <is>
          <t>2026-10-05 UTC (WFM pull 02:52-04:00)</t>
        </is>
      </c>
      <c r="P779" t="inlineStr">
        <is>
          <t>OK</t>
        </is>
      </c>
      <c r="R779" t="inlineStr">
        <is>
          <t>Every current tradeable mod at MAX RANK (WFM catalogue, rivens/locators excluded)</t>
        </is>
      </c>
      <c r="S779" t="inlineStr">
        <is>
          <t>guided_effigy</t>
        </is>
      </c>
      <c r="T779" t="n">
        <v>5</v>
      </c>
      <c r="U779" t="n">
        <v>5</v>
      </c>
      <c r="V779" t="n">
        <v>15</v>
      </c>
      <c r="W779" t="n">
        <v>15</v>
      </c>
      <c r="X779" t="n">
        <v>15.2</v>
      </c>
      <c r="Y779" t="n">
        <v>12</v>
      </c>
      <c r="Z779" t="n">
        <v>2</v>
      </c>
      <c r="AN779" t="inlineStr">
        <is>
          <t>Augment Chroma</t>
        </is>
      </c>
      <c r="AO779" t="n">
        <v>210</v>
      </c>
      <c r="AP779" t="n">
        <v>10143</v>
      </c>
      <c r="AQ779" t="n">
        <v>15</v>
      </c>
      <c r="AS779" t="inlineStr">
        <is>
          <t>Yes</t>
        </is>
      </c>
    </row>
    <row r="780">
      <c r="A780" t="inlineStr">
        <is>
          <t>Mod</t>
        </is>
      </c>
      <c r="B780" t="inlineStr">
        <is>
          <t>Guided Ordnance</t>
        </is>
      </c>
      <c r="E780" t="inlineStr">
        <is>
          <t>Assault Rifle</t>
        </is>
      </c>
      <c r="F780" t="n">
        <v>5</v>
      </c>
      <c r="G780" t="n">
        <v>1</v>
      </c>
      <c r="H780" t="inlineStr">
        <is>
          <t>Player trade (max rank)</t>
        </is>
      </c>
      <c r="I780" t="inlineStr">
        <is>
          <t>Yes</t>
        </is>
      </c>
      <c r="K780" t="inlineStr">
        <is>
          <t>Collection</t>
        </is>
      </c>
      <c r="L780" t="n">
        <v>10</v>
      </c>
      <c r="M780" t="n">
        <v>10</v>
      </c>
      <c r="N780" t="n">
        <v>14</v>
      </c>
      <c r="O780" t="inlineStr">
        <is>
          <t>2026-10-05 UTC (WFM pull 02:52-04:00)</t>
        </is>
      </c>
      <c r="P780" t="inlineStr">
        <is>
          <t>OK</t>
        </is>
      </c>
      <c r="R780" t="inlineStr">
        <is>
          <t>Every current tradeable mod at MAX RANK (WFM catalogue, rivens/locators excluded)</t>
        </is>
      </c>
      <c r="S780" t="inlineStr">
        <is>
          <t>guided_ordnance</t>
        </is>
      </c>
      <c r="T780" t="n">
        <v>41</v>
      </c>
      <c r="U780" t="n">
        <v>1</v>
      </c>
      <c r="V780" t="n">
        <v>10</v>
      </c>
      <c r="W780" t="n">
        <v>10</v>
      </c>
      <c r="X780" t="n">
        <v>13.9</v>
      </c>
      <c r="Y780" t="n">
        <v>14</v>
      </c>
      <c r="Z780" t="n">
        <v>1</v>
      </c>
      <c r="AA780" t="n">
        <v>5</v>
      </c>
      <c r="AB780" t="n">
        <v>5</v>
      </c>
      <c r="AN780" t="inlineStr">
        <is>
          <t>Assault Rifle</t>
        </is>
      </c>
      <c r="AO780" t="n">
        <v>620</v>
      </c>
      <c r="AP780" t="n">
        <v>29946</v>
      </c>
      <c r="AQ780" t="n">
        <v>5</v>
      </c>
      <c r="AS780" t="inlineStr">
        <is>
          <t>Yes</t>
        </is>
      </c>
    </row>
    <row r="781">
      <c r="A781" t="inlineStr">
        <is>
          <t>Mod</t>
        </is>
      </c>
      <c r="B781" t="inlineStr">
        <is>
          <t>Gun Glide</t>
        </is>
      </c>
      <c r="E781" t="inlineStr">
        <is>
          <t>Conclave (PvP)</t>
        </is>
      </c>
      <c r="F781" t="n">
        <v>3</v>
      </c>
      <c r="G781" t="n">
        <v>1</v>
      </c>
      <c r="H781" t="inlineStr">
        <is>
          <t>Player trade (max rank)</t>
        </is>
      </c>
      <c r="I781" t="inlineStr">
        <is>
          <t>Yes</t>
        </is>
      </c>
      <c r="K781" t="inlineStr">
        <is>
          <t>Collection (PvP)</t>
        </is>
      </c>
      <c r="L781" t="n">
        <v>6</v>
      </c>
      <c r="M781" t="n">
        <v>10</v>
      </c>
      <c r="N781" t="n">
        <v>22</v>
      </c>
      <c r="O781" t="inlineStr">
        <is>
          <t>2026-10-05 UTC (WFM pull 02:52-04:00)</t>
        </is>
      </c>
      <c r="P781" t="inlineStr">
        <is>
          <t>OK</t>
        </is>
      </c>
      <c r="R781" t="inlineStr">
        <is>
          <t>Every current tradeable mod at MAX RANK (WFM catalogue, rivens/locators excluded)</t>
        </is>
      </c>
      <c r="S781" t="inlineStr">
        <is>
          <t>gun_glide</t>
        </is>
      </c>
      <c r="T781" t="n">
        <v>3</v>
      </c>
      <c r="U781" t="n">
        <v>3</v>
      </c>
      <c r="V781" t="n">
        <v>9</v>
      </c>
      <c r="W781" t="n">
        <v>10</v>
      </c>
      <c r="X781" t="n">
        <v>9.699999999999999</v>
      </c>
      <c r="Y781" t="n">
        <v>3</v>
      </c>
      <c r="Z781" t="n">
        <v>0</v>
      </c>
      <c r="AN781" t="inlineStr">
        <is>
          <t>Conclave (PvP)</t>
        </is>
      </c>
      <c r="AO781" t="n">
        <v>210</v>
      </c>
      <c r="AP781" t="n">
        <v>10143</v>
      </c>
      <c r="AQ781" t="n">
        <v>6</v>
      </c>
      <c r="AS781" t="inlineStr">
        <is>
          <t>PvP subtotal</t>
        </is>
      </c>
    </row>
    <row r="782">
      <c r="A782" t="inlineStr">
        <is>
          <t>Mod</t>
        </is>
      </c>
      <c r="B782" t="inlineStr">
        <is>
          <t>Gunslinger</t>
        </is>
      </c>
      <c r="E782" t="inlineStr">
        <is>
          <t>Pistol</t>
        </is>
      </c>
      <c r="F782" t="n">
        <v>5</v>
      </c>
      <c r="G782" t="n">
        <v>1</v>
      </c>
      <c r="H782" t="inlineStr">
        <is>
          <t>Player trade (max rank)</t>
        </is>
      </c>
      <c r="I782" t="inlineStr">
        <is>
          <t>Yes</t>
        </is>
      </c>
      <c r="K782" t="inlineStr">
        <is>
          <t>Collection</t>
        </is>
      </c>
      <c r="L782" t="n">
        <v>5</v>
      </c>
      <c r="M782" t="n">
        <v>15</v>
      </c>
      <c r="N782" t="n">
        <v>33</v>
      </c>
      <c r="O782" t="inlineStr">
        <is>
          <t>2026-10-05 UTC (WFM pull 02:52-04:00)</t>
        </is>
      </c>
      <c r="P782" t="inlineStr">
        <is>
          <t>OK</t>
        </is>
      </c>
      <c r="R782" t="inlineStr">
        <is>
          <t>Every current tradeable mod at MAX RANK (WFM catalogue, rivens/locators excluded)</t>
        </is>
      </c>
      <c r="S782" t="inlineStr">
        <is>
          <t>gunslinger</t>
        </is>
      </c>
      <c r="T782" t="n">
        <v>3</v>
      </c>
      <c r="U782" t="n">
        <v>3</v>
      </c>
      <c r="V782" t="n">
        <v>10</v>
      </c>
      <c r="W782" t="n">
        <v>10</v>
      </c>
      <c r="X782" t="n">
        <v>11.6</v>
      </c>
      <c r="Y782" t="n">
        <v>31</v>
      </c>
      <c r="Z782" t="n">
        <v>0</v>
      </c>
      <c r="AN782" t="inlineStr">
        <is>
          <t>Pistol</t>
        </is>
      </c>
      <c r="AO782" t="n">
        <v>620</v>
      </c>
      <c r="AP782" t="n">
        <v>29946</v>
      </c>
      <c r="AQ782" t="n">
        <v>4</v>
      </c>
      <c r="AS782" t="inlineStr">
        <is>
          <t>Yes</t>
        </is>
      </c>
    </row>
    <row r="783">
      <c r="A783" t="inlineStr">
        <is>
          <t>Mod</t>
        </is>
      </c>
      <c r="B783" t="inlineStr">
        <is>
          <t>Hall Of Malevolence</t>
        </is>
      </c>
      <c r="E783" t="inlineStr">
        <is>
          <t>Augment Mirage</t>
        </is>
      </c>
      <c r="F783" t="n">
        <v>3</v>
      </c>
      <c r="G783" t="n">
        <v>1</v>
      </c>
      <c r="H783" t="inlineStr">
        <is>
          <t>Player trade (max rank)</t>
        </is>
      </c>
      <c r="I783" t="inlineStr">
        <is>
          <t>Yes</t>
        </is>
      </c>
      <c r="K783" t="inlineStr">
        <is>
          <t>Collection</t>
        </is>
      </c>
      <c r="L783" t="n">
        <v>10</v>
      </c>
      <c r="M783" t="n">
        <v>10</v>
      </c>
      <c r="N783" t="n">
        <v>15</v>
      </c>
      <c r="O783" t="inlineStr">
        <is>
          <t>2026-10-05 UTC (WFM pull 02:52-04:00)</t>
        </is>
      </c>
      <c r="P783" t="inlineStr">
        <is>
          <t>OK</t>
        </is>
      </c>
      <c r="R783" t="inlineStr">
        <is>
          <t>Every current tradeable mod at MAX RANK (WFM catalogue, rivens/locators excluded)</t>
        </is>
      </c>
      <c r="S783" t="inlineStr">
        <is>
          <t>hall_of_malevolence</t>
        </is>
      </c>
      <c r="T783" t="n">
        <v>112</v>
      </c>
      <c r="U783" t="n">
        <v>2</v>
      </c>
      <c r="V783" t="n">
        <v>13</v>
      </c>
      <c r="W783" t="n">
        <v>13</v>
      </c>
      <c r="X783" t="n">
        <v>12.8</v>
      </c>
      <c r="Y783" t="n">
        <v>649</v>
      </c>
      <c r="Z783" t="n">
        <v>14</v>
      </c>
      <c r="AN783" t="inlineStr">
        <is>
          <t>Augment Mirage</t>
        </is>
      </c>
      <c r="AO783" t="n">
        <v>210</v>
      </c>
      <c r="AP783" t="n">
        <v>10143</v>
      </c>
      <c r="AQ783" t="n">
        <v>9</v>
      </c>
      <c r="AS783" t="inlineStr">
        <is>
          <t>Yes</t>
        </is>
      </c>
    </row>
    <row r="784">
      <c r="A784" t="inlineStr">
        <is>
          <t>Mod</t>
        </is>
      </c>
      <c r="B784" t="inlineStr">
        <is>
          <t>Hallowed Eruption</t>
        </is>
      </c>
      <c r="E784" t="inlineStr">
        <is>
          <t>Augment Oberon</t>
        </is>
      </c>
      <c r="F784" t="n">
        <v>3</v>
      </c>
      <c r="G784" t="n">
        <v>1</v>
      </c>
      <c r="H784" t="inlineStr">
        <is>
          <t>Player trade (max rank)</t>
        </is>
      </c>
      <c r="I784" t="inlineStr">
        <is>
          <t>Yes</t>
        </is>
      </c>
      <c r="K784" t="inlineStr">
        <is>
          <t>Collection</t>
        </is>
      </c>
      <c r="L784" t="n">
        <v>10</v>
      </c>
      <c r="M784" t="n">
        <v>10</v>
      </c>
      <c r="N784" t="n">
        <v>13</v>
      </c>
      <c r="O784" t="inlineStr">
        <is>
          <t>2026-10-05 UTC (WFM pull 02:52-04:00)</t>
        </is>
      </c>
      <c r="P784" t="inlineStr">
        <is>
          <t>OK</t>
        </is>
      </c>
      <c r="R784" t="inlineStr">
        <is>
          <t>Every current tradeable mod at MAX RANK (WFM catalogue, rivens/locators excluded)</t>
        </is>
      </c>
      <c r="S784" t="inlineStr">
        <is>
          <t>hallowed_eruption</t>
        </is>
      </c>
      <c r="T784" t="n">
        <v>67</v>
      </c>
      <c r="U784" t="n">
        <v>1</v>
      </c>
      <c r="V784" t="n">
        <v>11.5</v>
      </c>
      <c r="W784" t="n">
        <v>12</v>
      </c>
      <c r="X784" t="n">
        <v>13</v>
      </c>
      <c r="Y784" t="n">
        <v>44</v>
      </c>
      <c r="Z784" t="n">
        <v>1</v>
      </c>
      <c r="AN784" t="inlineStr">
        <is>
          <t>Augment Oberon</t>
        </is>
      </c>
      <c r="AO784" t="n">
        <v>210</v>
      </c>
      <c r="AP784" t="n">
        <v>10143</v>
      </c>
      <c r="AQ784" t="n">
        <v>15</v>
      </c>
      <c r="AS784" t="inlineStr">
        <is>
          <t>Yes</t>
        </is>
      </c>
    </row>
    <row r="785">
      <c r="A785" t="inlineStr">
        <is>
          <t>Mod</t>
        </is>
      </c>
      <c r="B785" t="inlineStr">
        <is>
          <t>Hallowed Reckoning</t>
        </is>
      </c>
      <c r="E785" t="inlineStr">
        <is>
          <t>Augment Oberon</t>
        </is>
      </c>
      <c r="F785" t="n">
        <v>3</v>
      </c>
      <c r="G785" t="n">
        <v>1</v>
      </c>
      <c r="H785" t="inlineStr">
        <is>
          <t>Player trade (max rank)</t>
        </is>
      </c>
      <c r="I785" t="inlineStr">
        <is>
          <t>Yes</t>
        </is>
      </c>
      <c r="K785" t="inlineStr">
        <is>
          <t>Collection</t>
        </is>
      </c>
      <c r="L785" t="n">
        <v>10</v>
      </c>
      <c r="M785" t="n">
        <v>12</v>
      </c>
      <c r="N785" t="n">
        <v>16</v>
      </c>
      <c r="O785" t="inlineStr">
        <is>
          <t>2026-10-05 UTC (WFM pull 02:52-04:00)</t>
        </is>
      </c>
      <c r="P785" t="inlineStr">
        <is>
          <t>OK</t>
        </is>
      </c>
      <c r="R785" t="inlineStr">
        <is>
          <t>Every current tradeable mod at MAX RANK (WFM catalogue, rivens/locators excluded)</t>
        </is>
      </c>
      <c r="S785" t="inlineStr">
        <is>
          <t>hallowed_reckoning</t>
        </is>
      </c>
      <c r="T785" t="n">
        <v>70</v>
      </c>
      <c r="U785" t="n">
        <v>1</v>
      </c>
      <c r="V785" t="n">
        <v>14.5</v>
      </c>
      <c r="W785" t="n">
        <v>15</v>
      </c>
      <c r="X785" t="n">
        <v>15.2</v>
      </c>
      <c r="Y785" t="n">
        <v>69</v>
      </c>
      <c r="Z785" t="n">
        <v>1</v>
      </c>
      <c r="AN785" t="inlineStr">
        <is>
          <t>Augment Oberon</t>
        </is>
      </c>
      <c r="AO785" t="n">
        <v>210</v>
      </c>
      <c r="AP785" t="n">
        <v>10143</v>
      </c>
      <c r="AQ785" t="n">
        <v>14</v>
      </c>
      <c r="AS785" t="inlineStr">
        <is>
          <t>Yes</t>
        </is>
      </c>
    </row>
    <row r="786">
      <c r="A786" t="inlineStr">
        <is>
          <t>Mod</t>
        </is>
      </c>
      <c r="B786" t="inlineStr">
        <is>
          <t>Hammer Shot</t>
        </is>
      </c>
      <c r="E786" t="inlineStr">
        <is>
          <t>Rifle</t>
        </is>
      </c>
      <c r="F786" t="n">
        <v>3</v>
      </c>
      <c r="G786" t="n">
        <v>1</v>
      </c>
      <c r="H786" t="inlineStr">
        <is>
          <t>Player trade (max rank)</t>
        </is>
      </c>
      <c r="I786" t="inlineStr">
        <is>
          <t>Yes</t>
        </is>
      </c>
      <c r="K786" t="inlineStr">
        <is>
          <t>Collection</t>
        </is>
      </c>
      <c r="L786" t="n">
        <v>140</v>
      </c>
      <c r="M786" t="n">
        <v>180</v>
      </c>
      <c r="N786" t="n">
        <v>208</v>
      </c>
      <c r="O786" t="inlineStr">
        <is>
          <t>2026-10-05 UTC (WFM pull 02:52-04:00)</t>
        </is>
      </c>
      <c r="P786" t="inlineStr">
        <is>
          <t>OK</t>
        </is>
      </c>
      <c r="R786" t="inlineStr">
        <is>
          <t>Every current tradeable mod at MAX RANK (WFM catalogue, rivens/locators excluded)</t>
        </is>
      </c>
      <c r="S786" t="inlineStr">
        <is>
          <t>hammer_shot</t>
        </is>
      </c>
      <c r="T786" t="n">
        <v>10</v>
      </c>
      <c r="U786" t="n">
        <v>10</v>
      </c>
      <c r="V786" t="n">
        <v>125</v>
      </c>
      <c r="W786" t="n">
        <v>120</v>
      </c>
      <c r="X786" t="n">
        <v>117.4</v>
      </c>
      <c r="Y786" t="n">
        <v>4897</v>
      </c>
      <c r="Z786" t="n">
        <v>84</v>
      </c>
      <c r="AA786" t="n">
        <v>92</v>
      </c>
      <c r="AB786" t="n">
        <v>48</v>
      </c>
      <c r="AN786" t="inlineStr">
        <is>
          <t>Rifle</t>
        </is>
      </c>
      <c r="AO786" t="n">
        <v>210</v>
      </c>
      <c r="AP786" t="n">
        <v>10143</v>
      </c>
      <c r="AQ786" t="n">
        <v>149</v>
      </c>
      <c r="AS786" t="inlineStr">
        <is>
          <t>Yes</t>
        </is>
      </c>
    </row>
    <row r="787">
      <c r="A787" t="inlineStr">
        <is>
          <t>Mod</t>
        </is>
      </c>
      <c r="B787" t="inlineStr">
        <is>
          <t>Handspring</t>
        </is>
      </c>
      <c r="E787" t="inlineStr">
        <is>
          <t>Warframe</t>
        </is>
      </c>
      <c r="F787" t="n">
        <v>3</v>
      </c>
      <c r="G787" t="n">
        <v>1</v>
      </c>
      <c r="H787" t="inlineStr">
        <is>
          <t>Player trade (max rank)</t>
        </is>
      </c>
      <c r="I787" t="inlineStr">
        <is>
          <t>Yes</t>
        </is>
      </c>
      <c r="K787" t="inlineStr">
        <is>
          <t>Collection</t>
        </is>
      </c>
      <c r="L787" t="n">
        <v>10</v>
      </c>
      <c r="M787" t="n">
        <v>10</v>
      </c>
      <c r="N787" t="n">
        <v>17</v>
      </c>
      <c r="O787" t="inlineStr">
        <is>
          <t>2026-10-05 UTC (WFM pull 02:52-04:00)</t>
        </is>
      </c>
      <c r="P787" t="inlineStr">
        <is>
          <t>OK</t>
        </is>
      </c>
      <c r="R787" t="inlineStr">
        <is>
          <t>Every current tradeable mod at MAX RANK (WFM catalogue, rivens/locators excluded)</t>
        </is>
      </c>
      <c r="S787" t="inlineStr">
        <is>
          <t>handspring</t>
        </is>
      </c>
      <c r="T787" t="n">
        <v>6</v>
      </c>
      <c r="U787" t="n">
        <v>6</v>
      </c>
      <c r="V787" t="n">
        <v>9.5</v>
      </c>
      <c r="W787" t="n">
        <v>9.5</v>
      </c>
      <c r="X787" t="n">
        <v>9.4</v>
      </c>
      <c r="Y787" t="n">
        <v>102</v>
      </c>
      <c r="Z787" t="n">
        <v>1</v>
      </c>
      <c r="AN787" t="inlineStr">
        <is>
          <t>Warframe</t>
        </is>
      </c>
      <c r="AO787" t="n">
        <v>210</v>
      </c>
      <c r="AP787" t="n">
        <v>10143</v>
      </c>
      <c r="AQ787" t="n">
        <v>4</v>
      </c>
      <c r="AS787" t="inlineStr">
        <is>
          <t>Yes</t>
        </is>
      </c>
    </row>
    <row r="788">
      <c r="A788" t="inlineStr">
        <is>
          <t>Mod</t>
        </is>
      </c>
      <c r="B788" t="inlineStr">
        <is>
          <t>Hard Engage</t>
        </is>
      </c>
      <c r="E788" t="inlineStr">
        <is>
          <t>MOA</t>
        </is>
      </c>
      <c r="F788" t="n">
        <v>5</v>
      </c>
      <c r="G788" t="n">
        <v>1</v>
      </c>
      <c r="H788" t="inlineStr">
        <is>
          <t>Player trade (max rank)</t>
        </is>
      </c>
      <c r="I788" t="inlineStr">
        <is>
          <t>Yes</t>
        </is>
      </c>
      <c r="K788" t="inlineStr">
        <is>
          <t>Collection</t>
        </is>
      </c>
      <c r="L788" t="n">
        <v>75</v>
      </c>
      <c r="M788" t="n">
        <v>75</v>
      </c>
      <c r="N788" t="n">
        <v>127</v>
      </c>
      <c r="O788" t="inlineStr">
        <is>
          <t>2026-10-05 UTC (WFM pull 02:52-04:00)</t>
        </is>
      </c>
      <c r="P788" t="inlineStr">
        <is>
          <t>OK</t>
        </is>
      </c>
      <c r="R788" t="inlineStr">
        <is>
          <t>Every current tradeable mod at MAX RANK (WFM catalogue, rivens/locators excluded)</t>
        </is>
      </c>
      <c r="S788" t="inlineStr">
        <is>
          <t>hard_engage</t>
        </is>
      </c>
      <c r="T788" t="n">
        <v>19</v>
      </c>
      <c r="U788" t="n">
        <v>0</v>
      </c>
      <c r="W788" t="n">
        <v>30</v>
      </c>
      <c r="X788" t="n">
        <v>53.5</v>
      </c>
      <c r="Y788" t="n">
        <v>2</v>
      </c>
      <c r="Z788" t="n">
        <v>0</v>
      </c>
      <c r="AN788" t="inlineStr">
        <is>
          <t>MOA</t>
        </is>
      </c>
      <c r="AO788" t="n">
        <v>930</v>
      </c>
      <c r="AP788" t="n">
        <v>44919</v>
      </c>
      <c r="AQ788" t="n">
        <v>25</v>
      </c>
      <c r="AS788" t="inlineStr">
        <is>
          <t>Yes</t>
        </is>
      </c>
    </row>
    <row r="789">
      <c r="A789" t="inlineStr">
        <is>
          <t>Mod</t>
        </is>
      </c>
      <c r="B789" t="inlineStr">
        <is>
          <t>Hard Reset</t>
        </is>
      </c>
      <c r="E789" t="inlineStr">
        <is>
          <t>Parazon</t>
        </is>
      </c>
      <c r="G789" t="n">
        <v>1</v>
      </c>
      <c r="H789" t="inlineStr">
        <is>
          <t>Player trade (max rank)</t>
        </is>
      </c>
      <c r="I789" t="inlineStr">
        <is>
          <t>Yes</t>
        </is>
      </c>
      <c r="K789" t="inlineStr">
        <is>
          <t>Collection</t>
        </is>
      </c>
      <c r="L789" t="n">
        <v>5</v>
      </c>
      <c r="M789" t="n">
        <v>5</v>
      </c>
      <c r="N789" t="n">
        <v>10</v>
      </c>
      <c r="O789" t="inlineStr">
        <is>
          <t>2026-10-05 UTC (WFM pull 02:52-04:00)</t>
        </is>
      </c>
      <c r="P789" t="inlineStr">
        <is>
          <t>OK</t>
        </is>
      </c>
      <c r="R789" t="inlineStr">
        <is>
          <t>Every current tradeable mod at MAX RANK (WFM catalogue, rivens/locators excluded)</t>
        </is>
      </c>
      <c r="S789" t="inlineStr">
        <is>
          <t>hard_reset</t>
        </is>
      </c>
      <c r="T789" t="n">
        <v>130</v>
      </c>
      <c r="U789" t="n">
        <v>1</v>
      </c>
      <c r="V789" t="n">
        <v>8.5</v>
      </c>
      <c r="W789" t="n">
        <v>7</v>
      </c>
      <c r="X789" t="n">
        <v>7.3</v>
      </c>
      <c r="Y789" t="n">
        <v>131</v>
      </c>
      <c r="Z789" t="n">
        <v>4</v>
      </c>
      <c r="AN789" t="inlineStr">
        <is>
          <t>Parazon</t>
        </is>
      </c>
      <c r="AO789" t="n">
        <v>0</v>
      </c>
      <c r="AP789" t="n">
        <v>0</v>
      </c>
      <c r="AS789" t="inlineStr">
        <is>
          <t>Yes</t>
        </is>
      </c>
    </row>
    <row r="790">
      <c r="A790" t="inlineStr">
        <is>
          <t>Mod</t>
        </is>
      </c>
      <c r="B790" t="inlineStr">
        <is>
          <t>Harkonar Scope</t>
        </is>
      </c>
      <c r="E790" t="inlineStr">
        <is>
          <t>Augment Sniper</t>
        </is>
      </c>
      <c r="F790" t="n">
        <v>5</v>
      </c>
      <c r="G790" t="n">
        <v>1</v>
      </c>
      <c r="H790" t="inlineStr">
        <is>
          <t>Player trade (max rank)</t>
        </is>
      </c>
      <c r="I790" t="inlineStr">
        <is>
          <t>Yes</t>
        </is>
      </c>
      <c r="K790" t="inlineStr">
        <is>
          <t>Collection</t>
        </is>
      </c>
      <c r="L790" t="n">
        <v>15</v>
      </c>
      <c r="M790" t="n">
        <v>15</v>
      </c>
      <c r="N790" t="n">
        <v>33</v>
      </c>
      <c r="O790" t="inlineStr">
        <is>
          <t>2026-10-05 UTC (WFM pull 02:52-04:00)</t>
        </is>
      </c>
      <c r="P790" t="inlineStr">
        <is>
          <t>OK</t>
        </is>
      </c>
      <c r="R790" t="inlineStr">
        <is>
          <t>Every current tradeable mod at MAX RANK (WFM catalogue, rivens/locators excluded)</t>
        </is>
      </c>
      <c r="S790" t="inlineStr">
        <is>
          <t>harkonar_scope</t>
        </is>
      </c>
      <c r="T790" t="n">
        <v>4</v>
      </c>
      <c r="U790" t="n">
        <v>4</v>
      </c>
      <c r="V790" t="n">
        <v>8</v>
      </c>
      <c r="W790" t="n">
        <v>8</v>
      </c>
      <c r="X790" t="n">
        <v>18.7</v>
      </c>
      <c r="Y790" t="n">
        <v>3</v>
      </c>
      <c r="Z790" t="n">
        <v>0</v>
      </c>
      <c r="AN790" t="inlineStr">
        <is>
          <t>Augment Sniper</t>
        </is>
      </c>
      <c r="AO790" t="n">
        <v>620</v>
      </c>
      <c r="AP790" t="n">
        <v>29946</v>
      </c>
      <c r="AQ790" t="n">
        <v>10</v>
      </c>
      <c r="AS790" t="inlineStr">
        <is>
          <t>Yes</t>
        </is>
      </c>
    </row>
    <row r="791">
      <c r="A791" t="inlineStr">
        <is>
          <t>Mod</t>
        </is>
      </c>
      <c r="B791" t="inlineStr">
        <is>
          <t>Harrowing Spire</t>
        </is>
      </c>
      <c r="E791" t="inlineStr">
        <is>
          <t>Stance</t>
        </is>
      </c>
      <c r="F791" t="n">
        <v>3</v>
      </c>
      <c r="G791" t="n">
        <v>1</v>
      </c>
      <c r="H791" t="inlineStr">
        <is>
          <t>Player trade (max rank)</t>
        </is>
      </c>
      <c r="I791" t="inlineStr">
        <is>
          <t>Yes</t>
        </is>
      </c>
      <c r="K791" t="inlineStr">
        <is>
          <t>Collection</t>
        </is>
      </c>
      <c r="L791" t="n">
        <v>15</v>
      </c>
      <c r="M791" t="n">
        <v>15</v>
      </c>
      <c r="N791" t="n">
        <v>22</v>
      </c>
      <c r="O791" t="inlineStr">
        <is>
          <t>2026-10-05 UTC (WFM pull 02:52-04:00)</t>
        </is>
      </c>
      <c r="P791" t="inlineStr">
        <is>
          <t>OK</t>
        </is>
      </c>
      <c r="R791" t="inlineStr">
        <is>
          <t>Every current tradeable mod at MAX RANK (WFM catalogue, rivens/locators excluded)</t>
        </is>
      </c>
      <c r="S791" t="inlineStr">
        <is>
          <t>harrowing_spire</t>
        </is>
      </c>
      <c r="T791" t="n">
        <v>5</v>
      </c>
      <c r="U791" t="n">
        <v>5</v>
      </c>
      <c r="V791" t="n">
        <v>10</v>
      </c>
      <c r="W791" t="n">
        <v>6.5</v>
      </c>
      <c r="X791" t="n">
        <v>7.2</v>
      </c>
      <c r="Y791" t="n">
        <v>41</v>
      </c>
      <c r="Z791" t="n">
        <v>2</v>
      </c>
      <c r="AN791" t="inlineStr">
        <is>
          <t>Stance</t>
        </is>
      </c>
      <c r="AO791" t="n">
        <v>210</v>
      </c>
      <c r="AP791" t="n">
        <v>10143</v>
      </c>
      <c r="AQ791" t="n">
        <v>4</v>
      </c>
      <c r="AS791" t="inlineStr">
        <is>
          <t>Yes</t>
        </is>
      </c>
    </row>
    <row r="792">
      <c r="A792" t="inlineStr">
        <is>
          <t>Mod</t>
        </is>
      </c>
      <c r="B792" t="inlineStr">
        <is>
          <t>Hastened Deflection</t>
        </is>
      </c>
      <c r="E792" t="inlineStr">
        <is>
          <t>Beast</t>
        </is>
      </c>
      <c r="F792" t="n">
        <v>5</v>
      </c>
      <c r="G792" t="n">
        <v>1</v>
      </c>
      <c r="H792" t="inlineStr">
        <is>
          <t>Player trade (max rank)</t>
        </is>
      </c>
      <c r="I792" t="inlineStr">
        <is>
          <t>Yes</t>
        </is>
      </c>
      <c r="K792" t="inlineStr">
        <is>
          <t>Collection</t>
        </is>
      </c>
      <c r="L792" t="n">
        <v>15</v>
      </c>
      <c r="M792" t="n">
        <v>28.5</v>
      </c>
      <c r="N792" t="n">
        <v>63</v>
      </c>
      <c r="O792" t="inlineStr">
        <is>
          <t>2026-10-05 UTC (WFM pull 02:52-04:00)</t>
        </is>
      </c>
      <c r="P792" t="inlineStr">
        <is>
          <t>OK</t>
        </is>
      </c>
      <c r="R792" t="inlineStr">
        <is>
          <t>Every current tradeable mod at MAX RANK (WFM catalogue, rivens/locators excluded)</t>
        </is>
      </c>
      <c r="S792" t="inlineStr">
        <is>
          <t>hastened_deflection</t>
        </is>
      </c>
      <c r="T792" t="n">
        <v>5</v>
      </c>
      <c r="U792" t="n">
        <v>5</v>
      </c>
      <c r="V792" t="n">
        <v>19</v>
      </c>
      <c r="W792" t="n">
        <v>19</v>
      </c>
      <c r="X792" t="n">
        <v>18.1</v>
      </c>
      <c r="Y792" t="n">
        <v>214</v>
      </c>
      <c r="Z792" t="n">
        <v>9</v>
      </c>
      <c r="AN792" t="inlineStr">
        <is>
          <t>Beast</t>
        </is>
      </c>
      <c r="AO792" t="n">
        <v>620</v>
      </c>
      <c r="AP792" t="n">
        <v>29946</v>
      </c>
      <c r="AQ792" t="n">
        <v>8</v>
      </c>
      <c r="AS792" t="inlineStr">
        <is>
          <t>Yes</t>
        </is>
      </c>
    </row>
    <row r="793">
      <c r="A793" t="inlineStr">
        <is>
          <t>Mod</t>
        </is>
      </c>
      <c r="B793" t="inlineStr">
        <is>
          <t>Hastened Steps</t>
        </is>
      </c>
      <c r="E793" t="inlineStr">
        <is>
          <t>Conclave (PvP)</t>
        </is>
      </c>
      <c r="F793" t="n">
        <v>3</v>
      </c>
      <c r="G793" t="n">
        <v>1</v>
      </c>
      <c r="H793" t="inlineStr">
        <is>
          <t>Player trade (max rank)</t>
        </is>
      </c>
      <c r="I793" t="inlineStr">
        <is>
          <t>Yes</t>
        </is>
      </c>
      <c r="K793" t="inlineStr">
        <is>
          <t>Collection (PvP)</t>
        </is>
      </c>
      <c r="L793" t="n">
        <v>25</v>
      </c>
      <c r="M793" t="n">
        <v>200</v>
      </c>
      <c r="N793" t="n">
        <v>386</v>
      </c>
      <c r="O793" t="inlineStr">
        <is>
          <t>2026-10-05 UTC (WFM pull 02:52-04:00)</t>
        </is>
      </c>
      <c r="P793" t="inlineStr">
        <is>
          <t>OK</t>
        </is>
      </c>
      <c r="R793" t="inlineStr">
        <is>
          <t>Every current tradeable mod at MAX RANK (WFM catalogue, rivens/locators excluded)</t>
        </is>
      </c>
      <c r="S793" t="inlineStr">
        <is>
          <t>hastened_steps</t>
        </is>
      </c>
      <c r="T793" t="n">
        <v>3</v>
      </c>
      <c r="U793" t="n">
        <v>3</v>
      </c>
      <c r="V793" t="n">
        <v>175</v>
      </c>
      <c r="W793" t="n">
        <v>33</v>
      </c>
      <c r="X793" t="n">
        <v>104</v>
      </c>
      <c r="Y793" t="n">
        <v>2</v>
      </c>
      <c r="Z793" t="n">
        <v>0</v>
      </c>
      <c r="AN793" t="inlineStr">
        <is>
          <t>Conclave (PvP)</t>
        </is>
      </c>
      <c r="AO793" t="n">
        <v>210</v>
      </c>
      <c r="AP793" t="n">
        <v>10143</v>
      </c>
      <c r="AQ793" t="n">
        <v>20</v>
      </c>
      <c r="AS793" t="inlineStr">
        <is>
          <t>PvP subtotal</t>
        </is>
      </c>
    </row>
    <row r="794">
      <c r="A794" t="inlineStr">
        <is>
          <t>Mod</t>
        </is>
      </c>
      <c r="B794" t="inlineStr">
        <is>
          <t>Hata-Satya</t>
        </is>
      </c>
      <c r="E794" t="inlineStr">
        <is>
          <t>Augment Soma Prime</t>
        </is>
      </c>
      <c r="F794" t="n">
        <v>5</v>
      </c>
      <c r="G794" t="n">
        <v>1</v>
      </c>
      <c r="H794" t="inlineStr">
        <is>
          <t>Player trade (max rank)</t>
        </is>
      </c>
      <c r="I794" t="inlineStr">
        <is>
          <t>Yes</t>
        </is>
      </c>
      <c r="K794" t="inlineStr">
        <is>
          <t>Collection</t>
        </is>
      </c>
      <c r="L794" t="n">
        <v>17</v>
      </c>
      <c r="M794" t="n">
        <v>25</v>
      </c>
      <c r="N794" t="n">
        <v>56</v>
      </c>
      <c r="O794" t="inlineStr">
        <is>
          <t>2026-10-05 UTC (WFM pull 02:52-04:00)</t>
        </is>
      </c>
      <c r="P794" t="inlineStr">
        <is>
          <t>OK</t>
        </is>
      </c>
      <c r="R794" t="inlineStr">
        <is>
          <t>Every current tradeable mod at MAX RANK (WFM catalogue, rivens/locators excluded)</t>
        </is>
      </c>
      <c r="S794" t="inlineStr">
        <is>
          <t>hata_satya</t>
        </is>
      </c>
      <c r="T794" t="n">
        <v>6</v>
      </c>
      <c r="U794" t="n">
        <v>6</v>
      </c>
      <c r="V794" t="n">
        <v>20</v>
      </c>
      <c r="W794" t="n">
        <v>20</v>
      </c>
      <c r="X794" t="n">
        <v>21.3</v>
      </c>
      <c r="Y794" t="n">
        <v>425</v>
      </c>
      <c r="Z794" t="n">
        <v>5</v>
      </c>
      <c r="AN794" t="inlineStr">
        <is>
          <t>Augment Soma Prime</t>
        </is>
      </c>
      <c r="AO794" t="n">
        <v>930</v>
      </c>
      <c r="AP794" t="n">
        <v>44919</v>
      </c>
      <c r="AQ794" t="n">
        <v>10</v>
      </c>
      <c r="AS794" t="inlineStr">
        <is>
          <t>Yes</t>
        </is>
      </c>
    </row>
    <row r="795">
      <c r="A795" t="inlineStr">
        <is>
          <t>Mod</t>
        </is>
      </c>
      <c r="B795" t="inlineStr">
        <is>
          <t>Hawk Eye</t>
        </is>
      </c>
      <c r="E795" t="inlineStr">
        <is>
          <t>Pistol</t>
        </is>
      </c>
      <c r="F795" t="n">
        <v>3</v>
      </c>
      <c r="G795" t="n">
        <v>1</v>
      </c>
      <c r="H795" t="inlineStr">
        <is>
          <t>Player trade (max rank)</t>
        </is>
      </c>
      <c r="I795" t="inlineStr">
        <is>
          <t>Yes</t>
        </is>
      </c>
      <c r="K795" t="inlineStr">
        <is>
          <t>Collection</t>
        </is>
      </c>
      <c r="L795" t="n">
        <v>8</v>
      </c>
      <c r="M795" t="n">
        <v>9</v>
      </c>
      <c r="N795" t="n">
        <v>20</v>
      </c>
      <c r="O795" t="inlineStr">
        <is>
          <t>2026-10-05 UTC (WFM pull 02:52-04:00)</t>
        </is>
      </c>
      <c r="P795" t="inlineStr">
        <is>
          <t>OK</t>
        </is>
      </c>
      <c r="R795" t="inlineStr">
        <is>
          <t>Every current tradeable mod at MAX RANK (WFM catalogue, rivens/locators excluded)</t>
        </is>
      </c>
      <c r="S795" t="inlineStr">
        <is>
          <t>hawk_eye</t>
        </is>
      </c>
      <c r="T795" t="n">
        <v>4</v>
      </c>
      <c r="U795" t="n">
        <v>4</v>
      </c>
      <c r="W795" t="n">
        <v>6</v>
      </c>
      <c r="X795" t="n">
        <v>10.5</v>
      </c>
      <c r="Y795" t="n">
        <v>2</v>
      </c>
      <c r="Z795" t="n">
        <v>0</v>
      </c>
      <c r="AN795" t="inlineStr">
        <is>
          <t>Pistol</t>
        </is>
      </c>
      <c r="AO795" t="n">
        <v>140</v>
      </c>
      <c r="AP795" t="n">
        <v>6762</v>
      </c>
      <c r="AQ795" t="n">
        <v>2</v>
      </c>
      <c r="AS795" t="inlineStr">
        <is>
          <t>Yes</t>
        </is>
      </c>
    </row>
    <row r="796">
      <c r="A796" t="inlineStr">
        <is>
          <t>Mod</t>
        </is>
      </c>
      <c r="B796" t="inlineStr">
        <is>
          <t>Hayan-Dabor</t>
        </is>
      </c>
      <c r="E796" t="inlineStr">
        <is>
          <t>Antique</t>
        </is>
      </c>
      <c r="F796" t="n">
        <v>5</v>
      </c>
      <c r="G796" t="n">
        <v>1</v>
      </c>
      <c r="H796" t="inlineStr">
        <is>
          <t>Player trade (max rank)</t>
        </is>
      </c>
      <c r="I796" t="inlineStr">
        <is>
          <t>Yes</t>
        </is>
      </c>
      <c r="K796" t="inlineStr">
        <is>
          <t>Collection</t>
        </is>
      </c>
      <c r="L796" t="n">
        <v>20</v>
      </c>
      <c r="M796" t="n">
        <v>25</v>
      </c>
      <c r="N796" t="n">
        <v>38</v>
      </c>
      <c r="O796" t="inlineStr">
        <is>
          <t>2026-10-05 UTC (WFM pull 02:52-04:00)</t>
        </is>
      </c>
      <c r="P796" t="inlineStr">
        <is>
          <t>OK</t>
        </is>
      </c>
      <c r="R796" t="inlineStr">
        <is>
          <t>Every current tradeable mod at MAX RANK (WFM catalogue, rivens/locators excluded)</t>
        </is>
      </c>
      <c r="S796" t="inlineStr">
        <is>
          <t>hayan_dabor</t>
        </is>
      </c>
      <c r="T796" t="n">
        <v>8</v>
      </c>
      <c r="U796" t="n">
        <v>8</v>
      </c>
      <c r="V796" t="n">
        <v>20</v>
      </c>
      <c r="W796" t="n">
        <v>20</v>
      </c>
      <c r="X796" t="n">
        <v>18.3</v>
      </c>
      <c r="Y796" t="n">
        <v>243</v>
      </c>
      <c r="Z796" t="n">
        <v>3</v>
      </c>
      <c r="AN796" t="inlineStr">
        <is>
          <t>Antique</t>
        </is>
      </c>
      <c r="AO796" t="n">
        <v>310</v>
      </c>
      <c r="AP796" t="n">
        <v>14973</v>
      </c>
      <c r="AQ796" t="n">
        <v>3</v>
      </c>
      <c r="AS796" t="inlineStr">
        <is>
          <t>Yes</t>
        </is>
      </c>
    </row>
    <row r="797">
      <c r="A797" t="inlineStr">
        <is>
          <t>Mod</t>
        </is>
      </c>
      <c r="B797" t="inlineStr">
        <is>
          <t>Healing Flame</t>
        </is>
      </c>
      <c r="E797" t="inlineStr">
        <is>
          <t>Augment Ember</t>
        </is>
      </c>
      <c r="F797" t="n">
        <v>3</v>
      </c>
      <c r="G797" t="n">
        <v>1</v>
      </c>
      <c r="H797" t="inlineStr">
        <is>
          <t>Player trade (max rank)</t>
        </is>
      </c>
      <c r="I797" t="inlineStr">
        <is>
          <t>Yes</t>
        </is>
      </c>
      <c r="K797" t="inlineStr">
        <is>
          <t>Collection</t>
        </is>
      </c>
      <c r="L797" t="n">
        <v>8</v>
      </c>
      <c r="M797" t="n">
        <v>10</v>
      </c>
      <c r="N797" t="n">
        <v>17</v>
      </c>
      <c r="O797" t="inlineStr">
        <is>
          <t>2026-10-05 UTC (WFM pull 02:52-04:00)</t>
        </is>
      </c>
      <c r="P797" t="inlineStr">
        <is>
          <t>OK</t>
        </is>
      </c>
      <c r="R797" t="inlineStr">
        <is>
          <t>Every current tradeable mod at MAX RANK (WFM catalogue, rivens/locators excluded)</t>
        </is>
      </c>
      <c r="S797" t="inlineStr">
        <is>
          <t>healing_flame</t>
        </is>
      </c>
      <c r="T797" t="n">
        <v>68</v>
      </c>
      <c r="U797" t="n">
        <v>2</v>
      </c>
      <c r="V797" t="n">
        <v>15</v>
      </c>
      <c r="W797" t="n">
        <v>15</v>
      </c>
      <c r="X797" t="n">
        <v>14.6</v>
      </c>
      <c r="Y797" t="n">
        <v>155</v>
      </c>
      <c r="Z797" t="n">
        <v>2</v>
      </c>
      <c r="AN797" t="inlineStr">
        <is>
          <t>Augment Ember</t>
        </is>
      </c>
      <c r="AO797" t="n">
        <v>210</v>
      </c>
      <c r="AP797" t="n">
        <v>10143</v>
      </c>
      <c r="AQ797" t="n">
        <v>13</v>
      </c>
      <c r="AS797" t="inlineStr">
        <is>
          <t>Yes</t>
        </is>
      </c>
    </row>
    <row r="798">
      <c r="A798" t="inlineStr">
        <is>
          <t>Mod</t>
        </is>
      </c>
      <c r="B798" t="inlineStr">
        <is>
          <t>Healing Return</t>
        </is>
      </c>
      <c r="E798" t="inlineStr">
        <is>
          <t>Melee</t>
        </is>
      </c>
      <c r="F798" t="n">
        <v>10</v>
      </c>
      <c r="G798" t="n">
        <v>1</v>
      </c>
      <c r="H798" t="inlineStr">
        <is>
          <t>Player trade (max rank)</t>
        </is>
      </c>
      <c r="I798" t="inlineStr">
        <is>
          <t>Yes</t>
        </is>
      </c>
      <c r="K798" t="inlineStr">
        <is>
          <t>Collection</t>
        </is>
      </c>
      <c r="L798" t="n">
        <v>80</v>
      </c>
      <c r="M798" t="n">
        <v>80</v>
      </c>
      <c r="N798" t="n">
        <v>100</v>
      </c>
      <c r="O798" t="inlineStr">
        <is>
          <t>2026-10-05 UTC (WFM pull 02:52-04:00)</t>
        </is>
      </c>
      <c r="P798" t="inlineStr">
        <is>
          <t>OK</t>
        </is>
      </c>
      <c r="R798" t="inlineStr">
        <is>
          <t>Every current tradeable mod at MAX RANK (WFM catalogue, rivens/locators excluded)</t>
        </is>
      </c>
      <c r="S798" t="inlineStr">
        <is>
          <t>healing_return</t>
        </is>
      </c>
      <c r="T798" t="n">
        <v>8</v>
      </c>
      <c r="U798" t="n">
        <v>8</v>
      </c>
      <c r="V798" t="n">
        <v>75</v>
      </c>
      <c r="W798" t="n">
        <v>75</v>
      </c>
      <c r="X798" t="n">
        <v>76.8</v>
      </c>
      <c r="Y798" t="n">
        <v>138</v>
      </c>
      <c r="Z798" t="n">
        <v>4</v>
      </c>
      <c r="AA798" t="n">
        <v>36</v>
      </c>
      <c r="AB798" t="n">
        <v>44</v>
      </c>
      <c r="AN798" t="inlineStr">
        <is>
          <t>Melee</t>
        </is>
      </c>
      <c r="AO798" t="n">
        <v>30690</v>
      </c>
      <c r="AP798" t="n">
        <v>1482327</v>
      </c>
      <c r="AQ798" t="n">
        <v>8.199999999999999</v>
      </c>
      <c r="AS798" t="inlineStr">
        <is>
          <t>Yes</t>
        </is>
      </c>
    </row>
    <row r="799">
      <c r="A799" t="inlineStr">
        <is>
          <t>Mod</t>
        </is>
      </c>
      <c r="B799" t="inlineStr">
        <is>
          <t>Health Conversion</t>
        </is>
      </c>
      <c r="E799" t="inlineStr">
        <is>
          <t>Warframe</t>
        </is>
      </c>
      <c r="F799" t="n">
        <v>5</v>
      </c>
      <c r="G799" t="n">
        <v>1</v>
      </c>
      <c r="H799" t="inlineStr">
        <is>
          <t>Player trade (max rank)</t>
        </is>
      </c>
      <c r="I799" t="inlineStr">
        <is>
          <t>Yes</t>
        </is>
      </c>
      <c r="K799" t="inlineStr">
        <is>
          <t>Collection</t>
        </is>
      </c>
      <c r="L799" t="n">
        <v>65</v>
      </c>
      <c r="M799" t="n">
        <v>70</v>
      </c>
      <c r="N799" t="n">
        <v>77</v>
      </c>
      <c r="O799" t="inlineStr">
        <is>
          <t>2026-10-05 UTC (WFM pull 02:52-04:00)</t>
        </is>
      </c>
      <c r="P799" t="inlineStr">
        <is>
          <t>OK</t>
        </is>
      </c>
      <c r="R799" t="inlineStr">
        <is>
          <t>Every current tradeable mod at MAX RANK (WFM catalogue, rivens/locators excluded)</t>
        </is>
      </c>
      <c r="S799" t="inlineStr">
        <is>
          <t>health_conversion</t>
        </is>
      </c>
      <c r="T799" t="n">
        <v>9</v>
      </c>
      <c r="U799" t="n">
        <v>9</v>
      </c>
      <c r="V799" t="n">
        <v>56</v>
      </c>
      <c r="W799" t="n">
        <v>59.5</v>
      </c>
      <c r="X799" t="n">
        <v>57.4</v>
      </c>
      <c r="Y799" t="n">
        <v>2764</v>
      </c>
      <c r="Z799" t="n">
        <v>58</v>
      </c>
      <c r="AA799" t="n">
        <v>41</v>
      </c>
      <c r="AB799" t="n">
        <v>24</v>
      </c>
      <c r="AN799" t="inlineStr">
        <is>
          <t>Warframe</t>
        </is>
      </c>
      <c r="AO799" t="n">
        <v>930</v>
      </c>
      <c r="AP799" t="n">
        <v>44919</v>
      </c>
      <c r="AQ799" t="n">
        <v>59</v>
      </c>
      <c r="AS799" t="inlineStr">
        <is>
          <t>Yes</t>
        </is>
      </c>
    </row>
    <row r="800">
      <c r="A800" t="inlineStr">
        <is>
          <t>Mod</t>
        </is>
      </c>
      <c r="B800" t="inlineStr">
        <is>
          <t>Heartseeker</t>
        </is>
      </c>
      <c r="E800" t="inlineStr">
        <is>
          <t>Conclave (PvP)</t>
        </is>
      </c>
      <c r="F800" t="n">
        <v>3</v>
      </c>
      <c r="G800" t="n">
        <v>1</v>
      </c>
      <c r="H800" t="inlineStr">
        <is>
          <t>Player trade (max rank)</t>
        </is>
      </c>
      <c r="I800" t="inlineStr">
        <is>
          <t>Yes</t>
        </is>
      </c>
      <c r="K800" t="inlineStr">
        <is>
          <t>Collection (PvP)</t>
        </is>
      </c>
      <c r="L800" t="n">
        <v>300</v>
      </c>
      <c r="M800" t="n">
        <v>300</v>
      </c>
      <c r="N800" t="n">
        <v>330</v>
      </c>
      <c r="O800" t="inlineStr">
        <is>
          <t>2026-10-05 UTC (WFM pull 02:52-04:00)</t>
        </is>
      </c>
      <c r="P800" t="inlineStr">
        <is>
          <t>THIN</t>
        </is>
      </c>
      <c r="R800" t="inlineStr">
        <is>
          <t>Every current tradeable mod at MAX RANK (WFM catalogue, rivens/locators excluded)</t>
        </is>
      </c>
      <c r="S800" t="inlineStr">
        <is>
          <t>heartseeker</t>
        </is>
      </c>
      <c r="T800" t="n">
        <v>2</v>
      </c>
      <c r="U800" t="n">
        <v>0</v>
      </c>
      <c r="V800" t="n">
        <v>30</v>
      </c>
      <c r="W800" t="n">
        <v>30</v>
      </c>
      <c r="X800" t="n">
        <v>30</v>
      </c>
      <c r="Y800" t="n">
        <v>2</v>
      </c>
      <c r="Z800" t="n">
        <v>0</v>
      </c>
      <c r="AN800" t="inlineStr">
        <is>
          <t>Conclave (PvP)</t>
        </is>
      </c>
      <c r="AO800" t="n">
        <v>210</v>
      </c>
      <c r="AP800" t="n">
        <v>10143</v>
      </c>
      <c r="AQ800" t="n">
        <v>50</v>
      </c>
      <c r="AS800" t="inlineStr">
        <is>
          <t>PvP subtotal</t>
        </is>
      </c>
    </row>
    <row r="801">
      <c r="A801" t="inlineStr">
        <is>
          <t>Mod</t>
        </is>
      </c>
      <c r="B801" t="inlineStr">
        <is>
          <t>Hearty Nourishment</t>
        </is>
      </c>
      <c r="E801" t="inlineStr">
        <is>
          <t>Augment Grendel</t>
        </is>
      </c>
      <c r="F801" t="n">
        <v>3</v>
      </c>
      <c r="G801" t="n">
        <v>1</v>
      </c>
      <c r="H801" t="inlineStr">
        <is>
          <t>Player trade (max rank)</t>
        </is>
      </c>
      <c r="I801" t="inlineStr">
        <is>
          <t>Yes</t>
        </is>
      </c>
      <c r="K801" t="inlineStr">
        <is>
          <t>Collection</t>
        </is>
      </c>
      <c r="L801" t="n">
        <v>10</v>
      </c>
      <c r="M801" t="n">
        <v>10</v>
      </c>
      <c r="N801" t="n">
        <v>17</v>
      </c>
      <c r="O801" t="inlineStr">
        <is>
          <t>2026-10-05 UTC (WFM pull 02:52-04:00)</t>
        </is>
      </c>
      <c r="P801" t="inlineStr">
        <is>
          <t>OK</t>
        </is>
      </c>
      <c r="R801" t="inlineStr">
        <is>
          <t>Every current tradeable mod at MAX RANK (WFM catalogue, rivens/locators excluded)</t>
        </is>
      </c>
      <c r="S801" t="inlineStr">
        <is>
          <t>hearty_nourishment</t>
        </is>
      </c>
      <c r="T801" t="n">
        <v>73</v>
      </c>
      <c r="U801" t="n">
        <v>1</v>
      </c>
      <c r="V801" t="n">
        <v>15</v>
      </c>
      <c r="W801" t="n">
        <v>15</v>
      </c>
      <c r="X801" t="n">
        <v>15.2</v>
      </c>
      <c r="Y801" t="n">
        <v>75</v>
      </c>
      <c r="Z801" t="n">
        <v>5</v>
      </c>
      <c r="AN801" t="inlineStr">
        <is>
          <t>Augment Grendel</t>
        </is>
      </c>
      <c r="AO801" t="n">
        <v>210</v>
      </c>
      <c r="AP801" t="n">
        <v>10143</v>
      </c>
      <c r="AQ801" t="n">
        <v>13</v>
      </c>
      <c r="AS801" t="inlineStr">
        <is>
          <t>Yes</t>
        </is>
      </c>
    </row>
    <row r="802">
      <c r="A802" t="inlineStr">
        <is>
          <t>Mod</t>
        </is>
      </c>
      <c r="B802" t="inlineStr">
        <is>
          <t>Heated Charge</t>
        </is>
      </c>
      <c r="E802" t="inlineStr">
        <is>
          <t>Pistol</t>
        </is>
      </c>
      <c r="F802" t="n">
        <v>5</v>
      </c>
      <c r="G802" t="n">
        <v>1</v>
      </c>
      <c r="H802" t="inlineStr">
        <is>
          <t>Player trade (max rank)</t>
        </is>
      </c>
      <c r="I802" t="inlineStr">
        <is>
          <t>Yes</t>
        </is>
      </c>
      <c r="K802" t="inlineStr">
        <is>
          <t>Collection</t>
        </is>
      </c>
      <c r="L802" t="n">
        <v>6</v>
      </c>
      <c r="M802" t="n">
        <v>10</v>
      </c>
      <c r="N802" t="n">
        <v>22</v>
      </c>
      <c r="O802" t="inlineStr">
        <is>
          <t>2026-10-05 UTC (WFM pull 02:52-04:00)</t>
        </is>
      </c>
      <c r="P802" t="inlineStr">
        <is>
          <t>OK</t>
        </is>
      </c>
      <c r="R802" t="inlineStr">
        <is>
          <t>Every current tradeable mod at MAX RANK (WFM catalogue, rivens/locators excluded)</t>
        </is>
      </c>
      <c r="S802" t="inlineStr">
        <is>
          <t>heated_charge</t>
        </is>
      </c>
      <c r="T802" t="n">
        <v>8</v>
      </c>
      <c r="U802" t="n">
        <v>8</v>
      </c>
      <c r="V802" t="n">
        <v>9</v>
      </c>
      <c r="W802" t="n">
        <v>8</v>
      </c>
      <c r="X802" t="n">
        <v>8.1</v>
      </c>
      <c r="Y802" t="n">
        <v>28</v>
      </c>
      <c r="Z802" t="n">
        <v>1</v>
      </c>
      <c r="AN802" t="inlineStr">
        <is>
          <t>Pistol</t>
        </is>
      </c>
      <c r="AO802" t="n">
        <v>620</v>
      </c>
      <c r="AP802" t="n">
        <v>29946</v>
      </c>
      <c r="AQ802" t="n">
        <v>3</v>
      </c>
      <c r="AS802" t="inlineStr">
        <is>
          <t>Yes</t>
        </is>
      </c>
    </row>
    <row r="803">
      <c r="A803" t="inlineStr">
        <is>
          <t>Mod</t>
        </is>
      </c>
      <c r="B803" t="inlineStr">
        <is>
          <t>Heavy Caliber</t>
        </is>
      </c>
      <c r="E803" t="inlineStr">
        <is>
          <t>Rifle</t>
        </is>
      </c>
      <c r="F803" t="n">
        <v>10</v>
      </c>
      <c r="G803" t="n">
        <v>1</v>
      </c>
      <c r="H803" t="inlineStr">
        <is>
          <t>Player trade (max rank)</t>
        </is>
      </c>
      <c r="I803" t="inlineStr">
        <is>
          <t>Yes</t>
        </is>
      </c>
      <c r="K803" t="inlineStr">
        <is>
          <t>Collection</t>
        </is>
      </c>
      <c r="L803" t="n">
        <v>70</v>
      </c>
      <c r="M803" t="n">
        <v>79</v>
      </c>
      <c r="N803" t="n">
        <v>94</v>
      </c>
      <c r="O803" t="inlineStr">
        <is>
          <t>2026-10-05 UTC (WFM pull 02:52-04:00)</t>
        </is>
      </c>
      <c r="P803" t="inlineStr">
        <is>
          <t>OK</t>
        </is>
      </c>
      <c r="R803" t="inlineStr">
        <is>
          <t>Every current tradeable mod at MAX RANK (WFM catalogue, rivens/locators excluded)</t>
        </is>
      </c>
      <c r="S803" t="inlineStr">
        <is>
          <t>heavy_caliber</t>
        </is>
      </c>
      <c r="T803" t="n">
        <v>12</v>
      </c>
      <c r="U803" t="n">
        <v>12</v>
      </c>
      <c r="V803" t="n">
        <v>65</v>
      </c>
      <c r="W803" t="n">
        <v>65</v>
      </c>
      <c r="X803" t="n">
        <v>64.2</v>
      </c>
      <c r="Y803" t="n">
        <v>2287</v>
      </c>
      <c r="Z803" t="n">
        <v>54</v>
      </c>
      <c r="AA803" t="n">
        <v>53</v>
      </c>
      <c r="AB803" t="n">
        <v>17</v>
      </c>
      <c r="AN803" t="inlineStr">
        <is>
          <t>Rifle</t>
        </is>
      </c>
      <c r="AO803" t="n">
        <v>30690</v>
      </c>
      <c r="AP803" t="n">
        <v>1482327</v>
      </c>
      <c r="AQ803" t="n">
        <v>8</v>
      </c>
      <c r="AS803" t="inlineStr">
        <is>
          <t>Yes</t>
        </is>
      </c>
    </row>
    <row r="804">
      <c r="A804" t="inlineStr">
        <is>
          <t>Mod</t>
        </is>
      </c>
      <c r="B804" t="inlineStr">
        <is>
          <t>Heavy Impact</t>
        </is>
      </c>
      <c r="E804" t="inlineStr">
        <is>
          <t>Warframe</t>
        </is>
      </c>
      <c r="F804" t="n">
        <v>5</v>
      </c>
      <c r="G804" t="n">
        <v>1</v>
      </c>
      <c r="H804" t="inlineStr">
        <is>
          <t>Player trade (max rank)</t>
        </is>
      </c>
      <c r="I804" t="inlineStr">
        <is>
          <t>Yes</t>
        </is>
      </c>
      <c r="K804" t="inlineStr">
        <is>
          <t>Collection</t>
        </is>
      </c>
      <c r="L804" t="n">
        <v>9</v>
      </c>
      <c r="M804" t="n">
        <v>13.5</v>
      </c>
      <c r="N804" t="n">
        <v>30</v>
      </c>
      <c r="O804" t="inlineStr">
        <is>
          <t>2026-10-05 UTC (WFM pull 02:52-04:00)</t>
        </is>
      </c>
      <c r="P804" t="inlineStr">
        <is>
          <t>OK</t>
        </is>
      </c>
      <c r="R804" t="inlineStr">
        <is>
          <t>Every current tradeable mod at MAX RANK (WFM catalogue, rivens/locators excluded)</t>
        </is>
      </c>
      <c r="S804" t="inlineStr">
        <is>
          <t>heavy_impact</t>
        </is>
      </c>
      <c r="T804" t="n">
        <v>4</v>
      </c>
      <c r="U804" t="n">
        <v>4</v>
      </c>
      <c r="V804" t="n">
        <v>9</v>
      </c>
      <c r="W804" t="n">
        <v>8</v>
      </c>
      <c r="X804" t="n">
        <v>7.3</v>
      </c>
      <c r="Y804" t="n">
        <v>3</v>
      </c>
      <c r="Z804" t="n">
        <v>0</v>
      </c>
      <c r="AN804" t="inlineStr">
        <is>
          <t>Warframe</t>
        </is>
      </c>
      <c r="AO804" t="n">
        <v>620</v>
      </c>
      <c r="AP804" t="n">
        <v>29946</v>
      </c>
      <c r="AQ804" t="n">
        <v>3</v>
      </c>
      <c r="AS804" t="inlineStr">
        <is>
          <t>Yes</t>
        </is>
      </c>
    </row>
    <row r="805">
      <c r="A805" t="inlineStr">
        <is>
          <t>Mod</t>
        </is>
      </c>
      <c r="B805" t="inlineStr">
        <is>
          <t>Heavy Trauma</t>
        </is>
      </c>
      <c r="E805" t="inlineStr">
        <is>
          <t>Melee</t>
        </is>
      </c>
      <c r="F805" t="n">
        <v>5</v>
      </c>
      <c r="G805" t="n">
        <v>1</v>
      </c>
      <c r="H805" t="inlineStr">
        <is>
          <t>Player trade (max rank)</t>
        </is>
      </c>
      <c r="I805" t="inlineStr">
        <is>
          <t>Yes</t>
        </is>
      </c>
      <c r="K805" t="inlineStr">
        <is>
          <t>Collection</t>
        </is>
      </c>
      <c r="L805" t="n">
        <v>2</v>
      </c>
      <c r="M805" t="n">
        <v>6</v>
      </c>
      <c r="N805" t="n">
        <v>11</v>
      </c>
      <c r="O805" t="inlineStr">
        <is>
          <t>2026-10-05 UTC (WFM pull 02:52-04:00)</t>
        </is>
      </c>
      <c r="P805" t="inlineStr">
        <is>
          <t>OK</t>
        </is>
      </c>
      <c r="R805" t="inlineStr">
        <is>
          <t>Every current tradeable mod at MAX RANK (WFM catalogue, rivens/locators excluded)</t>
        </is>
      </c>
      <c r="S805" t="inlineStr">
        <is>
          <t>heavy_trauma</t>
        </is>
      </c>
      <c r="T805" t="n">
        <v>8</v>
      </c>
      <c r="U805" t="n">
        <v>8</v>
      </c>
      <c r="V805" t="n">
        <v>4</v>
      </c>
      <c r="W805" t="n">
        <v>7</v>
      </c>
      <c r="X805" t="n">
        <v>8.4</v>
      </c>
      <c r="Y805" t="n">
        <v>20</v>
      </c>
      <c r="Z805" t="n">
        <v>0</v>
      </c>
      <c r="AN805" t="inlineStr">
        <is>
          <t>Melee</t>
        </is>
      </c>
      <c r="AO805" t="n">
        <v>930</v>
      </c>
      <c r="AP805" t="n">
        <v>44919</v>
      </c>
      <c r="AQ805" t="n">
        <v>3</v>
      </c>
      <c r="AS805" t="inlineStr">
        <is>
          <t>Yes</t>
        </is>
      </c>
    </row>
    <row r="806">
      <c r="A806" t="inlineStr">
        <is>
          <t>Mod</t>
        </is>
      </c>
      <c r="B806" t="inlineStr">
        <is>
          <t>Heavy Warhead</t>
        </is>
      </c>
      <c r="E806" t="inlineStr">
        <is>
          <t>Conclave (PvP)</t>
        </is>
      </c>
      <c r="F806" t="n">
        <v>3</v>
      </c>
      <c r="G806" t="n">
        <v>1</v>
      </c>
      <c r="H806" t="inlineStr">
        <is>
          <t>Player trade (max rank)</t>
        </is>
      </c>
      <c r="I806" t="inlineStr">
        <is>
          <t>Yes</t>
        </is>
      </c>
      <c r="K806" t="inlineStr">
        <is>
          <t>Collection (PvP)</t>
        </is>
      </c>
      <c r="L806" t="n">
        <v>13</v>
      </c>
      <c r="M806" t="n">
        <v>30</v>
      </c>
      <c r="N806" t="n">
        <v>44</v>
      </c>
      <c r="O806" t="inlineStr">
        <is>
          <t>2026-10-05 UTC (WFM pull 02:52-04:00)</t>
        </is>
      </c>
      <c r="P806" t="inlineStr">
        <is>
          <t>OK</t>
        </is>
      </c>
      <c r="R806" t="inlineStr">
        <is>
          <t>Every current tradeable mod at MAX RANK (WFM catalogue, rivens/locators excluded)</t>
        </is>
      </c>
      <c r="S806" t="inlineStr">
        <is>
          <t>heavy_warhead</t>
        </is>
      </c>
      <c r="T806" t="n">
        <v>13</v>
      </c>
      <c r="U806" t="n">
        <v>0</v>
      </c>
      <c r="Y806" t="n">
        <v>0</v>
      </c>
      <c r="Z806" t="n">
        <v>0</v>
      </c>
      <c r="AN806" t="inlineStr">
        <is>
          <t>Conclave (PvP)</t>
        </is>
      </c>
      <c r="AO806" t="n">
        <v>210</v>
      </c>
      <c r="AP806" t="n">
        <v>10143</v>
      </c>
      <c r="AQ806" t="n">
        <v>7.5</v>
      </c>
      <c r="AS806" t="inlineStr">
        <is>
          <t>PvP subtotal</t>
        </is>
      </c>
    </row>
    <row r="807">
      <c r="A807" t="inlineStr">
        <is>
          <t>Mod</t>
        </is>
      </c>
      <c r="B807" t="inlineStr">
        <is>
          <t>Heightened Reflexes</t>
        </is>
      </c>
      <c r="E807" t="inlineStr">
        <is>
          <t>Conclave (PvP)</t>
        </is>
      </c>
      <c r="F807" t="n">
        <v>3</v>
      </c>
      <c r="G807" t="n">
        <v>1</v>
      </c>
      <c r="H807" t="inlineStr">
        <is>
          <t>Player trade (max rank)</t>
        </is>
      </c>
      <c r="I807" t="inlineStr">
        <is>
          <t>Yes</t>
        </is>
      </c>
      <c r="K807" t="inlineStr">
        <is>
          <t>Collection (PvP)</t>
        </is>
      </c>
      <c r="L807" t="n">
        <v>15</v>
      </c>
      <c r="M807" t="n">
        <v>15</v>
      </c>
      <c r="N807" t="n">
        <v>33</v>
      </c>
      <c r="O807" t="inlineStr">
        <is>
          <t>2026-10-05 UTC (WFM pull 02:52-04:00)</t>
        </is>
      </c>
      <c r="P807" t="inlineStr">
        <is>
          <t>OK</t>
        </is>
      </c>
      <c r="R807" t="inlineStr">
        <is>
          <t>Every current tradeable mod at MAX RANK (WFM catalogue, rivens/locators excluded)</t>
        </is>
      </c>
      <c r="S807" t="inlineStr">
        <is>
          <t>heightened_reflexes</t>
        </is>
      </c>
      <c r="T807" t="n">
        <v>11</v>
      </c>
      <c r="U807" t="n">
        <v>0</v>
      </c>
      <c r="W807" t="n">
        <v>10</v>
      </c>
      <c r="X807" t="n">
        <v>10</v>
      </c>
      <c r="Y807" t="n">
        <v>2</v>
      </c>
      <c r="Z807" t="n">
        <v>0</v>
      </c>
      <c r="AN807" t="inlineStr">
        <is>
          <t>Conclave (PvP)</t>
        </is>
      </c>
      <c r="AO807" t="n">
        <v>210</v>
      </c>
      <c r="AP807" t="n">
        <v>10143</v>
      </c>
      <c r="AQ807" t="n">
        <v>10</v>
      </c>
      <c r="AS807" t="inlineStr">
        <is>
          <t>PvP subtotal</t>
        </is>
      </c>
    </row>
    <row r="808">
      <c r="A808" t="inlineStr">
        <is>
          <t>Mod</t>
        </is>
      </c>
      <c r="B808" t="inlineStr">
        <is>
          <t>Hellfire</t>
        </is>
      </c>
      <c r="E808" t="inlineStr">
        <is>
          <t>Rifle</t>
        </is>
      </c>
      <c r="F808" t="n">
        <v>5</v>
      </c>
      <c r="G808" t="n">
        <v>1</v>
      </c>
      <c r="H808" t="inlineStr">
        <is>
          <t>Player trade (max rank)</t>
        </is>
      </c>
      <c r="I808" t="inlineStr">
        <is>
          <t>Yes</t>
        </is>
      </c>
      <c r="K808" t="inlineStr">
        <is>
          <t>Collection</t>
        </is>
      </c>
      <c r="L808" t="n">
        <v>9</v>
      </c>
      <c r="M808" t="n">
        <v>12.5</v>
      </c>
      <c r="N808" t="n">
        <v>28</v>
      </c>
      <c r="O808" t="inlineStr">
        <is>
          <t>2026-10-05 UTC (WFM pull 02:52-04:00)</t>
        </is>
      </c>
      <c r="P808" t="inlineStr">
        <is>
          <t>OK</t>
        </is>
      </c>
      <c r="R808" t="inlineStr">
        <is>
          <t>Every current tradeable mod at MAX RANK (WFM catalogue, rivens/locators excluded)</t>
        </is>
      </c>
      <c r="S808" t="inlineStr">
        <is>
          <t>hellfire</t>
        </is>
      </c>
      <c r="T808" t="n">
        <v>4</v>
      </c>
      <c r="U808" t="n">
        <v>4</v>
      </c>
      <c r="V808" t="n">
        <v>10</v>
      </c>
      <c r="W808" t="n">
        <v>10</v>
      </c>
      <c r="X808" t="n">
        <v>9.699999999999999</v>
      </c>
      <c r="Y808" t="n">
        <v>130</v>
      </c>
      <c r="Z808" t="n">
        <v>2</v>
      </c>
      <c r="AN808" t="inlineStr">
        <is>
          <t>Rifle</t>
        </is>
      </c>
      <c r="AO808" t="n">
        <v>620</v>
      </c>
      <c r="AP808" t="n">
        <v>29946</v>
      </c>
      <c r="AQ808" t="n">
        <v>4</v>
      </c>
      <c r="AS808" t="inlineStr">
        <is>
          <t>Yes</t>
        </is>
      </c>
    </row>
    <row r="809">
      <c r="A809" t="inlineStr">
        <is>
          <t>Mod</t>
        </is>
      </c>
      <c r="B809" t="inlineStr">
        <is>
          <t>Hell's Chamber</t>
        </is>
      </c>
      <c r="E809" t="inlineStr">
        <is>
          <t>Shotgun</t>
        </is>
      </c>
      <c r="F809" t="n">
        <v>5</v>
      </c>
      <c r="G809" t="n">
        <v>1</v>
      </c>
      <c r="H809" t="inlineStr">
        <is>
          <t>Player trade (max rank)</t>
        </is>
      </c>
      <c r="I809" t="inlineStr">
        <is>
          <t>Yes</t>
        </is>
      </c>
      <c r="K809" t="inlineStr">
        <is>
          <t>Collection</t>
        </is>
      </c>
      <c r="L809" t="n">
        <v>7</v>
      </c>
      <c r="M809" t="n">
        <v>9</v>
      </c>
      <c r="N809" t="n">
        <v>11</v>
      </c>
      <c r="O809" t="inlineStr">
        <is>
          <t>2026-10-05 UTC (WFM pull 02:52-04:00)</t>
        </is>
      </c>
      <c r="P809" t="inlineStr">
        <is>
          <t>OK</t>
        </is>
      </c>
      <c r="R809" t="inlineStr">
        <is>
          <t>Every current tradeable mod at MAX RANK (WFM catalogue, rivens/locators excluded)</t>
        </is>
      </c>
      <c r="S809" t="inlineStr">
        <is>
          <t>hells_chamber</t>
        </is>
      </c>
      <c r="T809" t="n">
        <v>11</v>
      </c>
      <c r="U809" t="n">
        <v>11</v>
      </c>
      <c r="V809" t="n">
        <v>7</v>
      </c>
      <c r="W809" t="n">
        <v>5</v>
      </c>
      <c r="X809" t="n">
        <v>6.1</v>
      </c>
      <c r="Y809" t="n">
        <v>89</v>
      </c>
      <c r="Z809" t="n">
        <v>4</v>
      </c>
      <c r="AN809" t="inlineStr">
        <is>
          <t>Shotgun</t>
        </is>
      </c>
      <c r="AO809" t="n">
        <v>930</v>
      </c>
      <c r="AP809" t="n">
        <v>44919</v>
      </c>
      <c r="AQ809" t="n">
        <v>2</v>
      </c>
      <c r="AS809" t="inlineStr">
        <is>
          <t>Yes</t>
        </is>
      </c>
    </row>
    <row r="810">
      <c r="A810" t="inlineStr">
        <is>
          <t>Mod</t>
        </is>
      </c>
      <c r="B810" t="inlineStr">
        <is>
          <t>Hemorrhage</t>
        </is>
      </c>
      <c r="E810" t="inlineStr">
        <is>
          <t>Pistol</t>
        </is>
      </c>
      <c r="F810" t="n">
        <v>5</v>
      </c>
      <c r="G810" t="n">
        <v>1</v>
      </c>
      <c r="H810" t="inlineStr">
        <is>
          <t>Player trade (max rank)</t>
        </is>
      </c>
      <c r="I810" t="inlineStr">
        <is>
          <t>Yes</t>
        </is>
      </c>
      <c r="K810" t="inlineStr">
        <is>
          <t>Collection</t>
        </is>
      </c>
      <c r="L810" t="n">
        <v>9</v>
      </c>
      <c r="M810" t="n">
        <v>22.5</v>
      </c>
      <c r="N810" t="n">
        <v>50</v>
      </c>
      <c r="O810" t="inlineStr">
        <is>
          <t>2026-10-05 UTC (WFM pull 02:52-04:00)</t>
        </is>
      </c>
      <c r="P810" t="inlineStr">
        <is>
          <t>OK</t>
        </is>
      </c>
      <c r="R810" t="inlineStr">
        <is>
          <t>Every current tradeable mod at MAX RANK (WFM catalogue, rivens/locators excluded)</t>
        </is>
      </c>
      <c r="S810" t="inlineStr">
        <is>
          <t>hemorrhage</t>
        </is>
      </c>
      <c r="T810" t="n">
        <v>5</v>
      </c>
      <c r="U810" t="n">
        <v>5</v>
      </c>
      <c r="V810" t="n">
        <v>15</v>
      </c>
      <c r="W810" t="n">
        <v>15</v>
      </c>
      <c r="X810" t="n">
        <v>16.1</v>
      </c>
      <c r="Y810" t="n">
        <v>100</v>
      </c>
      <c r="Z810" t="n">
        <v>3</v>
      </c>
      <c r="AA810" t="n">
        <v>5</v>
      </c>
      <c r="AB810" t="n">
        <v>4</v>
      </c>
      <c r="AN810" t="inlineStr">
        <is>
          <t>Pistol</t>
        </is>
      </c>
      <c r="AO810" t="n">
        <v>930</v>
      </c>
      <c r="AP810" t="n">
        <v>44919</v>
      </c>
      <c r="AQ810" t="n">
        <v>9</v>
      </c>
      <c r="AS810" t="inlineStr">
        <is>
          <t>Yes</t>
        </is>
      </c>
    </row>
    <row r="811">
      <c r="A811" t="inlineStr">
        <is>
          <t>Mod</t>
        </is>
      </c>
      <c r="B811" t="inlineStr">
        <is>
          <t>Higasa Serration</t>
        </is>
      </c>
      <c r="E811" t="inlineStr">
        <is>
          <t>Augment Higasa</t>
        </is>
      </c>
      <c r="F811" t="n">
        <v>5</v>
      </c>
      <c r="G811" t="n">
        <v>1</v>
      </c>
      <c r="H811" t="inlineStr">
        <is>
          <t>Player trade (max rank)</t>
        </is>
      </c>
      <c r="I811" t="inlineStr">
        <is>
          <t>Yes</t>
        </is>
      </c>
      <c r="K811" t="inlineStr">
        <is>
          <t>Collection</t>
        </is>
      </c>
      <c r="L811" t="n">
        <v>25</v>
      </c>
      <c r="M811" t="n">
        <v>35</v>
      </c>
      <c r="N811" t="n">
        <v>47</v>
      </c>
      <c r="O811" t="inlineStr">
        <is>
          <t>2026-10-05 UTC (WFM pull 02:52-04:00)</t>
        </is>
      </c>
      <c r="P811" t="inlineStr">
        <is>
          <t>OK</t>
        </is>
      </c>
      <c r="R811" t="inlineStr">
        <is>
          <t>Every current tradeable mod at MAX RANK (WFM catalogue, rivens/locators excluded)</t>
        </is>
      </c>
      <c r="S811" t="inlineStr">
        <is>
          <t>higasa_serration</t>
        </is>
      </c>
      <c r="T811" t="n">
        <v>50</v>
      </c>
      <c r="U811" t="n">
        <v>2</v>
      </c>
      <c r="V811" t="n">
        <v>42.5</v>
      </c>
      <c r="W811" t="n">
        <v>40</v>
      </c>
      <c r="X811" t="n">
        <v>41.6</v>
      </c>
      <c r="Y811" t="n">
        <v>106</v>
      </c>
      <c r="Z811" t="n">
        <v>4</v>
      </c>
      <c r="AA811" t="n">
        <v>15</v>
      </c>
      <c r="AB811" t="n">
        <v>10</v>
      </c>
      <c r="AN811" t="inlineStr">
        <is>
          <t>Augment Higasa</t>
        </is>
      </c>
      <c r="AO811" t="n">
        <v>930</v>
      </c>
      <c r="AP811" t="n">
        <v>44919</v>
      </c>
      <c r="AQ811" t="n">
        <v>40</v>
      </c>
      <c r="AS811" t="inlineStr">
        <is>
          <t>Yes</t>
        </is>
      </c>
    </row>
    <row r="812">
      <c r="A812" t="inlineStr">
        <is>
          <t>Mod</t>
        </is>
      </c>
      <c r="B812" t="inlineStr">
        <is>
          <t>High Noon</t>
        </is>
      </c>
      <c r="E812" t="inlineStr">
        <is>
          <t>Stance</t>
        </is>
      </c>
      <c r="F812" t="n">
        <v>3</v>
      </c>
      <c r="G812" t="n">
        <v>1</v>
      </c>
      <c r="H812" t="inlineStr">
        <is>
          <t>Player trade (max rank)</t>
        </is>
      </c>
      <c r="I812" t="inlineStr">
        <is>
          <t>Yes</t>
        </is>
      </c>
      <c r="K812" t="inlineStr">
        <is>
          <t>Collection</t>
        </is>
      </c>
      <c r="L812" t="n">
        <v>10</v>
      </c>
      <c r="M812" t="n">
        <v>15</v>
      </c>
      <c r="N812" t="n">
        <v>33</v>
      </c>
      <c r="O812" t="inlineStr">
        <is>
          <t>2026-10-05 UTC (WFM pull 02:52-04:00)</t>
        </is>
      </c>
      <c r="P812" t="inlineStr">
        <is>
          <t>OK</t>
        </is>
      </c>
      <c r="R812" t="inlineStr">
        <is>
          <t>Every current tradeable mod at MAX RANK (WFM catalogue, rivens/locators excluded)</t>
        </is>
      </c>
      <c r="S812" t="inlineStr">
        <is>
          <t>high_noon</t>
        </is>
      </c>
      <c r="T812" t="n">
        <v>6</v>
      </c>
      <c r="U812" t="n">
        <v>6</v>
      </c>
      <c r="V812" t="n">
        <v>10</v>
      </c>
      <c r="W812" t="n">
        <v>10</v>
      </c>
      <c r="X812" t="n">
        <v>9.300000000000001</v>
      </c>
      <c r="Y812" t="n">
        <v>119</v>
      </c>
      <c r="Z812" t="n">
        <v>0</v>
      </c>
      <c r="AN812" t="inlineStr">
        <is>
          <t>Stance</t>
        </is>
      </c>
      <c r="AO812" t="n">
        <v>210</v>
      </c>
      <c r="AP812" t="n">
        <v>10143</v>
      </c>
      <c r="AQ812" t="n">
        <v>5</v>
      </c>
      <c r="AS812" t="inlineStr">
        <is>
          <t>Yes</t>
        </is>
      </c>
    </row>
    <row r="813">
      <c r="A813" t="inlineStr">
        <is>
          <t>Mod</t>
        </is>
      </c>
      <c r="B813" t="inlineStr">
        <is>
          <t>High Voltage</t>
        </is>
      </c>
      <c r="E813" t="inlineStr">
        <is>
          <t>Rifle</t>
        </is>
      </c>
      <c r="F813" t="n">
        <v>3</v>
      </c>
      <c r="G813" t="n">
        <v>1</v>
      </c>
      <c r="H813" t="inlineStr">
        <is>
          <t>Player trade (max rank)</t>
        </is>
      </c>
      <c r="I813" t="inlineStr">
        <is>
          <t>Yes</t>
        </is>
      </c>
      <c r="K813" t="inlineStr">
        <is>
          <t>Collection</t>
        </is>
      </c>
      <c r="L813" t="n">
        <v>55</v>
      </c>
      <c r="M813" t="n">
        <v>55</v>
      </c>
      <c r="N813" t="n">
        <v>66</v>
      </c>
      <c r="O813" t="inlineStr">
        <is>
          <t>2026-10-05 UTC (WFM pull 02:52-04:00)</t>
        </is>
      </c>
      <c r="P813" t="inlineStr">
        <is>
          <t>OK</t>
        </is>
      </c>
      <c r="R813" t="inlineStr">
        <is>
          <t>Every current tradeable mod at MAX RANK (WFM catalogue, rivens/locators excluded)</t>
        </is>
      </c>
      <c r="S813" t="inlineStr">
        <is>
          <t>high_voltage</t>
        </is>
      </c>
      <c r="T813" t="n">
        <v>22</v>
      </c>
      <c r="U813" t="n">
        <v>22</v>
      </c>
      <c r="V813" t="n">
        <v>45</v>
      </c>
      <c r="W813" t="n">
        <v>40</v>
      </c>
      <c r="X813" t="n">
        <v>41.3</v>
      </c>
      <c r="Y813" t="n">
        <v>3658</v>
      </c>
      <c r="Z813" t="n">
        <v>71</v>
      </c>
      <c r="AA813" t="n">
        <v>37</v>
      </c>
      <c r="AB813" t="n">
        <v>18</v>
      </c>
      <c r="AN813" t="inlineStr">
        <is>
          <t>Rifle</t>
        </is>
      </c>
      <c r="AO813" t="n">
        <v>210</v>
      </c>
      <c r="AP813" t="n">
        <v>10143</v>
      </c>
      <c r="AQ813" t="n">
        <v>50</v>
      </c>
      <c r="AS813" t="inlineStr">
        <is>
          <t>Yes</t>
        </is>
      </c>
    </row>
    <row r="814">
      <c r="A814" t="inlineStr">
        <is>
          <t>Mod</t>
        </is>
      </c>
      <c r="B814" t="inlineStr">
        <is>
          <t>Hit And Run</t>
        </is>
      </c>
      <c r="E814" t="inlineStr">
        <is>
          <t>Parazon</t>
        </is>
      </c>
      <c r="G814" t="n">
        <v>1</v>
      </c>
      <c r="H814" t="inlineStr">
        <is>
          <t>Player trade (max rank)</t>
        </is>
      </c>
      <c r="I814" t="inlineStr">
        <is>
          <t>Yes</t>
        </is>
      </c>
      <c r="K814" t="inlineStr">
        <is>
          <t>Collection</t>
        </is>
      </c>
      <c r="L814" t="n">
        <v>4</v>
      </c>
      <c r="M814" t="n">
        <v>4</v>
      </c>
      <c r="N814" t="n">
        <v>9</v>
      </c>
      <c r="O814" t="inlineStr">
        <is>
          <t>2026-10-05 UTC (WFM pull 02:52-04:00)</t>
        </is>
      </c>
      <c r="P814" t="inlineStr">
        <is>
          <t>OK</t>
        </is>
      </c>
      <c r="R814" t="inlineStr">
        <is>
          <t>Every current tradeable mod at MAX RANK (WFM catalogue, rivens/locators excluded)</t>
        </is>
      </c>
      <c r="S814" t="inlineStr">
        <is>
          <t>hit_and_run</t>
        </is>
      </c>
      <c r="T814" t="n">
        <v>3</v>
      </c>
      <c r="U814" t="n">
        <v>3</v>
      </c>
      <c r="V814" t="n">
        <v>5</v>
      </c>
      <c r="W814" t="n">
        <v>4.5</v>
      </c>
      <c r="X814" t="n">
        <v>4.7</v>
      </c>
      <c r="Y814" t="n">
        <v>79</v>
      </c>
      <c r="Z814" t="n">
        <v>1</v>
      </c>
      <c r="AN814" t="inlineStr">
        <is>
          <t>Parazon</t>
        </is>
      </c>
      <c r="AO814" t="n">
        <v>0</v>
      </c>
      <c r="AP814" t="n">
        <v>0</v>
      </c>
      <c r="AS814" t="inlineStr">
        <is>
          <t>Yes</t>
        </is>
      </c>
    </row>
    <row r="815">
      <c r="A815" t="inlineStr">
        <is>
          <t>Mod</t>
        </is>
      </c>
      <c r="B815" t="inlineStr">
        <is>
          <t>Hok-Kaal</t>
        </is>
      </c>
      <c r="E815" t="inlineStr">
        <is>
          <t>Antique</t>
        </is>
      </c>
      <c r="F815" t="n">
        <v>5</v>
      </c>
      <c r="G815" t="n">
        <v>1</v>
      </c>
      <c r="H815" t="inlineStr">
        <is>
          <t>Player trade (max rank)</t>
        </is>
      </c>
      <c r="I815" t="inlineStr">
        <is>
          <t>Yes</t>
        </is>
      </c>
      <c r="K815" t="inlineStr">
        <is>
          <t>Collection</t>
        </is>
      </c>
      <c r="L815" t="n">
        <v>35</v>
      </c>
      <c r="M815" t="n">
        <v>35</v>
      </c>
      <c r="N815" t="n">
        <v>77</v>
      </c>
      <c r="O815" t="inlineStr">
        <is>
          <t>2026-10-05 UTC (WFM pull 02:52-04:00)</t>
        </is>
      </c>
      <c r="P815" t="inlineStr">
        <is>
          <t>OK</t>
        </is>
      </c>
      <c r="R815" t="inlineStr">
        <is>
          <t>Every current tradeable mod at MAX RANK (WFM catalogue, rivens/locators excluded)</t>
        </is>
      </c>
      <c r="S815" t="inlineStr">
        <is>
          <t>hok_kaal</t>
        </is>
      </c>
      <c r="T815" t="n">
        <v>3</v>
      </c>
      <c r="U815" t="n">
        <v>3</v>
      </c>
      <c r="V815" t="n">
        <v>20</v>
      </c>
      <c r="W815" t="n">
        <v>20</v>
      </c>
      <c r="X815" t="n">
        <v>19.8</v>
      </c>
      <c r="Y815" t="n">
        <v>155</v>
      </c>
      <c r="Z815" t="n">
        <v>3</v>
      </c>
      <c r="AN815" t="inlineStr">
        <is>
          <t>Antique</t>
        </is>
      </c>
      <c r="AO815" t="n">
        <v>310</v>
      </c>
      <c r="AP815" t="n">
        <v>14973</v>
      </c>
      <c r="AQ815" t="n">
        <v>4</v>
      </c>
      <c r="AS815" t="inlineStr">
        <is>
          <t>Yes</t>
        </is>
      </c>
    </row>
    <row r="816">
      <c r="A816" t="inlineStr">
        <is>
          <t>Mod</t>
        </is>
      </c>
      <c r="B816" t="inlineStr">
        <is>
          <t>Hollow Point</t>
        </is>
      </c>
      <c r="E816" t="inlineStr">
        <is>
          <t>Pistol</t>
        </is>
      </c>
      <c r="F816" t="n">
        <v>5</v>
      </c>
      <c r="G816" t="n">
        <v>1</v>
      </c>
      <c r="H816" t="inlineStr">
        <is>
          <t>Player trade (max rank)</t>
        </is>
      </c>
      <c r="I816" t="inlineStr">
        <is>
          <t>Yes</t>
        </is>
      </c>
      <c r="K816" t="inlineStr">
        <is>
          <t>Collection</t>
        </is>
      </c>
      <c r="L816" t="n">
        <v>5</v>
      </c>
      <c r="M816" t="n">
        <v>10</v>
      </c>
      <c r="N816" t="n">
        <v>17</v>
      </c>
      <c r="O816" t="inlineStr">
        <is>
          <t>2026-10-05 UTC (WFM pull 02:52-04:00)</t>
        </is>
      </c>
      <c r="P816" t="inlineStr">
        <is>
          <t>OK</t>
        </is>
      </c>
      <c r="R816" t="inlineStr">
        <is>
          <t>Every current tradeable mod at MAX RANK (WFM catalogue, rivens/locators excluded)</t>
        </is>
      </c>
      <c r="S816" t="inlineStr">
        <is>
          <t>hollow_point</t>
        </is>
      </c>
      <c r="T816" t="n">
        <v>11</v>
      </c>
      <c r="U816" t="n">
        <v>11</v>
      </c>
      <c r="V816" t="n">
        <v>8.5</v>
      </c>
      <c r="W816" t="n">
        <v>9</v>
      </c>
      <c r="X816" t="n">
        <v>9.1</v>
      </c>
      <c r="Y816" t="n">
        <v>196</v>
      </c>
      <c r="Z816" t="n">
        <v>6</v>
      </c>
      <c r="AN816" t="inlineStr">
        <is>
          <t>Pistol</t>
        </is>
      </c>
      <c r="AO816" t="n">
        <v>930</v>
      </c>
      <c r="AP816" t="n">
        <v>44919</v>
      </c>
      <c r="AQ816" t="n">
        <v>2</v>
      </c>
      <c r="AS816" t="inlineStr">
        <is>
          <t>Yes</t>
        </is>
      </c>
    </row>
    <row r="817">
      <c r="A817" t="inlineStr">
        <is>
          <t>Mod</t>
        </is>
      </c>
      <c r="B817" t="inlineStr">
        <is>
          <t>Hollowed Bullets</t>
        </is>
      </c>
      <c r="E817" t="inlineStr">
        <is>
          <t>Archgun</t>
        </is>
      </c>
      <c r="F817" t="n">
        <v>3</v>
      </c>
      <c r="G817" t="n">
        <v>1</v>
      </c>
      <c r="H817" t="inlineStr">
        <is>
          <t>Player trade (max rank)</t>
        </is>
      </c>
      <c r="I817" t="inlineStr">
        <is>
          <t>Yes</t>
        </is>
      </c>
      <c r="K817" t="inlineStr">
        <is>
          <t>Collection</t>
        </is>
      </c>
      <c r="L817" t="n">
        <v>14</v>
      </c>
      <c r="M817" t="n">
        <v>19</v>
      </c>
      <c r="N817" t="n">
        <v>22</v>
      </c>
      <c r="O817" t="inlineStr">
        <is>
          <t>2026-10-05 UTC (WFM pull 02:52-04:00)</t>
        </is>
      </c>
      <c r="P817" t="inlineStr">
        <is>
          <t>OK</t>
        </is>
      </c>
      <c r="R817" t="inlineStr">
        <is>
          <t>Every current tradeable mod at MAX RANK (WFM catalogue, rivens/locators excluded)</t>
        </is>
      </c>
      <c r="S817" t="inlineStr">
        <is>
          <t>hollowed_bullets</t>
        </is>
      </c>
      <c r="T817" t="n">
        <v>10</v>
      </c>
      <c r="U817" t="n">
        <v>10</v>
      </c>
      <c r="V817" t="n">
        <v>15</v>
      </c>
      <c r="W817" t="n">
        <v>15</v>
      </c>
      <c r="X817" t="n">
        <v>15</v>
      </c>
      <c r="Y817" t="n">
        <v>549</v>
      </c>
      <c r="Z817" t="n">
        <v>15</v>
      </c>
      <c r="AN817" t="inlineStr">
        <is>
          <t>Archgun</t>
        </is>
      </c>
      <c r="AO817" t="n">
        <v>210</v>
      </c>
      <c r="AP817" t="n">
        <v>10143</v>
      </c>
      <c r="AQ817" t="n">
        <v>14</v>
      </c>
      <c r="AS817" t="inlineStr">
        <is>
          <t>Yes</t>
        </is>
      </c>
    </row>
    <row r="818">
      <c r="A818" t="inlineStr">
        <is>
          <t>Mod</t>
        </is>
      </c>
      <c r="B818" t="inlineStr">
        <is>
          <t>Holster Amp</t>
        </is>
      </c>
      <c r="E818" t="inlineStr">
        <is>
          <t>Aura</t>
        </is>
      </c>
      <c r="F818" t="n">
        <v>5</v>
      </c>
      <c r="G818" t="n">
        <v>1</v>
      </c>
      <c r="H818" t="inlineStr">
        <is>
          <t>Player trade (max rank)</t>
        </is>
      </c>
      <c r="I818" t="inlineStr">
        <is>
          <t>Yes</t>
        </is>
      </c>
      <c r="K818" t="inlineStr">
        <is>
          <t>Collection</t>
        </is>
      </c>
      <c r="L818" t="n">
        <v>80</v>
      </c>
      <c r="M818" t="n">
        <v>80</v>
      </c>
      <c r="N818" t="n">
        <v>165</v>
      </c>
      <c r="O818" t="inlineStr">
        <is>
          <t>2026-10-05 UTC (WFM pull 02:52-04:00)</t>
        </is>
      </c>
      <c r="P818" t="inlineStr">
        <is>
          <t>OK</t>
        </is>
      </c>
      <c r="R818" t="inlineStr">
        <is>
          <t>Every current tradeable mod at MAX RANK (WFM catalogue, rivens/locators excluded)</t>
        </is>
      </c>
      <c r="S818" t="inlineStr">
        <is>
          <t>holster_amp</t>
        </is>
      </c>
      <c r="T818" t="n">
        <v>3</v>
      </c>
      <c r="U818" t="n">
        <v>3</v>
      </c>
      <c r="V818" t="n">
        <v>20</v>
      </c>
      <c r="W818" t="n">
        <v>22.5</v>
      </c>
      <c r="X818" t="n">
        <v>25</v>
      </c>
      <c r="Y818" t="n">
        <v>143</v>
      </c>
      <c r="Z818" t="n">
        <v>1</v>
      </c>
      <c r="AN818" t="inlineStr">
        <is>
          <t>Aura</t>
        </is>
      </c>
      <c r="AO818" t="n">
        <v>620</v>
      </c>
      <c r="AP818" t="n">
        <v>29946</v>
      </c>
      <c r="AQ818" t="n">
        <v>19</v>
      </c>
      <c r="AS818" t="inlineStr">
        <is>
          <t>Yes</t>
        </is>
      </c>
    </row>
    <row r="819">
      <c r="A819" t="inlineStr">
        <is>
          <t>Mod</t>
        </is>
      </c>
      <c r="B819" t="inlineStr">
        <is>
          <t>Homing Fang</t>
        </is>
      </c>
      <c r="E819" t="inlineStr">
        <is>
          <t>Stance</t>
        </is>
      </c>
      <c r="F819" t="n">
        <v>3</v>
      </c>
      <c r="G819" t="n">
        <v>1</v>
      </c>
      <c r="H819" t="inlineStr">
        <is>
          <t>Player trade (max rank)</t>
        </is>
      </c>
      <c r="I819" t="inlineStr">
        <is>
          <t>Yes</t>
        </is>
      </c>
      <c r="K819" t="inlineStr">
        <is>
          <t>Collection</t>
        </is>
      </c>
      <c r="L819" t="n">
        <v>7</v>
      </c>
      <c r="M819" t="n">
        <v>10</v>
      </c>
      <c r="N819" t="n">
        <v>17</v>
      </c>
      <c r="O819" t="inlineStr">
        <is>
          <t>2026-10-05 UTC (WFM pull 02:52-04:00)</t>
        </is>
      </c>
      <c r="P819" t="inlineStr">
        <is>
          <t>OK</t>
        </is>
      </c>
      <c r="R819" t="inlineStr">
        <is>
          <t>Every current tradeable mod at MAX RANK (WFM catalogue, rivens/locators excluded)</t>
        </is>
      </c>
      <c r="S819" t="inlineStr">
        <is>
          <t>homing_fang</t>
        </is>
      </c>
      <c r="T819" t="n">
        <v>7</v>
      </c>
      <c r="U819" t="n">
        <v>7</v>
      </c>
      <c r="V819" t="n">
        <v>10</v>
      </c>
      <c r="W819" t="n">
        <v>10</v>
      </c>
      <c r="X819" t="n">
        <v>10.3</v>
      </c>
      <c r="Y819" t="n">
        <v>10</v>
      </c>
      <c r="Z819" t="n">
        <v>0</v>
      </c>
      <c r="AN819" t="inlineStr">
        <is>
          <t>Stance</t>
        </is>
      </c>
      <c r="AO819" t="n">
        <v>140</v>
      </c>
      <c r="AP819" t="n">
        <v>6762</v>
      </c>
      <c r="AQ819" t="n">
        <v>4.5</v>
      </c>
      <c r="AS819" t="inlineStr">
        <is>
          <t>Yes</t>
        </is>
      </c>
    </row>
    <row r="820">
      <c r="A820" t="inlineStr">
        <is>
          <t>Mod</t>
        </is>
      </c>
      <c r="B820" t="inlineStr">
        <is>
          <t>Hornet Strike</t>
        </is>
      </c>
      <c r="E820" t="inlineStr">
        <is>
          <t>Pistol</t>
        </is>
      </c>
      <c r="F820" t="n">
        <v>10</v>
      </c>
      <c r="G820" t="n">
        <v>1</v>
      </c>
      <c r="H820" t="inlineStr">
        <is>
          <t>Player trade (max rank)</t>
        </is>
      </c>
      <c r="I820" t="inlineStr">
        <is>
          <t>Yes</t>
        </is>
      </c>
      <c r="K820" t="inlineStr">
        <is>
          <t>Collection</t>
        </is>
      </c>
      <c r="L820" t="n">
        <v>60</v>
      </c>
      <c r="M820" t="n">
        <v>60</v>
      </c>
      <c r="N820" t="n">
        <v>71</v>
      </c>
      <c r="O820" t="inlineStr">
        <is>
          <t>2026-10-05 UTC (WFM pull 02:52-04:00)</t>
        </is>
      </c>
      <c r="P820" t="inlineStr">
        <is>
          <t>OK</t>
        </is>
      </c>
      <c r="R820" t="inlineStr">
        <is>
          <t>Every current tradeable mod at MAX RANK (WFM catalogue, rivens/locators excluded)</t>
        </is>
      </c>
      <c r="S820" t="inlineStr">
        <is>
          <t>hornet_strike</t>
        </is>
      </c>
      <c r="T820" t="n">
        <v>10</v>
      </c>
      <c r="U820" t="n">
        <v>10</v>
      </c>
      <c r="V820" t="n">
        <v>49</v>
      </c>
      <c r="W820" t="n">
        <v>49</v>
      </c>
      <c r="X820" t="n">
        <v>49.3</v>
      </c>
      <c r="Y820" t="n">
        <v>384</v>
      </c>
      <c r="Z820" t="n">
        <v>4</v>
      </c>
      <c r="AN820" t="inlineStr">
        <is>
          <t>Pistol</t>
        </is>
      </c>
      <c r="AO820" t="n">
        <v>20460</v>
      </c>
      <c r="AP820" t="n">
        <v>988218</v>
      </c>
      <c r="AQ820" t="n">
        <v>3.8</v>
      </c>
      <c r="AS820" t="inlineStr">
        <is>
          <t>Yes</t>
        </is>
      </c>
    </row>
    <row r="821">
      <c r="A821" t="inlineStr">
        <is>
          <t>Mod</t>
        </is>
      </c>
      <c r="B821" t="inlineStr">
        <is>
          <t>Howl</t>
        </is>
      </c>
      <c r="E821" t="inlineStr">
        <is>
          <t>Raksa Kubrow</t>
        </is>
      </c>
      <c r="F821" t="n">
        <v>5</v>
      </c>
      <c r="G821" t="n">
        <v>1</v>
      </c>
      <c r="H821" t="inlineStr">
        <is>
          <t>Player trade (max rank)</t>
        </is>
      </c>
      <c r="I821" t="inlineStr">
        <is>
          <t>Yes</t>
        </is>
      </c>
      <c r="K821" t="inlineStr">
        <is>
          <t>Collection</t>
        </is>
      </c>
      <c r="L821" t="n">
        <v>15</v>
      </c>
      <c r="M821" t="n">
        <v>15</v>
      </c>
      <c r="N821" t="n">
        <v>33</v>
      </c>
      <c r="O821" t="inlineStr">
        <is>
          <t>2026-10-05 UTC (WFM pull 02:52-04:00)</t>
        </is>
      </c>
      <c r="P821" t="inlineStr">
        <is>
          <t>OK</t>
        </is>
      </c>
      <c r="R821" t="inlineStr">
        <is>
          <t>Every current tradeable mod at MAX RANK (WFM catalogue, rivens/locators excluded)</t>
        </is>
      </c>
      <c r="S821" t="inlineStr">
        <is>
          <t>howl</t>
        </is>
      </c>
      <c r="T821" t="n">
        <v>4</v>
      </c>
      <c r="U821" t="n">
        <v>4</v>
      </c>
      <c r="V821" t="n">
        <v>8</v>
      </c>
      <c r="W821" t="n">
        <v>15</v>
      </c>
      <c r="X821" t="n">
        <v>19.4</v>
      </c>
      <c r="Y821" t="n">
        <v>8</v>
      </c>
      <c r="Z821" t="n">
        <v>1</v>
      </c>
      <c r="AN821" t="inlineStr">
        <is>
          <t>Raksa Kubrow</t>
        </is>
      </c>
      <c r="AO821" t="n">
        <v>930</v>
      </c>
      <c r="AP821" t="n">
        <v>44919</v>
      </c>
      <c r="AQ821" t="n">
        <v>6</v>
      </c>
      <c r="AS821" t="inlineStr">
        <is>
          <t>Yes</t>
        </is>
      </c>
    </row>
    <row r="822">
      <c r="A822" t="inlineStr">
        <is>
          <t>Mod</t>
        </is>
      </c>
      <c r="B822" t="inlineStr">
        <is>
          <t>Hunt</t>
        </is>
      </c>
      <c r="E822" t="inlineStr">
        <is>
          <t>Huras Kubrow</t>
        </is>
      </c>
      <c r="F822" t="n">
        <v>5</v>
      </c>
      <c r="G822" t="n">
        <v>1</v>
      </c>
      <c r="H822" t="inlineStr">
        <is>
          <t>Player trade (max rank)</t>
        </is>
      </c>
      <c r="I822" t="inlineStr">
        <is>
          <t>Yes</t>
        </is>
      </c>
      <c r="K822" t="inlineStr">
        <is>
          <t>Collection</t>
        </is>
      </c>
      <c r="L822" t="n">
        <v>10</v>
      </c>
      <c r="M822" t="n">
        <v>13.5</v>
      </c>
      <c r="N822" t="n">
        <v>30</v>
      </c>
      <c r="O822" t="inlineStr">
        <is>
          <t>2026-10-05 UTC (WFM pull 02:52-04:00)</t>
        </is>
      </c>
      <c r="P822" t="inlineStr">
        <is>
          <t>OK</t>
        </is>
      </c>
      <c r="R822" t="inlineStr">
        <is>
          <t>Every current tradeable mod at MAX RANK (WFM catalogue, rivens/locators excluded)</t>
        </is>
      </c>
      <c r="S822" t="inlineStr">
        <is>
          <t>hunt</t>
        </is>
      </c>
      <c r="T822" t="n">
        <v>6</v>
      </c>
      <c r="U822" t="n">
        <v>6</v>
      </c>
      <c r="W822" t="n">
        <v>9</v>
      </c>
      <c r="X822" t="n">
        <v>10.5</v>
      </c>
      <c r="Y822" t="n">
        <v>4</v>
      </c>
      <c r="Z822" t="n">
        <v>0</v>
      </c>
      <c r="AN822" t="inlineStr">
        <is>
          <t>Huras Kubrow</t>
        </is>
      </c>
      <c r="AO822" t="n">
        <v>930</v>
      </c>
      <c r="AP822" t="n">
        <v>44919</v>
      </c>
      <c r="AQ822" t="n">
        <v>5</v>
      </c>
      <c r="AS822" t="inlineStr">
        <is>
          <t>Yes</t>
        </is>
      </c>
    </row>
    <row r="823">
      <c r="A823" t="inlineStr">
        <is>
          <t>Mod</t>
        </is>
      </c>
      <c r="B823" t="inlineStr">
        <is>
          <t>Hunter Adrenaline</t>
        </is>
      </c>
      <c r="E823" t="inlineStr">
        <is>
          <t>Warframe</t>
        </is>
      </c>
      <c r="F823" t="n">
        <v>5</v>
      </c>
      <c r="G823" t="n">
        <v>1</v>
      </c>
      <c r="H823" t="inlineStr">
        <is>
          <t>Player trade (max rank)</t>
        </is>
      </c>
      <c r="I823" t="inlineStr">
        <is>
          <t>Yes</t>
        </is>
      </c>
      <c r="K823" t="inlineStr">
        <is>
          <t>Collection</t>
        </is>
      </c>
      <c r="L823" t="n">
        <v>7</v>
      </c>
      <c r="M823" t="n">
        <v>9</v>
      </c>
      <c r="N823" t="n">
        <v>11</v>
      </c>
      <c r="O823" t="inlineStr">
        <is>
          <t>2026-10-05 UTC (WFM pull 02:52-04:00)</t>
        </is>
      </c>
      <c r="P823" t="inlineStr">
        <is>
          <t>OK</t>
        </is>
      </c>
      <c r="R823" t="inlineStr">
        <is>
          <t>Every current tradeable mod at MAX RANK (WFM catalogue, rivens/locators excluded)</t>
        </is>
      </c>
      <c r="S823" t="inlineStr">
        <is>
          <t>hunter_adrenaline</t>
        </is>
      </c>
      <c r="T823" t="n">
        <v>19</v>
      </c>
      <c r="U823" t="n">
        <v>19</v>
      </c>
      <c r="V823" t="n">
        <v>9</v>
      </c>
      <c r="W823" t="n">
        <v>10</v>
      </c>
      <c r="X823" t="n">
        <v>11.1</v>
      </c>
      <c r="Y823" t="n">
        <v>550</v>
      </c>
      <c r="Z823" t="n">
        <v>7</v>
      </c>
      <c r="AN823" t="inlineStr">
        <is>
          <t>Warframe</t>
        </is>
      </c>
      <c r="AO823" t="n">
        <v>310</v>
      </c>
      <c r="AP823" t="n">
        <v>14973</v>
      </c>
      <c r="AQ823" t="n">
        <v>3</v>
      </c>
      <c r="AS823" t="inlineStr">
        <is>
          <t>Yes</t>
        </is>
      </c>
    </row>
    <row r="824">
      <c r="A824" t="inlineStr">
        <is>
          <t>Mod</t>
        </is>
      </c>
      <c r="B824" t="inlineStr">
        <is>
          <t>Hunter Command</t>
        </is>
      </c>
      <c r="E824" t="inlineStr">
        <is>
          <t>Beast</t>
        </is>
      </c>
      <c r="F824" t="n">
        <v>5</v>
      </c>
      <c r="G824" t="n">
        <v>1</v>
      </c>
      <c r="H824" t="inlineStr">
        <is>
          <t>Player trade (max rank)</t>
        </is>
      </c>
      <c r="I824" t="inlineStr">
        <is>
          <t>Yes</t>
        </is>
      </c>
      <c r="K824" t="inlineStr">
        <is>
          <t>Collection</t>
        </is>
      </c>
      <c r="L824" t="n">
        <v>7</v>
      </c>
      <c r="M824" t="n">
        <v>10</v>
      </c>
      <c r="N824" t="n">
        <v>17</v>
      </c>
      <c r="O824" t="inlineStr">
        <is>
          <t>2026-10-05 UTC (WFM pull 02:52-04:00)</t>
        </is>
      </c>
      <c r="P824" t="inlineStr">
        <is>
          <t>OK</t>
        </is>
      </c>
      <c r="R824" t="inlineStr">
        <is>
          <t>Every current tradeable mod at MAX RANK (WFM catalogue, rivens/locators excluded)</t>
        </is>
      </c>
      <c r="S824" t="inlineStr">
        <is>
          <t>hunter_command</t>
        </is>
      </c>
      <c r="T824" t="n">
        <v>13</v>
      </c>
      <c r="U824" t="n">
        <v>13</v>
      </c>
      <c r="V824" t="n">
        <v>9</v>
      </c>
      <c r="W824" t="n">
        <v>10</v>
      </c>
      <c r="X824" t="n">
        <v>10.8</v>
      </c>
      <c r="Y824" t="n">
        <v>74</v>
      </c>
      <c r="Z824" t="n">
        <v>1</v>
      </c>
      <c r="AN824" t="inlineStr">
        <is>
          <t>Beast</t>
        </is>
      </c>
      <c r="AO824" t="n">
        <v>930</v>
      </c>
      <c r="AP824" t="n">
        <v>44919</v>
      </c>
      <c r="AQ824" t="n">
        <v>4</v>
      </c>
      <c r="AS824" t="inlineStr">
        <is>
          <t>Yes</t>
        </is>
      </c>
    </row>
    <row r="825">
      <c r="A825" t="inlineStr">
        <is>
          <t>Mod</t>
        </is>
      </c>
      <c r="B825" t="inlineStr">
        <is>
          <t>Hunter Munitions</t>
        </is>
      </c>
      <c r="E825" t="inlineStr">
        <is>
          <t>Primary</t>
        </is>
      </c>
      <c r="F825" t="n">
        <v>5</v>
      </c>
      <c r="G825" t="n">
        <v>1</v>
      </c>
      <c r="H825" t="inlineStr">
        <is>
          <t>Player trade (max rank)</t>
        </is>
      </c>
      <c r="I825" t="inlineStr">
        <is>
          <t>Yes</t>
        </is>
      </c>
      <c r="K825" t="inlineStr">
        <is>
          <t>Collection</t>
        </is>
      </c>
      <c r="L825" t="n">
        <v>8</v>
      </c>
      <c r="M825" t="n">
        <v>10</v>
      </c>
      <c r="N825" t="n">
        <v>17</v>
      </c>
      <c r="O825" t="inlineStr">
        <is>
          <t>2026-10-05 UTC (WFM pull 02:52-04:00)</t>
        </is>
      </c>
      <c r="P825" t="inlineStr">
        <is>
          <t>OK</t>
        </is>
      </c>
      <c r="R825" t="inlineStr">
        <is>
          <t>Every current tradeable mod at MAX RANK (WFM catalogue, rivens/locators excluded)</t>
        </is>
      </c>
      <c r="S825" t="inlineStr">
        <is>
          <t>hunter_munitions</t>
        </is>
      </c>
      <c r="T825" t="n">
        <v>14</v>
      </c>
      <c r="U825" t="n">
        <v>14</v>
      </c>
      <c r="V825" t="n">
        <v>10</v>
      </c>
      <c r="W825" t="n">
        <v>15</v>
      </c>
      <c r="X825" t="n">
        <v>15.4</v>
      </c>
      <c r="Y825" t="n">
        <v>1063</v>
      </c>
      <c r="Z825" t="n">
        <v>24</v>
      </c>
      <c r="AN825" t="inlineStr">
        <is>
          <t>Primary</t>
        </is>
      </c>
      <c r="AO825" t="n">
        <v>620</v>
      </c>
      <c r="AP825" t="n">
        <v>29946</v>
      </c>
      <c r="AQ825" t="n">
        <v>4</v>
      </c>
      <c r="AS825" t="inlineStr">
        <is>
          <t>Yes</t>
        </is>
      </c>
    </row>
    <row r="826">
      <c r="A826" t="inlineStr">
        <is>
          <t>Mod</t>
        </is>
      </c>
      <c r="B826" t="inlineStr">
        <is>
          <t>Hunter Recovery</t>
        </is>
      </c>
      <c r="E826" t="inlineStr">
        <is>
          <t>Beast</t>
        </is>
      </c>
      <c r="F826" t="n">
        <v>5</v>
      </c>
      <c r="G826" t="n">
        <v>1</v>
      </c>
      <c r="H826" t="inlineStr">
        <is>
          <t>Player trade (max rank)</t>
        </is>
      </c>
      <c r="I826" t="inlineStr">
        <is>
          <t>Yes</t>
        </is>
      </c>
      <c r="K826" t="inlineStr">
        <is>
          <t>Collection</t>
        </is>
      </c>
      <c r="L826" t="n">
        <v>7</v>
      </c>
      <c r="M826" t="n">
        <v>10</v>
      </c>
      <c r="N826" t="n">
        <v>17</v>
      </c>
      <c r="O826" t="inlineStr">
        <is>
          <t>2026-10-05 UTC (WFM pull 02:52-04:00)</t>
        </is>
      </c>
      <c r="P826" t="inlineStr">
        <is>
          <t>OK</t>
        </is>
      </c>
      <c r="R826" t="inlineStr">
        <is>
          <t>Every current tradeable mod at MAX RANK (WFM catalogue, rivens/locators excluded)</t>
        </is>
      </c>
      <c r="S826" t="inlineStr">
        <is>
          <t>hunter_recovery</t>
        </is>
      </c>
      <c r="T826" t="n">
        <v>11</v>
      </c>
      <c r="U826" t="n">
        <v>11</v>
      </c>
      <c r="V826" t="n">
        <v>10</v>
      </c>
      <c r="W826" t="n">
        <v>10</v>
      </c>
      <c r="X826" t="n">
        <v>10</v>
      </c>
      <c r="Y826" t="n">
        <v>137</v>
      </c>
      <c r="Z826" t="n">
        <v>2</v>
      </c>
      <c r="AN826" t="inlineStr">
        <is>
          <t>Beast</t>
        </is>
      </c>
      <c r="AO826" t="n">
        <v>310</v>
      </c>
      <c r="AP826" t="n">
        <v>14973</v>
      </c>
      <c r="AQ826" t="n">
        <v>4</v>
      </c>
      <c r="AS826" t="inlineStr">
        <is>
          <t>Yes</t>
        </is>
      </c>
    </row>
    <row r="827">
      <c r="A827" t="inlineStr">
        <is>
          <t>Mod</t>
        </is>
      </c>
      <c r="B827" t="inlineStr">
        <is>
          <t>Hunter Synergy</t>
        </is>
      </c>
      <c r="E827" t="inlineStr">
        <is>
          <t>Claws</t>
        </is>
      </c>
      <c r="F827" t="n">
        <v>5</v>
      </c>
      <c r="G827" t="n">
        <v>1</v>
      </c>
      <c r="H827" t="inlineStr">
        <is>
          <t>Player trade (max rank)</t>
        </is>
      </c>
      <c r="I827" t="inlineStr">
        <is>
          <t>Yes</t>
        </is>
      </c>
      <c r="K827" t="inlineStr">
        <is>
          <t>Collection</t>
        </is>
      </c>
      <c r="L827" t="n">
        <v>8</v>
      </c>
      <c r="M827" t="n">
        <v>10</v>
      </c>
      <c r="N827" t="n">
        <v>17</v>
      </c>
      <c r="O827" t="inlineStr">
        <is>
          <t>2026-10-05 UTC (WFM pull 02:52-04:00)</t>
        </is>
      </c>
      <c r="P827" t="inlineStr">
        <is>
          <t>OK</t>
        </is>
      </c>
      <c r="R827" t="inlineStr">
        <is>
          <t>Every current tradeable mod at MAX RANK (WFM catalogue, rivens/locators excluded)</t>
        </is>
      </c>
      <c r="S827" t="inlineStr">
        <is>
          <t>hunter_synergy</t>
        </is>
      </c>
      <c r="T827" t="n">
        <v>17</v>
      </c>
      <c r="U827" t="n">
        <v>17</v>
      </c>
      <c r="V827" t="n">
        <v>10</v>
      </c>
      <c r="W827" t="n">
        <v>15</v>
      </c>
      <c r="X827" t="n">
        <v>14.7</v>
      </c>
      <c r="Y827" t="n">
        <v>554</v>
      </c>
      <c r="Z827" t="n">
        <v>9</v>
      </c>
      <c r="AN827" t="inlineStr">
        <is>
          <t>Claws</t>
        </is>
      </c>
      <c r="AO827" t="n">
        <v>620</v>
      </c>
      <c r="AP827" t="n">
        <v>29946</v>
      </c>
      <c r="AQ827" t="n">
        <v>5</v>
      </c>
      <c r="AS827" t="inlineStr">
        <is>
          <t>Yes</t>
        </is>
      </c>
    </row>
    <row r="828">
      <c r="A828" t="inlineStr">
        <is>
          <t>Mod</t>
        </is>
      </c>
      <c r="B828" t="inlineStr">
        <is>
          <t>Hunter Track</t>
        </is>
      </c>
      <c r="E828" t="inlineStr">
        <is>
          <t>Primary</t>
        </is>
      </c>
      <c r="F828" t="n">
        <v>5</v>
      </c>
      <c r="G828" t="n">
        <v>1</v>
      </c>
      <c r="H828" t="inlineStr">
        <is>
          <t>Player trade (max rank)</t>
        </is>
      </c>
      <c r="I828" t="inlineStr">
        <is>
          <t>Yes</t>
        </is>
      </c>
      <c r="K828" t="inlineStr">
        <is>
          <t>Collection</t>
        </is>
      </c>
      <c r="L828" t="n">
        <v>8</v>
      </c>
      <c r="M828" t="n">
        <v>10</v>
      </c>
      <c r="N828" t="n">
        <v>17</v>
      </c>
      <c r="O828" t="inlineStr">
        <is>
          <t>2026-10-05 UTC (WFM pull 02:52-04:00)</t>
        </is>
      </c>
      <c r="P828" t="inlineStr">
        <is>
          <t>OK</t>
        </is>
      </c>
      <c r="R828" t="inlineStr">
        <is>
          <t>Every current tradeable mod at MAX RANK (WFM catalogue, rivens/locators excluded)</t>
        </is>
      </c>
      <c r="S828" t="inlineStr">
        <is>
          <t>hunter_track</t>
        </is>
      </c>
      <c r="T828" t="n">
        <v>10</v>
      </c>
      <c r="U828" t="n">
        <v>10</v>
      </c>
      <c r="V828" t="n">
        <v>10</v>
      </c>
      <c r="W828" t="n">
        <v>10</v>
      </c>
      <c r="X828" t="n">
        <v>11.4</v>
      </c>
      <c r="Y828" t="n">
        <v>87</v>
      </c>
      <c r="Z828" t="n">
        <v>3</v>
      </c>
      <c r="AN828" t="inlineStr">
        <is>
          <t>Primary</t>
        </is>
      </c>
      <c r="AO828" t="n">
        <v>930</v>
      </c>
      <c r="AP828" t="n">
        <v>44919</v>
      </c>
      <c r="AQ828" t="n">
        <v>3</v>
      </c>
      <c r="AS828" t="inlineStr">
        <is>
          <t>Yes</t>
        </is>
      </c>
    </row>
    <row r="829">
      <c r="A829" t="inlineStr">
        <is>
          <t>Mod</t>
        </is>
      </c>
      <c r="B829" t="inlineStr">
        <is>
          <t>Hunter's Bonesaw</t>
        </is>
      </c>
      <c r="E829" t="inlineStr">
        <is>
          <t>Augment Ripkas</t>
        </is>
      </c>
      <c r="F829" t="n">
        <v>5</v>
      </c>
      <c r="G829" t="n">
        <v>1</v>
      </c>
      <c r="H829" t="inlineStr">
        <is>
          <t>Player trade (max rank)</t>
        </is>
      </c>
      <c r="I829" t="inlineStr">
        <is>
          <t>Yes</t>
        </is>
      </c>
      <c r="K829" t="inlineStr">
        <is>
          <t>Collection</t>
        </is>
      </c>
      <c r="L829" t="n">
        <v>15</v>
      </c>
      <c r="M829" t="n">
        <v>18</v>
      </c>
      <c r="N829" t="n">
        <v>40</v>
      </c>
      <c r="O829" t="inlineStr">
        <is>
          <t>2026-10-05 UTC (WFM pull 02:52-04:00)</t>
        </is>
      </c>
      <c r="P829" t="inlineStr">
        <is>
          <t>OK</t>
        </is>
      </c>
      <c r="R829" t="inlineStr">
        <is>
          <t>Every current tradeable mod at MAX RANK (WFM catalogue, rivens/locators excluded)</t>
        </is>
      </c>
      <c r="S829" t="inlineStr">
        <is>
          <t>hunters_bonesaw</t>
        </is>
      </c>
      <c r="T829" t="n">
        <v>3</v>
      </c>
      <c r="U829" t="n">
        <v>3</v>
      </c>
      <c r="V829" t="n">
        <v>12</v>
      </c>
      <c r="W829" t="n">
        <v>12</v>
      </c>
      <c r="X829" t="n">
        <v>13.7</v>
      </c>
      <c r="Y829" t="n">
        <v>3</v>
      </c>
      <c r="Z829" t="n">
        <v>0</v>
      </c>
      <c r="AN829" t="inlineStr">
        <is>
          <t>Augment Ripkas</t>
        </is>
      </c>
      <c r="AO829" t="n">
        <v>620</v>
      </c>
      <c r="AP829" t="n">
        <v>29946</v>
      </c>
      <c r="AQ829" t="n">
        <v>5</v>
      </c>
      <c r="AS829" t="inlineStr">
        <is>
          <t>Yes</t>
        </is>
      </c>
    </row>
    <row r="830">
      <c r="A830" t="inlineStr">
        <is>
          <t>Mod</t>
        </is>
      </c>
      <c r="B830" t="inlineStr">
        <is>
          <t>Hush</t>
        </is>
      </c>
      <c r="E830" t="inlineStr">
        <is>
          <t>Rifle</t>
        </is>
      </c>
      <c r="F830" t="n">
        <v>3</v>
      </c>
      <c r="G830" t="n">
        <v>1</v>
      </c>
      <c r="H830" t="inlineStr">
        <is>
          <t>Player trade (max rank)</t>
        </is>
      </c>
      <c r="I830" t="inlineStr">
        <is>
          <t>Yes</t>
        </is>
      </c>
      <c r="K830" t="inlineStr">
        <is>
          <t>Collection</t>
        </is>
      </c>
      <c r="L830" t="n">
        <v>5</v>
      </c>
      <c r="M830" t="n">
        <v>15</v>
      </c>
      <c r="N830" t="n">
        <v>31</v>
      </c>
      <c r="O830" t="inlineStr">
        <is>
          <t>2026-10-05 UTC (WFM pull 02:52-04:00)</t>
        </is>
      </c>
      <c r="P830" t="inlineStr">
        <is>
          <t>OK</t>
        </is>
      </c>
      <c r="R830" t="inlineStr">
        <is>
          <t>Every current tradeable mod at MAX RANK (WFM catalogue, rivens/locators excluded)</t>
        </is>
      </c>
      <c r="S830" t="inlineStr">
        <is>
          <t>hush</t>
        </is>
      </c>
      <c r="T830" t="n">
        <v>4</v>
      </c>
      <c r="U830" t="n">
        <v>4</v>
      </c>
      <c r="V830" t="n">
        <v>10</v>
      </c>
      <c r="W830" t="n">
        <v>10</v>
      </c>
      <c r="X830" t="n">
        <v>9</v>
      </c>
      <c r="Y830" t="n">
        <v>13</v>
      </c>
      <c r="Z830" t="n">
        <v>0</v>
      </c>
      <c r="AN830" t="inlineStr">
        <is>
          <t>Rifle</t>
        </is>
      </c>
      <c r="AO830" t="n">
        <v>70</v>
      </c>
      <c r="AP830" t="n">
        <v>3381</v>
      </c>
      <c r="AQ830" t="n">
        <v>4.5</v>
      </c>
      <c r="AS830" t="inlineStr">
        <is>
          <t>Yes</t>
        </is>
      </c>
    </row>
    <row r="831">
      <c r="A831" t="inlineStr">
        <is>
          <t>Mod</t>
        </is>
      </c>
      <c r="B831" t="inlineStr">
        <is>
          <t>Hushed Invisibility</t>
        </is>
      </c>
      <c r="E831" t="inlineStr">
        <is>
          <t>Augment Loki</t>
        </is>
      </c>
      <c r="F831" t="n">
        <v>3</v>
      </c>
      <c r="G831" t="n">
        <v>1</v>
      </c>
      <c r="H831" t="inlineStr">
        <is>
          <t>Player trade (max rank)</t>
        </is>
      </c>
      <c r="I831" t="inlineStr">
        <is>
          <t>Yes</t>
        </is>
      </c>
      <c r="K831" t="inlineStr">
        <is>
          <t>Collection</t>
        </is>
      </c>
      <c r="L831" t="n">
        <v>10</v>
      </c>
      <c r="M831" t="n">
        <v>10</v>
      </c>
      <c r="N831" t="n">
        <v>14</v>
      </c>
      <c r="O831" t="inlineStr">
        <is>
          <t>2026-10-05 UTC (WFM pull 02:52-04:00)</t>
        </is>
      </c>
      <c r="P831" t="inlineStr">
        <is>
          <t>OK</t>
        </is>
      </c>
      <c r="R831" t="inlineStr">
        <is>
          <t>Every current tradeable mod at MAX RANK (WFM catalogue, rivens/locators excluded)</t>
        </is>
      </c>
      <c r="S831" t="inlineStr">
        <is>
          <t>hushed_invisibility</t>
        </is>
      </c>
      <c r="T831" t="n">
        <v>79</v>
      </c>
      <c r="U831" t="n">
        <v>2</v>
      </c>
      <c r="V831" t="n">
        <v>12</v>
      </c>
      <c r="W831" t="n">
        <v>12.5</v>
      </c>
      <c r="X831" t="n">
        <v>13.5</v>
      </c>
      <c r="Y831" t="n">
        <v>42</v>
      </c>
      <c r="Z831" t="n">
        <v>1</v>
      </c>
      <c r="AN831" t="inlineStr">
        <is>
          <t>Augment Loki</t>
        </is>
      </c>
      <c r="AO831" t="n">
        <v>210</v>
      </c>
      <c r="AP831" t="n">
        <v>10143</v>
      </c>
      <c r="AQ831" t="n">
        <v>14</v>
      </c>
      <c r="AS831" t="inlineStr">
        <is>
          <t>Yes</t>
        </is>
      </c>
    </row>
    <row r="832">
      <c r="A832" t="inlineStr">
        <is>
          <t>Mod</t>
        </is>
      </c>
      <c r="B832" t="inlineStr">
        <is>
          <t>Hydraulic Barrel</t>
        </is>
      </c>
      <c r="E832" t="inlineStr">
        <is>
          <t>Conclave (PvP)</t>
        </is>
      </c>
      <c r="F832" t="n">
        <v>3</v>
      </c>
      <c r="G832" t="n">
        <v>1</v>
      </c>
      <c r="H832" t="inlineStr">
        <is>
          <t>Player trade (max rank)</t>
        </is>
      </c>
      <c r="I832" t="inlineStr">
        <is>
          <t>Yes</t>
        </is>
      </c>
      <c r="K832" t="inlineStr">
        <is>
          <t>Collection (PvP)</t>
        </is>
      </c>
      <c r="L832" t="n">
        <v>20</v>
      </c>
      <c r="M832" t="n">
        <v>20</v>
      </c>
      <c r="N832" t="n">
        <v>44</v>
      </c>
      <c r="O832" t="inlineStr">
        <is>
          <t>2026-10-05 UTC (WFM pull 02:52-04:00)</t>
        </is>
      </c>
      <c r="P832" t="inlineStr">
        <is>
          <t>OK</t>
        </is>
      </c>
      <c r="R832" t="inlineStr">
        <is>
          <t>Every current tradeable mod at MAX RANK (WFM catalogue, rivens/locators excluded)</t>
        </is>
      </c>
      <c r="S832" t="inlineStr">
        <is>
          <t>hydraulic_barrel</t>
        </is>
      </c>
      <c r="T832" t="n">
        <v>9</v>
      </c>
      <c r="U832" t="n">
        <v>1</v>
      </c>
      <c r="W832" t="n">
        <v>10</v>
      </c>
      <c r="X832" t="n">
        <v>15</v>
      </c>
      <c r="Y832" t="n">
        <v>2</v>
      </c>
      <c r="Z832" t="n">
        <v>0</v>
      </c>
      <c r="AN832" t="inlineStr">
        <is>
          <t>Conclave (PvP)</t>
        </is>
      </c>
      <c r="AO832" t="n">
        <v>210</v>
      </c>
      <c r="AP832" t="n">
        <v>10143</v>
      </c>
      <c r="AQ832" t="n">
        <v>9</v>
      </c>
      <c r="AS832" t="inlineStr">
        <is>
          <t>PvP subtotal</t>
        </is>
      </c>
    </row>
    <row r="833">
      <c r="A833" t="inlineStr">
        <is>
          <t>Mod</t>
        </is>
      </c>
      <c r="B833" t="inlineStr">
        <is>
          <t>Hydraulic Chamber</t>
        </is>
      </c>
      <c r="E833" t="inlineStr">
        <is>
          <t>Conclave (PvP)</t>
        </is>
      </c>
      <c r="F833" t="n">
        <v>3</v>
      </c>
      <c r="G833" t="n">
        <v>1</v>
      </c>
      <c r="H833" t="inlineStr">
        <is>
          <t>Player trade (max rank)</t>
        </is>
      </c>
      <c r="I833" t="inlineStr">
        <is>
          <t>Yes</t>
        </is>
      </c>
      <c r="K833" t="inlineStr">
        <is>
          <t>Collection (PvP)</t>
        </is>
      </c>
      <c r="L833" t="n">
        <v>15</v>
      </c>
      <c r="M833" t="n">
        <v>15</v>
      </c>
      <c r="N833" t="n">
        <v>33</v>
      </c>
      <c r="O833" t="inlineStr">
        <is>
          <t>2026-10-05 UTC (WFM pull 02:52-04:00)</t>
        </is>
      </c>
      <c r="P833" t="inlineStr">
        <is>
          <t>OK</t>
        </is>
      </c>
      <c r="R833" t="inlineStr">
        <is>
          <t>Every current tradeable mod at MAX RANK (WFM catalogue, rivens/locators excluded)</t>
        </is>
      </c>
      <c r="S833" t="inlineStr">
        <is>
          <t>hydraulic_chamber</t>
        </is>
      </c>
      <c r="T833" t="n">
        <v>12</v>
      </c>
      <c r="U833" t="n">
        <v>0</v>
      </c>
      <c r="W833" t="n">
        <v>10</v>
      </c>
      <c r="X833" t="n">
        <v>10</v>
      </c>
      <c r="Y833" t="n">
        <v>1</v>
      </c>
      <c r="Z833" t="n">
        <v>0</v>
      </c>
      <c r="AN833" t="inlineStr">
        <is>
          <t>Conclave (PvP)</t>
        </is>
      </c>
      <c r="AO833" t="n">
        <v>210</v>
      </c>
      <c r="AP833" t="n">
        <v>10143</v>
      </c>
      <c r="AQ833" t="n">
        <v>9</v>
      </c>
      <c r="AS833" t="inlineStr">
        <is>
          <t>PvP subtotal</t>
        </is>
      </c>
    </row>
    <row r="834">
      <c r="A834" t="inlineStr">
        <is>
          <t>Mod</t>
        </is>
      </c>
      <c r="B834" t="inlineStr">
        <is>
          <t>Hydraulic Crosshairs</t>
        </is>
      </c>
      <c r="E834" t="inlineStr">
        <is>
          <t>Pistol</t>
        </is>
      </c>
      <c r="F834" t="n">
        <v>5</v>
      </c>
      <c r="G834" t="n">
        <v>1</v>
      </c>
      <c r="H834" t="inlineStr">
        <is>
          <t>Player trade (max rank)</t>
        </is>
      </c>
      <c r="I834" t="inlineStr">
        <is>
          <t>Yes</t>
        </is>
      </c>
      <c r="K834" t="inlineStr">
        <is>
          <t>Collection</t>
        </is>
      </c>
      <c r="L834" t="n">
        <v>10</v>
      </c>
      <c r="M834" t="n">
        <v>21</v>
      </c>
      <c r="N834" t="n">
        <v>47</v>
      </c>
      <c r="O834" t="inlineStr">
        <is>
          <t>2026-10-05 UTC (WFM pull 02:52-04:00)</t>
        </is>
      </c>
      <c r="P834" t="inlineStr">
        <is>
          <t>OK</t>
        </is>
      </c>
      <c r="R834" t="inlineStr">
        <is>
          <t>Every current tradeable mod at MAX RANK (WFM catalogue, rivens/locators excluded)</t>
        </is>
      </c>
      <c r="S834" t="inlineStr">
        <is>
          <t>hydraulic_crosshairs</t>
        </is>
      </c>
      <c r="T834" t="n">
        <v>4</v>
      </c>
      <c r="U834" t="n">
        <v>4</v>
      </c>
      <c r="V834" t="n">
        <v>14</v>
      </c>
      <c r="W834" t="n">
        <v>14</v>
      </c>
      <c r="X834" t="n">
        <v>14.1</v>
      </c>
      <c r="Y834" t="n">
        <v>8</v>
      </c>
      <c r="Z834" t="n">
        <v>0</v>
      </c>
      <c r="AN834" t="inlineStr">
        <is>
          <t>Pistol</t>
        </is>
      </c>
      <c r="AO834" t="n">
        <v>310</v>
      </c>
      <c r="AP834" t="n">
        <v>14973</v>
      </c>
      <c r="AQ834" t="n">
        <v>7.5</v>
      </c>
      <c r="AS834" t="inlineStr">
        <is>
          <t>Yes</t>
        </is>
      </c>
    </row>
    <row r="835">
      <c r="A835" t="inlineStr">
        <is>
          <t>Mod</t>
        </is>
      </c>
      <c r="B835" t="inlineStr">
        <is>
          <t>Hydraulic Gauge</t>
        </is>
      </c>
      <c r="E835" t="inlineStr">
        <is>
          <t>Conclave (PvP)</t>
        </is>
      </c>
      <c r="F835" t="n">
        <v>3</v>
      </c>
      <c r="G835" t="n">
        <v>1</v>
      </c>
      <c r="H835" t="inlineStr">
        <is>
          <t>Player trade (max rank)</t>
        </is>
      </c>
      <c r="I835" t="inlineStr">
        <is>
          <t>Yes</t>
        </is>
      </c>
      <c r="K835" t="inlineStr">
        <is>
          <t>Collection (PvP)</t>
        </is>
      </c>
      <c r="L835" t="n">
        <v>15</v>
      </c>
      <c r="M835" t="n">
        <v>25</v>
      </c>
      <c r="N835" t="n">
        <v>35</v>
      </c>
      <c r="O835" t="inlineStr">
        <is>
          <t>2026-10-05 UTC (WFM pull 02:52-04:00)</t>
        </is>
      </c>
      <c r="P835" t="inlineStr">
        <is>
          <t>OK</t>
        </is>
      </c>
      <c r="R835" t="inlineStr">
        <is>
          <t>Every current tradeable mod at MAX RANK (WFM catalogue, rivens/locators excluded)</t>
        </is>
      </c>
      <c r="S835" t="inlineStr">
        <is>
          <t>hydraulic_gauge</t>
        </is>
      </c>
      <c r="T835" t="n">
        <v>14</v>
      </c>
      <c r="U835" t="n">
        <v>0</v>
      </c>
      <c r="Y835" t="n">
        <v>0</v>
      </c>
      <c r="Z835" t="n">
        <v>0</v>
      </c>
      <c r="AN835" t="inlineStr">
        <is>
          <t>Conclave (PvP)</t>
        </is>
      </c>
      <c r="AO835" t="n">
        <v>210</v>
      </c>
      <c r="AP835" t="n">
        <v>10143</v>
      </c>
      <c r="AQ835" t="n">
        <v>10</v>
      </c>
      <c r="AS835" t="inlineStr">
        <is>
          <t>PvP subtotal</t>
        </is>
      </c>
    </row>
    <row r="836">
      <c r="A836" t="inlineStr">
        <is>
          <t>Mod</t>
        </is>
      </c>
      <c r="B836" t="inlineStr">
        <is>
          <t>Hyperion Thrusters</t>
        </is>
      </c>
      <c r="E836" t="inlineStr">
        <is>
          <t>Archwing</t>
        </is>
      </c>
      <c r="F836" t="n">
        <v>10</v>
      </c>
      <c r="G836" t="n">
        <v>1</v>
      </c>
      <c r="H836" t="inlineStr">
        <is>
          <t>Player trade (max rank)</t>
        </is>
      </c>
      <c r="I836" t="inlineStr">
        <is>
          <t>Yes</t>
        </is>
      </c>
      <c r="K836" t="inlineStr">
        <is>
          <t>Collection</t>
        </is>
      </c>
      <c r="L836" t="n">
        <v>70</v>
      </c>
      <c r="M836" t="n">
        <v>75</v>
      </c>
      <c r="N836" t="n">
        <v>83</v>
      </c>
      <c r="O836" t="inlineStr">
        <is>
          <t>2026-10-05 UTC (WFM pull 02:52-04:00)</t>
        </is>
      </c>
      <c r="P836" t="inlineStr">
        <is>
          <t>OK</t>
        </is>
      </c>
      <c r="R836" t="inlineStr">
        <is>
          <t>Every current tradeable mod at MAX RANK (WFM catalogue, rivens/locators excluded)</t>
        </is>
      </c>
      <c r="S836" t="inlineStr">
        <is>
          <t>hyperion_thrusters</t>
        </is>
      </c>
      <c r="T836" t="n">
        <v>17</v>
      </c>
      <c r="U836" t="n">
        <v>17</v>
      </c>
      <c r="V836" t="n">
        <v>74</v>
      </c>
      <c r="W836" t="n">
        <v>75</v>
      </c>
      <c r="X836" t="n">
        <v>75.40000000000001</v>
      </c>
      <c r="Y836" t="n">
        <v>333</v>
      </c>
      <c r="Z836" t="n">
        <v>9</v>
      </c>
      <c r="AA836" t="n">
        <v>40</v>
      </c>
      <c r="AB836" t="n">
        <v>30</v>
      </c>
      <c r="AN836" t="inlineStr">
        <is>
          <t>Archwing</t>
        </is>
      </c>
      <c r="AO836" t="n">
        <v>30690</v>
      </c>
      <c r="AP836" t="n">
        <v>1482327</v>
      </c>
      <c r="AQ836" t="n">
        <v>8</v>
      </c>
      <c r="AS836" t="inlineStr">
        <is>
          <t>Yes</t>
        </is>
      </c>
    </row>
    <row r="837">
      <c r="A837" t="inlineStr">
        <is>
          <t>Mod</t>
        </is>
      </c>
      <c r="B837" t="inlineStr">
        <is>
          <t>Hyperstrike</t>
        </is>
      </c>
      <c r="E837" t="inlineStr">
        <is>
          <t>Plexus</t>
        </is>
      </c>
      <c r="F837" t="n">
        <v>5</v>
      </c>
      <c r="G837" t="n">
        <v>1</v>
      </c>
      <c r="H837" t="inlineStr">
        <is>
          <t>Player trade (max rank)</t>
        </is>
      </c>
      <c r="I837" t="inlineStr">
        <is>
          <t>Yes</t>
        </is>
      </c>
      <c r="K837" t="inlineStr">
        <is>
          <t>Collection</t>
        </is>
      </c>
      <c r="L837" t="n">
        <v>4</v>
      </c>
      <c r="M837" t="n">
        <v>6</v>
      </c>
      <c r="N837" t="n">
        <v>11</v>
      </c>
      <c r="O837" t="inlineStr">
        <is>
          <t>2026-10-05 UTC (WFM pull 02:52-04:00)</t>
        </is>
      </c>
      <c r="P837" t="inlineStr">
        <is>
          <t>OK</t>
        </is>
      </c>
      <c r="R837" t="inlineStr">
        <is>
          <t>Every current tradeable mod at MAX RANK (WFM catalogue, rivens/locators excluded)</t>
        </is>
      </c>
      <c r="S837" t="inlineStr">
        <is>
          <t>hyperstrike</t>
        </is>
      </c>
      <c r="T837" t="n">
        <v>80</v>
      </c>
      <c r="U837" t="n">
        <v>1</v>
      </c>
      <c r="V837" t="n">
        <v>10</v>
      </c>
      <c r="W837" t="n">
        <v>10</v>
      </c>
      <c r="X837" t="n">
        <v>10.1</v>
      </c>
      <c r="Y837" t="n">
        <v>38</v>
      </c>
      <c r="Z837" t="n">
        <v>1</v>
      </c>
      <c r="AN837" t="inlineStr">
        <is>
          <t>Plexus</t>
        </is>
      </c>
      <c r="AO837" t="n">
        <v>310</v>
      </c>
      <c r="AP837" t="n">
        <v>14973</v>
      </c>
      <c r="AQ837" t="n">
        <v>4.5</v>
      </c>
      <c r="AS837" t="inlineStr">
        <is>
          <t>Yes</t>
        </is>
      </c>
    </row>
    <row r="838">
      <c r="A838" t="inlineStr">
        <is>
          <t>Mod</t>
        </is>
      </c>
      <c r="B838" t="inlineStr">
        <is>
          <t>Hypothermic Shell</t>
        </is>
      </c>
      <c r="E838" t="inlineStr">
        <is>
          <t>Archgun</t>
        </is>
      </c>
      <c r="F838" t="n">
        <v>3</v>
      </c>
      <c r="G838" t="n">
        <v>1</v>
      </c>
      <c r="H838" t="inlineStr">
        <is>
          <t>Player trade (max rank)</t>
        </is>
      </c>
      <c r="I838" t="inlineStr">
        <is>
          <t>Yes</t>
        </is>
      </c>
      <c r="K838" t="inlineStr">
        <is>
          <t>Collection</t>
        </is>
      </c>
      <c r="L838" t="n">
        <v>15</v>
      </c>
      <c r="M838" t="n">
        <v>20</v>
      </c>
      <c r="N838" t="n">
        <v>28</v>
      </c>
      <c r="O838" t="inlineStr">
        <is>
          <t>2026-10-05 UTC (WFM pull 02:52-04:00)</t>
        </is>
      </c>
      <c r="P838" t="inlineStr">
        <is>
          <t>OK</t>
        </is>
      </c>
      <c r="R838" t="inlineStr">
        <is>
          <t>Every current tradeable mod at MAX RANK (WFM catalogue, rivens/locators excluded)</t>
        </is>
      </c>
      <c r="S838" t="inlineStr">
        <is>
          <t>hypothermic_shell</t>
        </is>
      </c>
      <c r="T838" t="n">
        <v>10</v>
      </c>
      <c r="U838" t="n">
        <v>10</v>
      </c>
      <c r="V838" t="n">
        <v>18</v>
      </c>
      <c r="W838" t="n">
        <v>15.5</v>
      </c>
      <c r="X838" t="n">
        <v>16.6</v>
      </c>
      <c r="Y838" t="n">
        <v>314</v>
      </c>
      <c r="Z838" t="n">
        <v>5</v>
      </c>
      <c r="AN838" t="inlineStr">
        <is>
          <t>Archgun</t>
        </is>
      </c>
      <c r="AO838" t="n">
        <v>210</v>
      </c>
      <c r="AP838" t="n">
        <v>10143</v>
      </c>
      <c r="AQ838" t="n">
        <v>15</v>
      </c>
      <c r="AS838" t="inlineStr">
        <is>
          <t>Yes</t>
        </is>
      </c>
    </row>
    <row r="839">
      <c r="A839" t="inlineStr">
        <is>
          <t>Mod</t>
        </is>
      </c>
      <c r="B839" t="inlineStr">
        <is>
          <t>Hysterical Assault</t>
        </is>
      </c>
      <c r="E839" t="inlineStr">
        <is>
          <t>Augment Valkyr</t>
        </is>
      </c>
      <c r="F839" t="n">
        <v>3</v>
      </c>
      <c r="G839" t="n">
        <v>1</v>
      </c>
      <c r="H839" t="inlineStr">
        <is>
          <t>Player trade (max rank)</t>
        </is>
      </c>
      <c r="I839" t="inlineStr">
        <is>
          <t>Yes</t>
        </is>
      </c>
      <c r="K839" t="inlineStr">
        <is>
          <t>Collection</t>
        </is>
      </c>
      <c r="L839" t="n">
        <v>25</v>
      </c>
      <c r="M839" t="n">
        <v>30</v>
      </c>
      <c r="N839" t="n">
        <v>49</v>
      </c>
      <c r="O839" t="inlineStr">
        <is>
          <t>2026-10-05 UTC (WFM pull 02:52-04:00)</t>
        </is>
      </c>
      <c r="P839" t="inlineStr">
        <is>
          <t>OK</t>
        </is>
      </c>
      <c r="R839" t="inlineStr">
        <is>
          <t>Every current tradeable mod at MAX RANK (WFM catalogue, rivens/locators excluded)</t>
        </is>
      </c>
      <c r="S839" t="inlineStr">
        <is>
          <t>hysterical_assault</t>
        </is>
      </c>
      <c r="T839" t="n">
        <v>4</v>
      </c>
      <c r="U839" t="n">
        <v>4</v>
      </c>
      <c r="V839" t="n">
        <v>20</v>
      </c>
      <c r="W839" t="n">
        <v>20</v>
      </c>
      <c r="X839" t="n">
        <v>21.8</v>
      </c>
      <c r="Y839" t="n">
        <v>756</v>
      </c>
      <c r="Z839" t="n">
        <v>7</v>
      </c>
      <c r="AN839" t="inlineStr">
        <is>
          <t>Augment Valkyr</t>
        </is>
      </c>
      <c r="AO839" t="n">
        <v>210</v>
      </c>
      <c r="AP839" t="n">
        <v>10143</v>
      </c>
      <c r="AQ839" t="n">
        <v>19</v>
      </c>
      <c r="AS839" t="inlineStr">
        <is>
          <t>Yes</t>
        </is>
      </c>
    </row>
    <row r="840">
      <c r="A840" t="inlineStr">
        <is>
          <t>Mod</t>
        </is>
      </c>
      <c r="B840" t="inlineStr">
        <is>
          <t>Hysterical Fixation</t>
        </is>
      </c>
      <c r="E840" t="inlineStr">
        <is>
          <t>Augment Warframe</t>
        </is>
      </c>
      <c r="F840" t="n">
        <v>3</v>
      </c>
      <c r="G840" t="n">
        <v>1</v>
      </c>
      <c r="H840" t="inlineStr">
        <is>
          <t>Player trade (max rank)</t>
        </is>
      </c>
      <c r="I840" t="inlineStr">
        <is>
          <t>Yes</t>
        </is>
      </c>
      <c r="K840" t="inlineStr">
        <is>
          <t>Collection</t>
        </is>
      </c>
      <c r="L840" t="n">
        <v>50</v>
      </c>
      <c r="M840" t="n">
        <v>75</v>
      </c>
      <c r="N840" t="n">
        <v>165</v>
      </c>
      <c r="O840" t="inlineStr">
        <is>
          <t>2026-10-05 UTC (WFM pull 02:52-04:00)</t>
        </is>
      </c>
      <c r="P840" t="inlineStr">
        <is>
          <t>OK</t>
        </is>
      </c>
      <c r="R840" t="inlineStr">
        <is>
          <t>Every current tradeable mod at MAX RANK (WFM catalogue, rivens/locators excluded)</t>
        </is>
      </c>
      <c r="S840" t="inlineStr">
        <is>
          <t>hysterical_fixation</t>
        </is>
      </c>
      <c r="T840" t="n">
        <v>5</v>
      </c>
      <c r="U840" t="n">
        <v>0</v>
      </c>
      <c r="V840" t="n">
        <v>50</v>
      </c>
      <c r="W840" t="n">
        <v>50</v>
      </c>
      <c r="X840" t="n">
        <v>50</v>
      </c>
      <c r="Y840" t="n">
        <v>6</v>
      </c>
      <c r="Z840" t="n">
        <v>0</v>
      </c>
      <c r="AN840" t="inlineStr">
        <is>
          <t>Augment Warframe</t>
        </is>
      </c>
      <c r="AO840" t="n">
        <v>210</v>
      </c>
      <c r="AP840" t="n">
        <v>10143</v>
      </c>
      <c r="AQ840" t="n">
        <v>90</v>
      </c>
      <c r="AS840" t="inlineStr">
        <is>
          <t>Yes</t>
        </is>
      </c>
    </row>
    <row r="841">
      <c r="A841" t="inlineStr">
        <is>
          <t>Mod</t>
        </is>
      </c>
      <c r="B841" t="inlineStr">
        <is>
          <t>Iatric Mycelium</t>
        </is>
      </c>
      <c r="E841" t="inlineStr">
        <is>
          <t>Vizier Predasite</t>
        </is>
      </c>
      <c r="F841" t="n">
        <v>3</v>
      </c>
      <c r="G841" t="n">
        <v>1</v>
      </c>
      <c r="H841" t="inlineStr">
        <is>
          <t>Player trade (max rank)</t>
        </is>
      </c>
      <c r="I841" t="inlineStr">
        <is>
          <t>Yes</t>
        </is>
      </c>
      <c r="K841" t="inlineStr">
        <is>
          <t>Collection</t>
        </is>
      </c>
      <c r="L841" t="n">
        <v>10</v>
      </c>
      <c r="M841" t="n">
        <v>15</v>
      </c>
      <c r="N841" t="n">
        <v>33</v>
      </c>
      <c r="O841" t="inlineStr">
        <is>
          <t>2026-10-05 UTC (WFM pull 02:52-04:00)</t>
        </is>
      </c>
      <c r="P841" t="inlineStr">
        <is>
          <t>OK</t>
        </is>
      </c>
      <c r="R841" t="inlineStr">
        <is>
          <t>Every current tradeable mod at MAX RANK (WFM catalogue, rivens/locators excluded)</t>
        </is>
      </c>
      <c r="S841" t="inlineStr">
        <is>
          <t>iatric_mycelium</t>
        </is>
      </c>
      <c r="T841" t="n">
        <v>14</v>
      </c>
      <c r="U841" t="n">
        <v>1</v>
      </c>
      <c r="W841" t="n">
        <v>10</v>
      </c>
      <c r="X841" t="n">
        <v>10</v>
      </c>
      <c r="Y841" t="n">
        <v>1</v>
      </c>
      <c r="Z841" t="n">
        <v>0</v>
      </c>
      <c r="AN841" t="inlineStr">
        <is>
          <t>Vizier Predasite</t>
        </is>
      </c>
      <c r="AO841" t="n">
        <v>210</v>
      </c>
      <c r="AP841" t="n">
        <v>10143</v>
      </c>
      <c r="AQ841" t="n">
        <v>15</v>
      </c>
      <c r="AS841" t="inlineStr">
        <is>
          <t>Yes</t>
        </is>
      </c>
    </row>
    <row r="842">
      <c r="A842" t="inlineStr">
        <is>
          <t>Mod</t>
        </is>
      </c>
      <c r="B842" t="inlineStr">
        <is>
          <t>Ice Spring</t>
        </is>
      </c>
      <c r="E842" t="inlineStr">
        <is>
          <t>Warframe</t>
        </is>
      </c>
      <c r="F842" t="n">
        <v>10</v>
      </c>
      <c r="G842" t="n">
        <v>1</v>
      </c>
      <c r="H842" t="inlineStr">
        <is>
          <t>Player trade (max rank)</t>
        </is>
      </c>
      <c r="I842" t="inlineStr">
        <is>
          <t>Yes</t>
        </is>
      </c>
      <c r="K842" t="inlineStr">
        <is>
          <t>Collection</t>
        </is>
      </c>
      <c r="L842" t="n">
        <v>75</v>
      </c>
      <c r="M842" t="n">
        <v>80</v>
      </c>
      <c r="N842" t="n">
        <v>88</v>
      </c>
      <c r="O842" t="inlineStr">
        <is>
          <t>2026-10-05 UTC (WFM pull 02:52-04:00)</t>
        </is>
      </c>
      <c r="P842" t="inlineStr">
        <is>
          <t>OK</t>
        </is>
      </c>
      <c r="R842" t="inlineStr">
        <is>
          <t>Every current tradeable mod at MAX RANK (WFM catalogue, rivens/locators excluded)</t>
        </is>
      </c>
      <c r="S842" t="inlineStr">
        <is>
          <t>ice_spring</t>
        </is>
      </c>
      <c r="T842" t="n">
        <v>11</v>
      </c>
      <c r="U842" t="n">
        <v>11</v>
      </c>
      <c r="V842" t="n">
        <v>75</v>
      </c>
      <c r="W842" t="n">
        <v>75</v>
      </c>
      <c r="X842" t="n">
        <v>75.5</v>
      </c>
      <c r="Y842" t="n">
        <v>465</v>
      </c>
      <c r="Z842" t="n">
        <v>10</v>
      </c>
      <c r="AA842" t="n">
        <v>45</v>
      </c>
      <c r="AB842" t="n">
        <v>30</v>
      </c>
      <c r="AN842" t="inlineStr">
        <is>
          <t>Warframe</t>
        </is>
      </c>
      <c r="AO842" t="n">
        <v>30690</v>
      </c>
      <c r="AP842" t="n">
        <v>1482327</v>
      </c>
      <c r="AQ842" t="n">
        <v>10</v>
      </c>
      <c r="AS842" t="inlineStr">
        <is>
          <t>Yes</t>
        </is>
      </c>
    </row>
    <row r="843">
      <c r="A843" t="inlineStr">
        <is>
          <t>Mod</t>
        </is>
      </c>
      <c r="B843" t="inlineStr">
        <is>
          <t>Ice Storm</t>
        </is>
      </c>
      <c r="E843" t="inlineStr">
        <is>
          <t>Pistol</t>
        </is>
      </c>
      <c r="F843" t="n">
        <v>3</v>
      </c>
      <c r="G843" t="n">
        <v>1</v>
      </c>
      <c r="H843" t="inlineStr">
        <is>
          <t>Player trade (max rank)</t>
        </is>
      </c>
      <c r="I843" t="inlineStr">
        <is>
          <t>Yes</t>
        </is>
      </c>
      <c r="K843" t="inlineStr">
        <is>
          <t>Collection</t>
        </is>
      </c>
      <c r="L843" t="n">
        <v>8</v>
      </c>
      <c r="M843" t="n">
        <v>8</v>
      </c>
      <c r="N843" t="n">
        <v>11</v>
      </c>
      <c r="O843" t="inlineStr">
        <is>
          <t>2026-10-05 UTC (WFM pull 02:52-04:00)</t>
        </is>
      </c>
      <c r="P843" t="inlineStr">
        <is>
          <t>OK</t>
        </is>
      </c>
      <c r="R843" t="inlineStr">
        <is>
          <t>Every current tradeable mod at MAX RANK (WFM catalogue, rivens/locators excluded)</t>
        </is>
      </c>
      <c r="S843" t="inlineStr">
        <is>
          <t>ice_storm</t>
        </is>
      </c>
      <c r="T843" t="n">
        <v>8</v>
      </c>
      <c r="U843" t="n">
        <v>8</v>
      </c>
      <c r="V843" t="n">
        <v>8</v>
      </c>
      <c r="W843" t="n">
        <v>8</v>
      </c>
      <c r="X843" t="n">
        <v>7.6</v>
      </c>
      <c r="Y843" t="n">
        <v>338</v>
      </c>
      <c r="Z843" t="n">
        <v>7</v>
      </c>
      <c r="AN843" t="inlineStr">
        <is>
          <t>Pistol</t>
        </is>
      </c>
      <c r="AO843" t="n">
        <v>210</v>
      </c>
      <c r="AP843" t="n">
        <v>10143</v>
      </c>
      <c r="AQ843" t="n">
        <v>4</v>
      </c>
      <c r="AS843" t="inlineStr">
        <is>
          <t>Yes</t>
        </is>
      </c>
    </row>
    <row r="844">
      <c r="A844" t="inlineStr">
        <is>
          <t>Mod</t>
        </is>
      </c>
      <c r="B844" t="inlineStr">
        <is>
          <t>Ice Wave Impedance</t>
        </is>
      </c>
      <c r="E844" t="inlineStr">
        <is>
          <t>Augment Frost</t>
        </is>
      </c>
      <c r="F844" t="n">
        <v>3</v>
      </c>
      <c r="G844" t="n">
        <v>1</v>
      </c>
      <c r="H844" t="inlineStr">
        <is>
          <t>Player trade (max rank)</t>
        </is>
      </c>
      <c r="I844" t="inlineStr">
        <is>
          <t>Yes</t>
        </is>
      </c>
      <c r="K844" t="inlineStr">
        <is>
          <t>Collection</t>
        </is>
      </c>
      <c r="L844" t="n">
        <v>10</v>
      </c>
      <c r="M844" t="n">
        <v>10</v>
      </c>
      <c r="N844" t="n">
        <v>16</v>
      </c>
      <c r="O844" t="inlineStr">
        <is>
          <t>2026-10-05 UTC (WFM pull 02:52-04:00)</t>
        </is>
      </c>
      <c r="P844" t="inlineStr">
        <is>
          <t>OK</t>
        </is>
      </c>
      <c r="R844" t="inlineStr">
        <is>
          <t>Every current tradeable mod at MAX RANK (WFM catalogue, rivens/locators excluded)</t>
        </is>
      </c>
      <c r="S844" t="inlineStr">
        <is>
          <t>ice_wave_impedance</t>
        </is>
      </c>
      <c r="T844" t="n">
        <v>60</v>
      </c>
      <c r="U844" t="n">
        <v>2</v>
      </c>
      <c r="V844" t="n">
        <v>14.5</v>
      </c>
      <c r="W844" t="n">
        <v>15</v>
      </c>
      <c r="X844" t="n">
        <v>15</v>
      </c>
      <c r="Y844" t="n">
        <v>19</v>
      </c>
      <c r="Z844" t="n">
        <v>0</v>
      </c>
      <c r="AN844" t="inlineStr">
        <is>
          <t>Augment Frost</t>
        </is>
      </c>
      <c r="AO844" t="n">
        <v>210</v>
      </c>
      <c r="AP844" t="n">
        <v>10143</v>
      </c>
      <c r="AQ844" t="n">
        <v>15</v>
      </c>
      <c r="AS844" t="inlineStr">
        <is>
          <t>Yes</t>
        </is>
      </c>
    </row>
    <row r="845">
      <c r="A845" t="inlineStr">
        <is>
          <t>Mod</t>
        </is>
      </c>
      <c r="B845" t="inlineStr">
        <is>
          <t>Icy Avalanche</t>
        </is>
      </c>
      <c r="E845" t="inlineStr">
        <is>
          <t>Augment Frost</t>
        </is>
      </c>
      <c r="F845" t="n">
        <v>3</v>
      </c>
      <c r="G845" t="n">
        <v>1</v>
      </c>
      <c r="H845" t="inlineStr">
        <is>
          <t>Player trade (max rank)</t>
        </is>
      </c>
      <c r="I845" t="inlineStr">
        <is>
          <t>Yes</t>
        </is>
      </c>
      <c r="K845" t="inlineStr">
        <is>
          <t>Collection</t>
        </is>
      </c>
      <c r="L845" t="n">
        <v>20</v>
      </c>
      <c r="M845" t="n">
        <v>20</v>
      </c>
      <c r="N845" t="n">
        <v>44</v>
      </c>
      <c r="O845" t="inlineStr">
        <is>
          <t>2026-10-05 UTC (WFM pull 02:52-04:00)</t>
        </is>
      </c>
      <c r="P845" t="inlineStr">
        <is>
          <t>OK</t>
        </is>
      </c>
      <c r="R845" t="inlineStr">
        <is>
          <t>Every current tradeable mod at MAX RANK (WFM catalogue, rivens/locators excluded)</t>
        </is>
      </c>
      <c r="S845" t="inlineStr">
        <is>
          <t>icy_avalanche</t>
        </is>
      </c>
      <c r="T845" t="n">
        <v>4</v>
      </c>
      <c r="U845" t="n">
        <v>4</v>
      </c>
      <c r="V845" t="n">
        <v>15</v>
      </c>
      <c r="W845" t="n">
        <v>15</v>
      </c>
      <c r="X845" t="n">
        <v>14.8</v>
      </c>
      <c r="Y845" t="n">
        <v>274</v>
      </c>
      <c r="Z845" t="n">
        <v>5</v>
      </c>
      <c r="AN845" t="inlineStr">
        <is>
          <t>Augment Frost</t>
        </is>
      </c>
      <c r="AO845" t="n">
        <v>210</v>
      </c>
      <c r="AP845" t="n">
        <v>10143</v>
      </c>
      <c r="AQ845" t="n">
        <v>15</v>
      </c>
      <c r="AS845" t="inlineStr">
        <is>
          <t>Yes</t>
        </is>
      </c>
    </row>
    <row r="846">
      <c r="A846" t="inlineStr">
        <is>
          <t>Mod</t>
        </is>
      </c>
      <c r="B846" t="inlineStr">
        <is>
          <t>Immolated Radiance</t>
        </is>
      </c>
      <c r="E846" t="inlineStr">
        <is>
          <t>Augment Ember</t>
        </is>
      </c>
      <c r="F846" t="n">
        <v>3</v>
      </c>
      <c r="G846" t="n">
        <v>1</v>
      </c>
      <c r="H846" t="inlineStr">
        <is>
          <t>Player trade (max rank)</t>
        </is>
      </c>
      <c r="I846" t="inlineStr">
        <is>
          <t>Yes</t>
        </is>
      </c>
      <c r="K846" t="inlineStr">
        <is>
          <t>Collection</t>
        </is>
      </c>
      <c r="L846" t="n">
        <v>8</v>
      </c>
      <c r="M846" t="n">
        <v>10</v>
      </c>
      <c r="N846" t="n">
        <v>22</v>
      </c>
      <c r="O846" t="inlineStr">
        <is>
          <t>2026-10-05 UTC (WFM pull 02:52-04:00)</t>
        </is>
      </c>
      <c r="P846" t="inlineStr">
        <is>
          <t>OK</t>
        </is>
      </c>
      <c r="R846" t="inlineStr">
        <is>
          <t>Every current tradeable mod at MAX RANK (WFM catalogue, rivens/locators excluded)</t>
        </is>
      </c>
      <c r="S846" t="inlineStr">
        <is>
          <t>immolated_radiance</t>
        </is>
      </c>
      <c r="T846" t="n">
        <v>65</v>
      </c>
      <c r="U846" t="n">
        <v>0</v>
      </c>
      <c r="V846" t="n">
        <v>45</v>
      </c>
      <c r="W846" t="n">
        <v>15</v>
      </c>
      <c r="X846" t="n">
        <v>25</v>
      </c>
      <c r="Y846" t="n">
        <v>3</v>
      </c>
      <c r="Z846" t="n">
        <v>0</v>
      </c>
      <c r="AN846" t="inlineStr">
        <is>
          <t>Augment Ember</t>
        </is>
      </c>
      <c r="AO846" t="n">
        <v>210</v>
      </c>
      <c r="AP846" t="n">
        <v>10143</v>
      </c>
      <c r="AQ846" t="n">
        <v>14</v>
      </c>
      <c r="AS846" t="inlineStr">
        <is>
          <t>Yes</t>
        </is>
      </c>
    </row>
    <row r="847">
      <c r="A847" t="inlineStr">
        <is>
          <t>Mod</t>
        </is>
      </c>
      <c r="B847" t="inlineStr">
        <is>
          <t>Immunity Resistance</t>
        </is>
      </c>
      <c r="E847" t="inlineStr">
        <is>
          <t>Claws</t>
        </is>
      </c>
      <c r="F847" t="n">
        <v>3</v>
      </c>
      <c r="G847" t="n">
        <v>1</v>
      </c>
      <c r="H847" t="inlineStr">
        <is>
          <t>Player trade (max rank)</t>
        </is>
      </c>
      <c r="I847" t="inlineStr">
        <is>
          <t>Yes</t>
        </is>
      </c>
      <c r="K847" t="inlineStr">
        <is>
          <t>Collection</t>
        </is>
      </c>
      <c r="L847" t="n">
        <v>20</v>
      </c>
      <c r="M847" t="n">
        <v>22.5</v>
      </c>
      <c r="N847" t="n">
        <v>37</v>
      </c>
      <c r="O847" t="inlineStr">
        <is>
          <t>2026-10-05 UTC (WFM pull 02:52-04:00)</t>
        </is>
      </c>
      <c r="P847" t="inlineStr">
        <is>
          <t>OK</t>
        </is>
      </c>
      <c r="R847" t="inlineStr">
        <is>
          <t>Every current tradeable mod at MAX RANK (WFM catalogue, rivens/locators excluded)</t>
        </is>
      </c>
      <c r="S847" t="inlineStr">
        <is>
          <t>immunity_resistance</t>
        </is>
      </c>
      <c r="T847" t="n">
        <v>7</v>
      </c>
      <c r="U847" t="n">
        <v>7</v>
      </c>
      <c r="V847" t="n">
        <v>15</v>
      </c>
      <c r="W847" t="n">
        <v>15</v>
      </c>
      <c r="X847" t="n">
        <v>16.9</v>
      </c>
      <c r="Y847" t="n">
        <v>548</v>
      </c>
      <c r="Z847" t="n">
        <v>18</v>
      </c>
      <c r="AN847" t="inlineStr">
        <is>
          <t>Claws</t>
        </is>
      </c>
      <c r="AO847" t="n">
        <v>70</v>
      </c>
      <c r="AP847" t="n">
        <v>3381</v>
      </c>
      <c r="AQ847" t="n">
        <v>14</v>
      </c>
      <c r="AS847" t="inlineStr">
        <is>
          <t>Yes</t>
        </is>
      </c>
    </row>
    <row r="848">
      <c r="A848" t="inlineStr">
        <is>
          <t>Mod</t>
        </is>
      </c>
      <c r="B848" t="inlineStr">
        <is>
          <t>Immuno Shield</t>
        </is>
      </c>
      <c r="E848" t="inlineStr">
        <is>
          <t>Parazon</t>
        </is>
      </c>
      <c r="F848" t="n">
        <v>3</v>
      </c>
      <c r="G848" t="n">
        <v>1</v>
      </c>
      <c r="H848" t="inlineStr">
        <is>
          <t>Player trade (max rank)</t>
        </is>
      </c>
      <c r="I848" t="inlineStr">
        <is>
          <t>Yes</t>
        </is>
      </c>
      <c r="K848" t="inlineStr">
        <is>
          <t>Collection</t>
        </is>
      </c>
      <c r="L848" t="n">
        <v>2</v>
      </c>
      <c r="M848" t="n">
        <v>2</v>
      </c>
      <c r="N848" t="n">
        <v>5</v>
      </c>
      <c r="O848" t="inlineStr">
        <is>
          <t>2026-10-05 UTC (WFM pull 02:52-04:00)</t>
        </is>
      </c>
      <c r="P848" t="inlineStr">
        <is>
          <t>OK</t>
        </is>
      </c>
      <c r="R848" t="inlineStr">
        <is>
          <t>Every current tradeable mod at MAX RANK (WFM catalogue, rivens/locators excluded)</t>
        </is>
      </c>
      <c r="S848" t="inlineStr">
        <is>
          <t>immuno_shield</t>
        </is>
      </c>
      <c r="T848" t="n">
        <v>5</v>
      </c>
      <c r="U848" t="n">
        <v>5</v>
      </c>
      <c r="V848" t="n">
        <v>1</v>
      </c>
      <c r="W848" t="n">
        <v>2</v>
      </c>
      <c r="X848" t="n">
        <v>2.4</v>
      </c>
      <c r="Y848" t="n">
        <v>38</v>
      </c>
      <c r="Z848" t="n">
        <v>0</v>
      </c>
      <c r="AN848" t="inlineStr">
        <is>
          <t>Parazon</t>
        </is>
      </c>
      <c r="AO848" t="n">
        <v>70</v>
      </c>
      <c r="AP848" t="n">
        <v>3381</v>
      </c>
      <c r="AQ848" t="n">
        <v>1</v>
      </c>
      <c r="AS848" t="inlineStr">
        <is>
          <t>Yes</t>
        </is>
      </c>
    </row>
    <row r="849">
      <c r="A849" t="inlineStr">
        <is>
          <t>Mod</t>
        </is>
      </c>
      <c r="B849" t="inlineStr">
        <is>
          <t>Impaler Munitions</t>
        </is>
      </c>
      <c r="E849" t="inlineStr">
        <is>
          <t>Conclave (PvP)</t>
        </is>
      </c>
      <c r="F849" t="n">
        <v>3</v>
      </c>
      <c r="G849" t="n">
        <v>1</v>
      </c>
      <c r="H849" t="inlineStr">
        <is>
          <t>Player trade (max rank)</t>
        </is>
      </c>
      <c r="I849" t="inlineStr">
        <is>
          <t>Yes</t>
        </is>
      </c>
      <c r="K849" t="inlineStr">
        <is>
          <t>Collection (PvP)</t>
        </is>
      </c>
      <c r="L849" t="n">
        <v>200</v>
      </c>
      <c r="M849" t="n">
        <v>200</v>
      </c>
      <c r="N849" t="n">
        <v>275</v>
      </c>
      <c r="O849" t="inlineStr">
        <is>
          <t>2026-10-05 UTC (WFM pull 02:52-04:00)</t>
        </is>
      </c>
      <c r="P849" t="inlineStr">
        <is>
          <t>THIN</t>
        </is>
      </c>
      <c r="R849" t="inlineStr">
        <is>
          <t>Every current tradeable mod at MAX RANK (WFM catalogue, rivens/locators excluded)</t>
        </is>
      </c>
      <c r="S849" t="inlineStr">
        <is>
          <t>impaler_munitions</t>
        </is>
      </c>
      <c r="T849" t="n">
        <v>2</v>
      </c>
      <c r="U849" t="n">
        <v>0</v>
      </c>
      <c r="W849" t="n">
        <v>20</v>
      </c>
      <c r="X849" t="n">
        <v>20</v>
      </c>
      <c r="Y849" t="n">
        <v>1</v>
      </c>
      <c r="Z849" t="n">
        <v>0</v>
      </c>
      <c r="AN849" t="inlineStr">
        <is>
          <t>Conclave (PvP)</t>
        </is>
      </c>
      <c r="AO849" t="n">
        <v>140</v>
      </c>
      <c r="AP849" t="n">
        <v>6762</v>
      </c>
      <c r="AQ849" t="n">
        <v>40</v>
      </c>
      <c r="AS849" t="inlineStr">
        <is>
          <t>PvP subtotal</t>
        </is>
      </c>
    </row>
    <row r="850">
      <c r="A850" t="inlineStr">
        <is>
          <t>Mod</t>
        </is>
      </c>
      <c r="B850" t="inlineStr">
        <is>
          <t>Impenetrable Offense</t>
        </is>
      </c>
      <c r="E850" t="inlineStr">
        <is>
          <t>Conclave (PvP)</t>
        </is>
      </c>
      <c r="F850" t="n">
        <v>3</v>
      </c>
      <c r="G850" t="n">
        <v>1</v>
      </c>
      <c r="H850" t="inlineStr">
        <is>
          <t>Player trade (max rank)</t>
        </is>
      </c>
      <c r="I850" t="inlineStr">
        <is>
          <t>Yes</t>
        </is>
      </c>
      <c r="K850" t="inlineStr">
        <is>
          <t>Collection (PvP)</t>
        </is>
      </c>
      <c r="L850" t="n">
        <v>300</v>
      </c>
      <c r="M850" t="n">
        <v>300</v>
      </c>
      <c r="N850" t="n">
        <v>330</v>
      </c>
      <c r="O850" t="inlineStr">
        <is>
          <t>2026-10-05 UTC (WFM pull 02:52-04:00)</t>
        </is>
      </c>
      <c r="P850" t="inlineStr">
        <is>
          <t>THIN</t>
        </is>
      </c>
      <c r="R850" t="inlineStr">
        <is>
          <t>Every current tradeable mod at MAX RANK (WFM catalogue, rivens/locators excluded)</t>
        </is>
      </c>
      <c r="S850" t="inlineStr">
        <is>
          <t>impenetrable_offense</t>
        </is>
      </c>
      <c r="T850" t="n">
        <v>2</v>
      </c>
      <c r="U850" t="n">
        <v>0</v>
      </c>
      <c r="V850" t="n">
        <v>30</v>
      </c>
      <c r="W850" t="n">
        <v>30</v>
      </c>
      <c r="X850" t="n">
        <v>30</v>
      </c>
      <c r="Y850" t="n">
        <v>1</v>
      </c>
      <c r="Z850" t="n">
        <v>0</v>
      </c>
      <c r="AN850" t="inlineStr">
        <is>
          <t>Conclave (PvP)</t>
        </is>
      </c>
      <c r="AO850" t="n">
        <v>210</v>
      </c>
      <c r="AP850" t="n">
        <v>10143</v>
      </c>
      <c r="AQ850" t="n">
        <v>50</v>
      </c>
      <c r="AS850" t="inlineStr">
        <is>
          <t>PvP subtotal</t>
        </is>
      </c>
    </row>
    <row r="851">
      <c r="A851" t="inlineStr">
        <is>
          <t>Mod</t>
        </is>
      </c>
      <c r="B851" t="inlineStr">
        <is>
          <t>Incendiary Coat</t>
        </is>
      </c>
      <c r="E851" t="inlineStr">
        <is>
          <t>Shotgun</t>
        </is>
      </c>
      <c r="F851" t="n">
        <v>5</v>
      </c>
      <c r="G851" t="n">
        <v>1</v>
      </c>
      <c r="H851" t="inlineStr">
        <is>
          <t>Player trade (max rank)</t>
        </is>
      </c>
      <c r="I851" t="inlineStr">
        <is>
          <t>Yes</t>
        </is>
      </c>
      <c r="K851" t="inlineStr">
        <is>
          <t>Collection</t>
        </is>
      </c>
      <c r="L851" t="n">
        <v>10</v>
      </c>
      <c r="M851" t="n">
        <v>15</v>
      </c>
      <c r="N851" t="n">
        <v>33</v>
      </c>
      <c r="O851" t="inlineStr">
        <is>
          <t>2026-10-05 UTC (WFM pull 02:52-04:00)</t>
        </is>
      </c>
      <c r="P851" t="inlineStr">
        <is>
          <t>OK</t>
        </is>
      </c>
      <c r="R851" t="inlineStr">
        <is>
          <t>Every current tradeable mod at MAX RANK (WFM catalogue, rivens/locators excluded)</t>
        </is>
      </c>
      <c r="S851" t="inlineStr">
        <is>
          <t>incendiary_coat</t>
        </is>
      </c>
      <c r="T851" t="n">
        <v>4</v>
      </c>
      <c r="U851" t="n">
        <v>4</v>
      </c>
      <c r="V851" t="n">
        <v>10</v>
      </c>
      <c r="W851" t="n">
        <v>10</v>
      </c>
      <c r="X851" t="n">
        <v>11</v>
      </c>
      <c r="Y851" t="n">
        <v>34</v>
      </c>
      <c r="Z851" t="n">
        <v>0</v>
      </c>
      <c r="AN851" t="inlineStr">
        <is>
          <t>Shotgun</t>
        </is>
      </c>
      <c r="AO851" t="n">
        <v>620</v>
      </c>
      <c r="AP851" t="n">
        <v>29946</v>
      </c>
      <c r="AQ851" t="n">
        <v>3</v>
      </c>
      <c r="AS851" t="inlineStr">
        <is>
          <t>Yes</t>
        </is>
      </c>
    </row>
    <row r="852">
      <c r="A852" t="inlineStr">
        <is>
          <t>Mod</t>
        </is>
      </c>
      <c r="B852" t="inlineStr">
        <is>
          <t>Indomitable Matrix</t>
        </is>
      </c>
      <c r="E852" t="inlineStr">
        <is>
          <t>Railjack Aura</t>
        </is>
      </c>
      <c r="F852" t="n">
        <v>5</v>
      </c>
      <c r="G852" t="n">
        <v>1</v>
      </c>
      <c r="H852" t="inlineStr">
        <is>
          <t>Player trade (max rank)</t>
        </is>
      </c>
      <c r="I852" t="inlineStr">
        <is>
          <t>Yes</t>
        </is>
      </c>
      <c r="K852" t="inlineStr">
        <is>
          <t>Collection</t>
        </is>
      </c>
      <c r="L852" t="n">
        <v>4</v>
      </c>
      <c r="M852" t="n">
        <v>10</v>
      </c>
      <c r="N852" t="n">
        <v>22</v>
      </c>
      <c r="O852" t="inlineStr">
        <is>
          <t>2026-10-05 UTC (WFM pull 02:52-04:00)</t>
        </is>
      </c>
      <c r="P852" t="inlineStr">
        <is>
          <t>OK</t>
        </is>
      </c>
      <c r="R852" t="inlineStr">
        <is>
          <t>Every current tradeable mod at MAX RANK (WFM catalogue, rivens/locators excluded)</t>
        </is>
      </c>
      <c r="S852" t="inlineStr">
        <is>
          <t>indomitable_matrix</t>
        </is>
      </c>
      <c r="T852" t="n">
        <v>69</v>
      </c>
      <c r="U852" t="n">
        <v>2</v>
      </c>
      <c r="V852" t="n">
        <v>20</v>
      </c>
      <c r="W852" t="n">
        <v>20</v>
      </c>
      <c r="X852" t="n">
        <v>20</v>
      </c>
      <c r="Y852" t="n">
        <v>1</v>
      </c>
      <c r="Z852" t="n">
        <v>0</v>
      </c>
      <c r="AN852" t="inlineStr">
        <is>
          <t>Railjack Aura</t>
        </is>
      </c>
      <c r="AO852" t="n">
        <v>620</v>
      </c>
      <c r="AP852" t="n">
        <v>29946</v>
      </c>
      <c r="AQ852" t="n">
        <v>2</v>
      </c>
      <c r="AS852" t="inlineStr">
        <is>
          <t>Yes</t>
        </is>
      </c>
    </row>
    <row r="853">
      <c r="A853" t="inlineStr">
        <is>
          <t>Mod</t>
        </is>
      </c>
      <c r="B853" t="inlineStr">
        <is>
          <t>Inertia Dampeners</t>
        </is>
      </c>
      <c r="E853" t="inlineStr">
        <is>
          <t>K-Drive</t>
        </is>
      </c>
      <c r="F853" t="n">
        <v>3</v>
      </c>
      <c r="G853" t="n">
        <v>1</v>
      </c>
      <c r="H853" t="inlineStr">
        <is>
          <t>Player trade (max rank)</t>
        </is>
      </c>
      <c r="I853" t="inlineStr">
        <is>
          <t>Yes</t>
        </is>
      </c>
      <c r="K853" t="inlineStr">
        <is>
          <t>Collection</t>
        </is>
      </c>
      <c r="L853" t="n">
        <v>18</v>
      </c>
      <c r="M853" t="n">
        <v>20</v>
      </c>
      <c r="N853" t="n">
        <v>22</v>
      </c>
      <c r="O853" t="inlineStr">
        <is>
          <t>2026-10-05 UTC (WFM pull 02:52-04:00)</t>
        </is>
      </c>
      <c r="P853" t="inlineStr">
        <is>
          <t>OK</t>
        </is>
      </c>
      <c r="R853" t="inlineStr">
        <is>
          <t>Every current tradeable mod at MAX RANK (WFM catalogue, rivens/locators excluded)</t>
        </is>
      </c>
      <c r="S853" t="inlineStr">
        <is>
          <t>inertia_dampeners</t>
        </is>
      </c>
      <c r="T853" t="n">
        <v>34</v>
      </c>
      <c r="U853" t="n">
        <v>1</v>
      </c>
      <c r="V853" t="n">
        <v>16.5</v>
      </c>
      <c r="W853" t="n">
        <v>18</v>
      </c>
      <c r="X853" t="n">
        <v>19</v>
      </c>
      <c r="Y853" t="n">
        <v>25</v>
      </c>
      <c r="Z853" t="n">
        <v>0</v>
      </c>
      <c r="AN853" t="inlineStr">
        <is>
          <t>K-Drive</t>
        </is>
      </c>
      <c r="AO853" t="n">
        <v>140</v>
      </c>
      <c r="AP853" t="n">
        <v>6762</v>
      </c>
      <c r="AQ853" t="n">
        <v>20</v>
      </c>
      <c r="AS853" t="inlineStr">
        <is>
          <t>Yes</t>
        </is>
      </c>
    </row>
    <row r="854">
      <c r="A854" t="inlineStr">
        <is>
          <t>Mod</t>
        </is>
      </c>
      <c r="B854" t="inlineStr">
        <is>
          <t>Infected Clip</t>
        </is>
      </c>
      <c r="E854" t="inlineStr">
        <is>
          <t>Rifle</t>
        </is>
      </c>
      <c r="F854" t="n">
        <v>5</v>
      </c>
      <c r="G854" t="n">
        <v>1</v>
      </c>
      <c r="H854" t="inlineStr">
        <is>
          <t>Player trade (max rank)</t>
        </is>
      </c>
      <c r="I854" t="inlineStr">
        <is>
          <t>Yes</t>
        </is>
      </c>
      <c r="K854" t="inlineStr">
        <is>
          <t>Collection</t>
        </is>
      </c>
      <c r="L854" t="n">
        <v>8</v>
      </c>
      <c r="M854" t="n">
        <v>10</v>
      </c>
      <c r="N854" t="n">
        <v>22</v>
      </c>
      <c r="O854" t="inlineStr">
        <is>
          <t>2026-10-05 UTC (WFM pull 02:52-04:00)</t>
        </is>
      </c>
      <c r="P854" t="inlineStr">
        <is>
          <t>OK</t>
        </is>
      </c>
      <c r="R854" t="inlineStr">
        <is>
          <t>Every current tradeable mod at MAX RANK (WFM catalogue, rivens/locators excluded)</t>
        </is>
      </c>
      <c r="S854" t="inlineStr">
        <is>
          <t>infected_clip</t>
        </is>
      </c>
      <c r="T854" t="n">
        <v>5</v>
      </c>
      <c r="U854" t="n">
        <v>5</v>
      </c>
      <c r="V854" t="n">
        <v>9</v>
      </c>
      <c r="W854" t="n">
        <v>9</v>
      </c>
      <c r="X854" t="n">
        <v>8.9</v>
      </c>
      <c r="Y854" t="n">
        <v>27</v>
      </c>
      <c r="Z854" t="n">
        <v>0</v>
      </c>
      <c r="AN854" t="inlineStr">
        <is>
          <t>Rifle</t>
        </is>
      </c>
      <c r="AO854" t="n">
        <v>620</v>
      </c>
      <c r="AP854" t="n">
        <v>29946</v>
      </c>
      <c r="AQ854" t="n">
        <v>2</v>
      </c>
      <c r="AS854" t="inlineStr">
        <is>
          <t>Yes</t>
        </is>
      </c>
    </row>
    <row r="855">
      <c r="A855" t="inlineStr">
        <is>
          <t>Mod</t>
        </is>
      </c>
      <c r="B855" t="inlineStr">
        <is>
          <t>Infectious Bite</t>
        </is>
      </c>
      <c r="E855" t="inlineStr">
        <is>
          <t>Medjay Predasite</t>
        </is>
      </c>
      <c r="F855" t="n">
        <v>3</v>
      </c>
      <c r="G855" t="n">
        <v>1</v>
      </c>
      <c r="H855" t="inlineStr">
        <is>
          <t>Player trade (max rank)</t>
        </is>
      </c>
      <c r="I855" t="inlineStr">
        <is>
          <t>Yes</t>
        </is>
      </c>
      <c r="K855" t="inlineStr">
        <is>
          <t>Collection</t>
        </is>
      </c>
      <c r="L855" t="n">
        <v>10</v>
      </c>
      <c r="M855" t="n">
        <v>15</v>
      </c>
      <c r="N855" t="n">
        <v>33</v>
      </c>
      <c r="O855" t="inlineStr">
        <is>
          <t>2026-10-05 UTC (WFM pull 02:52-04:00)</t>
        </is>
      </c>
      <c r="P855" t="inlineStr">
        <is>
          <t>OK</t>
        </is>
      </c>
      <c r="R855" t="inlineStr">
        <is>
          <t>Every current tradeable mod at MAX RANK (WFM catalogue, rivens/locators excluded)</t>
        </is>
      </c>
      <c r="S855" t="inlineStr">
        <is>
          <t>infectious_bite</t>
        </is>
      </c>
      <c r="T855" t="n">
        <v>21</v>
      </c>
      <c r="U855" t="n">
        <v>1</v>
      </c>
      <c r="W855" t="n">
        <v>10</v>
      </c>
      <c r="X855" t="n">
        <v>10</v>
      </c>
      <c r="Y855" t="n">
        <v>1</v>
      </c>
      <c r="Z855" t="n">
        <v>0</v>
      </c>
      <c r="AN855" t="inlineStr">
        <is>
          <t>Medjay Predasite</t>
        </is>
      </c>
      <c r="AO855" t="n">
        <v>210</v>
      </c>
      <c r="AP855" t="n">
        <v>10143</v>
      </c>
      <c r="AQ855" t="n">
        <v>9</v>
      </c>
      <c r="AS855" t="inlineStr">
        <is>
          <t>Yes</t>
        </is>
      </c>
    </row>
    <row r="856">
      <c r="A856" t="inlineStr">
        <is>
          <t>Mod</t>
        </is>
      </c>
      <c r="B856" t="inlineStr">
        <is>
          <t>Infectious Injection</t>
        </is>
      </c>
      <c r="E856" t="inlineStr">
        <is>
          <t>Archmelee</t>
        </is>
      </c>
      <c r="F856" t="n">
        <v>3</v>
      </c>
      <c r="G856" t="n">
        <v>1</v>
      </c>
      <c r="H856" t="inlineStr">
        <is>
          <t>Player trade (max rank)</t>
        </is>
      </c>
      <c r="I856" t="inlineStr">
        <is>
          <t>Yes</t>
        </is>
      </c>
      <c r="K856" t="inlineStr">
        <is>
          <t>Collection</t>
        </is>
      </c>
      <c r="L856" t="n">
        <v>30</v>
      </c>
      <c r="M856" t="n">
        <v>30</v>
      </c>
      <c r="N856" t="n">
        <v>66</v>
      </c>
      <c r="O856" t="inlineStr">
        <is>
          <t>2026-10-05 UTC (WFM pull 02:52-04:00)</t>
        </is>
      </c>
      <c r="P856" t="inlineStr">
        <is>
          <t>OK</t>
        </is>
      </c>
      <c r="R856" t="inlineStr">
        <is>
          <t>Every current tradeable mod at MAX RANK (WFM catalogue, rivens/locators excluded)</t>
        </is>
      </c>
      <c r="S856" t="inlineStr">
        <is>
          <t>infectious_injection</t>
        </is>
      </c>
      <c r="T856" t="n">
        <v>4</v>
      </c>
      <c r="U856" t="n">
        <v>4</v>
      </c>
      <c r="V856" t="n">
        <v>20</v>
      </c>
      <c r="W856" t="n">
        <v>20</v>
      </c>
      <c r="X856" t="n">
        <v>22.3</v>
      </c>
      <c r="Y856" t="n">
        <v>45</v>
      </c>
      <c r="Z856" t="n">
        <v>0</v>
      </c>
      <c r="AN856" t="inlineStr">
        <is>
          <t>Archmelee</t>
        </is>
      </c>
      <c r="AO856" t="n">
        <v>210</v>
      </c>
      <c r="AP856" t="n">
        <v>10143</v>
      </c>
      <c r="AQ856" t="n">
        <v>10</v>
      </c>
      <c r="AS856" t="inlineStr">
        <is>
          <t>Yes</t>
        </is>
      </c>
    </row>
    <row r="857">
      <c r="A857" t="inlineStr">
        <is>
          <t>Mod</t>
        </is>
      </c>
      <c r="B857" t="inlineStr">
        <is>
          <t>Infernum</t>
        </is>
      </c>
      <c r="E857" t="inlineStr">
        <is>
          <t>Augment Uriel</t>
        </is>
      </c>
      <c r="F857" t="n">
        <v>3</v>
      </c>
      <c r="G857" t="n">
        <v>1</v>
      </c>
      <c r="H857" t="inlineStr">
        <is>
          <t>Player trade (max rank)</t>
        </is>
      </c>
      <c r="I857" t="inlineStr">
        <is>
          <t>Yes</t>
        </is>
      </c>
      <c r="K857" t="inlineStr">
        <is>
          <t>Collection</t>
        </is>
      </c>
      <c r="L857" t="n">
        <v>10</v>
      </c>
      <c r="M857" t="n">
        <v>10</v>
      </c>
      <c r="N857" t="n">
        <v>21</v>
      </c>
      <c r="O857" t="inlineStr">
        <is>
          <t>2026-10-05 UTC (WFM pull 02:52-04:00)</t>
        </is>
      </c>
      <c r="P857" t="inlineStr">
        <is>
          <t>OK</t>
        </is>
      </c>
      <c r="R857" t="inlineStr">
        <is>
          <t>Every current tradeable mod at MAX RANK (WFM catalogue, rivens/locators excluded)</t>
        </is>
      </c>
      <c r="S857" t="inlineStr">
        <is>
          <t>infernum</t>
        </is>
      </c>
      <c r="T857" t="n">
        <v>148</v>
      </c>
      <c r="U857" t="n">
        <v>2</v>
      </c>
      <c r="V857" t="n">
        <v>19</v>
      </c>
      <c r="W857" t="n">
        <v>19</v>
      </c>
      <c r="X857" t="n">
        <v>17</v>
      </c>
      <c r="Y857" t="n">
        <v>552</v>
      </c>
      <c r="Z857" t="n">
        <v>85</v>
      </c>
      <c r="AN857" t="inlineStr">
        <is>
          <t>Augment Uriel</t>
        </is>
      </c>
      <c r="AO857" t="n">
        <v>210</v>
      </c>
      <c r="AP857" t="n">
        <v>10143</v>
      </c>
      <c r="AQ857" t="n">
        <v>14</v>
      </c>
      <c r="AS857" t="inlineStr">
        <is>
          <t>Yes</t>
        </is>
      </c>
    </row>
    <row r="858">
      <c r="A858" t="inlineStr">
        <is>
          <t>Mod</t>
        </is>
      </c>
      <c r="B858" t="inlineStr">
        <is>
          <t>Infested Impedance</t>
        </is>
      </c>
      <c r="E858" t="inlineStr">
        <is>
          <t>Aura</t>
        </is>
      </c>
      <c r="F858" t="n">
        <v>5</v>
      </c>
      <c r="G858" t="n">
        <v>1</v>
      </c>
      <c r="H858" t="inlineStr">
        <is>
          <t>Player trade (max rank)</t>
        </is>
      </c>
      <c r="I858" t="inlineStr">
        <is>
          <t>Yes</t>
        </is>
      </c>
      <c r="K858" t="inlineStr">
        <is>
          <t>Collection</t>
        </is>
      </c>
      <c r="L858" t="n">
        <v>35</v>
      </c>
      <c r="M858" t="n">
        <v>35</v>
      </c>
      <c r="N858" t="n">
        <v>77</v>
      </c>
      <c r="O858" t="inlineStr">
        <is>
          <t>2026-10-05 UTC (WFM pull 02:52-04:00)</t>
        </is>
      </c>
      <c r="P858" t="inlineStr">
        <is>
          <t>OK</t>
        </is>
      </c>
      <c r="R858" t="inlineStr">
        <is>
          <t>Every current tradeable mod at MAX RANK (WFM catalogue, rivens/locators excluded)</t>
        </is>
      </c>
      <c r="S858" t="inlineStr">
        <is>
          <t>infested_impedance</t>
        </is>
      </c>
      <c r="T858" t="n">
        <v>3</v>
      </c>
      <c r="U858" t="n">
        <v>3</v>
      </c>
      <c r="V858" t="n">
        <v>5</v>
      </c>
      <c r="W858" t="n">
        <v>8</v>
      </c>
      <c r="X858" t="n">
        <v>14.6</v>
      </c>
      <c r="Y858" t="n">
        <v>5</v>
      </c>
      <c r="Z858" t="n">
        <v>0</v>
      </c>
      <c r="AN858" t="inlineStr">
        <is>
          <t>Aura</t>
        </is>
      </c>
      <c r="AO858" t="n">
        <v>620</v>
      </c>
      <c r="AP858" t="n">
        <v>29946</v>
      </c>
      <c r="AQ858" t="n">
        <v>7</v>
      </c>
      <c r="AS858" t="inlineStr">
        <is>
          <t>Yes</t>
        </is>
      </c>
    </row>
    <row r="859">
      <c r="A859" t="inlineStr">
        <is>
          <t>Mod</t>
        </is>
      </c>
      <c r="B859" t="inlineStr">
        <is>
          <t>Infiltrate</t>
        </is>
      </c>
      <c r="E859" t="inlineStr">
        <is>
          <t>Augment Ivara</t>
        </is>
      </c>
      <c r="F859" t="n">
        <v>3</v>
      </c>
      <c r="G859" t="n">
        <v>1</v>
      </c>
      <c r="H859" t="inlineStr">
        <is>
          <t>Player trade (max rank)</t>
        </is>
      </c>
      <c r="I859" t="inlineStr">
        <is>
          <t>Yes</t>
        </is>
      </c>
      <c r="K859" t="inlineStr">
        <is>
          <t>Collection</t>
        </is>
      </c>
      <c r="L859" t="n">
        <v>20</v>
      </c>
      <c r="M859" t="n">
        <v>20</v>
      </c>
      <c r="N859" t="n">
        <v>44</v>
      </c>
      <c r="O859" t="inlineStr">
        <is>
          <t>2026-10-05 UTC (WFM pull 02:52-04:00)</t>
        </is>
      </c>
      <c r="P859" t="inlineStr">
        <is>
          <t>OK</t>
        </is>
      </c>
      <c r="R859" t="inlineStr">
        <is>
          <t>Every current tradeable mod at MAX RANK (WFM catalogue, rivens/locators excluded)</t>
        </is>
      </c>
      <c r="S859" t="inlineStr">
        <is>
          <t>infiltrate</t>
        </is>
      </c>
      <c r="T859" t="n">
        <v>5</v>
      </c>
      <c r="U859" t="n">
        <v>5</v>
      </c>
      <c r="V859" t="n">
        <v>13</v>
      </c>
      <c r="W859" t="n">
        <v>15</v>
      </c>
      <c r="X859" t="n">
        <v>13.9</v>
      </c>
      <c r="Y859" t="n">
        <v>188</v>
      </c>
      <c r="Z859" t="n">
        <v>6</v>
      </c>
      <c r="AA859" t="n">
        <v>5</v>
      </c>
      <c r="AB859" t="n">
        <v>15</v>
      </c>
      <c r="AN859" t="inlineStr">
        <is>
          <t>Augment Ivara</t>
        </is>
      </c>
      <c r="AO859" t="n">
        <v>210</v>
      </c>
      <c r="AP859" t="n">
        <v>10143</v>
      </c>
      <c r="AQ859" t="n">
        <v>15</v>
      </c>
      <c r="AS859" t="inlineStr">
        <is>
          <t>Yes</t>
        </is>
      </c>
    </row>
    <row r="860">
      <c r="A860" t="inlineStr">
        <is>
          <t>Mod</t>
        </is>
      </c>
      <c r="B860" t="inlineStr">
        <is>
          <t>Insatiable</t>
        </is>
      </c>
      <c r="E860" t="inlineStr">
        <is>
          <t>Augment Nidus</t>
        </is>
      </c>
      <c r="F860" t="n">
        <v>3</v>
      </c>
      <c r="G860" t="n">
        <v>1</v>
      </c>
      <c r="H860" t="inlineStr">
        <is>
          <t>Player trade (max rank)</t>
        </is>
      </c>
      <c r="I860" t="inlineStr">
        <is>
          <t>Yes</t>
        </is>
      </c>
      <c r="K860" t="inlineStr">
        <is>
          <t>Collection</t>
        </is>
      </c>
      <c r="L860" t="n">
        <v>20</v>
      </c>
      <c r="M860" t="n">
        <v>20</v>
      </c>
      <c r="N860" t="n">
        <v>44</v>
      </c>
      <c r="O860" t="inlineStr">
        <is>
          <t>2026-10-05 UTC (WFM pull 02:52-04:00)</t>
        </is>
      </c>
      <c r="P860" t="inlineStr">
        <is>
          <t>OK</t>
        </is>
      </c>
      <c r="R860" t="inlineStr">
        <is>
          <t>Every current tradeable mod at MAX RANK (WFM catalogue, rivens/locators excluded)</t>
        </is>
      </c>
      <c r="S860" t="inlineStr">
        <is>
          <t>insatiable</t>
        </is>
      </c>
      <c r="T860" t="n">
        <v>6</v>
      </c>
      <c r="U860" t="n">
        <v>6</v>
      </c>
      <c r="V860" t="n">
        <v>11.5</v>
      </c>
      <c r="W860" t="n">
        <v>13</v>
      </c>
      <c r="X860" t="n">
        <v>13.3</v>
      </c>
      <c r="Y860" t="n">
        <v>176</v>
      </c>
      <c r="Z860" t="n">
        <v>5</v>
      </c>
      <c r="AN860" t="inlineStr">
        <is>
          <t>Augment Nidus</t>
        </is>
      </c>
      <c r="AO860" t="n">
        <v>210</v>
      </c>
      <c r="AP860" t="n">
        <v>10143</v>
      </c>
      <c r="AQ860" t="n">
        <v>15</v>
      </c>
      <c r="AS860" t="inlineStr">
        <is>
          <t>Yes</t>
        </is>
      </c>
    </row>
    <row r="861">
      <c r="A861" t="inlineStr">
        <is>
          <t>Mod</t>
        </is>
      </c>
      <c r="B861" t="inlineStr">
        <is>
          <t>Instant Secure</t>
        </is>
      </c>
      <c r="E861" t="inlineStr">
        <is>
          <t>Parazon</t>
        </is>
      </c>
      <c r="F861" t="n">
        <v>3</v>
      </c>
      <c r="G861" t="n">
        <v>1</v>
      </c>
      <c r="H861" t="inlineStr">
        <is>
          <t>Player trade (max rank)</t>
        </is>
      </c>
      <c r="I861" t="inlineStr">
        <is>
          <t>Yes</t>
        </is>
      </c>
      <c r="K861" t="inlineStr">
        <is>
          <t>Collection</t>
        </is>
      </c>
      <c r="L861" t="n">
        <v>2</v>
      </c>
      <c r="M861" t="n">
        <v>3</v>
      </c>
      <c r="N861" t="n">
        <v>4</v>
      </c>
      <c r="O861" t="inlineStr">
        <is>
          <t>2026-10-05 UTC (WFM pull 02:52-04:00)</t>
        </is>
      </c>
      <c r="P861" t="inlineStr">
        <is>
          <t>OK</t>
        </is>
      </c>
      <c r="R861" t="inlineStr">
        <is>
          <t>Every current tradeable mod at MAX RANK (WFM catalogue, rivens/locators excluded)</t>
        </is>
      </c>
      <c r="S861" t="inlineStr">
        <is>
          <t>instant_secure</t>
        </is>
      </c>
      <c r="T861" t="n">
        <v>4</v>
      </c>
      <c r="U861" t="n">
        <v>4</v>
      </c>
      <c r="V861" t="n">
        <v>2</v>
      </c>
      <c r="W861" t="n">
        <v>2</v>
      </c>
      <c r="X861" t="n">
        <v>2.5</v>
      </c>
      <c r="Y861" t="n">
        <v>47</v>
      </c>
      <c r="Z861" t="n">
        <v>8</v>
      </c>
      <c r="AN861" t="inlineStr">
        <is>
          <t>Parazon</t>
        </is>
      </c>
      <c r="AO861" t="n">
        <v>70</v>
      </c>
      <c r="AP861" t="n">
        <v>3381</v>
      </c>
      <c r="AQ861" t="n">
        <v>2</v>
      </c>
      <c r="AS861" t="inlineStr">
        <is>
          <t>Yes</t>
        </is>
      </c>
    </row>
    <row r="862">
      <c r="A862" t="inlineStr">
        <is>
          <t>Mod</t>
        </is>
      </c>
      <c r="B862" t="inlineStr">
        <is>
          <t>Insulation</t>
        </is>
      </c>
      <c r="E862" t="inlineStr">
        <is>
          <t>Warframe</t>
        </is>
      </c>
      <c r="F862" t="n">
        <v>5</v>
      </c>
      <c r="G862" t="n">
        <v>1</v>
      </c>
      <c r="H862" t="inlineStr">
        <is>
          <t>Player trade (max rank)</t>
        </is>
      </c>
      <c r="I862" t="inlineStr">
        <is>
          <t>Yes</t>
        </is>
      </c>
      <c r="K862" t="inlineStr">
        <is>
          <t>Collection</t>
        </is>
      </c>
      <c r="L862" t="n">
        <v>10</v>
      </c>
      <c r="M862" t="n">
        <v>32.5</v>
      </c>
      <c r="N862" t="n">
        <v>64</v>
      </c>
      <c r="O862" t="inlineStr">
        <is>
          <t>2026-10-05 UTC (WFM pull 02:52-04:00)</t>
        </is>
      </c>
      <c r="P862" t="inlineStr">
        <is>
          <t>OK</t>
        </is>
      </c>
      <c r="R862" t="inlineStr">
        <is>
          <t>Every current tradeable mod at MAX RANK (WFM catalogue, rivens/locators excluded)</t>
        </is>
      </c>
      <c r="S862" t="inlineStr">
        <is>
          <t>insulation</t>
        </is>
      </c>
      <c r="T862" t="n">
        <v>4</v>
      </c>
      <c r="U862" t="n">
        <v>4</v>
      </c>
      <c r="Y862" t="n">
        <v>0</v>
      </c>
      <c r="Z862" t="n">
        <v>0</v>
      </c>
      <c r="AN862" t="inlineStr">
        <is>
          <t>Warframe</t>
        </is>
      </c>
      <c r="AO862" t="n">
        <v>310</v>
      </c>
      <c r="AP862" t="n">
        <v>14973</v>
      </c>
      <c r="AQ862" t="n">
        <v>5</v>
      </c>
      <c r="AS862" t="inlineStr">
        <is>
          <t>Yes</t>
        </is>
      </c>
    </row>
    <row r="863">
      <c r="A863" t="inlineStr">
        <is>
          <t>Mod</t>
        </is>
      </c>
      <c r="B863" t="inlineStr">
        <is>
          <t>Intensify</t>
        </is>
      </c>
      <c r="E863" t="inlineStr">
        <is>
          <t>Warframe</t>
        </is>
      </c>
      <c r="F863" t="n">
        <v>5</v>
      </c>
      <c r="G863" t="n">
        <v>1</v>
      </c>
      <c r="H863" t="inlineStr">
        <is>
          <t>Player trade (max rank)</t>
        </is>
      </c>
      <c r="I863" t="inlineStr">
        <is>
          <t>Yes</t>
        </is>
      </c>
      <c r="K863" t="inlineStr">
        <is>
          <t>Collection</t>
        </is>
      </c>
      <c r="L863" t="n">
        <v>6</v>
      </c>
      <c r="M863" t="n">
        <v>10</v>
      </c>
      <c r="N863" t="n">
        <v>17</v>
      </c>
      <c r="O863" t="inlineStr">
        <is>
          <t>2026-10-05 UTC (WFM pull 02:52-04:00)</t>
        </is>
      </c>
      <c r="P863" t="inlineStr">
        <is>
          <t>OK</t>
        </is>
      </c>
      <c r="R863" t="inlineStr">
        <is>
          <t>Every current tradeable mod at MAX RANK (WFM catalogue, rivens/locators excluded)</t>
        </is>
      </c>
      <c r="S863" t="inlineStr">
        <is>
          <t>intensify</t>
        </is>
      </c>
      <c r="T863" t="n">
        <v>8</v>
      </c>
      <c r="U863" t="n">
        <v>8</v>
      </c>
      <c r="V863" t="n">
        <v>7.5</v>
      </c>
      <c r="W863" t="n">
        <v>7.5</v>
      </c>
      <c r="X863" t="n">
        <v>7.5</v>
      </c>
      <c r="Y863" t="n">
        <v>120</v>
      </c>
      <c r="Z863" t="n">
        <v>4</v>
      </c>
      <c r="AN863" t="inlineStr">
        <is>
          <t>Warframe</t>
        </is>
      </c>
      <c r="AO863" t="n">
        <v>930</v>
      </c>
      <c r="AP863" t="n">
        <v>44919</v>
      </c>
      <c r="AQ863" t="n">
        <v>3</v>
      </c>
      <c r="AS863" t="inlineStr">
        <is>
          <t>Yes</t>
        </is>
      </c>
    </row>
    <row r="864">
      <c r="A864" t="inlineStr">
        <is>
          <t>Mod</t>
        </is>
      </c>
      <c r="B864" t="inlineStr">
        <is>
          <t>Internal Bleeding</t>
        </is>
      </c>
      <c r="E864" t="inlineStr">
        <is>
          <t>Rifle</t>
        </is>
      </c>
      <c r="F864" t="n">
        <v>5</v>
      </c>
      <c r="G864" t="n">
        <v>1</v>
      </c>
      <c r="H864" t="inlineStr">
        <is>
          <t>Player trade (max rank)</t>
        </is>
      </c>
      <c r="I864" t="inlineStr">
        <is>
          <t>Yes</t>
        </is>
      </c>
      <c r="K864" t="inlineStr">
        <is>
          <t>Collection</t>
        </is>
      </c>
      <c r="L864" t="n">
        <v>20</v>
      </c>
      <c r="M864" t="n">
        <v>30</v>
      </c>
      <c r="N864" t="n">
        <v>66</v>
      </c>
      <c r="O864" t="inlineStr">
        <is>
          <t>2026-10-05 UTC (WFM pull 02:52-04:00)</t>
        </is>
      </c>
      <c r="P864" t="inlineStr">
        <is>
          <t>OK</t>
        </is>
      </c>
      <c r="R864" t="inlineStr">
        <is>
          <t>Every current tradeable mod at MAX RANK (WFM catalogue, rivens/locators excluded)</t>
        </is>
      </c>
      <c r="S864" t="inlineStr">
        <is>
          <t>internal_bleeding</t>
        </is>
      </c>
      <c r="T864" t="n">
        <v>5</v>
      </c>
      <c r="U864" t="n">
        <v>5</v>
      </c>
      <c r="V864" t="n">
        <v>20</v>
      </c>
      <c r="W864" t="n">
        <v>19.5</v>
      </c>
      <c r="X864" t="n">
        <v>18.4</v>
      </c>
      <c r="Y864" t="n">
        <v>145</v>
      </c>
      <c r="Z864" t="n">
        <v>4</v>
      </c>
      <c r="AN864" t="inlineStr">
        <is>
          <t>Rifle</t>
        </is>
      </c>
      <c r="AO864" t="n">
        <v>930</v>
      </c>
      <c r="AP864" t="n">
        <v>44919</v>
      </c>
      <c r="AQ864" t="n">
        <v>10</v>
      </c>
      <c r="AS864" t="inlineStr">
        <is>
          <t>Yes</t>
        </is>
      </c>
    </row>
    <row r="865">
      <c r="A865" t="inlineStr">
        <is>
          <t>Mod</t>
        </is>
      </c>
      <c r="B865" t="inlineStr">
        <is>
          <t>Intrepid Stand</t>
        </is>
      </c>
      <c r="E865" t="inlineStr">
        <is>
          <t>Augment Styanax</t>
        </is>
      </c>
      <c r="F865" t="n">
        <v>3</v>
      </c>
      <c r="G865" t="n">
        <v>1</v>
      </c>
      <c r="H865" t="inlineStr">
        <is>
          <t>Player trade (max rank)</t>
        </is>
      </c>
      <c r="I865" t="inlineStr">
        <is>
          <t>Yes</t>
        </is>
      </c>
      <c r="K865" t="inlineStr">
        <is>
          <t>Collection</t>
        </is>
      </c>
      <c r="L865" t="n">
        <v>15</v>
      </c>
      <c r="M865" t="n">
        <v>20</v>
      </c>
      <c r="N865" t="n">
        <v>27</v>
      </c>
      <c r="O865" t="inlineStr">
        <is>
          <t>2026-10-05 UTC (WFM pull 02:52-04:00)</t>
        </is>
      </c>
      <c r="P865" t="inlineStr">
        <is>
          <t>OK</t>
        </is>
      </c>
      <c r="R865" t="inlineStr">
        <is>
          <t>Every current tradeable mod at MAX RANK (WFM catalogue, rivens/locators excluded)</t>
        </is>
      </c>
      <c r="S865" t="inlineStr">
        <is>
          <t>intrepid_stand</t>
        </is>
      </c>
      <c r="T865" t="n">
        <v>8</v>
      </c>
      <c r="U865" t="n">
        <v>8</v>
      </c>
      <c r="V865" t="n">
        <v>14.5</v>
      </c>
      <c r="W865" t="n">
        <v>15</v>
      </c>
      <c r="X865" t="n">
        <v>14.3</v>
      </c>
      <c r="Y865" t="n">
        <v>967</v>
      </c>
      <c r="Z865" t="n">
        <v>14</v>
      </c>
      <c r="AN865" t="inlineStr">
        <is>
          <t>Augment Styanax</t>
        </is>
      </c>
      <c r="AO865" t="n">
        <v>210</v>
      </c>
      <c r="AP865" t="n">
        <v>10143</v>
      </c>
      <c r="AQ865" t="n">
        <v>17.2</v>
      </c>
      <c r="AS865" t="inlineStr">
        <is>
          <t>Yes</t>
        </is>
      </c>
    </row>
    <row r="866">
      <c r="A866" t="inlineStr">
        <is>
          <t>Mod</t>
        </is>
      </c>
      <c r="B866" t="inlineStr">
        <is>
          <t>Intruder</t>
        </is>
      </c>
      <c r="E866" t="inlineStr">
        <is>
          <t>Parazon</t>
        </is>
      </c>
      <c r="G866" t="n">
        <v>1</v>
      </c>
      <c r="H866" t="inlineStr">
        <is>
          <t>Player trade (max rank)</t>
        </is>
      </c>
      <c r="I866" t="inlineStr">
        <is>
          <t>Yes</t>
        </is>
      </c>
      <c r="K866" t="inlineStr">
        <is>
          <t>Collection</t>
        </is>
      </c>
      <c r="L866" t="n">
        <v>4</v>
      </c>
      <c r="M866" t="n">
        <v>4</v>
      </c>
      <c r="N866" t="n">
        <v>9</v>
      </c>
      <c r="O866" t="inlineStr">
        <is>
          <t>2026-10-05 UTC (WFM pull 02:52-04:00)</t>
        </is>
      </c>
      <c r="P866" t="inlineStr">
        <is>
          <t>OK</t>
        </is>
      </c>
      <c r="R866" t="inlineStr">
        <is>
          <t>Every current tradeable mod at MAX RANK (WFM catalogue, rivens/locators excluded)</t>
        </is>
      </c>
      <c r="S866" t="inlineStr">
        <is>
          <t>intruder</t>
        </is>
      </c>
      <c r="T866" t="n">
        <v>6</v>
      </c>
      <c r="U866" t="n">
        <v>6</v>
      </c>
      <c r="V866" t="n">
        <v>2</v>
      </c>
      <c r="W866" t="n">
        <v>2</v>
      </c>
      <c r="X866" t="n">
        <v>2</v>
      </c>
      <c r="Y866" t="n">
        <v>174</v>
      </c>
      <c r="Z866" t="n">
        <v>2</v>
      </c>
      <c r="AN866" t="inlineStr">
        <is>
          <t>Parazon</t>
        </is>
      </c>
      <c r="AO866" t="n">
        <v>0</v>
      </c>
      <c r="AP866" t="n">
        <v>0</v>
      </c>
      <c r="AS866" t="inlineStr">
        <is>
          <t>Yes</t>
        </is>
      </c>
    </row>
    <row r="867">
      <c r="A867" t="inlineStr">
        <is>
          <t>Mod</t>
        </is>
      </c>
      <c r="B867" t="inlineStr">
        <is>
          <t>Intruder Stasis</t>
        </is>
      </c>
      <c r="E867" t="inlineStr">
        <is>
          <t>Railjack (Tactical, Slot 1)</t>
        </is>
      </c>
      <c r="F867" t="n">
        <v>5</v>
      </c>
      <c r="G867" t="n">
        <v>1</v>
      </c>
      <c r="H867" t="inlineStr">
        <is>
          <t>Player trade (max rank)</t>
        </is>
      </c>
      <c r="I867" t="inlineStr">
        <is>
          <t>Yes</t>
        </is>
      </c>
      <c r="K867" t="inlineStr">
        <is>
          <t>Collection</t>
        </is>
      </c>
      <c r="L867" t="n">
        <v>15</v>
      </c>
      <c r="M867" t="n">
        <v>19</v>
      </c>
      <c r="N867" t="n">
        <v>28</v>
      </c>
      <c r="O867" t="inlineStr">
        <is>
          <t>2026-10-05 UTC (WFM pull 02:52-04:00)</t>
        </is>
      </c>
      <c r="P867" t="inlineStr">
        <is>
          <t>OK</t>
        </is>
      </c>
      <c r="R867" t="inlineStr">
        <is>
          <t>Every current tradeable mod at MAX RANK (WFM catalogue, rivens/locators excluded)</t>
        </is>
      </c>
      <c r="S867" t="inlineStr">
        <is>
          <t>intruder_stasis</t>
        </is>
      </c>
      <c r="T867" t="n">
        <v>44</v>
      </c>
      <c r="U867" t="n">
        <v>1</v>
      </c>
      <c r="V867" t="n">
        <v>25</v>
      </c>
      <c r="W867" t="n">
        <v>25</v>
      </c>
      <c r="X867" t="n">
        <v>26.7</v>
      </c>
      <c r="Y867" t="n">
        <v>19</v>
      </c>
      <c r="Z867" t="n">
        <v>1</v>
      </c>
      <c r="AN867" t="inlineStr">
        <is>
          <t>Railjack (Tactical, Slot 1)</t>
        </is>
      </c>
      <c r="AO867" t="n">
        <v>620</v>
      </c>
      <c r="AP867" t="n">
        <v>29946</v>
      </c>
      <c r="AQ867" t="n">
        <v>8</v>
      </c>
      <c r="AS867" t="inlineStr">
        <is>
          <t>Yes</t>
        </is>
      </c>
    </row>
    <row r="868">
      <c r="A868" t="inlineStr">
        <is>
          <t>Mod</t>
        </is>
      </c>
      <c r="B868" t="inlineStr">
        <is>
          <t>Investigator</t>
        </is>
      </c>
      <c r="E868" t="inlineStr">
        <is>
          <t>Helios</t>
        </is>
      </c>
      <c r="F868" t="n">
        <v>5</v>
      </c>
      <c r="G868" t="n">
        <v>1</v>
      </c>
      <c r="H868" t="inlineStr">
        <is>
          <t>Player trade (max rank)</t>
        </is>
      </c>
      <c r="I868" t="inlineStr">
        <is>
          <t>Yes</t>
        </is>
      </c>
      <c r="K868" t="inlineStr">
        <is>
          <t>Collection</t>
        </is>
      </c>
      <c r="L868" t="n">
        <v>7</v>
      </c>
      <c r="M868" t="n">
        <v>12</v>
      </c>
      <c r="N868" t="n">
        <v>17</v>
      </c>
      <c r="O868" t="inlineStr">
        <is>
          <t>2026-10-05 UTC (WFM pull 02:52-04:00)</t>
        </is>
      </c>
      <c r="P868" t="inlineStr">
        <is>
          <t>OK</t>
        </is>
      </c>
      <c r="R868" t="inlineStr">
        <is>
          <t>Every current tradeable mod at MAX RANK (WFM catalogue, rivens/locators excluded)</t>
        </is>
      </c>
      <c r="S868" t="inlineStr">
        <is>
          <t>investigator</t>
        </is>
      </c>
      <c r="T868" t="n">
        <v>46</v>
      </c>
      <c r="U868" t="n">
        <v>2</v>
      </c>
      <c r="V868" t="n">
        <v>15</v>
      </c>
      <c r="W868" t="n">
        <v>15</v>
      </c>
      <c r="X868" t="n">
        <v>15.8</v>
      </c>
      <c r="Y868" t="n">
        <v>11</v>
      </c>
      <c r="Z868" t="n">
        <v>0</v>
      </c>
      <c r="AN868" t="inlineStr">
        <is>
          <t>Helios</t>
        </is>
      </c>
      <c r="AO868" t="n">
        <v>310</v>
      </c>
      <c r="AP868" t="n">
        <v>14973</v>
      </c>
      <c r="AQ868" t="n">
        <v>5</v>
      </c>
      <c r="AS868" t="inlineStr">
        <is>
          <t>Yes</t>
        </is>
      </c>
    </row>
    <row r="869">
      <c r="A869" t="inlineStr">
        <is>
          <t>Mod</t>
        </is>
      </c>
      <c r="B869" t="inlineStr">
        <is>
          <t>Ion Burn</t>
        </is>
      </c>
      <c r="E869" t="inlineStr">
        <is>
          <t>Plexus</t>
        </is>
      </c>
      <c r="F869" t="n">
        <v>5</v>
      </c>
      <c r="G869" t="n">
        <v>1</v>
      </c>
      <c r="H869" t="inlineStr">
        <is>
          <t>Player trade (max rank)</t>
        </is>
      </c>
      <c r="I869" t="inlineStr">
        <is>
          <t>Yes</t>
        </is>
      </c>
      <c r="K869" t="inlineStr">
        <is>
          <t>Collection</t>
        </is>
      </c>
      <c r="L869" t="n">
        <v>3</v>
      </c>
      <c r="M869" t="n">
        <v>4</v>
      </c>
      <c r="N869" t="n">
        <v>9</v>
      </c>
      <c r="O869" t="inlineStr">
        <is>
          <t>2026-10-05 UTC (WFM pull 02:52-04:00)</t>
        </is>
      </c>
      <c r="P869" t="inlineStr">
        <is>
          <t>OK</t>
        </is>
      </c>
      <c r="R869" t="inlineStr">
        <is>
          <t>Every current tradeable mod at MAX RANK (WFM catalogue, rivens/locators excluded)</t>
        </is>
      </c>
      <c r="S869" t="inlineStr">
        <is>
          <t>ion_burn</t>
        </is>
      </c>
      <c r="T869" t="n">
        <v>78</v>
      </c>
      <c r="U869" t="n">
        <v>1</v>
      </c>
      <c r="V869" t="n">
        <v>15</v>
      </c>
      <c r="W869" t="n">
        <v>15</v>
      </c>
      <c r="X869" t="n">
        <v>14.8</v>
      </c>
      <c r="Y869" t="n">
        <v>33</v>
      </c>
      <c r="Z869" t="n">
        <v>1</v>
      </c>
      <c r="AN869" t="inlineStr">
        <is>
          <t>Plexus</t>
        </is>
      </c>
      <c r="AO869" t="n">
        <v>310</v>
      </c>
      <c r="AP869" t="n">
        <v>14973</v>
      </c>
      <c r="AQ869" t="n">
        <v>3</v>
      </c>
      <c r="AS869" t="inlineStr">
        <is>
          <t>Yes</t>
        </is>
      </c>
    </row>
    <row r="870">
      <c r="A870" t="inlineStr">
        <is>
          <t>Mod</t>
        </is>
      </c>
      <c r="B870" t="inlineStr">
        <is>
          <t>Ion Infusion</t>
        </is>
      </c>
      <c r="E870" t="inlineStr">
        <is>
          <t>Archmelee</t>
        </is>
      </c>
      <c r="F870" t="n">
        <v>3</v>
      </c>
      <c r="G870" t="n">
        <v>1</v>
      </c>
      <c r="H870" t="inlineStr">
        <is>
          <t>Player trade (max rank)</t>
        </is>
      </c>
      <c r="I870" t="inlineStr">
        <is>
          <t>Yes</t>
        </is>
      </c>
      <c r="K870" t="inlineStr">
        <is>
          <t>Collection</t>
        </is>
      </c>
      <c r="L870" t="n">
        <v>20</v>
      </c>
      <c r="M870" t="n">
        <v>33</v>
      </c>
      <c r="N870" t="n">
        <v>73</v>
      </c>
      <c r="O870" t="inlineStr">
        <is>
          <t>2026-10-05 UTC (WFM pull 02:52-04:00)</t>
        </is>
      </c>
      <c r="P870" t="inlineStr">
        <is>
          <t>OK</t>
        </is>
      </c>
      <c r="R870" t="inlineStr">
        <is>
          <t>Every current tradeable mod at MAX RANK (WFM catalogue, rivens/locators excluded)</t>
        </is>
      </c>
      <c r="S870" t="inlineStr">
        <is>
          <t>ion_infusion</t>
        </is>
      </c>
      <c r="T870" t="n">
        <v>3</v>
      </c>
      <c r="U870" t="n">
        <v>3</v>
      </c>
      <c r="V870" t="n">
        <v>22</v>
      </c>
      <c r="W870" t="n">
        <v>15</v>
      </c>
      <c r="X870" t="n">
        <v>16.5</v>
      </c>
      <c r="Y870" t="n">
        <v>22</v>
      </c>
      <c r="Z870" t="n">
        <v>1</v>
      </c>
      <c r="AN870" t="inlineStr">
        <is>
          <t>Archmelee</t>
        </is>
      </c>
      <c r="AO870" t="n">
        <v>210</v>
      </c>
      <c r="AP870" t="n">
        <v>10143</v>
      </c>
      <c r="AQ870" t="n">
        <v>14</v>
      </c>
      <c r="AS870" t="inlineStr">
        <is>
          <t>Yes</t>
        </is>
      </c>
    </row>
    <row r="871">
      <c r="A871" t="inlineStr">
        <is>
          <t>Mod</t>
        </is>
      </c>
      <c r="B871" t="inlineStr">
        <is>
          <t>Iron Phoenix</t>
        </is>
      </c>
      <c r="E871" t="inlineStr">
        <is>
          <t>Stance</t>
        </is>
      </c>
      <c r="F871" t="n">
        <v>3</v>
      </c>
      <c r="G871" t="n">
        <v>1</v>
      </c>
      <c r="H871" t="inlineStr">
        <is>
          <t>Player trade (max rank)</t>
        </is>
      </c>
      <c r="I871" t="inlineStr">
        <is>
          <t>Yes</t>
        </is>
      </c>
      <c r="K871" t="inlineStr">
        <is>
          <t>Collection</t>
        </is>
      </c>
      <c r="L871" t="n">
        <v>7</v>
      </c>
      <c r="M871" t="n">
        <v>10</v>
      </c>
      <c r="N871" t="n">
        <v>11</v>
      </c>
      <c r="O871" t="inlineStr">
        <is>
          <t>2026-10-05 UTC (WFM pull 02:52-04:00)</t>
        </is>
      </c>
      <c r="P871" t="inlineStr">
        <is>
          <t>OK</t>
        </is>
      </c>
      <c r="R871" t="inlineStr">
        <is>
          <t>Every current tradeable mod at MAX RANK (WFM catalogue, rivens/locators excluded)</t>
        </is>
      </c>
      <c r="S871" t="inlineStr">
        <is>
          <t>iron_phoenix</t>
        </is>
      </c>
      <c r="T871" t="n">
        <v>10</v>
      </c>
      <c r="U871" t="n">
        <v>10</v>
      </c>
      <c r="V871" t="n">
        <v>10</v>
      </c>
      <c r="W871" t="n">
        <v>8</v>
      </c>
      <c r="X871" t="n">
        <v>7.8</v>
      </c>
      <c r="Y871" t="n">
        <v>47</v>
      </c>
      <c r="Z871" t="n">
        <v>0</v>
      </c>
      <c r="AN871" t="inlineStr">
        <is>
          <t>Stance</t>
        </is>
      </c>
      <c r="AO871" t="n">
        <v>210</v>
      </c>
      <c r="AP871" t="n">
        <v>10143</v>
      </c>
      <c r="AQ871" t="n">
        <v>3</v>
      </c>
      <c r="AS871" t="inlineStr">
        <is>
          <t>Yes</t>
        </is>
      </c>
    </row>
    <row r="872">
      <c r="A872" t="inlineStr">
        <is>
          <t>Mod</t>
        </is>
      </c>
      <c r="B872" t="inlineStr">
        <is>
          <t>Iron Shrapnel</t>
        </is>
      </c>
      <c r="E872" t="inlineStr">
        <is>
          <t>Augment Rhino</t>
        </is>
      </c>
      <c r="F872" t="n">
        <v>3</v>
      </c>
      <c r="G872" t="n">
        <v>1</v>
      </c>
      <c r="H872" t="inlineStr">
        <is>
          <t>Player trade (max rank)</t>
        </is>
      </c>
      <c r="I872" t="inlineStr">
        <is>
          <t>Yes</t>
        </is>
      </c>
      <c r="K872" t="inlineStr">
        <is>
          <t>Collection</t>
        </is>
      </c>
      <c r="L872" t="n">
        <v>10</v>
      </c>
      <c r="M872" t="n">
        <v>10</v>
      </c>
      <c r="N872" t="n">
        <v>17</v>
      </c>
      <c r="O872" t="inlineStr">
        <is>
          <t>2026-10-05 UTC (WFM pull 02:52-04:00)</t>
        </is>
      </c>
      <c r="P872" t="inlineStr">
        <is>
          <t>OK</t>
        </is>
      </c>
      <c r="R872" t="inlineStr">
        <is>
          <t>Every current tradeable mod at MAX RANK (WFM catalogue, rivens/locators excluded)</t>
        </is>
      </c>
      <c r="S872" t="inlineStr">
        <is>
          <t>iron_shrapnel</t>
        </is>
      </c>
      <c r="T872" t="n">
        <v>79</v>
      </c>
      <c r="U872" t="n">
        <v>2</v>
      </c>
      <c r="V872" t="n">
        <v>15</v>
      </c>
      <c r="W872" t="n">
        <v>13</v>
      </c>
      <c r="X872" t="n">
        <v>13.6</v>
      </c>
      <c r="Y872" t="n">
        <v>106</v>
      </c>
      <c r="Z872" t="n">
        <v>2</v>
      </c>
      <c r="AN872" t="inlineStr">
        <is>
          <t>Augment Rhino</t>
        </is>
      </c>
      <c r="AO872" t="n">
        <v>210</v>
      </c>
      <c r="AP872" t="n">
        <v>10143</v>
      </c>
      <c r="AQ872" t="n">
        <v>15</v>
      </c>
      <c r="AS872" t="inlineStr">
        <is>
          <t>Yes</t>
        </is>
      </c>
    </row>
    <row r="873">
      <c r="A873" t="inlineStr">
        <is>
          <t>Mod</t>
        </is>
      </c>
      <c r="B873" t="inlineStr">
        <is>
          <t>Ironclad Charge</t>
        </is>
      </c>
      <c r="E873" t="inlineStr">
        <is>
          <t>Augment Rhino</t>
        </is>
      </c>
      <c r="F873" t="n">
        <v>3</v>
      </c>
      <c r="G873" t="n">
        <v>1</v>
      </c>
      <c r="H873" t="inlineStr">
        <is>
          <t>Player trade (max rank)</t>
        </is>
      </c>
      <c r="I873" t="inlineStr">
        <is>
          <t>Yes</t>
        </is>
      </c>
      <c r="K873" t="inlineStr">
        <is>
          <t>Collection</t>
        </is>
      </c>
      <c r="L873" t="n">
        <v>22</v>
      </c>
      <c r="M873" t="n">
        <v>22</v>
      </c>
      <c r="N873" t="n">
        <v>33</v>
      </c>
      <c r="O873" t="inlineStr">
        <is>
          <t>2026-10-05 UTC (WFM pull 02:52-04:00)</t>
        </is>
      </c>
      <c r="P873" t="inlineStr">
        <is>
          <t>OK</t>
        </is>
      </c>
      <c r="R873" t="inlineStr">
        <is>
          <t>Every current tradeable mod at MAX RANK (WFM catalogue, rivens/locators excluded)</t>
        </is>
      </c>
      <c r="S873" t="inlineStr">
        <is>
          <t>ironclad_charge</t>
        </is>
      </c>
      <c r="T873" t="n">
        <v>4</v>
      </c>
      <c r="U873" t="n">
        <v>4</v>
      </c>
      <c r="V873" t="n">
        <v>11</v>
      </c>
      <c r="W873" t="n">
        <v>12</v>
      </c>
      <c r="X873" t="n">
        <v>12.6</v>
      </c>
      <c r="Y873" t="n">
        <v>203</v>
      </c>
      <c r="Z873" t="n">
        <v>6</v>
      </c>
      <c r="AN873" t="inlineStr">
        <is>
          <t>Augment Rhino</t>
        </is>
      </c>
      <c r="AO873" t="n">
        <v>210</v>
      </c>
      <c r="AP873" t="n">
        <v>10143</v>
      </c>
      <c r="AQ873" t="n">
        <v>14</v>
      </c>
      <c r="AS873" t="inlineStr">
        <is>
          <t>Yes</t>
        </is>
      </c>
    </row>
    <row r="874">
      <c r="A874" t="inlineStr">
        <is>
          <t>Mod</t>
        </is>
      </c>
      <c r="B874" t="inlineStr">
        <is>
          <t>Ironclad Flight</t>
        </is>
      </c>
      <c r="E874" t="inlineStr">
        <is>
          <t>Titania</t>
        </is>
      </c>
      <c r="F874" t="n">
        <v>3</v>
      </c>
      <c r="G874" t="n">
        <v>1</v>
      </c>
      <c r="H874" t="inlineStr">
        <is>
          <t>Player trade (max rank)</t>
        </is>
      </c>
      <c r="I874" t="inlineStr">
        <is>
          <t>Yes</t>
        </is>
      </c>
      <c r="K874" t="inlineStr">
        <is>
          <t>Collection</t>
        </is>
      </c>
      <c r="L874" t="n">
        <v>7</v>
      </c>
      <c r="M874" t="n">
        <v>9</v>
      </c>
      <c r="N874" t="n">
        <v>10</v>
      </c>
      <c r="O874" t="inlineStr">
        <is>
          <t>2026-10-05 UTC (WFM pull 02:52-04:00)</t>
        </is>
      </c>
      <c r="P874" t="inlineStr">
        <is>
          <t>OK</t>
        </is>
      </c>
      <c r="R874" t="inlineStr">
        <is>
          <t>Every current tradeable mod at MAX RANK (WFM catalogue, rivens/locators excluded)</t>
        </is>
      </c>
      <c r="S874" t="inlineStr">
        <is>
          <t>ironclad_flight</t>
        </is>
      </c>
      <c r="T874" t="n">
        <v>77</v>
      </c>
      <c r="U874" t="n">
        <v>0</v>
      </c>
      <c r="V874" t="n">
        <v>9</v>
      </c>
      <c r="W874" t="n">
        <v>10</v>
      </c>
      <c r="X874" t="n">
        <v>11.5</v>
      </c>
      <c r="Y874" t="n">
        <v>26</v>
      </c>
      <c r="Z874" t="n">
        <v>1</v>
      </c>
      <c r="AN874" t="inlineStr">
        <is>
          <t>Titania</t>
        </is>
      </c>
      <c r="AO874" t="n">
        <v>210</v>
      </c>
      <c r="AP874" t="n">
        <v>10143</v>
      </c>
      <c r="AQ874" t="n">
        <v>15</v>
      </c>
      <c r="AS874" t="inlineStr">
        <is>
          <t>Yes</t>
        </is>
      </c>
    </row>
    <row r="875">
      <c r="A875" t="inlineStr">
        <is>
          <t>Mod</t>
        </is>
      </c>
      <c r="B875" t="inlineStr">
        <is>
          <t>Ironclad Matrix</t>
        </is>
      </c>
      <c r="E875" t="inlineStr">
        <is>
          <t>Railjack Aura</t>
        </is>
      </c>
      <c r="F875" t="n">
        <v>5</v>
      </c>
      <c r="G875" t="n">
        <v>1</v>
      </c>
      <c r="H875" t="inlineStr">
        <is>
          <t>Player trade (max rank)</t>
        </is>
      </c>
      <c r="I875" t="inlineStr">
        <is>
          <t>Yes</t>
        </is>
      </c>
      <c r="K875" t="inlineStr">
        <is>
          <t>Collection</t>
        </is>
      </c>
      <c r="L875" t="n">
        <v>4</v>
      </c>
      <c r="M875" t="n">
        <v>9</v>
      </c>
      <c r="N875" t="n">
        <v>16</v>
      </c>
      <c r="O875" t="inlineStr">
        <is>
          <t>2026-10-05 UTC (WFM pull 02:52-04:00)</t>
        </is>
      </c>
      <c r="P875" t="inlineStr">
        <is>
          <t>OK</t>
        </is>
      </c>
      <c r="R875" t="inlineStr">
        <is>
          <t>Every current tradeable mod at MAX RANK (WFM catalogue, rivens/locators excluded)</t>
        </is>
      </c>
      <c r="S875" t="inlineStr">
        <is>
          <t>ironclad_matrix</t>
        </is>
      </c>
      <c r="T875" t="n">
        <v>83</v>
      </c>
      <c r="U875" t="n">
        <v>1</v>
      </c>
      <c r="V875" t="n">
        <v>14</v>
      </c>
      <c r="W875" t="n">
        <v>11.5</v>
      </c>
      <c r="X875" t="n">
        <v>11.9</v>
      </c>
      <c r="Y875" t="n">
        <v>107</v>
      </c>
      <c r="Z875" t="n">
        <v>3</v>
      </c>
      <c r="AN875" t="inlineStr">
        <is>
          <t>Railjack Aura</t>
        </is>
      </c>
      <c r="AO875" t="n">
        <v>620</v>
      </c>
      <c r="AP875" t="n">
        <v>29946</v>
      </c>
      <c r="AQ875" t="n">
        <v>5</v>
      </c>
      <c r="AS875" t="inlineStr">
        <is>
          <t>Yes</t>
        </is>
      </c>
    </row>
    <row r="876">
      <c r="A876" t="inlineStr">
        <is>
          <t>Mod</t>
        </is>
      </c>
      <c r="B876" t="inlineStr">
        <is>
          <t>Irradiating Disarm</t>
        </is>
      </c>
      <c r="E876" t="inlineStr">
        <is>
          <t>Augment Loki</t>
        </is>
      </c>
      <c r="F876" t="n">
        <v>3</v>
      </c>
      <c r="G876" t="n">
        <v>1</v>
      </c>
      <c r="H876" t="inlineStr">
        <is>
          <t>Player trade (max rank)</t>
        </is>
      </c>
      <c r="I876" t="inlineStr">
        <is>
          <t>Yes</t>
        </is>
      </c>
      <c r="K876" t="inlineStr">
        <is>
          <t>Collection</t>
        </is>
      </c>
      <c r="L876" t="n">
        <v>15</v>
      </c>
      <c r="M876" t="n">
        <v>15</v>
      </c>
      <c r="N876" t="n">
        <v>33</v>
      </c>
      <c r="O876" t="inlineStr">
        <is>
          <t>2026-10-05 UTC (WFM pull 02:52-04:00)</t>
        </is>
      </c>
      <c r="P876" t="inlineStr">
        <is>
          <t>OK</t>
        </is>
      </c>
      <c r="R876" t="inlineStr">
        <is>
          <t>Every current tradeable mod at MAX RANK (WFM catalogue, rivens/locators excluded)</t>
        </is>
      </c>
      <c r="S876" t="inlineStr">
        <is>
          <t>irradiating_disarm</t>
        </is>
      </c>
      <c r="T876" t="n">
        <v>8</v>
      </c>
      <c r="U876" t="n">
        <v>8</v>
      </c>
      <c r="V876" t="n">
        <v>10</v>
      </c>
      <c r="W876" t="n">
        <v>10</v>
      </c>
      <c r="X876" t="n">
        <v>11.7</v>
      </c>
      <c r="Y876" t="n">
        <v>21</v>
      </c>
      <c r="Z876" t="n">
        <v>0</v>
      </c>
      <c r="AN876" t="inlineStr">
        <is>
          <t>Augment Loki</t>
        </is>
      </c>
      <c r="AO876" t="n">
        <v>210</v>
      </c>
      <c r="AP876" t="n">
        <v>10143</v>
      </c>
      <c r="AQ876" t="n">
        <v>14</v>
      </c>
      <c r="AS876" t="inlineStr">
        <is>
          <t>Yes</t>
        </is>
      </c>
    </row>
    <row r="877">
      <c r="A877" t="inlineStr">
        <is>
          <t>Mod</t>
        </is>
      </c>
      <c r="B877" t="inlineStr">
        <is>
          <t>Jade's Judgment</t>
        </is>
      </c>
      <c r="E877" t="inlineStr">
        <is>
          <t>Augment Jade</t>
        </is>
      </c>
      <c r="F877" t="n">
        <v>3</v>
      </c>
      <c r="G877" t="n">
        <v>1</v>
      </c>
      <c r="H877" t="inlineStr">
        <is>
          <t>Player trade (max rank)</t>
        </is>
      </c>
      <c r="I877" t="inlineStr">
        <is>
          <t>Yes</t>
        </is>
      </c>
      <c r="K877" t="inlineStr">
        <is>
          <t>Collection</t>
        </is>
      </c>
      <c r="L877" t="n">
        <v>8</v>
      </c>
      <c r="M877" t="n">
        <v>10</v>
      </c>
      <c r="N877" t="n">
        <v>14</v>
      </c>
      <c r="O877" t="inlineStr">
        <is>
          <t>2026-10-05 UTC (WFM pull 02:52-04:00)</t>
        </is>
      </c>
      <c r="P877" t="inlineStr">
        <is>
          <t>OK</t>
        </is>
      </c>
      <c r="R877" t="inlineStr">
        <is>
          <t>Every current tradeable mod at MAX RANK (WFM catalogue, rivens/locators excluded)</t>
        </is>
      </c>
      <c r="S877" t="inlineStr">
        <is>
          <t>jades_judgment</t>
        </is>
      </c>
      <c r="T877" t="n">
        <v>103</v>
      </c>
      <c r="U877" t="n">
        <v>2</v>
      </c>
      <c r="V877" t="n">
        <v>12.5</v>
      </c>
      <c r="W877" t="n">
        <v>12</v>
      </c>
      <c r="X877" t="n">
        <v>11.9</v>
      </c>
      <c r="Y877" t="n">
        <v>72</v>
      </c>
      <c r="Z877" t="n">
        <v>5</v>
      </c>
      <c r="AN877" t="inlineStr">
        <is>
          <t>Augment Jade</t>
        </is>
      </c>
      <c r="AO877" t="n">
        <v>210</v>
      </c>
      <c r="AP877" t="n">
        <v>10143</v>
      </c>
      <c r="AQ877" t="n">
        <v>14</v>
      </c>
      <c r="AS877" t="inlineStr">
        <is>
          <t>Yes</t>
        </is>
      </c>
    </row>
    <row r="878">
      <c r="A878" t="inlineStr">
        <is>
          <t>Mod</t>
        </is>
      </c>
      <c r="B878" t="inlineStr">
        <is>
          <t>Jagged Edge</t>
        </is>
      </c>
      <c r="E878" t="inlineStr">
        <is>
          <t>Melee</t>
        </is>
      </c>
      <c r="F878" t="n">
        <v>5</v>
      </c>
      <c r="G878" t="n">
        <v>1</v>
      </c>
      <c r="H878" t="inlineStr">
        <is>
          <t>Player trade (max rank)</t>
        </is>
      </c>
      <c r="I878" t="inlineStr">
        <is>
          <t>Yes</t>
        </is>
      </c>
      <c r="K878" t="inlineStr">
        <is>
          <t>Collection</t>
        </is>
      </c>
      <c r="L878" t="n">
        <v>15</v>
      </c>
      <c r="M878" t="n">
        <v>15</v>
      </c>
      <c r="N878" t="n">
        <v>33</v>
      </c>
      <c r="O878" t="inlineStr">
        <is>
          <t>2026-10-05 UTC (WFM pull 02:52-04:00)</t>
        </is>
      </c>
      <c r="P878" t="inlineStr">
        <is>
          <t>OK</t>
        </is>
      </c>
      <c r="R878" t="inlineStr">
        <is>
          <t>Every current tradeable mod at MAX RANK (WFM catalogue, rivens/locators excluded)</t>
        </is>
      </c>
      <c r="S878" t="inlineStr">
        <is>
          <t>jagged_edge</t>
        </is>
      </c>
      <c r="T878" t="n">
        <v>3</v>
      </c>
      <c r="U878" t="n">
        <v>3</v>
      </c>
      <c r="V878" t="n">
        <v>7</v>
      </c>
      <c r="W878" t="n">
        <v>9</v>
      </c>
      <c r="X878" t="n">
        <v>9.1</v>
      </c>
      <c r="Y878" t="n">
        <v>45</v>
      </c>
      <c r="Z878" t="n">
        <v>1</v>
      </c>
      <c r="AN878" t="inlineStr">
        <is>
          <t>Melee</t>
        </is>
      </c>
      <c r="AO878" t="n">
        <v>930</v>
      </c>
      <c r="AP878" t="n">
        <v>44919</v>
      </c>
      <c r="AQ878" t="n">
        <v>4</v>
      </c>
      <c r="AS878" t="inlineStr">
        <is>
          <t>Yes</t>
        </is>
      </c>
    </row>
    <row r="879">
      <c r="A879" t="inlineStr">
        <is>
          <t>Mod</t>
        </is>
      </c>
      <c r="B879" t="inlineStr">
        <is>
          <t>Jahu</t>
        </is>
      </c>
      <c r="E879" t="inlineStr">
        <is>
          <t>Parazon</t>
        </is>
      </c>
      <c r="F879" t="n">
        <v>3</v>
      </c>
      <c r="G879" t="n">
        <v>1</v>
      </c>
      <c r="H879" t="inlineStr">
        <is>
          <t>Player trade (max rank)</t>
        </is>
      </c>
      <c r="I879" t="inlineStr">
        <is>
          <t>Yes</t>
        </is>
      </c>
      <c r="K879" t="inlineStr">
        <is>
          <t>Collection</t>
        </is>
      </c>
      <c r="L879" t="n">
        <v>8</v>
      </c>
      <c r="M879" t="n">
        <v>9</v>
      </c>
      <c r="N879" t="n">
        <v>11</v>
      </c>
      <c r="O879" t="inlineStr">
        <is>
          <t>2026-10-05 UTC (WFM pull 02:52-04:00)</t>
        </is>
      </c>
      <c r="P879" t="inlineStr">
        <is>
          <t>OK</t>
        </is>
      </c>
      <c r="R879" t="inlineStr">
        <is>
          <t>Every current tradeable mod at MAX RANK (WFM catalogue, rivens/locators excluded)</t>
        </is>
      </c>
      <c r="S879" t="inlineStr">
        <is>
          <t>jahu</t>
        </is>
      </c>
      <c r="T879" t="n">
        <v>9</v>
      </c>
      <c r="U879" t="n">
        <v>9</v>
      </c>
      <c r="V879" t="n">
        <v>8</v>
      </c>
      <c r="W879" t="n">
        <v>8</v>
      </c>
      <c r="X879" t="n">
        <v>8.300000000000001</v>
      </c>
      <c r="Y879" t="n">
        <v>2734</v>
      </c>
      <c r="Z879" t="n">
        <v>71</v>
      </c>
      <c r="AN879" t="inlineStr">
        <is>
          <t>Parazon</t>
        </is>
      </c>
      <c r="AO879" t="n">
        <v>210</v>
      </c>
      <c r="AP879" t="n">
        <v>10143</v>
      </c>
      <c r="AQ879" t="n">
        <v>10</v>
      </c>
      <c r="AS879" t="inlineStr">
        <is>
          <t>Yes</t>
        </is>
      </c>
    </row>
    <row r="880">
      <c r="A880" t="inlineStr">
        <is>
          <t>Mod</t>
        </is>
      </c>
      <c r="B880" t="inlineStr">
        <is>
          <t>Jahu Canticle</t>
        </is>
      </c>
      <c r="E880" t="inlineStr">
        <is>
          <t>Tome</t>
        </is>
      </c>
      <c r="F880" t="n">
        <v>3</v>
      </c>
      <c r="G880" t="n">
        <v>1</v>
      </c>
      <c r="H880" t="inlineStr">
        <is>
          <t>Player trade (max rank)</t>
        </is>
      </c>
      <c r="I880" t="inlineStr">
        <is>
          <t>Yes</t>
        </is>
      </c>
      <c r="K880" t="inlineStr">
        <is>
          <t>Collection</t>
        </is>
      </c>
      <c r="L880" t="n">
        <v>50</v>
      </c>
      <c r="M880" t="n">
        <v>50</v>
      </c>
      <c r="N880" t="n">
        <v>111</v>
      </c>
      <c r="O880" t="inlineStr">
        <is>
          <t>2026-10-05 UTC (WFM pull 02:52-04:00)</t>
        </is>
      </c>
      <c r="P880" t="inlineStr">
        <is>
          <t>OK</t>
        </is>
      </c>
      <c r="R880" t="inlineStr">
        <is>
          <t>Every current tradeable mod at MAX RANK (WFM catalogue, rivens/locators excluded)</t>
        </is>
      </c>
      <c r="S880" t="inlineStr">
        <is>
          <t>jahu_canticle</t>
        </is>
      </c>
      <c r="T880" t="n">
        <v>3</v>
      </c>
      <c r="U880" t="n">
        <v>3</v>
      </c>
      <c r="V880" t="n">
        <v>29</v>
      </c>
      <c r="W880" t="n">
        <v>30</v>
      </c>
      <c r="X880" t="n">
        <v>30.2</v>
      </c>
      <c r="Y880" t="n">
        <v>502</v>
      </c>
      <c r="Z880" t="n">
        <v>12</v>
      </c>
      <c r="AN880" t="inlineStr">
        <is>
          <t>Tome</t>
        </is>
      </c>
      <c r="AO880" t="n">
        <v>210</v>
      </c>
      <c r="AP880" t="n">
        <v>10143</v>
      </c>
      <c r="AQ880" t="n">
        <v>20</v>
      </c>
      <c r="AS880" t="inlineStr">
        <is>
          <t>Yes</t>
        </is>
      </c>
    </row>
    <row r="881">
      <c r="A881" t="inlineStr">
        <is>
          <t>Mod</t>
        </is>
      </c>
      <c r="B881" t="inlineStr">
        <is>
          <t>Jet Stream</t>
        </is>
      </c>
      <c r="E881" t="inlineStr">
        <is>
          <t>Augment Zephyr</t>
        </is>
      </c>
      <c r="F881" t="n">
        <v>3</v>
      </c>
      <c r="G881" t="n">
        <v>1</v>
      </c>
      <c r="H881" t="inlineStr">
        <is>
          <t>Player trade (max rank)</t>
        </is>
      </c>
      <c r="I881" t="inlineStr">
        <is>
          <t>Yes</t>
        </is>
      </c>
      <c r="K881" t="inlineStr">
        <is>
          <t>Collection</t>
        </is>
      </c>
      <c r="L881" t="n">
        <v>10</v>
      </c>
      <c r="M881" t="n">
        <v>10</v>
      </c>
      <c r="N881" t="n">
        <v>15</v>
      </c>
      <c r="O881" t="inlineStr">
        <is>
          <t>2026-10-05 UTC (WFM pull 02:52-04:00)</t>
        </is>
      </c>
      <c r="P881" t="inlineStr">
        <is>
          <t>OK</t>
        </is>
      </c>
      <c r="R881" t="inlineStr">
        <is>
          <t>Every current tradeable mod at MAX RANK (WFM catalogue, rivens/locators excluded)</t>
        </is>
      </c>
      <c r="S881" t="inlineStr">
        <is>
          <t>jet_stream</t>
        </is>
      </c>
      <c r="T881" t="n">
        <v>83</v>
      </c>
      <c r="U881" t="n">
        <v>2</v>
      </c>
      <c r="V881" t="n">
        <v>13</v>
      </c>
      <c r="W881" t="n">
        <v>13</v>
      </c>
      <c r="X881" t="n">
        <v>13</v>
      </c>
      <c r="Y881" t="n">
        <v>51</v>
      </c>
      <c r="Z881" t="n">
        <v>0</v>
      </c>
      <c r="AN881" t="inlineStr">
        <is>
          <t>Augment Zephyr</t>
        </is>
      </c>
      <c r="AO881" t="n">
        <v>210</v>
      </c>
      <c r="AP881" t="n">
        <v>10143</v>
      </c>
      <c r="AQ881" t="n">
        <v>15</v>
      </c>
      <c r="AS881" t="inlineStr">
        <is>
          <t>Yes</t>
        </is>
      </c>
    </row>
    <row r="882">
      <c r="A882" t="inlineStr">
        <is>
          <t>Mod</t>
        </is>
      </c>
      <c r="B882" t="inlineStr">
        <is>
          <t>Jolt</t>
        </is>
      </c>
      <c r="E882" t="inlineStr">
        <is>
          <t>Pistol</t>
        </is>
      </c>
      <c r="F882" t="n">
        <v>3</v>
      </c>
      <c r="G882" t="n">
        <v>1</v>
      </c>
      <c r="H882" t="inlineStr">
        <is>
          <t>Player trade (max rank)</t>
        </is>
      </c>
      <c r="I882" t="inlineStr">
        <is>
          <t>Yes</t>
        </is>
      </c>
      <c r="K882" t="inlineStr">
        <is>
          <t>Collection</t>
        </is>
      </c>
      <c r="L882" t="n">
        <v>45</v>
      </c>
      <c r="M882" t="n">
        <v>50</v>
      </c>
      <c r="N882" t="n">
        <v>56</v>
      </c>
      <c r="O882" t="inlineStr">
        <is>
          <t>2026-10-05 UTC (WFM pull 02:52-04:00)</t>
        </is>
      </c>
      <c r="P882" t="inlineStr">
        <is>
          <t>OK</t>
        </is>
      </c>
      <c r="R882" t="inlineStr">
        <is>
          <t>Every current tradeable mod at MAX RANK (WFM catalogue, rivens/locators excluded)</t>
        </is>
      </c>
      <c r="S882" t="inlineStr">
        <is>
          <t>jolt</t>
        </is>
      </c>
      <c r="T882" t="n">
        <v>17</v>
      </c>
      <c r="U882" t="n">
        <v>17</v>
      </c>
      <c r="V882" t="n">
        <v>44</v>
      </c>
      <c r="W882" t="n">
        <v>40</v>
      </c>
      <c r="X882" t="n">
        <v>39.5</v>
      </c>
      <c r="Y882" t="n">
        <v>1158</v>
      </c>
      <c r="Z882" t="n">
        <v>18</v>
      </c>
      <c r="AA882" t="n">
        <v>25</v>
      </c>
      <c r="AB882" t="n">
        <v>20</v>
      </c>
      <c r="AN882" t="inlineStr">
        <is>
          <t>Pistol</t>
        </is>
      </c>
      <c r="AO882" t="n">
        <v>210</v>
      </c>
      <c r="AP882" t="n">
        <v>10143</v>
      </c>
      <c r="AQ882" t="n">
        <v>40</v>
      </c>
      <c r="AS882" t="inlineStr">
        <is>
          <t>Yes</t>
        </is>
      </c>
    </row>
    <row r="883">
      <c r="A883" t="inlineStr">
        <is>
          <t>Mod</t>
        </is>
      </c>
      <c r="B883" t="inlineStr">
        <is>
          <t>Jugulus Barbs</t>
        </is>
      </c>
      <c r="E883" t="inlineStr">
        <is>
          <t>Melee</t>
        </is>
      </c>
      <c r="F883" t="n">
        <v>5</v>
      </c>
      <c r="G883" t="n">
        <v>1</v>
      </c>
      <c r="H883" t="inlineStr">
        <is>
          <t>Player trade (max rank)</t>
        </is>
      </c>
      <c r="I883" t="inlineStr">
        <is>
          <t>Yes</t>
        </is>
      </c>
      <c r="K883" t="inlineStr">
        <is>
          <t>Collection</t>
        </is>
      </c>
      <c r="L883" t="n">
        <v>30</v>
      </c>
      <c r="M883" t="n">
        <v>30</v>
      </c>
      <c r="N883" t="n">
        <v>66</v>
      </c>
      <c r="O883" t="inlineStr">
        <is>
          <t>2026-10-05 UTC (WFM pull 02:52-04:00)</t>
        </is>
      </c>
      <c r="P883" t="inlineStr">
        <is>
          <t>OK</t>
        </is>
      </c>
      <c r="R883" t="inlineStr">
        <is>
          <t>Every current tradeable mod at MAX RANK (WFM catalogue, rivens/locators excluded)</t>
        </is>
      </c>
      <c r="S883" t="inlineStr">
        <is>
          <t>jugulus_barbs</t>
        </is>
      </c>
      <c r="T883" t="n">
        <v>3</v>
      </c>
      <c r="U883" t="n">
        <v>3</v>
      </c>
      <c r="V883" t="n">
        <v>17.5</v>
      </c>
      <c r="W883" t="n">
        <v>15</v>
      </c>
      <c r="X883" t="n">
        <v>16</v>
      </c>
      <c r="Y883" t="n">
        <v>198</v>
      </c>
      <c r="Z883" t="n">
        <v>2</v>
      </c>
      <c r="AN883" t="inlineStr">
        <is>
          <t>Melee</t>
        </is>
      </c>
      <c r="AO883" t="n">
        <v>310</v>
      </c>
      <c r="AP883" t="n">
        <v>14973</v>
      </c>
      <c r="AQ883" t="n">
        <v>15</v>
      </c>
      <c r="AS883" t="inlineStr">
        <is>
          <t>Yes</t>
        </is>
      </c>
    </row>
    <row r="884">
      <c r="A884" t="inlineStr">
        <is>
          <t>Mod</t>
        </is>
      </c>
      <c r="B884" t="inlineStr">
        <is>
          <t>Jugulus Carapace</t>
        </is>
      </c>
      <c r="E884" t="inlineStr">
        <is>
          <t>Warframe</t>
        </is>
      </c>
      <c r="F884" t="n">
        <v>5</v>
      </c>
      <c r="G884" t="n">
        <v>1</v>
      </c>
      <c r="H884" t="inlineStr">
        <is>
          <t>Player trade (max rank)</t>
        </is>
      </c>
      <c r="I884" t="inlineStr">
        <is>
          <t>Yes</t>
        </is>
      </c>
      <c r="K884" t="inlineStr">
        <is>
          <t>Collection</t>
        </is>
      </c>
      <c r="L884" t="n">
        <v>25</v>
      </c>
      <c r="M884" t="n">
        <v>37.5</v>
      </c>
      <c r="N884" t="n">
        <v>83</v>
      </c>
      <c r="O884" t="inlineStr">
        <is>
          <t>2026-10-05 UTC (WFM pull 02:52-04:00)</t>
        </is>
      </c>
      <c r="P884" t="inlineStr">
        <is>
          <t>OK</t>
        </is>
      </c>
      <c r="R884" t="inlineStr">
        <is>
          <t>Every current tradeable mod at MAX RANK (WFM catalogue, rivens/locators excluded)</t>
        </is>
      </c>
      <c r="S884" t="inlineStr">
        <is>
          <t>jugulus_carapace</t>
        </is>
      </c>
      <c r="T884" t="n">
        <v>3</v>
      </c>
      <c r="U884" t="n">
        <v>3</v>
      </c>
      <c r="V884" t="n">
        <v>25</v>
      </c>
      <c r="W884" t="n">
        <v>25</v>
      </c>
      <c r="X884" t="n">
        <v>24.7</v>
      </c>
      <c r="Y884" t="n">
        <v>105</v>
      </c>
      <c r="Z884" t="n">
        <v>2</v>
      </c>
      <c r="AN884" t="inlineStr">
        <is>
          <t>Warframe</t>
        </is>
      </c>
      <c r="AO884" t="n">
        <v>620</v>
      </c>
      <c r="AP884" t="n">
        <v>29946</v>
      </c>
      <c r="AQ884" t="n">
        <v>30</v>
      </c>
      <c r="AS884" t="inlineStr">
        <is>
          <t>Yes</t>
        </is>
      </c>
    </row>
    <row r="885">
      <c r="A885" t="inlineStr">
        <is>
          <t>Mod</t>
        </is>
      </c>
      <c r="B885" t="inlineStr">
        <is>
          <t>Jugulus Spines</t>
        </is>
      </c>
      <c r="E885" t="inlineStr">
        <is>
          <t>Pistol</t>
        </is>
      </c>
      <c r="F885" t="n">
        <v>5</v>
      </c>
      <c r="G885" t="n">
        <v>1</v>
      </c>
      <c r="H885" t="inlineStr">
        <is>
          <t>Player trade (max rank)</t>
        </is>
      </c>
      <c r="I885" t="inlineStr">
        <is>
          <t>Yes</t>
        </is>
      </c>
      <c r="K885" t="inlineStr">
        <is>
          <t>Collection</t>
        </is>
      </c>
      <c r="L885" t="n">
        <v>56</v>
      </c>
      <c r="M885" t="n">
        <v>74.2</v>
      </c>
      <c r="N885" t="n">
        <v>164</v>
      </c>
      <c r="O885" t="inlineStr">
        <is>
          <t>2026-10-05 UTC (WFM pull 02:52-04:00)</t>
        </is>
      </c>
      <c r="P885" t="inlineStr">
        <is>
          <t>OK</t>
        </is>
      </c>
      <c r="R885" t="inlineStr">
        <is>
          <t>Every current tradeable mod at MAX RANK (WFM catalogue, rivens/locators excluded)</t>
        </is>
      </c>
      <c r="S885" t="inlineStr">
        <is>
          <t>jugulus_spines</t>
        </is>
      </c>
      <c r="T885" t="n">
        <v>4</v>
      </c>
      <c r="U885" t="n">
        <v>4</v>
      </c>
      <c r="V885" t="n">
        <v>49.5</v>
      </c>
      <c r="W885" t="n">
        <v>50</v>
      </c>
      <c r="X885" t="n">
        <v>55.8</v>
      </c>
      <c r="Y885" t="n">
        <v>86</v>
      </c>
      <c r="Z885" t="n">
        <v>2</v>
      </c>
      <c r="AN885" t="inlineStr">
        <is>
          <t>Pistol</t>
        </is>
      </c>
      <c r="AO885" t="n">
        <v>930</v>
      </c>
      <c r="AP885" t="n">
        <v>44919</v>
      </c>
      <c r="AQ885" t="n">
        <v>48</v>
      </c>
      <c r="AS885" t="inlineStr">
        <is>
          <t>Yes</t>
        </is>
      </c>
    </row>
    <row r="886">
      <c r="A886" t="inlineStr">
        <is>
          <t>Mod</t>
        </is>
      </c>
      <c r="B886" t="inlineStr">
        <is>
          <t>Juice</t>
        </is>
      </c>
      <c r="E886" t="inlineStr">
        <is>
          <t>K-Drive</t>
        </is>
      </c>
      <c r="F886" t="n">
        <v>10</v>
      </c>
      <c r="G886" t="n">
        <v>1</v>
      </c>
      <c r="H886" t="inlineStr">
        <is>
          <t>Player trade (max rank)</t>
        </is>
      </c>
      <c r="I886" t="inlineStr">
        <is>
          <t>Yes</t>
        </is>
      </c>
      <c r="K886" t="inlineStr">
        <is>
          <t>Collection</t>
        </is>
      </c>
      <c r="L886" t="n">
        <v>58</v>
      </c>
      <c r="M886" t="n">
        <v>58</v>
      </c>
      <c r="N886" t="n">
        <v>108</v>
      </c>
      <c r="O886" t="inlineStr">
        <is>
          <t>2026-10-05 UTC (WFM pull 02:52-04:00)</t>
        </is>
      </c>
      <c r="P886" t="inlineStr">
        <is>
          <t>OK</t>
        </is>
      </c>
      <c r="R886" t="inlineStr">
        <is>
          <t>Every current tradeable mod at MAX RANK (WFM catalogue, rivens/locators excluded)</t>
        </is>
      </c>
      <c r="S886" t="inlineStr">
        <is>
          <t>juice</t>
        </is>
      </c>
      <c r="T886" t="n">
        <v>28</v>
      </c>
      <c r="U886" t="n">
        <v>2</v>
      </c>
      <c r="V886" t="n">
        <v>15</v>
      </c>
      <c r="W886" t="n">
        <v>35</v>
      </c>
      <c r="X886" t="n">
        <v>39</v>
      </c>
      <c r="Y886" t="n">
        <v>5</v>
      </c>
      <c r="Z886" t="n">
        <v>0</v>
      </c>
      <c r="AN886" t="inlineStr">
        <is>
          <t>K-Drive</t>
        </is>
      </c>
      <c r="AO886" t="n">
        <v>10230</v>
      </c>
      <c r="AP886" t="n">
        <v>494109</v>
      </c>
      <c r="AQ886" t="n">
        <v>35</v>
      </c>
      <c r="AS886" t="inlineStr">
        <is>
          <t>Yes</t>
        </is>
      </c>
    </row>
    <row r="887">
      <c r="A887" t="inlineStr">
        <is>
          <t>Mod</t>
        </is>
      </c>
      <c r="B887" t="inlineStr">
        <is>
          <t>Justice Blades</t>
        </is>
      </c>
      <c r="E887" t="inlineStr">
        <is>
          <t>Augment Dual Cleavers</t>
        </is>
      </c>
      <c r="F887" t="n">
        <v>3</v>
      </c>
      <c r="G887" t="n">
        <v>1</v>
      </c>
      <c r="H887" t="inlineStr">
        <is>
          <t>Player trade (max rank)</t>
        </is>
      </c>
      <c r="I887" t="inlineStr">
        <is>
          <t>Yes</t>
        </is>
      </c>
      <c r="K887" t="inlineStr">
        <is>
          <t>Collection</t>
        </is>
      </c>
      <c r="L887" t="n">
        <v>15</v>
      </c>
      <c r="M887" t="n">
        <v>15</v>
      </c>
      <c r="N887" t="n">
        <v>33</v>
      </c>
      <c r="O887" t="inlineStr">
        <is>
          <t>2026-10-05 UTC (WFM pull 02:52-04:00)</t>
        </is>
      </c>
      <c r="P887" t="inlineStr">
        <is>
          <t>OK</t>
        </is>
      </c>
      <c r="R887" t="inlineStr">
        <is>
          <t>Every current tradeable mod at MAX RANK (WFM catalogue, rivens/locators excluded)</t>
        </is>
      </c>
      <c r="S887" t="inlineStr">
        <is>
          <t>justice_blades</t>
        </is>
      </c>
      <c r="T887" t="n">
        <v>3</v>
      </c>
      <c r="U887" t="n">
        <v>3</v>
      </c>
      <c r="V887" t="n">
        <v>10</v>
      </c>
      <c r="W887" t="n">
        <v>10</v>
      </c>
      <c r="X887" t="n">
        <v>11.9</v>
      </c>
      <c r="Y887" t="n">
        <v>17</v>
      </c>
      <c r="Z887" t="n">
        <v>1</v>
      </c>
      <c r="AN887" t="inlineStr">
        <is>
          <t>Augment Dual Cleavers</t>
        </is>
      </c>
      <c r="AO887" t="n">
        <v>210</v>
      </c>
      <c r="AP887" t="n">
        <v>10143</v>
      </c>
      <c r="AQ887" t="n">
        <v>10</v>
      </c>
      <c r="AS887" t="inlineStr">
        <is>
          <t>Yes</t>
        </is>
      </c>
    </row>
    <row r="888">
      <c r="A888" t="inlineStr">
        <is>
          <t>Mod</t>
        </is>
      </c>
      <c r="B888" t="inlineStr">
        <is>
          <t>Kaal-Zidi</t>
        </is>
      </c>
      <c r="E888" t="inlineStr">
        <is>
          <t>Antique</t>
        </is>
      </c>
      <c r="F888" t="n">
        <v>5</v>
      </c>
      <c r="G888" t="n">
        <v>1</v>
      </c>
      <c r="H888" t="inlineStr">
        <is>
          <t>Player trade (max rank)</t>
        </is>
      </c>
      <c r="I888" t="inlineStr">
        <is>
          <t>Yes</t>
        </is>
      </c>
      <c r="K888" t="inlineStr">
        <is>
          <t>Collection</t>
        </is>
      </c>
      <c r="L888" t="n">
        <v>10</v>
      </c>
      <c r="M888" t="n">
        <v>25</v>
      </c>
      <c r="N888" t="n">
        <v>39</v>
      </c>
      <c r="O888" t="inlineStr">
        <is>
          <t>2026-10-05 UTC (WFM pull 02:52-04:00)</t>
        </is>
      </c>
      <c r="P888" t="inlineStr">
        <is>
          <t>OK</t>
        </is>
      </c>
      <c r="R888" t="inlineStr">
        <is>
          <t>Every current tradeable mod at MAX RANK (WFM catalogue, rivens/locators excluded)</t>
        </is>
      </c>
      <c r="S888" t="inlineStr">
        <is>
          <t>kaal_zidi</t>
        </is>
      </c>
      <c r="T888" t="n">
        <v>8</v>
      </c>
      <c r="U888" t="n">
        <v>8</v>
      </c>
      <c r="V888" t="n">
        <v>25</v>
      </c>
      <c r="W888" t="n">
        <v>25</v>
      </c>
      <c r="X888" t="n">
        <v>27.5</v>
      </c>
      <c r="Y888" t="n">
        <v>15</v>
      </c>
      <c r="Z888" t="n">
        <v>0</v>
      </c>
      <c r="AN888" t="inlineStr">
        <is>
          <t>Antique</t>
        </is>
      </c>
      <c r="AO888" t="n">
        <v>620</v>
      </c>
      <c r="AP888" t="n">
        <v>29946</v>
      </c>
      <c r="AQ888" t="n">
        <v>9</v>
      </c>
      <c r="AS888" t="inlineStr">
        <is>
          <t>Yes</t>
        </is>
      </c>
    </row>
    <row r="889">
      <c r="A889" t="inlineStr">
        <is>
          <t>Mod</t>
        </is>
      </c>
      <c r="B889" t="inlineStr">
        <is>
          <t>Kavat's Grace</t>
        </is>
      </c>
      <c r="E889" t="inlineStr">
        <is>
          <t>Warframe</t>
        </is>
      </c>
      <c r="F889" t="n">
        <v>3</v>
      </c>
      <c r="G889" t="n">
        <v>1</v>
      </c>
      <c r="H889" t="inlineStr">
        <is>
          <t>Player trade (max rank)</t>
        </is>
      </c>
      <c r="I889" t="inlineStr">
        <is>
          <t>Yes</t>
        </is>
      </c>
      <c r="K889" t="inlineStr">
        <is>
          <t>Collection</t>
        </is>
      </c>
      <c r="L889" t="n">
        <v>35</v>
      </c>
      <c r="M889" t="n">
        <v>39</v>
      </c>
      <c r="N889" t="n">
        <v>86</v>
      </c>
      <c r="O889" t="inlineStr">
        <is>
          <t>2026-10-05 UTC (WFM pull 02:52-04:00)</t>
        </is>
      </c>
      <c r="P889" t="inlineStr">
        <is>
          <t>OK</t>
        </is>
      </c>
      <c r="R889" t="inlineStr">
        <is>
          <t>Every current tradeable mod at MAX RANK (WFM catalogue, rivens/locators excluded)</t>
        </is>
      </c>
      <c r="S889" t="inlineStr">
        <is>
          <t>kavats_grace</t>
        </is>
      </c>
      <c r="T889" t="n">
        <v>6</v>
      </c>
      <c r="U889" t="n">
        <v>6</v>
      </c>
      <c r="V889" t="n">
        <v>26</v>
      </c>
      <c r="W889" t="n">
        <v>28.5</v>
      </c>
      <c r="X889" t="n">
        <v>28.8</v>
      </c>
      <c r="Y889" t="n">
        <v>230</v>
      </c>
      <c r="Z889" t="n">
        <v>4</v>
      </c>
      <c r="AN889" t="inlineStr">
        <is>
          <t>Warframe</t>
        </is>
      </c>
      <c r="AO889" t="n">
        <v>210</v>
      </c>
      <c r="AP889" t="n">
        <v>10143</v>
      </c>
      <c r="AQ889" t="n">
        <v>30</v>
      </c>
      <c r="AS889" t="inlineStr">
        <is>
          <t>Yes</t>
        </is>
      </c>
    </row>
    <row r="890">
      <c r="A890" t="inlineStr">
        <is>
          <t>Mod</t>
        </is>
      </c>
      <c r="B890" t="inlineStr">
        <is>
          <t>Keep-Clean</t>
        </is>
      </c>
      <c r="E890" t="inlineStr">
        <is>
          <t>Parazon</t>
        </is>
      </c>
      <c r="F890" t="n">
        <v>3</v>
      </c>
      <c r="G890" t="n">
        <v>1</v>
      </c>
      <c r="H890" t="inlineStr">
        <is>
          <t>Player trade (max rank)</t>
        </is>
      </c>
      <c r="I890" t="inlineStr">
        <is>
          <t>Yes</t>
        </is>
      </c>
      <c r="K890" t="inlineStr">
        <is>
          <t>Collection</t>
        </is>
      </c>
      <c r="L890" t="n">
        <v>4</v>
      </c>
      <c r="M890" t="n">
        <v>5</v>
      </c>
      <c r="N890" t="n">
        <v>6</v>
      </c>
      <c r="O890" t="inlineStr">
        <is>
          <t>2026-10-05 UTC (WFM pull 02:52-04:00)</t>
        </is>
      </c>
      <c r="P890" t="inlineStr">
        <is>
          <t>OK</t>
        </is>
      </c>
      <c r="R890" t="inlineStr">
        <is>
          <t>Every current tradeable mod at MAX RANK (WFM catalogue, rivens/locators excluded)</t>
        </is>
      </c>
      <c r="S890" t="inlineStr">
        <is>
          <t>keep_clean</t>
        </is>
      </c>
      <c r="T890" t="n">
        <v>8</v>
      </c>
      <c r="U890" t="n">
        <v>8</v>
      </c>
      <c r="V890" t="n">
        <v>5</v>
      </c>
      <c r="W890" t="n">
        <v>5</v>
      </c>
      <c r="X890" t="n">
        <v>4.9</v>
      </c>
      <c r="Y890" t="n">
        <v>1128</v>
      </c>
      <c r="Z890" t="n">
        <v>34</v>
      </c>
      <c r="AN890" t="inlineStr">
        <is>
          <t>Parazon</t>
        </is>
      </c>
      <c r="AO890" t="n">
        <v>210</v>
      </c>
      <c r="AP890" t="n">
        <v>10143</v>
      </c>
      <c r="AQ890" t="n">
        <v>5</v>
      </c>
      <c r="AS890" t="inlineStr">
        <is>
          <t>Yes</t>
        </is>
      </c>
    </row>
    <row r="891">
      <c r="A891" t="inlineStr">
        <is>
          <t>Mod</t>
        </is>
      </c>
      <c r="B891" t="inlineStr">
        <is>
          <t>Khra</t>
        </is>
      </c>
      <c r="E891" t="inlineStr">
        <is>
          <t>Parazon</t>
        </is>
      </c>
      <c r="F891" t="n">
        <v>3</v>
      </c>
      <c r="G891" t="n">
        <v>1</v>
      </c>
      <c r="H891" t="inlineStr">
        <is>
          <t>Player trade (max rank)</t>
        </is>
      </c>
      <c r="I891" t="inlineStr">
        <is>
          <t>Yes</t>
        </is>
      </c>
      <c r="K891" t="inlineStr">
        <is>
          <t>Collection</t>
        </is>
      </c>
      <c r="L891" t="n">
        <v>9</v>
      </c>
      <c r="M891" t="n">
        <v>10</v>
      </c>
      <c r="N891" t="n">
        <v>11</v>
      </c>
      <c r="O891" t="inlineStr">
        <is>
          <t>2026-10-05 UTC (WFM pull 02:52-04:00)</t>
        </is>
      </c>
      <c r="P891" t="inlineStr">
        <is>
          <t>OK</t>
        </is>
      </c>
      <c r="R891" t="inlineStr">
        <is>
          <t>Every current tradeable mod at MAX RANK (WFM catalogue, rivens/locators excluded)</t>
        </is>
      </c>
      <c r="S891" t="inlineStr">
        <is>
          <t>khra</t>
        </is>
      </c>
      <c r="T891" t="n">
        <v>7</v>
      </c>
      <c r="U891" t="n">
        <v>7</v>
      </c>
      <c r="V891" t="n">
        <v>8</v>
      </c>
      <c r="W891" t="n">
        <v>8</v>
      </c>
      <c r="X891" t="n">
        <v>8.300000000000001</v>
      </c>
      <c r="Y891" t="n">
        <v>2713</v>
      </c>
      <c r="Z891" t="n">
        <v>58</v>
      </c>
      <c r="AN891" t="inlineStr">
        <is>
          <t>Parazon</t>
        </is>
      </c>
      <c r="AO891" t="n">
        <v>210</v>
      </c>
      <c r="AP891" t="n">
        <v>10143</v>
      </c>
      <c r="AQ891" t="n">
        <v>10</v>
      </c>
      <c r="AS891" t="inlineStr">
        <is>
          <t>Yes</t>
        </is>
      </c>
    </row>
    <row r="892">
      <c r="A892" t="inlineStr">
        <is>
          <t>Mod</t>
        </is>
      </c>
      <c r="B892" t="inlineStr">
        <is>
          <t>Khra Canticle</t>
        </is>
      </c>
      <c r="E892" t="inlineStr">
        <is>
          <t>Tome</t>
        </is>
      </c>
      <c r="F892" t="n">
        <v>3</v>
      </c>
      <c r="G892" t="n">
        <v>1</v>
      </c>
      <c r="H892" t="inlineStr">
        <is>
          <t>Player trade (max rank)</t>
        </is>
      </c>
      <c r="I892" t="inlineStr">
        <is>
          <t>Yes</t>
        </is>
      </c>
      <c r="K892" t="inlineStr">
        <is>
          <t>Collection</t>
        </is>
      </c>
      <c r="L892" t="n">
        <v>35</v>
      </c>
      <c r="M892" t="n">
        <v>49.5</v>
      </c>
      <c r="N892" t="n">
        <v>109</v>
      </c>
      <c r="O892" t="inlineStr">
        <is>
          <t>2026-10-05 UTC (WFM pull 02:52-04:00)</t>
        </is>
      </c>
      <c r="P892" t="inlineStr">
        <is>
          <t>OK</t>
        </is>
      </c>
      <c r="R892" t="inlineStr">
        <is>
          <t>Every current tradeable mod at MAX RANK (WFM catalogue, rivens/locators excluded)</t>
        </is>
      </c>
      <c r="S892" t="inlineStr">
        <is>
          <t>khra_canticle</t>
        </is>
      </c>
      <c r="T892" t="n">
        <v>4</v>
      </c>
      <c r="U892" t="n">
        <v>4</v>
      </c>
      <c r="V892" t="n">
        <v>33</v>
      </c>
      <c r="W892" t="n">
        <v>34.5</v>
      </c>
      <c r="X892" t="n">
        <v>33.8</v>
      </c>
      <c r="Y892" t="n">
        <v>484</v>
      </c>
      <c r="Z892" t="n">
        <v>12</v>
      </c>
      <c r="AA892" t="n">
        <v>15</v>
      </c>
      <c r="AB892" t="n">
        <v>20</v>
      </c>
      <c r="AN892" t="inlineStr">
        <is>
          <t>Tome</t>
        </is>
      </c>
      <c r="AO892" t="n">
        <v>210</v>
      </c>
      <c r="AP892" t="n">
        <v>10143</v>
      </c>
      <c r="AQ892" t="n">
        <v>28</v>
      </c>
      <c r="AS892" t="inlineStr">
        <is>
          <t>Yes</t>
        </is>
      </c>
    </row>
    <row r="893">
      <c r="A893" t="inlineStr">
        <is>
          <t>Mod</t>
        </is>
      </c>
      <c r="B893" t="inlineStr">
        <is>
          <t>Kill Switch</t>
        </is>
      </c>
      <c r="E893" t="inlineStr">
        <is>
          <t>Conclave (PvP)</t>
        </is>
      </c>
      <c r="F893" t="n">
        <v>3</v>
      </c>
      <c r="G893" t="n">
        <v>1</v>
      </c>
      <c r="H893" t="inlineStr">
        <is>
          <t>Player trade (max rank)</t>
        </is>
      </c>
      <c r="I893" t="inlineStr">
        <is>
          <t>Yes</t>
        </is>
      </c>
      <c r="K893" t="inlineStr">
        <is>
          <t>Collection (PvP)</t>
        </is>
      </c>
      <c r="L893" t="n">
        <v>19</v>
      </c>
      <c r="M893" t="n">
        <v>19</v>
      </c>
      <c r="N893" t="n">
        <v>42</v>
      </c>
      <c r="O893" t="inlineStr">
        <is>
          <t>2026-10-05 UTC (WFM pull 02:52-04:00)</t>
        </is>
      </c>
      <c r="P893" t="inlineStr">
        <is>
          <t>OK</t>
        </is>
      </c>
      <c r="R893" t="inlineStr">
        <is>
          <t>Every current tradeable mod at MAX RANK (WFM catalogue, rivens/locators excluded)</t>
        </is>
      </c>
      <c r="S893" t="inlineStr">
        <is>
          <t>kill_switch</t>
        </is>
      </c>
      <c r="T893" t="n">
        <v>9</v>
      </c>
      <c r="U893" t="n">
        <v>1</v>
      </c>
      <c r="W893" t="n">
        <v>10</v>
      </c>
      <c r="X893" t="n">
        <v>10</v>
      </c>
      <c r="Y893" t="n">
        <v>1</v>
      </c>
      <c r="Z893" t="n">
        <v>0</v>
      </c>
      <c r="AN893" t="inlineStr">
        <is>
          <t>Conclave (PvP)</t>
        </is>
      </c>
      <c r="AO893" t="n">
        <v>210</v>
      </c>
      <c r="AP893" t="n">
        <v>10143</v>
      </c>
      <c r="AQ893" t="n">
        <v>10</v>
      </c>
      <c r="AS893" t="inlineStr">
        <is>
          <t>PvP subtotal</t>
        </is>
      </c>
    </row>
    <row r="894">
      <c r="A894" t="inlineStr">
        <is>
          <t>Mod</t>
        </is>
      </c>
      <c r="B894" t="inlineStr">
        <is>
          <t>Killing Blow</t>
        </is>
      </c>
      <c r="E894" t="inlineStr">
        <is>
          <t>Melee</t>
        </is>
      </c>
      <c r="F894" t="n">
        <v>5</v>
      </c>
      <c r="G894" t="n">
        <v>1</v>
      </c>
      <c r="H894" t="inlineStr">
        <is>
          <t>Player trade (max rank)</t>
        </is>
      </c>
      <c r="I894" t="inlineStr">
        <is>
          <t>Yes</t>
        </is>
      </c>
      <c r="K894" t="inlineStr">
        <is>
          <t>Collection</t>
        </is>
      </c>
      <c r="L894" t="n">
        <v>8</v>
      </c>
      <c r="M894" t="n">
        <v>10</v>
      </c>
      <c r="N894" t="n">
        <v>11</v>
      </c>
      <c r="O894" t="inlineStr">
        <is>
          <t>2026-10-05 UTC (WFM pull 02:52-04:00)</t>
        </is>
      </c>
      <c r="P894" t="inlineStr">
        <is>
          <t>OK</t>
        </is>
      </c>
      <c r="R894" t="inlineStr">
        <is>
          <t>Every current tradeable mod at MAX RANK (WFM catalogue, rivens/locators excluded)</t>
        </is>
      </c>
      <c r="S894" t="inlineStr">
        <is>
          <t>killing_blow</t>
        </is>
      </c>
      <c r="T894" t="n">
        <v>6</v>
      </c>
      <c r="U894" t="n">
        <v>6</v>
      </c>
      <c r="V894" t="n">
        <v>9</v>
      </c>
      <c r="W894" t="n">
        <v>10</v>
      </c>
      <c r="X894" t="n">
        <v>9.699999999999999</v>
      </c>
      <c r="Y894" t="n">
        <v>150</v>
      </c>
      <c r="Z894" t="n">
        <v>3</v>
      </c>
      <c r="AN894" t="inlineStr">
        <is>
          <t>Melee</t>
        </is>
      </c>
      <c r="AO894" t="n">
        <v>620</v>
      </c>
      <c r="AP894" t="n">
        <v>29946</v>
      </c>
      <c r="AQ894" t="n">
        <v>4</v>
      </c>
      <c r="AS894" t="inlineStr">
        <is>
          <t>Yes</t>
        </is>
      </c>
    </row>
    <row r="895">
      <c r="A895" t="inlineStr">
        <is>
          <t>Mod</t>
        </is>
      </c>
      <c r="B895" t="inlineStr">
        <is>
          <t>Kinetic Collision</t>
        </is>
      </c>
      <c r="E895" t="inlineStr">
        <is>
          <t>Augment Volt</t>
        </is>
      </c>
      <c r="F895" t="n">
        <v>3</v>
      </c>
      <c r="G895" t="n">
        <v>1</v>
      </c>
      <c r="H895" t="inlineStr">
        <is>
          <t>Player trade (max rank)</t>
        </is>
      </c>
      <c r="I895" t="inlineStr">
        <is>
          <t>Yes</t>
        </is>
      </c>
      <c r="K895" t="inlineStr">
        <is>
          <t>Collection</t>
        </is>
      </c>
      <c r="L895" t="n">
        <v>50</v>
      </c>
      <c r="M895" t="n">
        <v>75</v>
      </c>
      <c r="N895" t="n">
        <v>165</v>
      </c>
      <c r="O895" t="inlineStr">
        <is>
          <t>2026-10-05 UTC (WFM pull 02:52-04:00)</t>
        </is>
      </c>
      <c r="P895" t="inlineStr">
        <is>
          <t>OK</t>
        </is>
      </c>
      <c r="R895" t="inlineStr">
        <is>
          <t>Every current tradeable mod at MAX RANK (WFM catalogue, rivens/locators excluded)</t>
        </is>
      </c>
      <c r="S895" t="inlineStr">
        <is>
          <t>kinetic_collision</t>
        </is>
      </c>
      <c r="T895" t="n">
        <v>4</v>
      </c>
      <c r="U895" t="n">
        <v>0</v>
      </c>
      <c r="V895" t="n">
        <v>50</v>
      </c>
      <c r="W895" t="n">
        <v>50</v>
      </c>
      <c r="X895" t="n">
        <v>46.7</v>
      </c>
      <c r="Y895" t="n">
        <v>3</v>
      </c>
      <c r="Z895" t="n">
        <v>0</v>
      </c>
      <c r="AA895" t="n">
        <v>25</v>
      </c>
      <c r="AB895" t="n">
        <v>25</v>
      </c>
      <c r="AN895" t="inlineStr">
        <is>
          <t>Augment Volt</t>
        </is>
      </c>
      <c r="AO895" t="n">
        <v>210</v>
      </c>
      <c r="AP895" t="n">
        <v>10143</v>
      </c>
      <c r="AQ895" t="n">
        <v>90</v>
      </c>
      <c r="AS895" t="inlineStr">
        <is>
          <t>Yes</t>
        </is>
      </c>
    </row>
    <row r="896">
      <c r="A896" t="inlineStr">
        <is>
          <t>Mod</t>
        </is>
      </c>
      <c r="B896" t="inlineStr">
        <is>
          <t>Kinetic Diversion</t>
        </is>
      </c>
      <c r="E896" t="inlineStr">
        <is>
          <t>Archwing</t>
        </is>
      </c>
      <c r="F896" t="n">
        <v>3</v>
      </c>
      <c r="G896" t="n">
        <v>1</v>
      </c>
      <c r="H896" t="inlineStr">
        <is>
          <t>Player trade (max rank)</t>
        </is>
      </c>
      <c r="I896" t="inlineStr">
        <is>
          <t>Yes</t>
        </is>
      </c>
      <c r="K896" t="inlineStr">
        <is>
          <t>Collection</t>
        </is>
      </c>
      <c r="L896" t="n">
        <v>14</v>
      </c>
      <c r="M896" t="n">
        <v>22.5</v>
      </c>
      <c r="N896" t="n">
        <v>39</v>
      </c>
      <c r="O896" t="inlineStr">
        <is>
          <t>2026-10-05 UTC (WFM pull 02:52-04:00)</t>
        </is>
      </c>
      <c r="P896" t="inlineStr">
        <is>
          <t>OK</t>
        </is>
      </c>
      <c r="R896" t="inlineStr">
        <is>
          <t>Every current tradeable mod at MAX RANK (WFM catalogue, rivens/locators excluded)</t>
        </is>
      </c>
      <c r="S896" t="inlineStr">
        <is>
          <t>kinetic_diversion</t>
        </is>
      </c>
      <c r="T896" t="n">
        <v>9</v>
      </c>
      <c r="U896" t="n">
        <v>9</v>
      </c>
      <c r="V896" t="n">
        <v>15</v>
      </c>
      <c r="W896" t="n">
        <v>14</v>
      </c>
      <c r="X896" t="n">
        <v>13.6</v>
      </c>
      <c r="Y896" t="n">
        <v>27</v>
      </c>
      <c r="Z896" t="n">
        <v>0</v>
      </c>
      <c r="AN896" t="inlineStr">
        <is>
          <t>Archwing</t>
        </is>
      </c>
      <c r="AO896" t="n">
        <v>210</v>
      </c>
      <c r="AP896" t="n">
        <v>10143</v>
      </c>
      <c r="AQ896" t="n">
        <v>9</v>
      </c>
      <c r="AS896" t="inlineStr">
        <is>
          <t>Yes</t>
        </is>
      </c>
    </row>
    <row r="897">
      <c r="A897" t="inlineStr">
        <is>
          <t>Mod</t>
        </is>
      </c>
      <c r="B897" t="inlineStr">
        <is>
          <t>Kinetic Friction</t>
        </is>
      </c>
      <c r="E897" t="inlineStr">
        <is>
          <t>K-Drive</t>
        </is>
      </c>
      <c r="F897" t="n">
        <v>3</v>
      </c>
      <c r="G897" t="n">
        <v>1</v>
      </c>
      <c r="H897" t="inlineStr">
        <is>
          <t>Player trade (max rank)</t>
        </is>
      </c>
      <c r="I897" t="inlineStr">
        <is>
          <t>Yes</t>
        </is>
      </c>
      <c r="K897" t="inlineStr">
        <is>
          <t>Collection</t>
        </is>
      </c>
      <c r="L897" t="n">
        <v>15</v>
      </c>
      <c r="M897" t="n">
        <v>24</v>
      </c>
      <c r="N897" t="n">
        <v>33</v>
      </c>
      <c r="O897" t="inlineStr">
        <is>
          <t>2026-10-05 UTC (WFM pull 02:52-04:00)</t>
        </is>
      </c>
      <c r="P897" t="inlineStr">
        <is>
          <t>OK</t>
        </is>
      </c>
      <c r="R897" t="inlineStr">
        <is>
          <t>Every current tradeable mod at MAX RANK (WFM catalogue, rivens/locators excluded)</t>
        </is>
      </c>
      <c r="S897" t="inlineStr">
        <is>
          <t>kinetic_friction</t>
        </is>
      </c>
      <c r="T897" t="n">
        <v>23</v>
      </c>
      <c r="U897" t="n">
        <v>1</v>
      </c>
      <c r="Y897" t="n">
        <v>0</v>
      </c>
      <c r="Z897" t="n">
        <v>0</v>
      </c>
      <c r="AN897" t="inlineStr">
        <is>
          <t>K-Drive</t>
        </is>
      </c>
      <c r="AO897" t="n">
        <v>140</v>
      </c>
      <c r="AP897" t="n">
        <v>6762</v>
      </c>
      <c r="AQ897" t="n">
        <v>16</v>
      </c>
      <c r="AS897" t="inlineStr">
        <is>
          <t>Yes</t>
        </is>
      </c>
    </row>
    <row r="898">
      <c r="A898" t="inlineStr">
        <is>
          <t>Mod</t>
        </is>
      </c>
      <c r="B898" t="inlineStr">
        <is>
          <t>Kinetic Ricochet</t>
        </is>
      </c>
      <c r="E898" t="inlineStr">
        <is>
          <t>Augment Tetra</t>
        </is>
      </c>
      <c r="F898" t="n">
        <v>5</v>
      </c>
      <c r="G898" t="n">
        <v>1</v>
      </c>
      <c r="H898" t="inlineStr">
        <is>
          <t>Player trade (max rank)</t>
        </is>
      </c>
      <c r="I898" t="inlineStr">
        <is>
          <t>Yes</t>
        </is>
      </c>
      <c r="K898" t="inlineStr">
        <is>
          <t>Collection</t>
        </is>
      </c>
      <c r="L898" t="n">
        <v>15</v>
      </c>
      <c r="M898" t="n">
        <v>15</v>
      </c>
      <c r="N898" t="n">
        <v>33</v>
      </c>
      <c r="O898" t="inlineStr">
        <is>
          <t>2026-10-05 UTC (WFM pull 02:52-04:00)</t>
        </is>
      </c>
      <c r="P898" t="inlineStr">
        <is>
          <t>OK</t>
        </is>
      </c>
      <c r="R898" t="inlineStr">
        <is>
          <t>Every current tradeable mod at MAX RANK (WFM catalogue, rivens/locators excluded)</t>
        </is>
      </c>
      <c r="S898" t="inlineStr">
        <is>
          <t>kinetic_ricochet</t>
        </is>
      </c>
      <c r="T898" t="n">
        <v>3</v>
      </c>
      <c r="U898" t="n">
        <v>3</v>
      </c>
      <c r="V898" t="n">
        <v>8</v>
      </c>
      <c r="W898" t="n">
        <v>8</v>
      </c>
      <c r="X898" t="n">
        <v>8.300000000000001</v>
      </c>
      <c r="Y898" t="n">
        <v>14</v>
      </c>
      <c r="Z898" t="n">
        <v>0</v>
      </c>
      <c r="AN898" t="inlineStr">
        <is>
          <t>Augment Tetra</t>
        </is>
      </c>
      <c r="AO898" t="n">
        <v>930</v>
      </c>
      <c r="AP898" t="n">
        <v>44919</v>
      </c>
      <c r="AQ898" t="n">
        <v>2.5</v>
      </c>
      <c r="AS898" t="inlineStr">
        <is>
          <t>Yes</t>
        </is>
      </c>
    </row>
    <row r="899">
      <c r="A899" t="inlineStr">
        <is>
          <t>Mod</t>
        </is>
      </c>
      <c r="B899" t="inlineStr">
        <is>
          <t>Kumihimo Loading</t>
        </is>
      </c>
      <c r="E899" t="inlineStr">
        <is>
          <t>Augment Koumei</t>
        </is>
      </c>
      <c r="F899" t="n">
        <v>3</v>
      </c>
      <c r="G899" t="n">
        <v>1</v>
      </c>
      <c r="H899" t="inlineStr">
        <is>
          <t>Player trade (max rank)</t>
        </is>
      </c>
      <c r="I899" t="inlineStr">
        <is>
          <t>Yes</t>
        </is>
      </c>
      <c r="K899" t="inlineStr">
        <is>
          <t>Collection</t>
        </is>
      </c>
      <c r="L899" t="n">
        <v>24</v>
      </c>
      <c r="M899" t="n">
        <v>24</v>
      </c>
      <c r="N899" t="n">
        <v>44</v>
      </c>
      <c r="O899" t="inlineStr">
        <is>
          <t>2026-10-05 UTC (WFM pull 02:52-04:00)</t>
        </is>
      </c>
      <c r="P899" t="inlineStr">
        <is>
          <t>OK</t>
        </is>
      </c>
      <c r="R899" t="inlineStr">
        <is>
          <t>Every current tradeable mod at MAX RANK (WFM catalogue, rivens/locators excluded)</t>
        </is>
      </c>
      <c r="S899" t="inlineStr">
        <is>
          <t>kumihimo_loading</t>
        </is>
      </c>
      <c r="T899" t="n">
        <v>3</v>
      </c>
      <c r="U899" t="n">
        <v>3</v>
      </c>
      <c r="V899" t="n">
        <v>15</v>
      </c>
      <c r="W899" t="n">
        <v>14.5</v>
      </c>
      <c r="X899" t="n">
        <v>14.5</v>
      </c>
      <c r="Y899" t="n">
        <v>121</v>
      </c>
      <c r="Z899" t="n">
        <v>3</v>
      </c>
      <c r="AN899" t="inlineStr">
        <is>
          <t>Augment Koumei</t>
        </is>
      </c>
      <c r="AO899" t="n">
        <v>210</v>
      </c>
      <c r="AP899" t="n">
        <v>10143</v>
      </c>
      <c r="AQ899" t="n">
        <v>15</v>
      </c>
      <c r="AS899" t="inlineStr">
        <is>
          <t>Yes</t>
        </is>
      </c>
    </row>
    <row r="900">
      <c r="A900" t="inlineStr">
        <is>
          <t>Mod</t>
        </is>
      </c>
      <c r="B900" t="inlineStr">
        <is>
          <t>Larva Burst</t>
        </is>
      </c>
      <c r="E900" t="inlineStr">
        <is>
          <t>Augment Nidus</t>
        </is>
      </c>
      <c r="F900" t="n">
        <v>3</v>
      </c>
      <c r="G900" t="n">
        <v>1</v>
      </c>
      <c r="H900" t="inlineStr">
        <is>
          <t>Player trade (max rank)</t>
        </is>
      </c>
      <c r="I900" t="inlineStr">
        <is>
          <t>Yes</t>
        </is>
      </c>
      <c r="K900" t="inlineStr">
        <is>
          <t>Collection</t>
        </is>
      </c>
      <c r="L900" t="n">
        <v>30</v>
      </c>
      <c r="M900" t="n">
        <v>30</v>
      </c>
      <c r="N900" t="n">
        <v>54</v>
      </c>
      <c r="O900" t="inlineStr">
        <is>
          <t>2026-10-05 UTC (WFM pull 02:52-04:00)</t>
        </is>
      </c>
      <c r="P900" t="inlineStr">
        <is>
          <t>OK</t>
        </is>
      </c>
      <c r="R900" t="inlineStr">
        <is>
          <t>Every current tradeable mod at MAX RANK (WFM catalogue, rivens/locators excluded)</t>
        </is>
      </c>
      <c r="S900" t="inlineStr">
        <is>
          <t>larva_burst</t>
        </is>
      </c>
      <c r="T900" t="n">
        <v>4</v>
      </c>
      <c r="U900" t="n">
        <v>4</v>
      </c>
      <c r="V900" t="n">
        <v>15</v>
      </c>
      <c r="W900" t="n">
        <v>15</v>
      </c>
      <c r="X900" t="n">
        <v>16</v>
      </c>
      <c r="Y900" t="n">
        <v>178</v>
      </c>
      <c r="Z900" t="n">
        <v>6</v>
      </c>
      <c r="AN900" t="inlineStr">
        <is>
          <t>Augment Nidus</t>
        </is>
      </c>
      <c r="AO900" t="n">
        <v>210</v>
      </c>
      <c r="AP900" t="n">
        <v>10143</v>
      </c>
      <c r="AQ900" t="n">
        <v>15</v>
      </c>
      <c r="AS900" t="inlineStr">
        <is>
          <t>Yes</t>
        </is>
      </c>
    </row>
    <row r="901">
      <c r="A901" t="inlineStr">
        <is>
          <t>Mod</t>
        </is>
      </c>
      <c r="B901" t="inlineStr">
        <is>
          <t>Laser Sight</t>
        </is>
      </c>
      <c r="E901" t="inlineStr">
        <is>
          <t>Shotgun</t>
        </is>
      </c>
      <c r="F901" t="n">
        <v>5</v>
      </c>
      <c r="G901" t="n">
        <v>1</v>
      </c>
      <c r="H901" t="inlineStr">
        <is>
          <t>Player trade (max rank)</t>
        </is>
      </c>
      <c r="I901" t="inlineStr">
        <is>
          <t>Yes</t>
        </is>
      </c>
      <c r="K901" t="inlineStr">
        <is>
          <t>Collection</t>
        </is>
      </c>
      <c r="L901" t="n">
        <v>15</v>
      </c>
      <c r="M901" t="n">
        <v>15</v>
      </c>
      <c r="N901" t="n">
        <v>33</v>
      </c>
      <c r="O901" t="inlineStr">
        <is>
          <t>2026-10-05 UTC (WFM pull 02:52-04:00)</t>
        </is>
      </c>
      <c r="P901" t="inlineStr">
        <is>
          <t>OK</t>
        </is>
      </c>
      <c r="R901" t="inlineStr">
        <is>
          <t>Every current tradeable mod at MAX RANK (WFM catalogue, rivens/locators excluded)</t>
        </is>
      </c>
      <c r="S901" t="inlineStr">
        <is>
          <t>laser_sight</t>
        </is>
      </c>
      <c r="T901" t="n">
        <v>7</v>
      </c>
      <c r="U901" t="n">
        <v>7</v>
      </c>
      <c r="V901" t="n">
        <v>10</v>
      </c>
      <c r="W901" t="n">
        <v>12</v>
      </c>
      <c r="X901" t="n">
        <v>14.3</v>
      </c>
      <c r="Y901" t="n">
        <v>22</v>
      </c>
      <c r="Z901" t="n">
        <v>0</v>
      </c>
      <c r="AN901" t="inlineStr">
        <is>
          <t>Shotgun</t>
        </is>
      </c>
      <c r="AO901" t="n">
        <v>620</v>
      </c>
      <c r="AP901" t="n">
        <v>29946</v>
      </c>
      <c r="AQ901" t="n">
        <v>7.5</v>
      </c>
      <c r="AS901" t="inlineStr">
        <is>
          <t>Yes</t>
        </is>
      </c>
    </row>
    <row r="902">
      <c r="A902" t="inlineStr">
        <is>
          <t>Mod</t>
        </is>
      </c>
      <c r="B902" t="inlineStr">
        <is>
          <t>Lashing Coil</t>
        </is>
      </c>
      <c r="E902" t="inlineStr">
        <is>
          <t>Conclave (PvP)</t>
        </is>
      </c>
      <c r="F902" t="n">
        <v>3</v>
      </c>
      <c r="G902" t="n">
        <v>1</v>
      </c>
      <c r="H902" t="inlineStr">
        <is>
          <t>Player trade (max rank)</t>
        </is>
      </c>
      <c r="I902" t="inlineStr">
        <is>
          <t>Yes</t>
        </is>
      </c>
      <c r="K902" t="inlineStr">
        <is>
          <t>Collection (PvP)</t>
        </is>
      </c>
      <c r="L902" t="n">
        <v>100</v>
      </c>
      <c r="M902" t="n">
        <v>100</v>
      </c>
      <c r="N902" t="n">
        <v>221</v>
      </c>
      <c r="O902" t="inlineStr">
        <is>
          <t>2026-10-05 UTC (WFM pull 02:52-04:00)</t>
        </is>
      </c>
      <c r="P902" t="inlineStr">
        <is>
          <t>OK</t>
        </is>
      </c>
      <c r="R902" t="inlineStr">
        <is>
          <t>Every current tradeable mod at MAX RANK (WFM catalogue, rivens/locators excluded)</t>
        </is>
      </c>
      <c r="S902" t="inlineStr">
        <is>
          <t>lashing_coil</t>
        </is>
      </c>
      <c r="T902" t="n">
        <v>4</v>
      </c>
      <c r="U902" t="n">
        <v>1</v>
      </c>
      <c r="V902" t="n">
        <v>20</v>
      </c>
      <c r="W902" t="n">
        <v>20</v>
      </c>
      <c r="X902" t="n">
        <v>20</v>
      </c>
      <c r="Y902" t="n">
        <v>1</v>
      </c>
      <c r="Z902" t="n">
        <v>0</v>
      </c>
      <c r="AN902" t="inlineStr">
        <is>
          <t>Conclave (PvP)</t>
        </is>
      </c>
      <c r="AO902" t="n">
        <v>140</v>
      </c>
      <c r="AP902" t="n">
        <v>6762</v>
      </c>
      <c r="AQ902" t="n">
        <v>20</v>
      </c>
      <c r="AS902" t="inlineStr">
        <is>
          <t>PvP subtotal</t>
        </is>
      </c>
    </row>
    <row r="903">
      <c r="A903" t="inlineStr">
        <is>
          <t>Mod</t>
        </is>
      </c>
      <c r="B903" t="inlineStr">
        <is>
          <t>Lashta-Vak</t>
        </is>
      </c>
      <c r="E903" t="inlineStr">
        <is>
          <t>Antique</t>
        </is>
      </c>
      <c r="F903" t="n">
        <v>5</v>
      </c>
      <c r="G903" t="n">
        <v>1</v>
      </c>
      <c r="H903" t="inlineStr">
        <is>
          <t>Player trade (max rank)</t>
        </is>
      </c>
      <c r="I903" t="inlineStr">
        <is>
          <t>Yes</t>
        </is>
      </c>
      <c r="K903" t="inlineStr">
        <is>
          <t>Collection</t>
        </is>
      </c>
      <c r="L903" t="n">
        <v>39</v>
      </c>
      <c r="M903" t="n">
        <v>39</v>
      </c>
      <c r="N903" t="n">
        <v>86</v>
      </c>
      <c r="O903" t="inlineStr">
        <is>
          <t>2026-10-05 UTC (WFM pull 02:52-04:00)</t>
        </is>
      </c>
      <c r="P903" t="inlineStr">
        <is>
          <t>OK</t>
        </is>
      </c>
      <c r="R903" t="inlineStr">
        <is>
          <t>Every current tradeable mod at MAX RANK (WFM catalogue, rivens/locators excluded)</t>
        </is>
      </c>
      <c r="S903" t="inlineStr">
        <is>
          <t>lashta_vak</t>
        </is>
      </c>
      <c r="T903" t="n">
        <v>4</v>
      </c>
      <c r="U903" t="n">
        <v>4</v>
      </c>
      <c r="V903" t="n">
        <v>19</v>
      </c>
      <c r="W903" t="n">
        <v>19</v>
      </c>
      <c r="X903" t="n">
        <v>26.2</v>
      </c>
      <c r="Y903" t="n">
        <v>16</v>
      </c>
      <c r="Z903" t="n">
        <v>1</v>
      </c>
      <c r="AN903" t="inlineStr">
        <is>
          <t>Antique</t>
        </is>
      </c>
      <c r="AO903" t="n">
        <v>930</v>
      </c>
      <c r="AP903" t="n">
        <v>44919</v>
      </c>
      <c r="AQ903" t="n">
        <v>4.5</v>
      </c>
      <c r="AS903" t="inlineStr">
        <is>
          <t>Yes</t>
        </is>
      </c>
    </row>
    <row r="904">
      <c r="A904" t="inlineStr">
        <is>
          <t>Mod</t>
        </is>
      </c>
      <c r="B904" t="inlineStr">
        <is>
          <t>Last Herald</t>
        </is>
      </c>
      <c r="E904" t="inlineStr">
        <is>
          <t>Conclave (PvP)</t>
        </is>
      </c>
      <c r="F904" t="n">
        <v>3</v>
      </c>
      <c r="G904" t="n">
        <v>1</v>
      </c>
      <c r="H904" t="inlineStr">
        <is>
          <t>Player trade (max rank)</t>
        </is>
      </c>
      <c r="I904" t="inlineStr">
        <is>
          <t>Yes</t>
        </is>
      </c>
      <c r="K904" t="inlineStr">
        <is>
          <t>Collection (PvP)</t>
        </is>
      </c>
      <c r="L904" t="n">
        <v>100</v>
      </c>
      <c r="M904" t="n">
        <v>100</v>
      </c>
      <c r="N904" t="n">
        <v>221</v>
      </c>
      <c r="O904" t="inlineStr">
        <is>
          <t>2026-10-05 UTC (WFM pull 02:52-04:00)</t>
        </is>
      </c>
      <c r="P904" t="inlineStr">
        <is>
          <t>OK</t>
        </is>
      </c>
      <c r="R904" t="inlineStr">
        <is>
          <t>Every current tradeable mod at MAX RANK (WFM catalogue, rivens/locators excluded)</t>
        </is>
      </c>
      <c r="S904" t="inlineStr">
        <is>
          <t>last_herald</t>
        </is>
      </c>
      <c r="T904" t="n">
        <v>3</v>
      </c>
      <c r="U904" t="n">
        <v>0</v>
      </c>
      <c r="W904" t="n">
        <v>10</v>
      </c>
      <c r="X904" t="n">
        <v>10</v>
      </c>
      <c r="Y904" t="n">
        <v>1</v>
      </c>
      <c r="Z904" t="n">
        <v>0</v>
      </c>
      <c r="AN904" t="inlineStr">
        <is>
          <t>Conclave (PvP)</t>
        </is>
      </c>
      <c r="AO904" t="n">
        <v>140</v>
      </c>
      <c r="AP904" t="n">
        <v>6762</v>
      </c>
      <c r="AQ904" t="n">
        <v>20</v>
      </c>
      <c r="AS904" t="inlineStr">
        <is>
          <t>PvP subtotal</t>
        </is>
      </c>
    </row>
    <row r="905">
      <c r="A905" t="inlineStr">
        <is>
          <t>Mod</t>
        </is>
      </c>
      <c r="B905" t="inlineStr">
        <is>
          <t>Lasting Covenant</t>
        </is>
      </c>
      <c r="E905" t="inlineStr">
        <is>
          <t>Augment Harrow</t>
        </is>
      </c>
      <c r="F905" t="n">
        <v>3</v>
      </c>
      <c r="G905" t="n">
        <v>1</v>
      </c>
      <c r="H905" t="inlineStr">
        <is>
          <t>Player trade (max rank)</t>
        </is>
      </c>
      <c r="I905" t="inlineStr">
        <is>
          <t>Yes</t>
        </is>
      </c>
      <c r="K905" t="inlineStr">
        <is>
          <t>Collection</t>
        </is>
      </c>
      <c r="L905" t="n">
        <v>19</v>
      </c>
      <c r="M905" t="n">
        <v>19</v>
      </c>
      <c r="N905" t="n">
        <v>42</v>
      </c>
      <c r="O905" t="inlineStr">
        <is>
          <t>2026-10-05 UTC (WFM pull 02:52-04:00)</t>
        </is>
      </c>
      <c r="P905" t="inlineStr">
        <is>
          <t>OK</t>
        </is>
      </c>
      <c r="R905" t="inlineStr">
        <is>
          <t>Every current tradeable mod at MAX RANK (WFM catalogue, rivens/locators excluded)</t>
        </is>
      </c>
      <c r="S905" t="inlineStr">
        <is>
          <t>lasting_covenant</t>
        </is>
      </c>
      <c r="T905" t="n">
        <v>4</v>
      </c>
      <c r="U905" t="n">
        <v>4</v>
      </c>
      <c r="V905" t="n">
        <v>12.5</v>
      </c>
      <c r="W905" t="n">
        <v>14</v>
      </c>
      <c r="X905" t="n">
        <v>13.6</v>
      </c>
      <c r="Y905" t="n">
        <v>166</v>
      </c>
      <c r="Z905" t="n">
        <v>2</v>
      </c>
      <c r="AN905" t="inlineStr">
        <is>
          <t>Augment Harrow</t>
        </is>
      </c>
      <c r="AO905" t="n">
        <v>210</v>
      </c>
      <c r="AP905" t="n">
        <v>10143</v>
      </c>
      <c r="AQ905" t="n">
        <v>15</v>
      </c>
      <c r="AS905" t="inlineStr">
        <is>
          <t>Yes</t>
        </is>
      </c>
    </row>
    <row r="906">
      <c r="A906" t="inlineStr">
        <is>
          <t>Mod</t>
        </is>
      </c>
      <c r="B906" t="inlineStr">
        <is>
          <t>Lasting Purity</t>
        </is>
      </c>
      <c r="E906" t="inlineStr">
        <is>
          <t>Augment Vulkar</t>
        </is>
      </c>
      <c r="F906" t="n">
        <v>3</v>
      </c>
      <c r="G906" t="n">
        <v>1</v>
      </c>
      <c r="H906" t="inlineStr">
        <is>
          <t>Player trade (max rank)</t>
        </is>
      </c>
      <c r="I906" t="inlineStr">
        <is>
          <t>Yes</t>
        </is>
      </c>
      <c r="K906" t="inlineStr">
        <is>
          <t>Collection</t>
        </is>
      </c>
      <c r="L906" t="n">
        <v>14</v>
      </c>
      <c r="M906" t="n">
        <v>15</v>
      </c>
      <c r="N906" t="n">
        <v>21</v>
      </c>
      <c r="O906" t="inlineStr">
        <is>
          <t>2026-10-05 UTC (WFM pull 02:52-04:00)</t>
        </is>
      </c>
      <c r="P906" t="inlineStr">
        <is>
          <t>OK</t>
        </is>
      </c>
      <c r="R906" t="inlineStr">
        <is>
          <t>Every current tradeable mod at MAX RANK (WFM catalogue, rivens/locators excluded)</t>
        </is>
      </c>
      <c r="S906" t="inlineStr">
        <is>
          <t>lasting_purity</t>
        </is>
      </c>
      <c r="T906" t="n">
        <v>32</v>
      </c>
      <c r="U906" t="n">
        <v>2</v>
      </c>
      <c r="V906" t="n">
        <v>14</v>
      </c>
      <c r="W906" t="n">
        <v>14</v>
      </c>
      <c r="X906" t="n">
        <v>16.8</v>
      </c>
      <c r="Y906" t="n">
        <v>12</v>
      </c>
      <c r="Z906" t="n">
        <v>0</v>
      </c>
      <c r="AN906" t="inlineStr">
        <is>
          <t>Augment Vulkar</t>
        </is>
      </c>
      <c r="AO906" t="n">
        <v>210</v>
      </c>
      <c r="AP906" t="n">
        <v>10143</v>
      </c>
      <c r="AQ906" t="n">
        <v>13</v>
      </c>
      <c r="AS906" t="inlineStr">
        <is>
          <t>Yes</t>
        </is>
      </c>
    </row>
    <row r="907">
      <c r="A907" t="inlineStr">
        <is>
          <t>Mod</t>
        </is>
      </c>
      <c r="B907" t="inlineStr">
        <is>
          <t>Lasting Sting</t>
        </is>
      </c>
      <c r="E907" t="inlineStr">
        <is>
          <t>Melee</t>
        </is>
      </c>
      <c r="F907" t="n">
        <v>10</v>
      </c>
      <c r="G907" t="n">
        <v>1</v>
      </c>
      <c r="H907" t="inlineStr">
        <is>
          <t>Player trade (max rank)</t>
        </is>
      </c>
      <c r="I907" t="inlineStr">
        <is>
          <t>Yes</t>
        </is>
      </c>
      <c r="K907" t="inlineStr">
        <is>
          <t>Collection</t>
        </is>
      </c>
      <c r="L907" t="n">
        <v>35</v>
      </c>
      <c r="M907" t="n">
        <v>52.5</v>
      </c>
      <c r="N907" t="n">
        <v>116</v>
      </c>
      <c r="O907" t="inlineStr">
        <is>
          <t>2026-10-05 UTC (WFM pull 02:52-04:00)</t>
        </is>
      </c>
      <c r="P907" t="inlineStr">
        <is>
          <t>OK</t>
        </is>
      </c>
      <c r="R907" t="inlineStr">
        <is>
          <t>Every current tradeable mod at MAX RANK (WFM catalogue, rivens/locators excluded)</t>
        </is>
      </c>
      <c r="S907" t="inlineStr">
        <is>
          <t>lasting_sting</t>
        </is>
      </c>
      <c r="T907" t="n">
        <v>4</v>
      </c>
      <c r="U907" t="n">
        <v>4</v>
      </c>
      <c r="V907" t="n">
        <v>35</v>
      </c>
      <c r="W907" t="n">
        <v>35</v>
      </c>
      <c r="X907" t="n">
        <v>36.5</v>
      </c>
      <c r="Y907" t="n">
        <v>49</v>
      </c>
      <c r="Z907" t="n">
        <v>0</v>
      </c>
      <c r="AN907" t="inlineStr">
        <is>
          <t>Melee</t>
        </is>
      </c>
      <c r="AO907" t="n">
        <v>10230</v>
      </c>
      <c r="AP907" t="n">
        <v>494109</v>
      </c>
      <c r="AQ907" t="n">
        <v>1</v>
      </c>
      <c r="AS907" t="inlineStr">
        <is>
          <t>Yes</t>
        </is>
      </c>
    </row>
    <row r="908">
      <c r="A908" t="inlineStr">
        <is>
          <t>Mod</t>
        </is>
      </c>
      <c r="B908" t="inlineStr">
        <is>
          <t>Leaded Gas</t>
        </is>
      </c>
      <c r="E908" t="inlineStr">
        <is>
          <t>Vesper 77</t>
        </is>
      </c>
      <c r="F908" t="n">
        <v>5</v>
      </c>
      <c r="G908" t="n">
        <v>1</v>
      </c>
      <c r="H908" t="inlineStr">
        <is>
          <t>Player trade (max rank)</t>
        </is>
      </c>
      <c r="I908" t="inlineStr">
        <is>
          <t>Yes</t>
        </is>
      </c>
      <c r="K908" t="inlineStr">
        <is>
          <t>Collection</t>
        </is>
      </c>
      <c r="L908" t="n">
        <v>60</v>
      </c>
      <c r="M908" t="n">
        <v>60</v>
      </c>
      <c r="N908" t="n">
        <v>132</v>
      </c>
      <c r="O908" t="inlineStr">
        <is>
          <t>2026-10-05 UTC (WFM pull 02:52-04:00)</t>
        </is>
      </c>
      <c r="P908" t="inlineStr">
        <is>
          <t>OK</t>
        </is>
      </c>
      <c r="R908" t="inlineStr">
        <is>
          <t>Every current tradeable mod at MAX RANK (WFM catalogue, rivens/locators excluded)</t>
        </is>
      </c>
      <c r="S908" t="inlineStr">
        <is>
          <t>leaded_gas</t>
        </is>
      </c>
      <c r="T908" t="n">
        <v>4</v>
      </c>
      <c r="U908" t="n">
        <v>4</v>
      </c>
      <c r="V908" t="n">
        <v>35</v>
      </c>
      <c r="W908" t="n">
        <v>52.5</v>
      </c>
      <c r="X908" t="n">
        <v>56.9</v>
      </c>
      <c r="Y908" t="n">
        <v>605</v>
      </c>
      <c r="Z908" t="n">
        <v>19</v>
      </c>
      <c r="AA908" t="n">
        <v>20</v>
      </c>
      <c r="AB908" t="n">
        <v>40</v>
      </c>
      <c r="AN908" t="inlineStr">
        <is>
          <t>Vesper 77</t>
        </is>
      </c>
      <c r="AO908" t="n">
        <v>930</v>
      </c>
      <c r="AP908" t="n">
        <v>44919</v>
      </c>
      <c r="AQ908" t="n">
        <v>45</v>
      </c>
      <c r="AS908" t="inlineStr">
        <is>
          <t>Yes</t>
        </is>
      </c>
    </row>
    <row r="909">
      <c r="A909" t="inlineStr">
        <is>
          <t>Mod</t>
        </is>
      </c>
      <c r="B909" t="inlineStr">
        <is>
          <t>Lethal Momentum</t>
        </is>
      </c>
      <c r="E909" t="inlineStr">
        <is>
          <t>Pistol</t>
        </is>
      </c>
      <c r="F909" t="n">
        <v>3</v>
      </c>
      <c r="G909" t="n">
        <v>1</v>
      </c>
      <c r="H909" t="inlineStr">
        <is>
          <t>Player trade (max rank)</t>
        </is>
      </c>
      <c r="I909" t="inlineStr">
        <is>
          <t>Yes</t>
        </is>
      </c>
      <c r="K909" t="inlineStr">
        <is>
          <t>Collection</t>
        </is>
      </c>
      <c r="L909" t="n">
        <v>15</v>
      </c>
      <c r="M909" t="n">
        <v>15</v>
      </c>
      <c r="N909" t="n">
        <v>27</v>
      </c>
      <c r="O909" t="inlineStr">
        <is>
          <t>2026-10-05 UTC (WFM pull 02:52-04:00)</t>
        </is>
      </c>
      <c r="P909" t="inlineStr">
        <is>
          <t>OK</t>
        </is>
      </c>
      <c r="R909" t="inlineStr">
        <is>
          <t>Every current tradeable mod at MAX RANK (WFM catalogue, rivens/locators excluded)</t>
        </is>
      </c>
      <c r="S909" t="inlineStr">
        <is>
          <t>lethal_momentum</t>
        </is>
      </c>
      <c r="T909" t="n">
        <v>10</v>
      </c>
      <c r="U909" t="n">
        <v>10</v>
      </c>
      <c r="V909" t="n">
        <v>18</v>
      </c>
      <c r="W909" t="n">
        <v>15.5</v>
      </c>
      <c r="X909" t="n">
        <v>16.6</v>
      </c>
      <c r="Y909" t="n">
        <v>418</v>
      </c>
      <c r="Z909" t="n">
        <v>5</v>
      </c>
      <c r="AN909" t="inlineStr">
        <is>
          <t>Pistol</t>
        </is>
      </c>
      <c r="AO909" t="n">
        <v>140</v>
      </c>
      <c r="AP909" t="n">
        <v>6762</v>
      </c>
      <c r="AQ909" t="n">
        <v>8</v>
      </c>
      <c r="AS909" t="inlineStr">
        <is>
          <t>Yes</t>
        </is>
      </c>
    </row>
    <row r="910">
      <c r="A910" t="inlineStr">
        <is>
          <t>Mod</t>
        </is>
      </c>
      <c r="B910" t="inlineStr">
        <is>
          <t>Lethal Torrent</t>
        </is>
      </c>
      <c r="E910" t="inlineStr">
        <is>
          <t>Pistol</t>
        </is>
      </c>
      <c r="F910" t="n">
        <v>5</v>
      </c>
      <c r="G910" t="n">
        <v>1</v>
      </c>
      <c r="H910" t="inlineStr">
        <is>
          <t>Player trade (max rank)</t>
        </is>
      </c>
      <c r="I910" t="inlineStr">
        <is>
          <t>Yes</t>
        </is>
      </c>
      <c r="K910" t="inlineStr">
        <is>
          <t>Collection</t>
        </is>
      </c>
      <c r="L910" t="n">
        <v>20</v>
      </c>
      <c r="M910" t="n">
        <v>30</v>
      </c>
      <c r="N910" t="n">
        <v>33</v>
      </c>
      <c r="O910" t="inlineStr">
        <is>
          <t>2026-10-05 UTC (WFM pull 02:52-04:00)</t>
        </is>
      </c>
      <c r="P910" t="inlineStr">
        <is>
          <t>OK</t>
        </is>
      </c>
      <c r="R910" t="inlineStr">
        <is>
          <t>Every current tradeable mod at MAX RANK (WFM catalogue, rivens/locators excluded)</t>
        </is>
      </c>
      <c r="S910" t="inlineStr">
        <is>
          <t>lethal_torrent</t>
        </is>
      </c>
      <c r="T910" t="n">
        <v>18</v>
      </c>
      <c r="U910" t="n">
        <v>18</v>
      </c>
      <c r="V910" t="n">
        <v>27</v>
      </c>
      <c r="W910" t="n">
        <v>25</v>
      </c>
      <c r="X910" t="n">
        <v>25.5</v>
      </c>
      <c r="Y910" t="n">
        <v>4299</v>
      </c>
      <c r="Z910" t="n">
        <v>77</v>
      </c>
      <c r="AN910" t="inlineStr">
        <is>
          <t>Pistol</t>
        </is>
      </c>
      <c r="AO910" t="n">
        <v>930</v>
      </c>
      <c r="AP910" t="n">
        <v>44919</v>
      </c>
      <c r="AQ910" t="n">
        <v>21</v>
      </c>
      <c r="AS910" t="inlineStr">
        <is>
          <t>Yes</t>
        </is>
      </c>
    </row>
    <row r="911">
      <c r="A911" t="inlineStr">
        <is>
          <t>Mod</t>
        </is>
      </c>
      <c r="B911" t="inlineStr">
        <is>
          <t>Lie In Wait</t>
        </is>
      </c>
      <c r="E911" t="inlineStr">
        <is>
          <t>Conclave (PvP)</t>
        </is>
      </c>
      <c r="F911" t="n">
        <v>3</v>
      </c>
      <c r="G911" t="n">
        <v>1</v>
      </c>
      <c r="H911" t="inlineStr">
        <is>
          <t>Player trade (max rank)</t>
        </is>
      </c>
      <c r="I911" t="inlineStr">
        <is>
          <t>Yes</t>
        </is>
      </c>
      <c r="K911" t="inlineStr">
        <is>
          <t>Collection (PvP)</t>
        </is>
      </c>
      <c r="L911" t="n">
        <v>275</v>
      </c>
      <c r="M911" t="n">
        <v>275</v>
      </c>
      <c r="N911" t="n">
        <v>330</v>
      </c>
      <c r="O911" t="inlineStr">
        <is>
          <t>2026-10-05 UTC (WFM pull 02:52-04:00)</t>
        </is>
      </c>
      <c r="P911" t="inlineStr">
        <is>
          <t>OK</t>
        </is>
      </c>
      <c r="R911" t="inlineStr">
        <is>
          <t>Every current tradeable mod at MAX RANK (WFM catalogue, rivens/locators excluded)</t>
        </is>
      </c>
      <c r="S911" t="inlineStr">
        <is>
          <t>lie_in_wait</t>
        </is>
      </c>
      <c r="T911" t="n">
        <v>3</v>
      </c>
      <c r="U911" t="n">
        <v>0</v>
      </c>
      <c r="W911" t="n">
        <v>30</v>
      </c>
      <c r="X911" t="n">
        <v>30</v>
      </c>
      <c r="Y911" t="n">
        <v>2</v>
      </c>
      <c r="Z911" t="n">
        <v>0</v>
      </c>
      <c r="AN911" t="inlineStr">
        <is>
          <t>Conclave (PvP)</t>
        </is>
      </c>
      <c r="AO911" t="n">
        <v>140</v>
      </c>
      <c r="AP911" t="n">
        <v>6762</v>
      </c>
      <c r="AQ911" t="n">
        <v>50</v>
      </c>
      <c r="AS911" t="inlineStr">
        <is>
          <t>PvP subtotal</t>
        </is>
      </c>
    </row>
    <row r="912">
      <c r="A912" t="inlineStr">
        <is>
          <t>Mod</t>
        </is>
      </c>
      <c r="B912" t="inlineStr">
        <is>
          <t>Life Strike</t>
        </is>
      </c>
      <c r="E912" t="inlineStr">
        <is>
          <t>Melee</t>
        </is>
      </c>
      <c r="F912" t="n">
        <v>3</v>
      </c>
      <c r="G912" t="n">
        <v>1</v>
      </c>
      <c r="H912" t="inlineStr">
        <is>
          <t>Player trade (max rank)</t>
        </is>
      </c>
      <c r="I912" t="inlineStr">
        <is>
          <t>Yes</t>
        </is>
      </c>
      <c r="K912" t="inlineStr">
        <is>
          <t>Collection</t>
        </is>
      </c>
      <c r="L912" t="n">
        <v>7</v>
      </c>
      <c r="M912" t="n">
        <v>10.5</v>
      </c>
      <c r="N912" t="n">
        <v>22</v>
      </c>
      <c r="O912" t="inlineStr">
        <is>
          <t>2026-10-05 UTC (WFM pull 02:52-04:00)</t>
        </is>
      </c>
      <c r="P912" t="inlineStr">
        <is>
          <t>OK</t>
        </is>
      </c>
      <c r="R912" t="inlineStr">
        <is>
          <t>Every current tradeable mod at MAX RANK (WFM catalogue, rivens/locators excluded)</t>
        </is>
      </c>
      <c r="S912" t="inlineStr">
        <is>
          <t>life_strike</t>
        </is>
      </c>
      <c r="T912" t="n">
        <v>4</v>
      </c>
      <c r="U912" t="n">
        <v>4</v>
      </c>
      <c r="V912" t="n">
        <v>7</v>
      </c>
      <c r="W912" t="n">
        <v>7</v>
      </c>
      <c r="X912" t="n">
        <v>6.9</v>
      </c>
      <c r="Y912" t="n">
        <v>44</v>
      </c>
      <c r="Z912" t="n">
        <v>0</v>
      </c>
      <c r="AN912" t="inlineStr">
        <is>
          <t>Melee</t>
        </is>
      </c>
      <c r="AO912" t="n">
        <v>210</v>
      </c>
      <c r="AP912" t="n">
        <v>10143</v>
      </c>
      <c r="AQ912" t="n">
        <v>2</v>
      </c>
      <c r="AS912" t="inlineStr">
        <is>
          <t>Yes</t>
        </is>
      </c>
    </row>
    <row r="913">
      <c r="A913" t="inlineStr">
        <is>
          <t>Mod</t>
        </is>
      </c>
      <c r="B913" t="inlineStr">
        <is>
          <t>Lightning Dash</t>
        </is>
      </c>
      <c r="E913" t="inlineStr">
        <is>
          <t>Warframe</t>
        </is>
      </c>
      <c r="F913" t="n">
        <v>10</v>
      </c>
      <c r="G913" t="n">
        <v>1</v>
      </c>
      <c r="H913" t="inlineStr">
        <is>
          <t>Player trade (max rank)</t>
        </is>
      </c>
      <c r="I913" t="inlineStr">
        <is>
          <t>Yes</t>
        </is>
      </c>
      <c r="K913" t="inlineStr">
        <is>
          <t>Collection</t>
        </is>
      </c>
      <c r="L913" t="n">
        <v>75</v>
      </c>
      <c r="M913" t="n">
        <v>110.2</v>
      </c>
      <c r="N913" t="n">
        <v>188</v>
      </c>
      <c r="O913" t="inlineStr">
        <is>
          <t>2026-10-05 UTC (WFM pull 02:52-04:00)</t>
        </is>
      </c>
      <c r="P913" t="inlineStr">
        <is>
          <t>OK</t>
        </is>
      </c>
      <c r="R913" t="inlineStr">
        <is>
          <t>Every current tradeable mod at MAX RANK (WFM catalogue, rivens/locators excluded)</t>
        </is>
      </c>
      <c r="S913" t="inlineStr">
        <is>
          <t>lightning_dash</t>
        </is>
      </c>
      <c r="T913" t="n">
        <v>6</v>
      </c>
      <c r="U913" t="n">
        <v>6</v>
      </c>
      <c r="V913" t="n">
        <v>73.5</v>
      </c>
      <c r="W913" t="n">
        <v>74</v>
      </c>
      <c r="X913" t="n">
        <v>72.09999999999999</v>
      </c>
      <c r="Y913" t="n">
        <v>200</v>
      </c>
      <c r="Z913" t="n">
        <v>4</v>
      </c>
      <c r="AA913" t="n">
        <v>46</v>
      </c>
      <c r="AB913" t="n">
        <v>29</v>
      </c>
      <c r="AN913" t="inlineStr">
        <is>
          <t>Warframe</t>
        </is>
      </c>
      <c r="AO913" t="n">
        <v>30690</v>
      </c>
      <c r="AP913" t="n">
        <v>1482327</v>
      </c>
      <c r="AQ913" t="n">
        <v>8</v>
      </c>
      <c r="AS913" t="inlineStr">
        <is>
          <t>Yes</t>
        </is>
      </c>
    </row>
    <row r="914">
      <c r="A914" t="inlineStr">
        <is>
          <t>Mod</t>
        </is>
      </c>
      <c r="B914" t="inlineStr">
        <is>
          <t>Lightning Rod</t>
        </is>
      </c>
      <c r="E914" t="inlineStr">
        <is>
          <t>Warframe</t>
        </is>
      </c>
      <c r="F914" t="n">
        <v>5</v>
      </c>
      <c r="G914" t="n">
        <v>1</v>
      </c>
      <c r="H914" t="inlineStr">
        <is>
          <t>Player trade (max rank)</t>
        </is>
      </c>
      <c r="I914" t="inlineStr">
        <is>
          <t>Yes</t>
        </is>
      </c>
      <c r="K914" t="inlineStr">
        <is>
          <t>Collection</t>
        </is>
      </c>
      <c r="L914" t="n">
        <v>4</v>
      </c>
      <c r="M914" t="n">
        <v>8</v>
      </c>
      <c r="N914" t="n">
        <v>9</v>
      </c>
      <c r="O914" t="inlineStr">
        <is>
          <t>2026-10-05 UTC (WFM pull 02:52-04:00)</t>
        </is>
      </c>
      <c r="P914" t="inlineStr">
        <is>
          <t>OK</t>
        </is>
      </c>
      <c r="R914" t="inlineStr">
        <is>
          <t>Every current tradeable mod at MAX RANK (WFM catalogue, rivens/locators excluded)</t>
        </is>
      </c>
      <c r="S914" t="inlineStr">
        <is>
          <t>lightning_rod</t>
        </is>
      </c>
      <c r="T914" t="n">
        <v>48</v>
      </c>
      <c r="U914" t="n">
        <v>1</v>
      </c>
      <c r="Y914" t="n">
        <v>0</v>
      </c>
      <c r="Z914" t="n">
        <v>0</v>
      </c>
      <c r="AN914" t="inlineStr">
        <is>
          <t>Warframe</t>
        </is>
      </c>
      <c r="AO914" t="n">
        <v>310</v>
      </c>
      <c r="AP914" t="n">
        <v>14973</v>
      </c>
      <c r="AQ914" t="n">
        <v>2</v>
      </c>
      <c r="AS914" t="inlineStr">
        <is>
          <t>Yes</t>
        </is>
      </c>
    </row>
    <row r="915">
      <c r="A915" t="inlineStr">
        <is>
          <t>Mod</t>
        </is>
      </c>
      <c r="B915" t="inlineStr">
        <is>
          <t>Lingering Torment</t>
        </is>
      </c>
      <c r="E915" t="inlineStr">
        <is>
          <t>Shotgun</t>
        </is>
      </c>
      <c r="F915" t="n">
        <v>5</v>
      </c>
      <c r="G915" t="n">
        <v>1</v>
      </c>
      <c r="H915" t="inlineStr">
        <is>
          <t>Player trade (max rank)</t>
        </is>
      </c>
      <c r="I915" t="inlineStr">
        <is>
          <t>Yes</t>
        </is>
      </c>
      <c r="K915" t="inlineStr">
        <is>
          <t>Collection</t>
        </is>
      </c>
      <c r="L915" t="n">
        <v>9</v>
      </c>
      <c r="M915" t="n">
        <v>9</v>
      </c>
      <c r="N915" t="n">
        <v>20</v>
      </c>
      <c r="O915" t="inlineStr">
        <is>
          <t>2026-10-05 UTC (WFM pull 02:52-04:00)</t>
        </is>
      </c>
      <c r="P915" t="inlineStr">
        <is>
          <t>OK</t>
        </is>
      </c>
      <c r="R915" t="inlineStr">
        <is>
          <t>Every current tradeable mod at MAX RANK (WFM catalogue, rivens/locators excluded)</t>
        </is>
      </c>
      <c r="S915" t="inlineStr">
        <is>
          <t>lingering_torment</t>
        </is>
      </c>
      <c r="T915" t="n">
        <v>5</v>
      </c>
      <c r="U915" t="n">
        <v>5</v>
      </c>
      <c r="V915" t="n">
        <v>4</v>
      </c>
      <c r="W915" t="n">
        <v>10</v>
      </c>
      <c r="X915" t="n">
        <v>10.1</v>
      </c>
      <c r="Y915" t="n">
        <v>7</v>
      </c>
      <c r="Z915" t="n">
        <v>0</v>
      </c>
      <c r="AN915" t="inlineStr">
        <is>
          <t>Shotgun</t>
        </is>
      </c>
      <c r="AO915" t="n">
        <v>310</v>
      </c>
      <c r="AP915" t="n">
        <v>14973</v>
      </c>
      <c r="AQ915" t="n">
        <v>4</v>
      </c>
      <c r="AS915" t="inlineStr">
        <is>
          <t>Yes</t>
        </is>
      </c>
    </row>
    <row r="916">
      <c r="A916" t="inlineStr">
        <is>
          <t>Mod</t>
        </is>
      </c>
      <c r="B916" t="inlineStr">
        <is>
          <t>Lingering Transmutation</t>
        </is>
      </c>
      <c r="E916" t="inlineStr">
        <is>
          <t>Augment Lavos</t>
        </is>
      </c>
      <c r="F916" t="n">
        <v>3</v>
      </c>
      <c r="G916" t="n">
        <v>1</v>
      </c>
      <c r="H916" t="inlineStr">
        <is>
          <t>Player trade (max rank)</t>
        </is>
      </c>
      <c r="I916" t="inlineStr">
        <is>
          <t>Yes</t>
        </is>
      </c>
      <c r="K916" t="inlineStr">
        <is>
          <t>Collection</t>
        </is>
      </c>
      <c r="L916" t="n">
        <v>10</v>
      </c>
      <c r="M916" t="n">
        <v>12</v>
      </c>
      <c r="N916" t="n">
        <v>14</v>
      </c>
      <c r="O916" t="inlineStr">
        <is>
          <t>2026-10-05 UTC (WFM pull 02:52-04:00)</t>
        </is>
      </c>
      <c r="P916" t="inlineStr">
        <is>
          <t>OK</t>
        </is>
      </c>
      <c r="R916" t="inlineStr">
        <is>
          <t>Every current tradeable mod at MAX RANK (WFM catalogue, rivens/locators excluded)</t>
        </is>
      </c>
      <c r="S916" t="inlineStr">
        <is>
          <t>lingering_transmutation</t>
        </is>
      </c>
      <c r="T916" t="n">
        <v>65</v>
      </c>
      <c r="U916" t="n">
        <v>2</v>
      </c>
      <c r="V916" t="n">
        <v>12</v>
      </c>
      <c r="W916" t="n">
        <v>13</v>
      </c>
      <c r="X916" t="n">
        <v>14.2</v>
      </c>
      <c r="Y916" t="n">
        <v>44</v>
      </c>
      <c r="Z916" t="n">
        <v>0</v>
      </c>
      <c r="AN916" t="inlineStr">
        <is>
          <t>Augment Lavos</t>
        </is>
      </c>
      <c r="AO916" t="n">
        <v>210</v>
      </c>
      <c r="AP916" t="n">
        <v>10143</v>
      </c>
      <c r="AQ916" t="n">
        <v>16</v>
      </c>
      <c r="AS916" t="inlineStr">
        <is>
          <t>Yes</t>
        </is>
      </c>
    </row>
    <row r="917">
      <c r="A917" t="inlineStr">
        <is>
          <t>Mod</t>
        </is>
      </c>
      <c r="B917" t="inlineStr">
        <is>
          <t>Link Fiber</t>
        </is>
      </c>
      <c r="E917" t="inlineStr">
        <is>
          <t>Companion</t>
        </is>
      </c>
      <c r="F917" t="n">
        <v>10</v>
      </c>
      <c r="G917" t="n">
        <v>1</v>
      </c>
      <c r="H917" t="inlineStr">
        <is>
          <t>Player trade (max rank)</t>
        </is>
      </c>
      <c r="I917" t="inlineStr">
        <is>
          <t>Yes</t>
        </is>
      </c>
      <c r="K917" t="inlineStr">
        <is>
          <t>Collection</t>
        </is>
      </c>
      <c r="L917" t="n">
        <v>59</v>
      </c>
      <c r="M917" t="n">
        <v>65</v>
      </c>
      <c r="N917" t="n">
        <v>111</v>
      </c>
      <c r="O917" t="inlineStr">
        <is>
          <t>2026-10-05 UTC (WFM pull 02:52-04:00)</t>
        </is>
      </c>
      <c r="P917" t="inlineStr">
        <is>
          <t>OK</t>
        </is>
      </c>
      <c r="R917" t="inlineStr">
        <is>
          <t>Every current tradeable mod at MAX RANK (WFM catalogue, rivens/locators excluded)</t>
        </is>
      </c>
      <c r="S917" t="inlineStr">
        <is>
          <t>link_fiber</t>
        </is>
      </c>
      <c r="T917" t="n">
        <v>7</v>
      </c>
      <c r="U917" t="n">
        <v>7</v>
      </c>
      <c r="V917" t="n">
        <v>55</v>
      </c>
      <c r="W917" t="n">
        <v>55</v>
      </c>
      <c r="X917" t="n">
        <v>55.1</v>
      </c>
      <c r="Y917" t="n">
        <v>85</v>
      </c>
      <c r="Z917" t="n">
        <v>1</v>
      </c>
      <c r="AA917" t="n">
        <v>25</v>
      </c>
      <c r="AB917" t="n">
        <v>34</v>
      </c>
      <c r="AN917" t="inlineStr">
        <is>
          <t>Companion</t>
        </is>
      </c>
      <c r="AO917" t="n">
        <v>20460</v>
      </c>
      <c r="AP917" t="n">
        <v>988218</v>
      </c>
      <c r="AQ917" t="n">
        <v>5</v>
      </c>
      <c r="AS917" t="inlineStr">
        <is>
          <t>Yes</t>
        </is>
      </c>
    </row>
    <row r="918">
      <c r="A918" t="inlineStr">
        <is>
          <t>Mod</t>
        </is>
      </c>
      <c r="B918" t="inlineStr">
        <is>
          <t>Link Redirection</t>
        </is>
      </c>
      <c r="E918" t="inlineStr">
        <is>
          <t>Companion</t>
        </is>
      </c>
      <c r="F918" t="n">
        <v>10</v>
      </c>
      <c r="G918" t="n">
        <v>1</v>
      </c>
      <c r="H918" t="inlineStr">
        <is>
          <t>Player trade (max rank)</t>
        </is>
      </c>
      <c r="I918" t="inlineStr">
        <is>
          <t>Yes</t>
        </is>
      </c>
      <c r="K918" t="inlineStr">
        <is>
          <t>Collection</t>
        </is>
      </c>
      <c r="L918" t="n">
        <v>50</v>
      </c>
      <c r="M918" t="n">
        <v>55</v>
      </c>
      <c r="N918" t="n">
        <v>66</v>
      </c>
      <c r="O918" t="inlineStr">
        <is>
          <t>2026-10-05 UTC (WFM pull 02:52-04:00)</t>
        </is>
      </c>
      <c r="P918" t="inlineStr">
        <is>
          <t>OK</t>
        </is>
      </c>
      <c r="R918" t="inlineStr">
        <is>
          <t>Every current tradeable mod at MAX RANK (WFM catalogue, rivens/locators excluded)</t>
        </is>
      </c>
      <c r="S918" t="inlineStr">
        <is>
          <t>link_redirection</t>
        </is>
      </c>
      <c r="T918" t="n">
        <v>11</v>
      </c>
      <c r="U918" t="n">
        <v>11</v>
      </c>
      <c r="V918" t="n">
        <v>55</v>
      </c>
      <c r="W918" t="n">
        <v>57</v>
      </c>
      <c r="X918" t="n">
        <v>56.5</v>
      </c>
      <c r="Y918" t="n">
        <v>487</v>
      </c>
      <c r="Z918" t="n">
        <v>12</v>
      </c>
      <c r="AA918" t="n">
        <v>25</v>
      </c>
      <c r="AB918" t="n">
        <v>25</v>
      </c>
      <c r="AN918" t="inlineStr">
        <is>
          <t>Companion</t>
        </is>
      </c>
      <c r="AO918" t="n">
        <v>20460</v>
      </c>
      <c r="AP918" t="n">
        <v>988218</v>
      </c>
      <c r="AQ918" t="n">
        <v>10</v>
      </c>
      <c r="AS918" t="inlineStr">
        <is>
          <t>Yes</t>
        </is>
      </c>
    </row>
    <row r="919">
      <c r="A919" t="inlineStr">
        <is>
          <t>Mod</t>
        </is>
      </c>
      <c r="B919" t="inlineStr">
        <is>
          <t>Link Vitality</t>
        </is>
      </c>
      <c r="E919" t="inlineStr">
        <is>
          <t>Companion</t>
        </is>
      </c>
      <c r="F919" t="n">
        <v>10</v>
      </c>
      <c r="G919" t="n">
        <v>1</v>
      </c>
      <c r="H919" t="inlineStr">
        <is>
          <t>Player trade (max rank)</t>
        </is>
      </c>
      <c r="I919" t="inlineStr">
        <is>
          <t>Yes</t>
        </is>
      </c>
      <c r="K919" t="inlineStr">
        <is>
          <t>Collection</t>
        </is>
      </c>
      <c r="L919" t="n">
        <v>52</v>
      </c>
      <c r="M919" t="n">
        <v>58</v>
      </c>
      <c r="N919" t="n">
        <v>109</v>
      </c>
      <c r="O919" t="inlineStr">
        <is>
          <t>2026-10-05 UTC (WFM pull 02:52-04:00)</t>
        </is>
      </c>
      <c r="P919" t="inlineStr">
        <is>
          <t>OK</t>
        </is>
      </c>
      <c r="R919" t="inlineStr">
        <is>
          <t>Every current tradeable mod at MAX RANK (WFM catalogue, rivens/locators excluded)</t>
        </is>
      </c>
      <c r="S919" t="inlineStr">
        <is>
          <t>link_vitality</t>
        </is>
      </c>
      <c r="T919" t="n">
        <v>7</v>
      </c>
      <c r="U919" t="n">
        <v>7</v>
      </c>
      <c r="V919" t="n">
        <v>56</v>
      </c>
      <c r="W919" t="n">
        <v>57.5</v>
      </c>
      <c r="X919" t="n">
        <v>57.9</v>
      </c>
      <c r="Y919" t="n">
        <v>145</v>
      </c>
      <c r="Z919" t="n">
        <v>1</v>
      </c>
      <c r="AA919" t="n">
        <v>25</v>
      </c>
      <c r="AB919" t="n">
        <v>27</v>
      </c>
      <c r="AN919" t="inlineStr">
        <is>
          <t>Companion</t>
        </is>
      </c>
      <c r="AO919" t="n">
        <v>20460</v>
      </c>
      <c r="AP919" t="n">
        <v>988218</v>
      </c>
      <c r="AQ919" t="n">
        <v>5</v>
      </c>
      <c r="AS919" t="inlineStr">
        <is>
          <t>Yes</t>
        </is>
      </c>
    </row>
    <row r="920">
      <c r="A920" t="inlineStr">
        <is>
          <t>Mod</t>
        </is>
      </c>
      <c r="B920" t="inlineStr">
        <is>
          <t>Live Wire</t>
        </is>
      </c>
      <c r="E920" t="inlineStr">
        <is>
          <t>Parazon</t>
        </is>
      </c>
      <c r="G920" t="n">
        <v>1</v>
      </c>
      <c r="H920" t="inlineStr">
        <is>
          <t>Player trade (max rank)</t>
        </is>
      </c>
      <c r="I920" t="inlineStr">
        <is>
          <t>Yes</t>
        </is>
      </c>
      <c r="K920" t="inlineStr">
        <is>
          <t>Collection</t>
        </is>
      </c>
      <c r="L920" t="n">
        <v>3</v>
      </c>
      <c r="M920" t="n">
        <v>4</v>
      </c>
      <c r="N920" t="n">
        <v>7</v>
      </c>
      <c r="O920" t="inlineStr">
        <is>
          <t>2026-10-05 UTC (WFM pull 02:52-04:00)</t>
        </is>
      </c>
      <c r="P920" t="inlineStr">
        <is>
          <t>OK</t>
        </is>
      </c>
      <c r="R920" t="inlineStr">
        <is>
          <t>Every current tradeable mod at MAX RANK (WFM catalogue, rivens/locators excluded)</t>
        </is>
      </c>
      <c r="S920" t="inlineStr">
        <is>
          <t>live_wire</t>
        </is>
      </c>
      <c r="T920" t="n">
        <v>8</v>
      </c>
      <c r="U920" t="n">
        <v>8</v>
      </c>
      <c r="V920" t="n">
        <v>4.5</v>
      </c>
      <c r="W920" t="n">
        <v>4</v>
      </c>
      <c r="X920" t="n">
        <v>4.4</v>
      </c>
      <c r="Y920" t="n">
        <v>60</v>
      </c>
      <c r="Z920" t="n">
        <v>0</v>
      </c>
      <c r="AN920" t="inlineStr">
        <is>
          <t>Parazon</t>
        </is>
      </c>
      <c r="AO920" t="n">
        <v>0</v>
      </c>
      <c r="AP920" t="n">
        <v>0</v>
      </c>
      <c r="AS920" t="inlineStr">
        <is>
          <t>Yes</t>
        </is>
      </c>
    </row>
    <row r="921">
      <c r="A921" t="inlineStr">
        <is>
          <t>Mod</t>
        </is>
      </c>
      <c r="B921" t="inlineStr">
        <is>
          <t>Loaded Capacity</t>
        </is>
      </c>
      <c r="E921" t="inlineStr">
        <is>
          <t>Conclave (PvP)</t>
        </is>
      </c>
      <c r="F921" t="n">
        <v>5</v>
      </c>
      <c r="G921" t="n">
        <v>1</v>
      </c>
      <c r="H921" t="inlineStr">
        <is>
          <t>Player trade (max rank)</t>
        </is>
      </c>
      <c r="I921" t="inlineStr">
        <is>
          <t>Yes</t>
        </is>
      </c>
      <c r="K921" t="inlineStr">
        <is>
          <t>Collection (PvP)</t>
        </is>
      </c>
      <c r="L921" t="n">
        <v>50</v>
      </c>
      <c r="M921" t="n">
        <v>50</v>
      </c>
      <c r="N921" t="n">
        <v>111</v>
      </c>
      <c r="O921" t="inlineStr">
        <is>
          <t>2026-10-05 UTC (WFM pull 02:52-04:00)</t>
        </is>
      </c>
      <c r="P921" t="inlineStr">
        <is>
          <t>OK</t>
        </is>
      </c>
      <c r="R921" t="inlineStr">
        <is>
          <t>Every current tradeable mod at MAX RANK (WFM catalogue, rivens/locators excluded)</t>
        </is>
      </c>
      <c r="S921" t="inlineStr">
        <is>
          <t>loaded_capacity</t>
        </is>
      </c>
      <c r="T921" t="n">
        <v>5</v>
      </c>
      <c r="U921" t="n">
        <v>0</v>
      </c>
      <c r="V921" t="n">
        <v>20</v>
      </c>
      <c r="W921" t="n">
        <v>20</v>
      </c>
      <c r="X921" t="n">
        <v>20</v>
      </c>
      <c r="Y921" t="n">
        <v>1</v>
      </c>
      <c r="Z921" t="n">
        <v>0</v>
      </c>
      <c r="AN921" t="inlineStr">
        <is>
          <t>Conclave (PvP)</t>
        </is>
      </c>
      <c r="AO921" t="n">
        <v>310</v>
      </c>
      <c r="AP921" t="n">
        <v>14973</v>
      </c>
      <c r="AQ921" t="n">
        <v>15</v>
      </c>
      <c r="AS921" t="inlineStr">
        <is>
          <t>PvP subtotal</t>
        </is>
      </c>
    </row>
    <row r="922">
      <c r="A922" t="inlineStr">
        <is>
          <t>Mod</t>
        </is>
      </c>
      <c r="B922" t="inlineStr">
        <is>
          <t>Lock And Load</t>
        </is>
      </c>
      <c r="E922" t="inlineStr">
        <is>
          <t>Conclave (PvP)</t>
        </is>
      </c>
      <c r="F922" t="n">
        <v>3</v>
      </c>
      <c r="G922" t="n">
        <v>1</v>
      </c>
      <c r="H922" t="inlineStr">
        <is>
          <t>Player trade (max rank)</t>
        </is>
      </c>
      <c r="I922" t="inlineStr">
        <is>
          <t>Yes</t>
        </is>
      </c>
      <c r="K922" t="inlineStr">
        <is>
          <t>Collection (PvP)</t>
        </is>
      </c>
      <c r="L922" t="n">
        <v>8</v>
      </c>
      <c r="M922" t="n">
        <v>12.5</v>
      </c>
      <c r="N922" t="n">
        <v>28</v>
      </c>
      <c r="O922" t="inlineStr">
        <is>
          <t>2026-10-05 UTC (WFM pull 02:52-04:00)</t>
        </is>
      </c>
      <c r="P922" t="inlineStr">
        <is>
          <t>OK</t>
        </is>
      </c>
      <c r="R922" t="inlineStr">
        <is>
          <t>Every current tradeable mod at MAX RANK (WFM catalogue, rivens/locators excluded)</t>
        </is>
      </c>
      <c r="S922" t="inlineStr">
        <is>
          <t>lock_and_load</t>
        </is>
      </c>
      <c r="T922" t="n">
        <v>4</v>
      </c>
      <c r="U922" t="n">
        <v>4</v>
      </c>
      <c r="V922" t="n">
        <v>10.5</v>
      </c>
      <c r="W922" t="n">
        <v>9</v>
      </c>
      <c r="X922" t="n">
        <v>10.4</v>
      </c>
      <c r="Y922" t="n">
        <v>23</v>
      </c>
      <c r="Z922" t="n">
        <v>2</v>
      </c>
      <c r="AN922" t="inlineStr">
        <is>
          <t>Conclave (PvP)</t>
        </is>
      </c>
      <c r="AO922" t="n">
        <v>210</v>
      </c>
      <c r="AP922" t="n">
        <v>10143</v>
      </c>
      <c r="AQ922" t="n">
        <v>4.5</v>
      </c>
      <c r="AS922" t="inlineStr">
        <is>
          <t>PvP subtotal</t>
        </is>
      </c>
    </row>
    <row r="923">
      <c r="A923" t="inlineStr">
        <is>
          <t>Mod</t>
        </is>
      </c>
      <c r="B923" t="inlineStr">
        <is>
          <t>Lohk</t>
        </is>
      </c>
      <c r="E923" t="inlineStr">
        <is>
          <t>Parazon</t>
        </is>
      </c>
      <c r="F923" t="n">
        <v>3</v>
      </c>
      <c r="G923" t="n">
        <v>1</v>
      </c>
      <c r="H923" t="inlineStr">
        <is>
          <t>Player trade (max rank)</t>
        </is>
      </c>
      <c r="I923" t="inlineStr">
        <is>
          <t>Yes</t>
        </is>
      </c>
      <c r="K923" t="inlineStr">
        <is>
          <t>Collection</t>
        </is>
      </c>
      <c r="L923" t="n">
        <v>8</v>
      </c>
      <c r="M923" t="n">
        <v>9</v>
      </c>
      <c r="N923" t="n">
        <v>11</v>
      </c>
      <c r="O923" t="inlineStr">
        <is>
          <t>2026-10-05 UTC (WFM pull 02:52-04:00)</t>
        </is>
      </c>
      <c r="P923" t="inlineStr">
        <is>
          <t>OK</t>
        </is>
      </c>
      <c r="R923" t="inlineStr">
        <is>
          <t>Every current tradeable mod at MAX RANK (WFM catalogue, rivens/locators excluded)</t>
        </is>
      </c>
      <c r="S923" t="inlineStr">
        <is>
          <t>lohk</t>
        </is>
      </c>
      <c r="T923" t="n">
        <v>11</v>
      </c>
      <c r="U923" t="n">
        <v>11</v>
      </c>
      <c r="V923" t="n">
        <v>8</v>
      </c>
      <c r="W923" t="n">
        <v>8</v>
      </c>
      <c r="X923" t="n">
        <v>8.199999999999999</v>
      </c>
      <c r="Y923" t="n">
        <v>2812</v>
      </c>
      <c r="Z923" t="n">
        <v>63</v>
      </c>
      <c r="AN923" t="inlineStr">
        <is>
          <t>Parazon</t>
        </is>
      </c>
      <c r="AO923" t="n">
        <v>210</v>
      </c>
      <c r="AP923" t="n">
        <v>10143</v>
      </c>
      <c r="AQ923" t="n">
        <v>8</v>
      </c>
      <c r="AS923" t="inlineStr">
        <is>
          <t>Yes</t>
        </is>
      </c>
    </row>
    <row r="924">
      <c r="A924" t="inlineStr">
        <is>
          <t>Mod</t>
        </is>
      </c>
      <c r="B924" t="inlineStr">
        <is>
          <t>Lohk Canticle</t>
        </is>
      </c>
      <c r="E924" t="inlineStr">
        <is>
          <t>Tome</t>
        </is>
      </c>
      <c r="F924" t="n">
        <v>3</v>
      </c>
      <c r="G924" t="n">
        <v>1</v>
      </c>
      <c r="H924" t="inlineStr">
        <is>
          <t>Player trade (max rank)</t>
        </is>
      </c>
      <c r="I924" t="inlineStr">
        <is>
          <t>Yes</t>
        </is>
      </c>
      <c r="K924" t="inlineStr">
        <is>
          <t>Collection</t>
        </is>
      </c>
      <c r="L924" t="n">
        <v>30</v>
      </c>
      <c r="M924" t="n">
        <v>35</v>
      </c>
      <c r="N924" t="n">
        <v>43</v>
      </c>
      <c r="O924" t="inlineStr">
        <is>
          <t>2026-10-05 UTC (WFM pull 02:52-04:00)</t>
        </is>
      </c>
      <c r="P924" t="inlineStr">
        <is>
          <t>OK</t>
        </is>
      </c>
      <c r="R924" t="inlineStr">
        <is>
          <t>Every current tradeable mod at MAX RANK (WFM catalogue, rivens/locators excluded)</t>
        </is>
      </c>
      <c r="S924" t="inlineStr">
        <is>
          <t>lohk_canticle</t>
        </is>
      </c>
      <c r="T924" t="n">
        <v>52</v>
      </c>
      <c r="U924" t="n">
        <v>2</v>
      </c>
      <c r="V924" t="n">
        <v>39</v>
      </c>
      <c r="W924" t="n">
        <v>35</v>
      </c>
      <c r="X924" t="n">
        <v>36.6</v>
      </c>
      <c r="Y924" t="n">
        <v>517</v>
      </c>
      <c r="Z924" t="n">
        <v>14</v>
      </c>
      <c r="AN924" t="inlineStr">
        <is>
          <t>Tome</t>
        </is>
      </c>
      <c r="AO924" t="n">
        <v>210</v>
      </c>
      <c r="AP924" t="n">
        <v>10143</v>
      </c>
      <c r="AQ924" t="n">
        <v>30</v>
      </c>
      <c r="AS924" t="inlineStr">
        <is>
          <t>Yes</t>
        </is>
      </c>
    </row>
    <row r="925">
      <c r="A925" t="inlineStr">
        <is>
          <t>Mod</t>
        </is>
      </c>
      <c r="B925" t="inlineStr">
        <is>
          <t>Loose Chamber</t>
        </is>
      </c>
      <c r="E925" t="inlineStr">
        <is>
          <t>Conclave (PvP)</t>
        </is>
      </c>
      <c r="F925" t="n">
        <v>5</v>
      </c>
      <c r="G925" t="n">
        <v>1</v>
      </c>
      <c r="H925" t="inlineStr">
        <is>
          <t>Player trade (max rank)</t>
        </is>
      </c>
      <c r="I925" t="inlineStr">
        <is>
          <t>Yes</t>
        </is>
      </c>
      <c r="K925" t="inlineStr">
        <is>
          <t>Collection (PvP)</t>
        </is>
      </c>
      <c r="L925" t="n">
        <v>80</v>
      </c>
      <c r="M925" t="n">
        <v>80</v>
      </c>
      <c r="N925" t="n">
        <v>111</v>
      </c>
      <c r="O925" t="inlineStr">
        <is>
          <t>2026-10-05 UTC (WFM pull 02:52-04:00)</t>
        </is>
      </c>
      <c r="P925" t="inlineStr">
        <is>
          <t>THIN</t>
        </is>
      </c>
      <c r="R925" t="inlineStr">
        <is>
          <t>Every current tradeable mod at MAX RANK (WFM catalogue, rivens/locators excluded)</t>
        </is>
      </c>
      <c r="S925" t="inlineStr">
        <is>
          <t>loose_chamber</t>
        </is>
      </c>
      <c r="T925" t="n">
        <v>2</v>
      </c>
      <c r="U925" t="n">
        <v>0</v>
      </c>
      <c r="W925" t="n">
        <v>15</v>
      </c>
      <c r="X925" t="n">
        <v>15</v>
      </c>
      <c r="Y925" t="n">
        <v>1</v>
      </c>
      <c r="Z925" t="n">
        <v>0</v>
      </c>
      <c r="AN925" t="inlineStr">
        <is>
          <t>Conclave (PvP)</t>
        </is>
      </c>
      <c r="AO925" t="n">
        <v>310</v>
      </c>
      <c r="AP925" t="n">
        <v>14973</v>
      </c>
      <c r="AQ925" t="n">
        <v>20</v>
      </c>
      <c r="AS925" t="inlineStr">
        <is>
          <t>PvP subtotal</t>
        </is>
      </c>
    </row>
    <row r="926">
      <c r="A926" t="inlineStr">
        <is>
          <t>Mod</t>
        </is>
      </c>
      <c r="B926" t="inlineStr">
        <is>
          <t>Loose Hatch</t>
        </is>
      </c>
      <c r="E926" t="inlineStr">
        <is>
          <t>Conclave (PvP)</t>
        </is>
      </c>
      <c r="F926" t="n">
        <v>5</v>
      </c>
      <c r="G926" t="n">
        <v>1</v>
      </c>
      <c r="H926" t="inlineStr">
        <is>
          <t>Player trade (max rank)</t>
        </is>
      </c>
      <c r="I926" t="inlineStr">
        <is>
          <t>Yes</t>
        </is>
      </c>
      <c r="K926" t="inlineStr">
        <is>
          <t>Collection (PvP)</t>
        </is>
      </c>
      <c r="L926" t="n">
        <v>15</v>
      </c>
      <c r="M926" t="n">
        <v>22.5</v>
      </c>
      <c r="N926" t="n">
        <v>50</v>
      </c>
      <c r="O926" t="inlineStr">
        <is>
          <t>2026-10-05 UTC (WFM pull 02:52-04:00)</t>
        </is>
      </c>
      <c r="P926" t="inlineStr">
        <is>
          <t>OK</t>
        </is>
      </c>
      <c r="R926" t="inlineStr">
        <is>
          <t>Every current tradeable mod at MAX RANK (WFM catalogue, rivens/locators excluded)</t>
        </is>
      </c>
      <c r="S926" t="inlineStr">
        <is>
          <t>loose_hatch</t>
        </is>
      </c>
      <c r="T926" t="n">
        <v>6</v>
      </c>
      <c r="U926" t="n">
        <v>0</v>
      </c>
      <c r="W926" t="n">
        <v>15</v>
      </c>
      <c r="X926" t="n">
        <v>15</v>
      </c>
      <c r="Y926" t="n">
        <v>1</v>
      </c>
      <c r="Z926" t="n">
        <v>0</v>
      </c>
      <c r="AN926" t="inlineStr">
        <is>
          <t>Conclave (PvP)</t>
        </is>
      </c>
      <c r="AO926" t="n">
        <v>310</v>
      </c>
      <c r="AP926" t="n">
        <v>14973</v>
      </c>
      <c r="AQ926" t="n">
        <v>12.5</v>
      </c>
      <c r="AS926" t="inlineStr">
        <is>
          <t>PvP subtotal</t>
        </is>
      </c>
    </row>
    <row r="927">
      <c r="A927" t="inlineStr">
        <is>
          <t>Mod</t>
        </is>
      </c>
      <c r="B927" t="inlineStr">
        <is>
          <t>Loose Magazine</t>
        </is>
      </c>
      <c r="E927" t="inlineStr">
        <is>
          <t>Conclave (PvP)</t>
        </is>
      </c>
      <c r="F927" t="n">
        <v>5</v>
      </c>
      <c r="G927" t="n">
        <v>1</v>
      </c>
      <c r="H927" t="inlineStr">
        <is>
          <t>Player trade (max rank)</t>
        </is>
      </c>
      <c r="I927" t="inlineStr">
        <is>
          <t>Yes</t>
        </is>
      </c>
      <c r="K927" t="inlineStr">
        <is>
          <t>Collection (PvP)</t>
        </is>
      </c>
      <c r="L927" t="n">
        <v>50</v>
      </c>
      <c r="M927" t="n">
        <v>50</v>
      </c>
      <c r="N927" t="n">
        <v>111</v>
      </c>
      <c r="O927" t="inlineStr">
        <is>
          <t>2026-10-05 UTC (WFM pull 02:52-04:00)</t>
        </is>
      </c>
      <c r="P927" t="inlineStr">
        <is>
          <t>OK</t>
        </is>
      </c>
      <c r="R927" t="inlineStr">
        <is>
          <t>Every current tradeable mod at MAX RANK (WFM catalogue, rivens/locators excluded)</t>
        </is>
      </c>
      <c r="S927" t="inlineStr">
        <is>
          <t>loose_magazine</t>
        </is>
      </c>
      <c r="T927" t="n">
        <v>4</v>
      </c>
      <c r="U927" t="n">
        <v>0</v>
      </c>
      <c r="W927" t="n">
        <v>15</v>
      </c>
      <c r="X927" t="n">
        <v>15</v>
      </c>
      <c r="Y927" t="n">
        <v>1</v>
      </c>
      <c r="Z927" t="n">
        <v>0</v>
      </c>
      <c r="AN927" t="inlineStr">
        <is>
          <t>Conclave (PvP)</t>
        </is>
      </c>
      <c r="AO927" t="n">
        <v>310</v>
      </c>
      <c r="AP927" t="n">
        <v>14973</v>
      </c>
      <c r="AQ927" t="n">
        <v>10</v>
      </c>
      <c r="AS927" t="inlineStr">
        <is>
          <t>PvP subtotal</t>
        </is>
      </c>
    </row>
    <row r="928">
      <c r="A928" t="inlineStr">
        <is>
          <t>Mod</t>
        </is>
      </c>
      <c r="B928" t="inlineStr">
        <is>
          <t>Loot Detector</t>
        </is>
      </c>
      <c r="E928" t="inlineStr">
        <is>
          <t>Aura</t>
        </is>
      </c>
      <c r="F928" t="n">
        <v>5</v>
      </c>
      <c r="G928" t="n">
        <v>1</v>
      </c>
      <c r="H928" t="inlineStr">
        <is>
          <t>Player trade (max rank)</t>
        </is>
      </c>
      <c r="I928" t="inlineStr">
        <is>
          <t>Yes</t>
        </is>
      </c>
      <c r="K928" t="inlineStr">
        <is>
          <t>Collection</t>
        </is>
      </c>
      <c r="L928" t="n">
        <v>25</v>
      </c>
      <c r="M928" t="n">
        <v>30</v>
      </c>
      <c r="N928" t="n">
        <v>66</v>
      </c>
      <c r="O928" t="inlineStr">
        <is>
          <t>2026-10-05 UTC (WFM pull 02:52-04:00)</t>
        </is>
      </c>
      <c r="P928" t="inlineStr">
        <is>
          <t>OK</t>
        </is>
      </c>
      <c r="R928" t="inlineStr">
        <is>
          <t>Every current tradeable mod at MAX RANK (WFM catalogue, rivens/locators excluded)</t>
        </is>
      </c>
      <c r="S928" t="inlineStr">
        <is>
          <t>loot_detector</t>
        </is>
      </c>
      <c r="T928" t="n">
        <v>5</v>
      </c>
      <c r="U928" t="n">
        <v>5</v>
      </c>
      <c r="V928" t="n">
        <v>20</v>
      </c>
      <c r="W928" t="n">
        <v>20</v>
      </c>
      <c r="X928" t="n">
        <v>23.3</v>
      </c>
      <c r="Y928" t="n">
        <v>256</v>
      </c>
      <c r="Z928" t="n">
        <v>3</v>
      </c>
      <c r="AN928" t="inlineStr">
        <is>
          <t>Aura</t>
        </is>
      </c>
      <c r="AO928" t="n">
        <v>620</v>
      </c>
      <c r="AP928" t="n">
        <v>29946</v>
      </c>
      <c r="AQ928" t="n">
        <v>15</v>
      </c>
      <c r="AS928" t="inlineStr">
        <is>
          <t>Yes</t>
        </is>
      </c>
    </row>
    <row r="929">
      <c r="A929" t="inlineStr">
        <is>
          <t>Mod</t>
        </is>
      </c>
      <c r="B929" t="inlineStr">
        <is>
          <t>Looter</t>
        </is>
      </c>
      <c r="E929" t="inlineStr">
        <is>
          <t>Carrier</t>
        </is>
      </c>
      <c r="F929" t="n">
        <v>5</v>
      </c>
      <c r="G929" t="n">
        <v>1</v>
      </c>
      <c r="H929" t="inlineStr">
        <is>
          <t>Player trade (max rank)</t>
        </is>
      </c>
      <c r="I929" t="inlineStr">
        <is>
          <t>Yes</t>
        </is>
      </c>
      <c r="K929" t="inlineStr">
        <is>
          <t>Collection</t>
        </is>
      </c>
      <c r="L929" t="n">
        <v>45</v>
      </c>
      <c r="M929" t="n">
        <v>50</v>
      </c>
      <c r="N929" t="n">
        <v>66</v>
      </c>
      <c r="O929" t="inlineStr">
        <is>
          <t>2026-10-05 UTC (WFM pull 02:52-04:00)</t>
        </is>
      </c>
      <c r="P929" t="inlineStr">
        <is>
          <t>OK</t>
        </is>
      </c>
      <c r="R929" t="inlineStr">
        <is>
          <t>Every current tradeable mod at MAX RANK (WFM catalogue, rivens/locators excluded)</t>
        </is>
      </c>
      <c r="S929" t="inlineStr">
        <is>
          <t>looter</t>
        </is>
      </c>
      <c r="T929" t="n">
        <v>57</v>
      </c>
      <c r="U929" t="n">
        <v>2</v>
      </c>
      <c r="V929" t="n">
        <v>60</v>
      </c>
      <c r="W929" t="n">
        <v>55</v>
      </c>
      <c r="X929" t="n">
        <v>55.7</v>
      </c>
      <c r="Y929" t="n">
        <v>54</v>
      </c>
      <c r="Z929" t="n">
        <v>0</v>
      </c>
      <c r="AA929" t="n">
        <v>25</v>
      </c>
      <c r="AB929" t="n">
        <v>20</v>
      </c>
      <c r="AN929" t="inlineStr">
        <is>
          <t>Carrier</t>
        </is>
      </c>
      <c r="AO929" t="n">
        <v>930</v>
      </c>
      <c r="AP929" t="n">
        <v>44919</v>
      </c>
      <c r="AQ929" t="n">
        <v>44</v>
      </c>
      <c r="AS929" t="inlineStr">
        <is>
          <t>Yes</t>
        </is>
      </c>
    </row>
    <row r="930">
      <c r="A930" t="inlineStr">
        <is>
          <t>Mod</t>
        </is>
      </c>
      <c r="B930" t="inlineStr">
        <is>
          <t>Lorun-Tash</t>
        </is>
      </c>
      <c r="E930" t="inlineStr">
        <is>
          <t>Antique</t>
        </is>
      </c>
      <c r="F930" t="n">
        <v>3</v>
      </c>
      <c r="G930" t="n">
        <v>1</v>
      </c>
      <c r="H930" t="inlineStr">
        <is>
          <t>Player trade (max rank)</t>
        </is>
      </c>
      <c r="I930" t="inlineStr">
        <is>
          <t>Yes</t>
        </is>
      </c>
      <c r="K930" t="inlineStr">
        <is>
          <t>Collection</t>
        </is>
      </c>
      <c r="L930" t="n">
        <v>30</v>
      </c>
      <c r="M930" t="n">
        <v>30</v>
      </c>
      <c r="N930" t="n">
        <v>66</v>
      </c>
      <c r="O930" t="inlineStr">
        <is>
          <t>2026-10-05 UTC (WFM pull 02:52-04:00)</t>
        </is>
      </c>
      <c r="P930" t="inlineStr">
        <is>
          <t>OK</t>
        </is>
      </c>
      <c r="R930" t="inlineStr">
        <is>
          <t>Every current tradeable mod at MAX RANK (WFM catalogue, rivens/locators excluded)</t>
        </is>
      </c>
      <c r="S930" t="inlineStr">
        <is>
          <t>lorun_tash</t>
        </is>
      </c>
      <c r="T930" t="n">
        <v>3</v>
      </c>
      <c r="U930" t="n">
        <v>3</v>
      </c>
      <c r="V930" t="n">
        <v>20</v>
      </c>
      <c r="W930" t="n">
        <v>20</v>
      </c>
      <c r="X930" t="n">
        <v>22.3</v>
      </c>
      <c r="Y930" t="n">
        <v>26</v>
      </c>
      <c r="Z930" t="n">
        <v>8</v>
      </c>
      <c r="AN930" t="inlineStr">
        <is>
          <t>Antique</t>
        </is>
      </c>
      <c r="AO930" t="n">
        <v>70</v>
      </c>
      <c r="AP930" t="n">
        <v>3381</v>
      </c>
      <c r="AQ930" t="n">
        <v>2</v>
      </c>
      <c r="AS930" t="inlineStr">
        <is>
          <t>Yes</t>
        </is>
      </c>
    </row>
    <row r="931">
      <c r="A931" t="inlineStr">
        <is>
          <t>Mod</t>
        </is>
      </c>
      <c r="B931" t="inlineStr">
        <is>
          <t>Loyal Companion</t>
        </is>
      </c>
      <c r="E931" t="inlineStr">
        <is>
          <t>Companion</t>
        </is>
      </c>
      <c r="F931" t="n">
        <v>5</v>
      </c>
      <c r="G931" t="n">
        <v>1</v>
      </c>
      <c r="H931" t="inlineStr">
        <is>
          <t>Player trade (max rank)</t>
        </is>
      </c>
      <c r="I931" t="inlineStr">
        <is>
          <t>Yes</t>
        </is>
      </c>
      <c r="K931" t="inlineStr">
        <is>
          <t>Collection</t>
        </is>
      </c>
      <c r="L931" t="n">
        <v>5</v>
      </c>
      <c r="M931" t="n">
        <v>6</v>
      </c>
      <c r="N931" t="n">
        <v>10</v>
      </c>
      <c r="O931" t="inlineStr">
        <is>
          <t>2026-10-05 UTC (WFM pull 02:52-04:00)</t>
        </is>
      </c>
      <c r="P931" t="inlineStr">
        <is>
          <t>OK</t>
        </is>
      </c>
      <c r="R931" t="inlineStr">
        <is>
          <t>Every current tradeable mod at MAX RANK (WFM catalogue, rivens/locators excluded)</t>
        </is>
      </c>
      <c r="S931" t="inlineStr">
        <is>
          <t>loyal_companion</t>
        </is>
      </c>
      <c r="T931" t="n">
        <v>61</v>
      </c>
      <c r="U931" t="n">
        <v>1</v>
      </c>
      <c r="V931" t="n">
        <v>6</v>
      </c>
      <c r="W931" t="n">
        <v>10</v>
      </c>
      <c r="X931" t="n">
        <v>9.199999999999999</v>
      </c>
      <c r="Y931" t="n">
        <v>10</v>
      </c>
      <c r="Z931" t="n">
        <v>1</v>
      </c>
      <c r="AN931" t="inlineStr">
        <is>
          <t>Companion</t>
        </is>
      </c>
      <c r="AO931" t="n">
        <v>310</v>
      </c>
      <c r="AP931" t="n">
        <v>14973</v>
      </c>
      <c r="AQ931" t="n">
        <v>2</v>
      </c>
      <c r="AS931" t="inlineStr">
        <is>
          <t>Yes</t>
        </is>
      </c>
    </row>
    <row r="932">
      <c r="A932" t="inlineStr">
        <is>
          <t>Mod</t>
        </is>
      </c>
      <c r="B932" t="inlineStr">
        <is>
          <t>Loyal Merulina</t>
        </is>
      </c>
      <c r="E932" t="inlineStr">
        <is>
          <t>Augment Yareli</t>
        </is>
      </c>
      <c r="F932" t="n">
        <v>3</v>
      </c>
      <c r="G932" t="n">
        <v>1</v>
      </c>
      <c r="H932" t="inlineStr">
        <is>
          <t>Player trade (max rank)</t>
        </is>
      </c>
      <c r="I932" t="inlineStr">
        <is>
          <t>Yes</t>
        </is>
      </c>
      <c r="K932" t="inlineStr">
        <is>
          <t>Collection</t>
        </is>
      </c>
      <c r="L932" t="n">
        <v>20</v>
      </c>
      <c r="M932" t="n">
        <v>21</v>
      </c>
      <c r="N932" t="n">
        <v>47</v>
      </c>
      <c r="O932" t="inlineStr">
        <is>
          <t>2026-10-05 UTC (WFM pull 02:52-04:00)</t>
        </is>
      </c>
      <c r="P932" t="inlineStr">
        <is>
          <t>OK</t>
        </is>
      </c>
      <c r="R932" t="inlineStr">
        <is>
          <t>Every current tradeable mod at MAX RANK (WFM catalogue, rivens/locators excluded)</t>
        </is>
      </c>
      <c r="S932" t="inlineStr">
        <is>
          <t>loyal_merulina</t>
        </is>
      </c>
      <c r="T932" t="n">
        <v>4</v>
      </c>
      <c r="U932" t="n">
        <v>4</v>
      </c>
      <c r="V932" t="n">
        <v>14</v>
      </c>
      <c r="W932" t="n">
        <v>15</v>
      </c>
      <c r="X932" t="n">
        <v>14.8</v>
      </c>
      <c r="Y932" t="n">
        <v>447</v>
      </c>
      <c r="Z932" t="n">
        <v>12</v>
      </c>
      <c r="AN932" t="inlineStr">
        <is>
          <t>Augment Yareli</t>
        </is>
      </c>
      <c r="AO932" t="n">
        <v>210</v>
      </c>
      <c r="AP932" t="n">
        <v>10143</v>
      </c>
      <c r="AQ932" t="n">
        <v>13</v>
      </c>
      <c r="AS932" t="inlineStr">
        <is>
          <t>Yes</t>
        </is>
      </c>
    </row>
    <row r="933">
      <c r="A933" t="inlineStr">
        <is>
          <t>Mod</t>
        </is>
      </c>
      <c r="B933" t="inlineStr">
        <is>
          <t>Loyal Retriever</t>
        </is>
      </c>
      <c r="E933" t="inlineStr">
        <is>
          <t>Beast</t>
        </is>
      </c>
      <c r="F933" t="n">
        <v>5</v>
      </c>
      <c r="G933" t="n">
        <v>1</v>
      </c>
      <c r="H933" t="inlineStr">
        <is>
          <t>Player trade (max rank)</t>
        </is>
      </c>
      <c r="I933" t="inlineStr">
        <is>
          <t>Yes</t>
        </is>
      </c>
      <c r="K933" t="inlineStr">
        <is>
          <t>Collection</t>
        </is>
      </c>
      <c r="L933" t="n">
        <v>10</v>
      </c>
      <c r="M933" t="n">
        <v>12</v>
      </c>
      <c r="N933" t="n">
        <v>17</v>
      </c>
      <c r="O933" t="inlineStr">
        <is>
          <t>2026-10-05 UTC (WFM pull 02:52-04:00)</t>
        </is>
      </c>
      <c r="P933" t="inlineStr">
        <is>
          <t>OK</t>
        </is>
      </c>
      <c r="R933" t="inlineStr">
        <is>
          <t>Every current tradeable mod at MAX RANK (WFM catalogue, rivens/locators excluded)</t>
        </is>
      </c>
      <c r="S933" t="inlineStr">
        <is>
          <t>loyal_retriever</t>
        </is>
      </c>
      <c r="T933" t="n">
        <v>11</v>
      </c>
      <c r="U933" t="n">
        <v>11</v>
      </c>
      <c r="V933" t="n">
        <v>9</v>
      </c>
      <c r="W933" t="n">
        <v>9</v>
      </c>
      <c r="X933" t="n">
        <v>8.199999999999999</v>
      </c>
      <c r="Y933" t="n">
        <v>276</v>
      </c>
      <c r="Z933" t="n">
        <v>2</v>
      </c>
      <c r="AN933" t="inlineStr">
        <is>
          <t>Beast</t>
        </is>
      </c>
      <c r="AO933" t="n">
        <v>620</v>
      </c>
      <c r="AP933" t="n">
        <v>29946</v>
      </c>
      <c r="AQ933" t="n">
        <v>5</v>
      </c>
      <c r="AS933" t="inlineStr">
        <is>
          <t>Yes</t>
        </is>
      </c>
    </row>
    <row r="934">
      <c r="A934" t="inlineStr">
        <is>
          <t>Mod</t>
        </is>
      </c>
      <c r="B934" t="inlineStr">
        <is>
          <t>Lucky Shot</t>
        </is>
      </c>
      <c r="E934" t="inlineStr">
        <is>
          <t>Conclave (PvP)</t>
        </is>
      </c>
      <c r="F934" t="n">
        <v>3</v>
      </c>
      <c r="G934" t="n">
        <v>1</v>
      </c>
      <c r="H934" t="inlineStr">
        <is>
          <t>Player trade (max rank)</t>
        </is>
      </c>
      <c r="I934" t="inlineStr">
        <is>
          <t>Yes</t>
        </is>
      </c>
      <c r="K934" t="inlineStr">
        <is>
          <t>Collection (PvP)</t>
        </is>
      </c>
      <c r="L934" t="n">
        <v>15</v>
      </c>
      <c r="M934" t="n">
        <v>28</v>
      </c>
      <c r="N934" t="n">
        <v>56</v>
      </c>
      <c r="O934" t="inlineStr">
        <is>
          <t>2026-10-05 UTC (WFM pull 02:52-04:00)</t>
        </is>
      </c>
      <c r="P934" t="inlineStr">
        <is>
          <t>OK</t>
        </is>
      </c>
      <c r="R934" t="inlineStr">
        <is>
          <t>Every current tradeable mod at MAX RANK (WFM catalogue, rivens/locators excluded)</t>
        </is>
      </c>
      <c r="S934" t="inlineStr">
        <is>
          <t>lucky_shot</t>
        </is>
      </c>
      <c r="T934" t="n">
        <v>8</v>
      </c>
      <c r="U934" t="n">
        <v>0</v>
      </c>
      <c r="W934" t="n">
        <v>40</v>
      </c>
      <c r="X934" t="n">
        <v>40</v>
      </c>
      <c r="Y934" t="n">
        <v>1</v>
      </c>
      <c r="Z934" t="n">
        <v>0</v>
      </c>
      <c r="AN934" t="inlineStr">
        <is>
          <t>Conclave (PvP)</t>
        </is>
      </c>
      <c r="AO934" t="n">
        <v>140</v>
      </c>
      <c r="AP934" t="n">
        <v>6762</v>
      </c>
      <c r="AQ934" t="n">
        <v>10</v>
      </c>
      <c r="AS934" t="inlineStr">
        <is>
          <t>PvP subtotal</t>
        </is>
      </c>
    </row>
    <row r="935">
      <c r="A935" t="inlineStr">
        <is>
          <t>Mod</t>
        </is>
      </c>
      <c r="B935" t="inlineStr">
        <is>
          <t>Mach Crash</t>
        </is>
      </c>
      <c r="E935" t="inlineStr">
        <is>
          <t>Augment Gauss</t>
        </is>
      </c>
      <c r="F935" t="n">
        <v>3</v>
      </c>
      <c r="G935" t="n">
        <v>1</v>
      </c>
      <c r="H935" t="inlineStr">
        <is>
          <t>Player trade (max rank)</t>
        </is>
      </c>
      <c r="I935" t="inlineStr">
        <is>
          <t>Yes</t>
        </is>
      </c>
      <c r="K935" t="inlineStr">
        <is>
          <t>Collection</t>
        </is>
      </c>
      <c r="L935" t="n">
        <v>25</v>
      </c>
      <c r="M935" t="n">
        <v>25</v>
      </c>
      <c r="N935" t="n">
        <v>56</v>
      </c>
      <c r="O935" t="inlineStr">
        <is>
          <t>2026-10-05 UTC (WFM pull 02:52-04:00)</t>
        </is>
      </c>
      <c r="P935" t="inlineStr">
        <is>
          <t>OK</t>
        </is>
      </c>
      <c r="R935" t="inlineStr">
        <is>
          <t>Every current tradeable mod at MAX RANK (WFM catalogue, rivens/locators excluded)</t>
        </is>
      </c>
      <c r="S935" t="inlineStr">
        <is>
          <t>mach_crash</t>
        </is>
      </c>
      <c r="T935" t="n">
        <v>4</v>
      </c>
      <c r="U935" t="n">
        <v>4</v>
      </c>
      <c r="V935" t="n">
        <v>12</v>
      </c>
      <c r="W935" t="n">
        <v>12.5</v>
      </c>
      <c r="X935" t="n">
        <v>13.1</v>
      </c>
      <c r="Y935" t="n">
        <v>73</v>
      </c>
      <c r="Z935" t="n">
        <v>5</v>
      </c>
      <c r="AN935" t="inlineStr">
        <is>
          <t>Augment Gauss</t>
        </is>
      </c>
      <c r="AO935" t="n">
        <v>210</v>
      </c>
      <c r="AP935" t="n">
        <v>10143</v>
      </c>
      <c r="AQ935" t="n">
        <v>8</v>
      </c>
      <c r="AS935" t="inlineStr">
        <is>
          <t>Yes</t>
        </is>
      </c>
    </row>
    <row r="936">
      <c r="A936" t="inlineStr">
        <is>
          <t>Mod</t>
        </is>
      </c>
      <c r="B936" t="inlineStr">
        <is>
          <t>Mad Stack</t>
        </is>
      </c>
      <c r="E936" t="inlineStr">
        <is>
          <t>K-Drive</t>
        </is>
      </c>
      <c r="F936" t="n">
        <v>5</v>
      </c>
      <c r="G936" t="n">
        <v>1</v>
      </c>
      <c r="H936" t="inlineStr">
        <is>
          <t>Player trade (max rank)</t>
        </is>
      </c>
      <c r="I936" t="inlineStr">
        <is>
          <t>Yes</t>
        </is>
      </c>
      <c r="K936" t="inlineStr">
        <is>
          <t>Collection</t>
        </is>
      </c>
      <c r="L936" t="n">
        <v>20</v>
      </c>
      <c r="M936" t="n">
        <v>22.5</v>
      </c>
      <c r="N936" t="n">
        <v>39</v>
      </c>
      <c r="O936" t="inlineStr">
        <is>
          <t>2026-10-05 UTC (WFM pull 02:52-04:00)</t>
        </is>
      </c>
      <c r="P936" t="inlineStr">
        <is>
          <t>OK</t>
        </is>
      </c>
      <c r="R936" t="inlineStr">
        <is>
          <t>Every current tradeable mod at MAX RANK (WFM catalogue, rivens/locators excluded)</t>
        </is>
      </c>
      <c r="S936" t="inlineStr">
        <is>
          <t>mad_stack</t>
        </is>
      </c>
      <c r="T936" t="n">
        <v>22</v>
      </c>
      <c r="U936" t="n">
        <v>1</v>
      </c>
      <c r="V936" t="n">
        <v>15</v>
      </c>
      <c r="W936" t="n">
        <v>35</v>
      </c>
      <c r="X936" t="n">
        <v>32</v>
      </c>
      <c r="Y936" t="n">
        <v>5</v>
      </c>
      <c r="Z936" t="n">
        <v>0</v>
      </c>
      <c r="AN936" t="inlineStr">
        <is>
          <t>K-Drive</t>
        </is>
      </c>
      <c r="AO936" t="n">
        <v>620</v>
      </c>
      <c r="AP936" t="n">
        <v>29946</v>
      </c>
      <c r="AQ936" t="n">
        <v>25</v>
      </c>
      <c r="AS936" t="inlineStr">
        <is>
          <t>Yes</t>
        </is>
      </c>
    </row>
    <row r="937">
      <c r="A937" t="inlineStr">
        <is>
          <t>Mod</t>
        </is>
      </c>
      <c r="B937" t="inlineStr">
        <is>
          <t>Madurai Transmute Core</t>
        </is>
      </c>
      <c r="E937" t="inlineStr">
        <is>
          <t>Mod</t>
        </is>
      </c>
      <c r="G937" t="n">
        <v>1</v>
      </c>
      <c r="H937" t="inlineStr">
        <is>
          <t>Player trade (max rank)</t>
        </is>
      </c>
      <c r="I937" t="inlineStr">
        <is>
          <t>Yes</t>
        </is>
      </c>
      <c r="K937" t="inlineStr">
        <is>
          <t>Collection</t>
        </is>
      </c>
      <c r="L937" t="n">
        <v>5</v>
      </c>
      <c r="M937" t="n">
        <v>5</v>
      </c>
      <c r="N937" t="n">
        <v>9</v>
      </c>
      <c r="O937" t="inlineStr">
        <is>
          <t>2026-10-05 UTC (WFM pull 02:52-04:00)</t>
        </is>
      </c>
      <c r="P937" t="inlineStr">
        <is>
          <t>OK</t>
        </is>
      </c>
      <c r="R937" t="inlineStr">
        <is>
          <t>Every current tradeable mod at MAX RANK (WFM catalogue, rivens/locators excluded)</t>
        </is>
      </c>
      <c r="S937" t="inlineStr">
        <is>
          <t>madurai_transmute_core</t>
        </is>
      </c>
      <c r="T937" t="n">
        <v>40</v>
      </c>
      <c r="U937" t="n">
        <v>2</v>
      </c>
      <c r="V937" t="n">
        <v>8</v>
      </c>
      <c r="W937" t="n">
        <v>15</v>
      </c>
      <c r="X937" t="n">
        <v>15.6</v>
      </c>
      <c r="Y937" t="n">
        <v>10</v>
      </c>
      <c r="Z937" t="n">
        <v>0</v>
      </c>
      <c r="AN937" t="inlineStr">
        <is>
          <t>Mod</t>
        </is>
      </c>
      <c r="AO937" t="n">
        <v>0</v>
      </c>
      <c r="AP937" t="n">
        <v>0</v>
      </c>
      <c r="AS937" t="inlineStr">
        <is>
          <t>Yes</t>
        </is>
      </c>
    </row>
    <row r="938">
      <c r="A938" t="inlineStr">
        <is>
          <t>Mod</t>
        </is>
      </c>
      <c r="B938" t="inlineStr">
        <is>
          <t>Mafic Rain</t>
        </is>
      </c>
      <c r="E938" t="inlineStr">
        <is>
          <t>Conclave (PvP)</t>
        </is>
      </c>
      <c r="F938" t="n">
        <v>3</v>
      </c>
      <c r="G938" t="n">
        <v>1</v>
      </c>
      <c r="H938" t="inlineStr">
        <is>
          <t>Player trade (max rank)</t>
        </is>
      </c>
      <c r="I938" t="inlineStr">
        <is>
          <t>Yes</t>
        </is>
      </c>
      <c r="K938" t="inlineStr">
        <is>
          <t>Collection (PvP)</t>
        </is>
      </c>
      <c r="L938" t="n">
        <v>100</v>
      </c>
      <c r="M938" t="n">
        <v>100</v>
      </c>
      <c r="N938" t="n">
        <v>221</v>
      </c>
      <c r="O938" t="inlineStr">
        <is>
          <t>2026-10-05 UTC (WFM pull 02:52-04:00)</t>
        </is>
      </c>
      <c r="P938" t="inlineStr">
        <is>
          <t>OK</t>
        </is>
      </c>
      <c r="R938" t="inlineStr">
        <is>
          <t>Every current tradeable mod at MAX RANK (WFM catalogue, rivens/locators excluded)</t>
        </is>
      </c>
      <c r="S938" t="inlineStr">
        <is>
          <t>mafic_rain</t>
        </is>
      </c>
      <c r="T938" t="n">
        <v>3</v>
      </c>
      <c r="U938" t="n">
        <v>0</v>
      </c>
      <c r="V938" t="n">
        <v>20</v>
      </c>
      <c r="W938" t="n">
        <v>20</v>
      </c>
      <c r="X938" t="n">
        <v>20</v>
      </c>
      <c r="Y938" t="n">
        <v>1</v>
      </c>
      <c r="Z938" t="n">
        <v>0</v>
      </c>
      <c r="AN938" t="inlineStr">
        <is>
          <t>Conclave (PvP)</t>
        </is>
      </c>
      <c r="AO938" t="n">
        <v>140</v>
      </c>
      <c r="AP938" t="n">
        <v>6762</v>
      </c>
      <c r="AQ938" t="n">
        <v>20</v>
      </c>
      <c r="AS938" t="inlineStr">
        <is>
          <t>PvP subtotal</t>
        </is>
      </c>
    </row>
    <row r="939">
      <c r="A939" t="inlineStr">
        <is>
          <t>Mod</t>
        </is>
      </c>
      <c r="B939" t="inlineStr">
        <is>
          <t>Mag Locks</t>
        </is>
      </c>
      <c r="E939" t="inlineStr">
        <is>
          <t>K-Drive</t>
        </is>
      </c>
      <c r="F939" t="n">
        <v>5</v>
      </c>
      <c r="G939" t="n">
        <v>1</v>
      </c>
      <c r="H939" t="inlineStr">
        <is>
          <t>Player trade (max rank)</t>
        </is>
      </c>
      <c r="I939" t="inlineStr">
        <is>
          <t>Yes</t>
        </is>
      </c>
      <c r="K939" t="inlineStr">
        <is>
          <t>Collection</t>
        </is>
      </c>
      <c r="L939" t="n">
        <v>20</v>
      </c>
      <c r="M939" t="n">
        <v>24</v>
      </c>
      <c r="N939" t="n">
        <v>44</v>
      </c>
      <c r="O939" t="inlineStr">
        <is>
          <t>2026-10-05 UTC (WFM pull 02:52-04:00)</t>
        </is>
      </c>
      <c r="P939" t="inlineStr">
        <is>
          <t>OK</t>
        </is>
      </c>
      <c r="R939" t="inlineStr">
        <is>
          <t>Every current tradeable mod at MAX RANK (WFM catalogue, rivens/locators excluded)</t>
        </is>
      </c>
      <c r="S939" t="inlineStr">
        <is>
          <t>mag_locks</t>
        </is>
      </c>
      <c r="T939" t="n">
        <v>26</v>
      </c>
      <c r="U939" t="n">
        <v>1</v>
      </c>
      <c r="V939" t="n">
        <v>40</v>
      </c>
      <c r="W939" t="n">
        <v>22.5</v>
      </c>
      <c r="X939" t="n">
        <v>30.8</v>
      </c>
      <c r="Y939" t="n">
        <v>6</v>
      </c>
      <c r="Z939" t="n">
        <v>0</v>
      </c>
      <c r="AN939" t="inlineStr">
        <is>
          <t>K-Drive</t>
        </is>
      </c>
      <c r="AO939" t="n">
        <v>310</v>
      </c>
      <c r="AP939" t="n">
        <v>14973</v>
      </c>
      <c r="AQ939" t="n">
        <v>10</v>
      </c>
      <c r="AS939" t="inlineStr">
        <is>
          <t>Yes</t>
        </is>
      </c>
    </row>
    <row r="940">
      <c r="A940" t="inlineStr">
        <is>
          <t>Mod</t>
        </is>
      </c>
      <c r="B940" t="inlineStr">
        <is>
          <t>Magazine Extension</t>
        </is>
      </c>
      <c r="E940" t="inlineStr">
        <is>
          <t>Archgun</t>
        </is>
      </c>
      <c r="F940" t="n">
        <v>5</v>
      </c>
      <c r="G940" t="n">
        <v>1</v>
      </c>
      <c r="H940" t="inlineStr">
        <is>
          <t>Player trade (max rank)</t>
        </is>
      </c>
      <c r="I940" t="inlineStr">
        <is>
          <t>Yes</t>
        </is>
      </c>
      <c r="K940" t="inlineStr">
        <is>
          <t>Collection</t>
        </is>
      </c>
      <c r="L940" t="n">
        <v>10</v>
      </c>
      <c r="M940" t="n">
        <v>10</v>
      </c>
      <c r="N940" t="n">
        <v>22</v>
      </c>
      <c r="O940" t="inlineStr">
        <is>
          <t>2026-10-05 UTC (WFM pull 02:52-04:00)</t>
        </is>
      </c>
      <c r="P940" t="inlineStr">
        <is>
          <t>OK</t>
        </is>
      </c>
      <c r="R940" t="inlineStr">
        <is>
          <t>Every current tradeable mod at MAX RANK (WFM catalogue, rivens/locators excluded)</t>
        </is>
      </c>
      <c r="S940" t="inlineStr">
        <is>
          <t>magazine_extension</t>
        </is>
      </c>
      <c r="T940" t="n">
        <v>5</v>
      </c>
      <c r="U940" t="n">
        <v>5</v>
      </c>
      <c r="V940" t="n">
        <v>1</v>
      </c>
      <c r="W940" t="n">
        <v>15</v>
      </c>
      <c r="X940" t="n">
        <v>19.3</v>
      </c>
      <c r="Y940" t="n">
        <v>6</v>
      </c>
      <c r="Z940" t="n">
        <v>0</v>
      </c>
      <c r="AN940" t="inlineStr">
        <is>
          <t>Archgun</t>
        </is>
      </c>
      <c r="AO940" t="n">
        <v>310</v>
      </c>
      <c r="AP940" t="n">
        <v>14973</v>
      </c>
      <c r="AQ940" t="n">
        <v>6</v>
      </c>
      <c r="AS940" t="inlineStr">
        <is>
          <t>Yes</t>
        </is>
      </c>
    </row>
    <row r="941">
      <c r="A941" t="inlineStr">
        <is>
          <t>Mod</t>
        </is>
      </c>
      <c r="B941" t="inlineStr">
        <is>
          <t>Magazine Warp</t>
        </is>
      </c>
      <c r="E941" t="inlineStr">
        <is>
          <t>Rifle</t>
        </is>
      </c>
      <c r="F941" t="n">
        <v>5</v>
      </c>
      <c r="G941" t="n">
        <v>1</v>
      </c>
      <c r="H941" t="inlineStr">
        <is>
          <t>Player trade (max rank)</t>
        </is>
      </c>
      <c r="I941" t="inlineStr">
        <is>
          <t>Yes</t>
        </is>
      </c>
      <c r="K941" t="inlineStr">
        <is>
          <t>Collection</t>
        </is>
      </c>
      <c r="L941" t="n">
        <v>8</v>
      </c>
      <c r="M941" t="n">
        <v>20</v>
      </c>
      <c r="N941" t="n">
        <v>44</v>
      </c>
      <c r="O941" t="inlineStr">
        <is>
          <t>2026-10-05 UTC (WFM pull 02:52-04:00)</t>
        </is>
      </c>
      <c r="P941" t="inlineStr">
        <is>
          <t>OK</t>
        </is>
      </c>
      <c r="R941" t="inlineStr">
        <is>
          <t>Every current tradeable mod at MAX RANK (WFM catalogue, rivens/locators excluded)</t>
        </is>
      </c>
      <c r="S941" t="inlineStr">
        <is>
          <t>magazine_warp</t>
        </is>
      </c>
      <c r="T941" t="n">
        <v>4</v>
      </c>
      <c r="U941" t="n">
        <v>4</v>
      </c>
      <c r="W941" t="n">
        <v>15</v>
      </c>
      <c r="X941" t="n">
        <v>15</v>
      </c>
      <c r="Y941" t="n">
        <v>1</v>
      </c>
      <c r="Z941" t="n">
        <v>0</v>
      </c>
      <c r="AN941" t="inlineStr">
        <is>
          <t>Rifle</t>
        </is>
      </c>
      <c r="AO941" t="n">
        <v>310</v>
      </c>
      <c r="AP941" t="n">
        <v>14973</v>
      </c>
      <c r="AQ941" t="n">
        <v>4</v>
      </c>
      <c r="AS941" t="inlineStr">
        <is>
          <t>Yes</t>
        </is>
      </c>
    </row>
    <row r="942">
      <c r="A942" t="inlineStr">
        <is>
          <t>Mod</t>
        </is>
      </c>
      <c r="B942" t="inlineStr">
        <is>
          <t>Maglev</t>
        </is>
      </c>
      <c r="E942" t="inlineStr">
        <is>
          <t>Warframe</t>
        </is>
      </c>
      <c r="F942" t="n">
        <v>5</v>
      </c>
      <c r="G942" t="n">
        <v>1</v>
      </c>
      <c r="H942" t="inlineStr">
        <is>
          <t>Player trade (max rank)</t>
        </is>
      </c>
      <c r="I942" t="inlineStr">
        <is>
          <t>Yes</t>
        </is>
      </c>
      <c r="K942" t="inlineStr">
        <is>
          <t>Collection</t>
        </is>
      </c>
      <c r="L942" t="n">
        <v>9</v>
      </c>
      <c r="M942" t="n">
        <v>9</v>
      </c>
      <c r="N942" t="n">
        <v>20</v>
      </c>
      <c r="O942" t="inlineStr">
        <is>
          <t>2026-10-05 UTC (WFM pull 02:52-04:00)</t>
        </is>
      </c>
      <c r="P942" t="inlineStr">
        <is>
          <t>OK</t>
        </is>
      </c>
      <c r="R942" t="inlineStr">
        <is>
          <t>Every current tradeable mod at MAX RANK (WFM catalogue, rivens/locators excluded)</t>
        </is>
      </c>
      <c r="S942" t="inlineStr">
        <is>
          <t>maglev</t>
        </is>
      </c>
      <c r="T942" t="n">
        <v>3</v>
      </c>
      <c r="U942" t="n">
        <v>3</v>
      </c>
      <c r="W942" t="n">
        <v>5</v>
      </c>
      <c r="X942" t="n">
        <v>10.8</v>
      </c>
      <c r="Y942" t="n">
        <v>5</v>
      </c>
      <c r="Z942" t="n">
        <v>0</v>
      </c>
      <c r="AN942" t="inlineStr">
        <is>
          <t>Warframe</t>
        </is>
      </c>
      <c r="AO942" t="n">
        <v>620</v>
      </c>
      <c r="AP942" t="n">
        <v>29946</v>
      </c>
      <c r="AQ942" t="n">
        <v>2</v>
      </c>
      <c r="AS942" t="inlineStr">
        <is>
          <t>Yes</t>
        </is>
      </c>
    </row>
    <row r="943">
      <c r="A943" t="inlineStr">
        <is>
          <t>Mod</t>
        </is>
      </c>
      <c r="B943" t="inlineStr">
        <is>
          <t>Magma Chamber</t>
        </is>
      </c>
      <c r="E943" t="inlineStr">
        <is>
          <t>Archgun</t>
        </is>
      </c>
      <c r="F943" t="n">
        <v>3</v>
      </c>
      <c r="G943" t="n">
        <v>1</v>
      </c>
      <c r="H943" t="inlineStr">
        <is>
          <t>Player trade (max rank)</t>
        </is>
      </c>
      <c r="I943" t="inlineStr">
        <is>
          <t>Yes</t>
        </is>
      </c>
      <c r="K943" t="inlineStr">
        <is>
          <t>Collection</t>
        </is>
      </c>
      <c r="L943" t="n">
        <v>15</v>
      </c>
      <c r="M943" t="n">
        <v>19</v>
      </c>
      <c r="N943" t="n">
        <v>22</v>
      </c>
      <c r="O943" t="inlineStr">
        <is>
          <t>2026-10-05 UTC (WFM pull 02:52-04:00)</t>
        </is>
      </c>
      <c r="P943" t="inlineStr">
        <is>
          <t>OK</t>
        </is>
      </c>
      <c r="R943" t="inlineStr">
        <is>
          <t>Every current tradeable mod at MAX RANK (WFM catalogue, rivens/locators excluded)</t>
        </is>
      </c>
      <c r="S943" t="inlineStr">
        <is>
          <t>magma_chamber</t>
        </is>
      </c>
      <c r="T943" t="n">
        <v>14</v>
      </c>
      <c r="U943" t="n">
        <v>14</v>
      </c>
      <c r="V943" t="n">
        <v>16</v>
      </c>
      <c r="W943" t="n">
        <v>15</v>
      </c>
      <c r="X943" t="n">
        <v>16.4</v>
      </c>
      <c r="Y943" t="n">
        <v>226</v>
      </c>
      <c r="Z943" t="n">
        <v>4</v>
      </c>
      <c r="AN943" t="inlineStr">
        <is>
          <t>Archgun</t>
        </is>
      </c>
      <c r="AO943" t="n">
        <v>210</v>
      </c>
      <c r="AP943" t="n">
        <v>10143</v>
      </c>
      <c r="AQ943" t="n">
        <v>15</v>
      </c>
      <c r="AS943" t="inlineStr">
        <is>
          <t>Yes</t>
        </is>
      </c>
    </row>
    <row r="944">
      <c r="A944" t="inlineStr">
        <is>
          <t>Mod</t>
        </is>
      </c>
      <c r="B944" t="inlineStr">
        <is>
          <t>Magnetic Capacity</t>
        </is>
      </c>
      <c r="E944" t="inlineStr">
        <is>
          <t>Rifle</t>
        </is>
      </c>
      <c r="F944" t="n">
        <v>3</v>
      </c>
      <c r="G944" t="n">
        <v>1</v>
      </c>
      <c r="H944" t="inlineStr">
        <is>
          <t>Player trade (max rank)</t>
        </is>
      </c>
      <c r="I944" t="inlineStr">
        <is>
          <t>Yes</t>
        </is>
      </c>
      <c r="K944" t="inlineStr">
        <is>
          <t>Collection</t>
        </is>
      </c>
      <c r="L944" t="n">
        <v>6</v>
      </c>
      <c r="M944" t="n">
        <v>9</v>
      </c>
      <c r="N944" t="n">
        <v>20</v>
      </c>
      <c r="O944" t="inlineStr">
        <is>
          <t>2026-10-05 UTC (WFM pull 02:52-04:00)</t>
        </is>
      </c>
      <c r="P944" t="inlineStr">
        <is>
          <t>OK</t>
        </is>
      </c>
      <c r="R944" t="inlineStr">
        <is>
          <t>Every current tradeable mod at MAX RANK (WFM catalogue, rivens/locators excluded)</t>
        </is>
      </c>
      <c r="S944" t="inlineStr">
        <is>
          <t>magnetic_capacity</t>
        </is>
      </c>
      <c r="T944" t="n">
        <v>6</v>
      </c>
      <c r="U944" t="n">
        <v>6</v>
      </c>
      <c r="V944" t="n">
        <v>6</v>
      </c>
      <c r="W944" t="n">
        <v>5</v>
      </c>
      <c r="X944" t="n">
        <v>5.4</v>
      </c>
      <c r="Y944" t="n">
        <v>371</v>
      </c>
      <c r="Z944" t="n">
        <v>4</v>
      </c>
      <c r="AN944" t="inlineStr">
        <is>
          <t>Rifle</t>
        </is>
      </c>
      <c r="AO944" t="n">
        <v>210</v>
      </c>
      <c r="AP944" t="n">
        <v>10143</v>
      </c>
      <c r="AQ944" t="n">
        <v>2</v>
      </c>
      <c r="AS944" t="inlineStr">
        <is>
          <t>Yes</t>
        </is>
      </c>
    </row>
    <row r="945">
      <c r="A945" t="inlineStr">
        <is>
          <t>Mod</t>
        </is>
      </c>
      <c r="B945" t="inlineStr">
        <is>
          <t>Magnetic Claws</t>
        </is>
      </c>
      <c r="E945" t="inlineStr">
        <is>
          <t>Claws</t>
        </is>
      </c>
      <c r="F945" t="n">
        <v>3</v>
      </c>
      <c r="G945" t="n">
        <v>1</v>
      </c>
      <c r="H945" t="inlineStr">
        <is>
          <t>Player trade (max rank)</t>
        </is>
      </c>
      <c r="I945" t="inlineStr">
        <is>
          <t>Yes</t>
        </is>
      </c>
      <c r="K945" t="inlineStr">
        <is>
          <t>Collection</t>
        </is>
      </c>
      <c r="L945" t="n">
        <v>5</v>
      </c>
      <c r="M945" t="n">
        <v>7.5</v>
      </c>
      <c r="N945" t="n">
        <v>17</v>
      </c>
      <c r="O945" t="inlineStr">
        <is>
          <t>2026-10-05 UTC (WFM pull 02:52-04:00)</t>
        </is>
      </c>
      <c r="P945" t="inlineStr">
        <is>
          <t>OK</t>
        </is>
      </c>
      <c r="R945" t="inlineStr">
        <is>
          <t>Every current tradeable mod at MAX RANK (WFM catalogue, rivens/locators excluded)</t>
        </is>
      </c>
      <c r="S945" t="inlineStr">
        <is>
          <t>magnetic_claws</t>
        </is>
      </c>
      <c r="T945" t="n">
        <v>7</v>
      </c>
      <c r="U945" t="n">
        <v>7</v>
      </c>
      <c r="V945" t="n">
        <v>5</v>
      </c>
      <c r="W945" t="n">
        <v>5</v>
      </c>
      <c r="X945" t="n">
        <v>5.1</v>
      </c>
      <c r="Y945" t="n">
        <v>107</v>
      </c>
      <c r="Z945" t="n">
        <v>3</v>
      </c>
      <c r="AN945" t="inlineStr">
        <is>
          <t>Claws</t>
        </is>
      </c>
      <c r="AO945" t="n">
        <v>210</v>
      </c>
      <c r="AP945" t="n">
        <v>10143</v>
      </c>
      <c r="AQ945" t="n">
        <v>2</v>
      </c>
      <c r="AS945" t="inlineStr">
        <is>
          <t>Yes</t>
        </is>
      </c>
    </row>
    <row r="946">
      <c r="A946" t="inlineStr">
        <is>
          <t>Mod</t>
        </is>
      </c>
      <c r="B946" t="inlineStr">
        <is>
          <t>Magnetic Rush</t>
        </is>
      </c>
      <c r="E946" t="inlineStr">
        <is>
          <t>Melee</t>
        </is>
      </c>
      <c r="F946" t="n">
        <v>3</v>
      </c>
      <c r="G946" t="n">
        <v>1</v>
      </c>
      <c r="H946" t="inlineStr">
        <is>
          <t>Player trade (max rank)</t>
        </is>
      </c>
      <c r="I946" t="inlineStr">
        <is>
          <t>Yes</t>
        </is>
      </c>
      <c r="K946" t="inlineStr">
        <is>
          <t>Collection</t>
        </is>
      </c>
      <c r="L946" t="n">
        <v>5</v>
      </c>
      <c r="M946" t="n">
        <v>9</v>
      </c>
      <c r="N946" t="n">
        <v>17</v>
      </c>
      <c r="O946" t="inlineStr">
        <is>
          <t>2026-10-05 UTC (WFM pull 02:52-04:00)</t>
        </is>
      </c>
      <c r="P946" t="inlineStr">
        <is>
          <t>OK</t>
        </is>
      </c>
      <c r="R946" t="inlineStr">
        <is>
          <t>Every current tradeable mod at MAX RANK (WFM catalogue, rivens/locators excluded)</t>
        </is>
      </c>
      <c r="S946" t="inlineStr">
        <is>
          <t>magnetic_rush</t>
        </is>
      </c>
      <c r="T946" t="n">
        <v>6</v>
      </c>
      <c r="U946" t="n">
        <v>6</v>
      </c>
      <c r="V946" t="n">
        <v>6</v>
      </c>
      <c r="W946" t="n">
        <v>5</v>
      </c>
      <c r="X946" t="n">
        <v>5.8</v>
      </c>
      <c r="Y946" t="n">
        <v>176</v>
      </c>
      <c r="Z946" t="n">
        <v>2</v>
      </c>
      <c r="AN946" t="inlineStr">
        <is>
          <t>Melee</t>
        </is>
      </c>
      <c r="AO946" t="n">
        <v>210</v>
      </c>
      <c r="AP946" t="n">
        <v>10143</v>
      </c>
      <c r="AQ946" t="n">
        <v>2</v>
      </c>
      <c r="AS946" t="inlineStr">
        <is>
          <t>Yes</t>
        </is>
      </c>
    </row>
    <row r="947">
      <c r="A947" t="inlineStr">
        <is>
          <t>Mod</t>
        </is>
      </c>
      <c r="B947" t="inlineStr">
        <is>
          <t>Magnetic Strafe</t>
        </is>
      </c>
      <c r="E947" t="inlineStr">
        <is>
          <t>Shotgun</t>
        </is>
      </c>
      <c r="F947" t="n">
        <v>3</v>
      </c>
      <c r="G947" t="n">
        <v>1</v>
      </c>
      <c r="H947" t="inlineStr">
        <is>
          <t>Player trade (max rank)</t>
        </is>
      </c>
      <c r="I947" t="inlineStr">
        <is>
          <t>Yes</t>
        </is>
      </c>
      <c r="K947" t="inlineStr">
        <is>
          <t>Collection</t>
        </is>
      </c>
      <c r="L947" t="n">
        <v>13</v>
      </c>
      <c r="M947" t="n">
        <v>15</v>
      </c>
      <c r="N947" t="n">
        <v>33</v>
      </c>
      <c r="O947" t="inlineStr">
        <is>
          <t>2026-10-05 UTC (WFM pull 02:52-04:00)</t>
        </is>
      </c>
      <c r="P947" t="inlineStr">
        <is>
          <t>OK</t>
        </is>
      </c>
      <c r="R947" t="inlineStr">
        <is>
          <t>Every current tradeable mod at MAX RANK (WFM catalogue, rivens/locators excluded)</t>
        </is>
      </c>
      <c r="S947" t="inlineStr">
        <is>
          <t>magnetic_strafe</t>
        </is>
      </c>
      <c r="T947" t="n">
        <v>5</v>
      </c>
      <c r="U947" t="n">
        <v>5</v>
      </c>
      <c r="V947" t="n">
        <v>15</v>
      </c>
      <c r="W947" t="n">
        <v>15</v>
      </c>
      <c r="X947" t="n">
        <v>14.9</v>
      </c>
      <c r="Y947" t="n">
        <v>1114</v>
      </c>
      <c r="Z947" t="n">
        <v>15</v>
      </c>
      <c r="AN947" t="inlineStr">
        <is>
          <t>Shotgun</t>
        </is>
      </c>
      <c r="AO947" t="n">
        <v>210</v>
      </c>
      <c r="AP947" t="n">
        <v>10143</v>
      </c>
      <c r="AQ947" t="n">
        <v>10</v>
      </c>
      <c r="AS947" t="inlineStr">
        <is>
          <t>Yes</t>
        </is>
      </c>
    </row>
    <row r="948">
      <c r="A948" t="inlineStr">
        <is>
          <t>Mod</t>
        </is>
      </c>
      <c r="B948" t="inlineStr">
        <is>
          <t>Magnetic Strike</t>
        </is>
      </c>
      <c r="E948" t="inlineStr">
        <is>
          <t>Claws</t>
        </is>
      </c>
      <c r="F948" t="n">
        <v>3</v>
      </c>
      <c r="G948" t="n">
        <v>1</v>
      </c>
      <c r="H948" t="inlineStr">
        <is>
          <t>Player trade (max rank)</t>
        </is>
      </c>
      <c r="I948" t="inlineStr">
        <is>
          <t>Yes</t>
        </is>
      </c>
      <c r="K948" t="inlineStr">
        <is>
          <t>Collection</t>
        </is>
      </c>
      <c r="L948" t="n">
        <v>30</v>
      </c>
      <c r="M948" t="n">
        <v>30</v>
      </c>
      <c r="N948" t="n">
        <v>66</v>
      </c>
      <c r="O948" t="inlineStr">
        <is>
          <t>2026-10-05 UTC (WFM pull 02:52-04:00)</t>
        </is>
      </c>
      <c r="P948" t="inlineStr">
        <is>
          <t>OK</t>
        </is>
      </c>
      <c r="R948" t="inlineStr">
        <is>
          <t>Every current tradeable mod at MAX RANK (WFM catalogue, rivens/locators excluded)</t>
        </is>
      </c>
      <c r="S948" t="inlineStr">
        <is>
          <t>magnetic_strike</t>
        </is>
      </c>
      <c r="T948" t="n">
        <v>4</v>
      </c>
      <c r="U948" t="n">
        <v>4</v>
      </c>
      <c r="V948" t="n">
        <v>15</v>
      </c>
      <c r="W948" t="n">
        <v>25</v>
      </c>
      <c r="X948" t="n">
        <v>24.1</v>
      </c>
      <c r="Y948" t="n">
        <v>123</v>
      </c>
      <c r="Z948" t="n">
        <v>3</v>
      </c>
      <c r="AN948" t="inlineStr">
        <is>
          <t>Claws</t>
        </is>
      </c>
      <c r="AO948" t="n">
        <v>70</v>
      </c>
      <c r="AP948" t="n">
        <v>3381</v>
      </c>
      <c r="AQ948" t="n">
        <v>10</v>
      </c>
      <c r="AS948" t="inlineStr">
        <is>
          <t>Yes</t>
        </is>
      </c>
    </row>
    <row r="949">
      <c r="A949" t="inlineStr">
        <is>
          <t>Mod</t>
        </is>
      </c>
      <c r="B949" t="inlineStr">
        <is>
          <t>Magnetic Welt</t>
        </is>
      </c>
      <c r="E949" t="inlineStr">
        <is>
          <t>Shotgun</t>
        </is>
      </c>
      <c r="F949" t="n">
        <v>5</v>
      </c>
      <c r="G949" t="n">
        <v>1</v>
      </c>
      <c r="H949" t="inlineStr">
        <is>
          <t>Player trade (max rank)</t>
        </is>
      </c>
      <c r="I949" t="inlineStr">
        <is>
          <t>Yes</t>
        </is>
      </c>
      <c r="K949" t="inlineStr">
        <is>
          <t>Collection</t>
        </is>
      </c>
      <c r="L949" t="n">
        <v>8</v>
      </c>
      <c r="M949" t="n">
        <v>9</v>
      </c>
      <c r="N949" t="n">
        <v>11</v>
      </c>
      <c r="O949" t="inlineStr">
        <is>
          <t>2026-10-05 UTC (WFM pull 02:52-04:00)</t>
        </is>
      </c>
      <c r="P949" t="inlineStr">
        <is>
          <t>OK</t>
        </is>
      </c>
      <c r="R949" t="inlineStr">
        <is>
          <t>Every current tradeable mod at MAX RANK (WFM catalogue, rivens/locators excluded)</t>
        </is>
      </c>
      <c r="S949" t="inlineStr">
        <is>
          <t>magnetic_welt</t>
        </is>
      </c>
      <c r="T949" t="n">
        <v>9</v>
      </c>
      <c r="U949" t="n">
        <v>9</v>
      </c>
      <c r="V949" t="n">
        <v>8</v>
      </c>
      <c r="W949" t="n">
        <v>8</v>
      </c>
      <c r="X949" t="n">
        <v>42.3</v>
      </c>
      <c r="Y949" t="n">
        <v>10</v>
      </c>
      <c r="Z949" t="n">
        <v>0</v>
      </c>
      <c r="AN949" t="inlineStr">
        <is>
          <t>Shotgun</t>
        </is>
      </c>
      <c r="AO949" t="n">
        <v>930</v>
      </c>
      <c r="AP949" t="n">
        <v>44919</v>
      </c>
      <c r="AQ949" t="n">
        <v>2</v>
      </c>
      <c r="AS949" t="inlineStr">
        <is>
          <t>Yes</t>
        </is>
      </c>
    </row>
    <row r="950">
      <c r="A950" t="inlineStr">
        <is>
          <t>Mod</t>
        </is>
      </c>
      <c r="B950" t="inlineStr">
        <is>
          <t>Magnetized Core</t>
        </is>
      </c>
      <c r="E950" t="inlineStr">
        <is>
          <t>Archmelee</t>
        </is>
      </c>
      <c r="F950" t="n">
        <v>3</v>
      </c>
      <c r="G950" t="n">
        <v>1</v>
      </c>
      <c r="H950" t="inlineStr">
        <is>
          <t>Player trade (max rank)</t>
        </is>
      </c>
      <c r="I950" t="inlineStr">
        <is>
          <t>Yes</t>
        </is>
      </c>
      <c r="K950" t="inlineStr">
        <is>
          <t>Collection</t>
        </is>
      </c>
      <c r="L950" t="n">
        <v>4</v>
      </c>
      <c r="M950" t="n">
        <v>9</v>
      </c>
      <c r="N950" t="n">
        <v>11</v>
      </c>
      <c r="O950" t="inlineStr">
        <is>
          <t>2026-10-05 UTC (WFM pull 02:52-04:00)</t>
        </is>
      </c>
      <c r="P950" t="inlineStr">
        <is>
          <t>OK</t>
        </is>
      </c>
      <c r="R950" t="inlineStr">
        <is>
          <t>Every current tradeable mod at MAX RANK (WFM catalogue, rivens/locators excluded)</t>
        </is>
      </c>
      <c r="S950" t="inlineStr">
        <is>
          <t>magnetized_core</t>
        </is>
      </c>
      <c r="T950" t="n">
        <v>11</v>
      </c>
      <c r="U950" t="n">
        <v>11</v>
      </c>
      <c r="V950" t="n">
        <v>7</v>
      </c>
      <c r="W950" t="n">
        <v>10</v>
      </c>
      <c r="X950" t="n">
        <v>8.5</v>
      </c>
      <c r="Y950" t="n">
        <v>21</v>
      </c>
      <c r="Z950" t="n">
        <v>1</v>
      </c>
      <c r="AN950" t="inlineStr">
        <is>
          <t>Archmelee</t>
        </is>
      </c>
      <c r="AO950" t="n">
        <v>210</v>
      </c>
      <c r="AP950" t="n">
        <v>10143</v>
      </c>
      <c r="AQ950" t="n">
        <v>4</v>
      </c>
      <c r="AS950" t="inlineStr">
        <is>
          <t>Yes</t>
        </is>
      </c>
    </row>
    <row r="951">
      <c r="A951" t="inlineStr">
        <is>
          <t>Mod</t>
        </is>
      </c>
      <c r="B951" t="inlineStr">
        <is>
          <t>Magnetized Cycle</t>
        </is>
      </c>
      <c r="E951" t="inlineStr">
        <is>
          <t>Archgun</t>
        </is>
      </c>
      <c r="F951" t="n">
        <v>3</v>
      </c>
      <c r="G951" t="n">
        <v>1</v>
      </c>
      <c r="H951" t="inlineStr">
        <is>
          <t>Player trade (max rank)</t>
        </is>
      </c>
      <c r="I951" t="inlineStr">
        <is>
          <t>Yes</t>
        </is>
      </c>
      <c r="K951" t="inlineStr">
        <is>
          <t>Collection</t>
        </is>
      </c>
      <c r="L951" t="n">
        <v>10</v>
      </c>
      <c r="M951" t="n">
        <v>15</v>
      </c>
      <c r="N951" t="n">
        <v>17</v>
      </c>
      <c r="O951" t="inlineStr">
        <is>
          <t>2026-10-05 UTC (WFM pull 02:52-04:00)</t>
        </is>
      </c>
      <c r="P951" t="inlineStr">
        <is>
          <t>OK</t>
        </is>
      </c>
      <c r="R951" t="inlineStr">
        <is>
          <t>Every current tradeable mod at MAX RANK (WFM catalogue, rivens/locators excluded)</t>
        </is>
      </c>
      <c r="S951" t="inlineStr">
        <is>
          <t>magnetized_cycle</t>
        </is>
      </c>
      <c r="T951" t="n">
        <v>10</v>
      </c>
      <c r="U951" t="n">
        <v>10</v>
      </c>
      <c r="V951" t="n">
        <v>10</v>
      </c>
      <c r="W951" t="n">
        <v>10</v>
      </c>
      <c r="X951" t="n">
        <v>9.9</v>
      </c>
      <c r="Y951" t="n">
        <v>190</v>
      </c>
      <c r="Z951" t="n">
        <v>4</v>
      </c>
      <c r="AN951" t="inlineStr">
        <is>
          <t>Archgun</t>
        </is>
      </c>
      <c r="AO951" t="n">
        <v>210</v>
      </c>
      <c r="AP951" t="n">
        <v>10143</v>
      </c>
      <c r="AQ951" t="n">
        <v>7</v>
      </c>
      <c r="AS951" t="inlineStr">
        <is>
          <t>Yes</t>
        </is>
      </c>
    </row>
    <row r="952">
      <c r="A952" t="inlineStr">
        <is>
          <t>Mod</t>
        </is>
      </c>
      <c r="B952" t="inlineStr">
        <is>
          <t>Magnetized Discharge</t>
        </is>
      </c>
      <c r="E952" t="inlineStr">
        <is>
          <t>Augment Mag</t>
        </is>
      </c>
      <c r="F952" t="n">
        <v>3</v>
      </c>
      <c r="G952" t="n">
        <v>1</v>
      </c>
      <c r="H952" t="inlineStr">
        <is>
          <t>Player trade (max rank)</t>
        </is>
      </c>
      <c r="I952" t="inlineStr">
        <is>
          <t>Yes</t>
        </is>
      </c>
      <c r="K952" t="inlineStr">
        <is>
          <t>Collection</t>
        </is>
      </c>
      <c r="L952" t="n">
        <v>18</v>
      </c>
      <c r="M952" t="n">
        <v>26.2</v>
      </c>
      <c r="N952" t="n">
        <v>54</v>
      </c>
      <c r="O952" t="inlineStr">
        <is>
          <t>2026-10-05 UTC (WFM pull 02:52-04:00)</t>
        </is>
      </c>
      <c r="P952" t="inlineStr">
        <is>
          <t>OK</t>
        </is>
      </c>
      <c r="R952" t="inlineStr">
        <is>
          <t>Every current tradeable mod at MAX RANK (WFM catalogue, rivens/locators excluded)</t>
        </is>
      </c>
      <c r="S952" t="inlineStr">
        <is>
          <t>magnetized_discharge</t>
        </is>
      </c>
      <c r="T952" t="n">
        <v>5</v>
      </c>
      <c r="U952" t="n">
        <v>5</v>
      </c>
      <c r="V952" t="n">
        <v>17.5</v>
      </c>
      <c r="W952" t="n">
        <v>16</v>
      </c>
      <c r="X952" t="n">
        <v>16.2</v>
      </c>
      <c r="Y952" t="n">
        <v>278</v>
      </c>
      <c r="Z952" t="n">
        <v>2</v>
      </c>
      <c r="AN952" t="inlineStr">
        <is>
          <t>Augment Mag</t>
        </is>
      </c>
      <c r="AO952" t="n">
        <v>210</v>
      </c>
      <c r="AP952" t="n">
        <v>10143</v>
      </c>
      <c r="AQ952" t="n">
        <v>14</v>
      </c>
      <c r="AS952" t="inlineStr">
        <is>
          <t>Yes</t>
        </is>
      </c>
    </row>
    <row r="953">
      <c r="A953" t="inlineStr">
        <is>
          <t>Mod</t>
        </is>
      </c>
      <c r="B953" t="inlineStr">
        <is>
          <t>Magnum Force</t>
        </is>
      </c>
      <c r="E953" t="inlineStr">
        <is>
          <t>Pistol</t>
        </is>
      </c>
      <c r="F953" t="n">
        <v>10</v>
      </c>
      <c r="G953" t="n">
        <v>1</v>
      </c>
      <c r="H953" t="inlineStr">
        <is>
          <t>Player trade (max rank)</t>
        </is>
      </c>
      <c r="I953" t="inlineStr">
        <is>
          <t>Yes</t>
        </is>
      </c>
      <c r="K953" t="inlineStr">
        <is>
          <t>Collection</t>
        </is>
      </c>
      <c r="L953" t="n">
        <v>75</v>
      </c>
      <c r="M953" t="n">
        <v>80</v>
      </c>
      <c r="N953" t="n">
        <v>94</v>
      </c>
      <c r="O953" t="inlineStr">
        <is>
          <t>2026-10-05 UTC (WFM pull 02:52-04:00)</t>
        </is>
      </c>
      <c r="P953" t="inlineStr">
        <is>
          <t>OK</t>
        </is>
      </c>
      <c r="R953" t="inlineStr">
        <is>
          <t>Every current tradeable mod at MAX RANK (WFM catalogue, rivens/locators excluded)</t>
        </is>
      </c>
      <c r="S953" t="inlineStr">
        <is>
          <t>magnum_force</t>
        </is>
      </c>
      <c r="T953" t="n">
        <v>10</v>
      </c>
      <c r="U953" t="n">
        <v>10</v>
      </c>
      <c r="V953" t="n">
        <v>75</v>
      </c>
      <c r="W953" t="n">
        <v>75</v>
      </c>
      <c r="X953" t="n">
        <v>75.09999999999999</v>
      </c>
      <c r="Y953" t="n">
        <v>757</v>
      </c>
      <c r="Z953" t="n">
        <v>6</v>
      </c>
      <c r="AA953" t="n">
        <v>46</v>
      </c>
      <c r="AB953" t="n">
        <v>29</v>
      </c>
      <c r="AN953" t="inlineStr">
        <is>
          <t>Pistol</t>
        </is>
      </c>
      <c r="AO953" t="n">
        <v>30690</v>
      </c>
      <c r="AP953" t="n">
        <v>1482327</v>
      </c>
      <c r="AQ953" t="n">
        <v>5</v>
      </c>
      <c r="AS953" t="inlineStr">
        <is>
          <t>Yes</t>
        </is>
      </c>
    </row>
    <row r="954">
      <c r="A954" t="inlineStr">
        <is>
          <t>Mod</t>
        </is>
      </c>
      <c r="B954" t="inlineStr">
        <is>
          <t>Maim</t>
        </is>
      </c>
      <c r="E954" t="inlineStr">
        <is>
          <t>Pistol</t>
        </is>
      </c>
      <c r="F954" t="n">
        <v>5</v>
      </c>
      <c r="G954" t="n">
        <v>1</v>
      </c>
      <c r="H954" t="inlineStr">
        <is>
          <t>Player trade (max rank)</t>
        </is>
      </c>
      <c r="I954" t="inlineStr">
        <is>
          <t>Yes</t>
        </is>
      </c>
      <c r="K954" t="inlineStr">
        <is>
          <t>Collection</t>
        </is>
      </c>
      <c r="L954" t="n">
        <v>24</v>
      </c>
      <c r="M954" t="n">
        <v>30</v>
      </c>
      <c r="N954" t="n">
        <v>66</v>
      </c>
      <c r="O954" t="inlineStr">
        <is>
          <t>2026-10-05 UTC (WFM pull 02:52-04:00)</t>
        </is>
      </c>
      <c r="P954" t="inlineStr">
        <is>
          <t>OK</t>
        </is>
      </c>
      <c r="R954" t="inlineStr">
        <is>
          <t>Every current tradeable mod at MAX RANK (WFM catalogue, rivens/locators excluded)</t>
        </is>
      </c>
      <c r="S954" t="inlineStr">
        <is>
          <t>maim</t>
        </is>
      </c>
      <c r="T954" t="n">
        <v>6</v>
      </c>
      <c r="U954" t="n">
        <v>6</v>
      </c>
      <c r="V954" t="n">
        <v>20</v>
      </c>
      <c r="W954" t="n">
        <v>19.5</v>
      </c>
      <c r="X954" t="n">
        <v>19.3</v>
      </c>
      <c r="Y954" t="n">
        <v>46</v>
      </c>
      <c r="Z954" t="n">
        <v>3</v>
      </c>
      <c r="AN954" t="inlineStr">
        <is>
          <t>Pistol</t>
        </is>
      </c>
      <c r="AO954" t="n">
        <v>930</v>
      </c>
      <c r="AP954" t="n">
        <v>44919</v>
      </c>
      <c r="AQ954" t="n">
        <v>13.5</v>
      </c>
      <c r="AS954" t="inlineStr">
        <is>
          <t>Yes</t>
        </is>
      </c>
    </row>
    <row r="955">
      <c r="A955" t="inlineStr">
        <is>
          <t>Mod</t>
        </is>
      </c>
      <c r="B955" t="inlineStr">
        <is>
          <t>Maiming Strike</t>
        </is>
      </c>
      <c r="E955" t="inlineStr">
        <is>
          <t>Melee</t>
        </is>
      </c>
      <c r="F955" t="n">
        <v>5</v>
      </c>
      <c r="G955" t="n">
        <v>1</v>
      </c>
      <c r="H955" t="inlineStr">
        <is>
          <t>Player trade (max rank)</t>
        </is>
      </c>
      <c r="I955" t="inlineStr">
        <is>
          <t>Yes</t>
        </is>
      </c>
      <c r="K955" t="inlineStr">
        <is>
          <t>Collection</t>
        </is>
      </c>
      <c r="L955" t="n">
        <v>10</v>
      </c>
      <c r="M955" t="n">
        <v>10.5</v>
      </c>
      <c r="N955" t="n">
        <v>24</v>
      </c>
      <c r="O955" t="inlineStr">
        <is>
          <t>2026-10-05 UTC (WFM pull 02:52-04:00)</t>
        </is>
      </c>
      <c r="P955" t="inlineStr">
        <is>
          <t>OK</t>
        </is>
      </c>
      <c r="R955" t="inlineStr">
        <is>
          <t>Every current tradeable mod at MAX RANK (WFM catalogue, rivens/locators excluded)</t>
        </is>
      </c>
      <c r="S955" t="inlineStr">
        <is>
          <t>maiming_strike</t>
        </is>
      </c>
      <c r="T955" t="n">
        <v>4</v>
      </c>
      <c r="U955" t="n">
        <v>4</v>
      </c>
      <c r="V955" t="n">
        <v>7</v>
      </c>
      <c r="W955" t="n">
        <v>10</v>
      </c>
      <c r="X955" t="n">
        <v>11.5</v>
      </c>
      <c r="Y955" t="n">
        <v>13</v>
      </c>
      <c r="Z955" t="n">
        <v>0</v>
      </c>
      <c r="AN955" t="inlineStr">
        <is>
          <t>Melee</t>
        </is>
      </c>
      <c r="AO955" t="n">
        <v>930</v>
      </c>
      <c r="AP955" t="n">
        <v>44919</v>
      </c>
      <c r="AQ955" t="n">
        <v>5</v>
      </c>
      <c r="AS955" t="inlineStr">
        <is>
          <t>Yes</t>
        </is>
      </c>
    </row>
    <row r="956">
      <c r="A956" t="inlineStr">
        <is>
          <t>Mod</t>
        </is>
      </c>
      <c r="B956" t="inlineStr">
        <is>
          <t>Malicious Code</t>
        </is>
      </c>
      <c r="E956" t="inlineStr">
        <is>
          <t>Parazon</t>
        </is>
      </c>
      <c r="G956" t="n">
        <v>1</v>
      </c>
      <c r="H956" t="inlineStr">
        <is>
          <t>Player trade (max rank)</t>
        </is>
      </c>
      <c r="I956" t="inlineStr">
        <is>
          <t>Yes</t>
        </is>
      </c>
      <c r="K956" t="inlineStr">
        <is>
          <t>Collection</t>
        </is>
      </c>
      <c r="L956" t="n">
        <v>8</v>
      </c>
      <c r="M956" t="n">
        <v>9</v>
      </c>
      <c r="N956" t="n">
        <v>11</v>
      </c>
      <c r="O956" t="inlineStr">
        <is>
          <t>2026-10-05 UTC (WFM pull 02:52-04:00)</t>
        </is>
      </c>
      <c r="P956" t="inlineStr">
        <is>
          <t>OK</t>
        </is>
      </c>
      <c r="R956" t="inlineStr">
        <is>
          <t>Every current tradeable mod at MAX RANK (WFM catalogue, rivens/locators excluded)</t>
        </is>
      </c>
      <c r="S956" t="inlineStr">
        <is>
          <t>malicious_code</t>
        </is>
      </c>
      <c r="T956" t="n">
        <v>7</v>
      </c>
      <c r="U956" t="n">
        <v>7</v>
      </c>
      <c r="V956" t="n">
        <v>6</v>
      </c>
      <c r="W956" t="n">
        <v>7</v>
      </c>
      <c r="X956" t="n">
        <v>6.9</v>
      </c>
      <c r="Y956" t="n">
        <v>123</v>
      </c>
      <c r="Z956" t="n">
        <v>4</v>
      </c>
      <c r="AN956" t="inlineStr">
        <is>
          <t>Parazon</t>
        </is>
      </c>
      <c r="AO956" t="n">
        <v>0</v>
      </c>
      <c r="AP956" t="n">
        <v>0</v>
      </c>
      <c r="AS956" t="inlineStr">
        <is>
          <t>Yes</t>
        </is>
      </c>
    </row>
    <row r="957">
      <c r="A957" t="inlineStr">
        <is>
          <t>Mod</t>
        </is>
      </c>
      <c r="B957" t="inlineStr">
        <is>
          <t>Malicious Raptor</t>
        </is>
      </c>
      <c r="E957" t="inlineStr">
        <is>
          <t>Stance</t>
        </is>
      </c>
      <c r="F957" t="n">
        <v>3</v>
      </c>
      <c r="G957" t="n">
        <v>1</v>
      </c>
      <c r="H957" t="inlineStr">
        <is>
          <t>Player trade (max rank)</t>
        </is>
      </c>
      <c r="I957" t="inlineStr">
        <is>
          <t>Yes</t>
        </is>
      </c>
      <c r="K957" t="inlineStr">
        <is>
          <t>Collection</t>
        </is>
      </c>
      <c r="L957" t="n">
        <v>15</v>
      </c>
      <c r="M957" t="n">
        <v>17.2</v>
      </c>
      <c r="N957" t="n">
        <v>38</v>
      </c>
      <c r="O957" t="inlineStr">
        <is>
          <t>2026-10-05 UTC (WFM pull 02:52-04:00)</t>
        </is>
      </c>
      <c r="P957" t="inlineStr">
        <is>
          <t>OK</t>
        </is>
      </c>
      <c r="R957" t="inlineStr">
        <is>
          <t>Every current tradeable mod at MAX RANK (WFM catalogue, rivens/locators excluded)</t>
        </is>
      </c>
      <c r="S957" t="inlineStr">
        <is>
          <t>malicious_raptor</t>
        </is>
      </c>
      <c r="T957" t="n">
        <v>4</v>
      </c>
      <c r="U957" t="n">
        <v>4</v>
      </c>
      <c r="V957" t="n">
        <v>11.5</v>
      </c>
      <c r="W957" t="n">
        <v>19</v>
      </c>
      <c r="X957" t="n">
        <v>17</v>
      </c>
      <c r="Y957" t="n">
        <v>192</v>
      </c>
      <c r="Z957" t="n">
        <v>0</v>
      </c>
      <c r="AN957" t="inlineStr">
        <is>
          <t>Stance</t>
        </is>
      </c>
      <c r="AO957" t="n">
        <v>210</v>
      </c>
      <c r="AP957" t="n">
        <v>10143</v>
      </c>
      <c r="AQ957" t="n">
        <v>9</v>
      </c>
      <c r="AS957" t="inlineStr">
        <is>
          <t>Yes</t>
        </is>
      </c>
    </row>
    <row r="958">
      <c r="A958" t="inlineStr">
        <is>
          <t>Mod</t>
        </is>
      </c>
      <c r="B958" t="inlineStr">
        <is>
          <t>Malignant Force</t>
        </is>
      </c>
      <c r="E958" t="inlineStr">
        <is>
          <t>Rifle</t>
        </is>
      </c>
      <c r="F958" t="n">
        <v>3</v>
      </c>
      <c r="G958" t="n">
        <v>1</v>
      </c>
      <c r="H958" t="inlineStr">
        <is>
          <t>Player trade (max rank)</t>
        </is>
      </c>
      <c r="I958" t="inlineStr">
        <is>
          <t>Yes</t>
        </is>
      </c>
      <c r="K958" t="inlineStr">
        <is>
          <t>Collection</t>
        </is>
      </c>
      <c r="L958" t="n">
        <v>15</v>
      </c>
      <c r="M958" t="n">
        <v>18</v>
      </c>
      <c r="N958" t="n">
        <v>33</v>
      </c>
      <c r="O958" t="inlineStr">
        <is>
          <t>2026-10-05 UTC (WFM pull 02:52-04:00)</t>
        </is>
      </c>
      <c r="P958" t="inlineStr">
        <is>
          <t>OK</t>
        </is>
      </c>
      <c r="R958" t="inlineStr">
        <is>
          <t>Every current tradeable mod at MAX RANK (WFM catalogue, rivens/locators excluded)</t>
        </is>
      </c>
      <c r="S958" t="inlineStr">
        <is>
          <t>malignant_force</t>
        </is>
      </c>
      <c r="T958" t="n">
        <v>9</v>
      </c>
      <c r="U958" t="n">
        <v>9</v>
      </c>
      <c r="V958" t="n">
        <v>12</v>
      </c>
      <c r="W958" t="n">
        <v>12</v>
      </c>
      <c r="X958" t="n">
        <v>12.5</v>
      </c>
      <c r="Y958" t="n">
        <v>1829</v>
      </c>
      <c r="Z958" t="n">
        <v>52</v>
      </c>
      <c r="AN958" t="inlineStr">
        <is>
          <t>Rifle</t>
        </is>
      </c>
      <c r="AO958" t="n">
        <v>210</v>
      </c>
      <c r="AP958" t="n">
        <v>10143</v>
      </c>
      <c r="AQ958" t="n">
        <v>10</v>
      </c>
      <c r="AS958" t="inlineStr">
        <is>
          <t>Yes</t>
        </is>
      </c>
    </row>
    <row r="959">
      <c r="A959" t="inlineStr">
        <is>
          <t>Mod</t>
        </is>
      </c>
      <c r="B959" t="inlineStr">
        <is>
          <t>Manifold Bond</t>
        </is>
      </c>
      <c r="E959" t="inlineStr">
        <is>
          <t>Robotic</t>
        </is>
      </c>
      <c r="F959" t="n">
        <v>5</v>
      </c>
      <c r="G959" t="n">
        <v>1</v>
      </c>
      <c r="H959" t="inlineStr">
        <is>
          <t>Player trade (max rank)</t>
        </is>
      </c>
      <c r="I959" t="inlineStr">
        <is>
          <t>Yes</t>
        </is>
      </c>
      <c r="K959" t="inlineStr">
        <is>
          <t>Collection</t>
        </is>
      </c>
      <c r="L959" t="n">
        <v>19</v>
      </c>
      <c r="M959" t="n">
        <v>20</v>
      </c>
      <c r="N959" t="n">
        <v>22</v>
      </c>
      <c r="O959" t="inlineStr">
        <is>
          <t>2026-10-05 UTC (WFM pull 02:52-04:00)</t>
        </is>
      </c>
      <c r="P959" t="inlineStr">
        <is>
          <t>OK</t>
        </is>
      </c>
      <c r="R959" t="inlineStr">
        <is>
          <t>Every current tradeable mod at MAX RANK (WFM catalogue, rivens/locators excluded)</t>
        </is>
      </c>
      <c r="S959" t="inlineStr">
        <is>
          <t>manifold_bond</t>
        </is>
      </c>
      <c r="T959" t="n">
        <v>17</v>
      </c>
      <c r="U959" t="n">
        <v>17</v>
      </c>
      <c r="V959" t="n">
        <v>19</v>
      </c>
      <c r="W959" t="n">
        <v>19.5</v>
      </c>
      <c r="X959" t="n">
        <v>18.8</v>
      </c>
      <c r="Y959" t="n">
        <v>1321</v>
      </c>
      <c r="Z959" t="n">
        <v>22</v>
      </c>
      <c r="AN959" t="inlineStr">
        <is>
          <t>Robotic</t>
        </is>
      </c>
      <c r="AO959" t="n">
        <v>930</v>
      </c>
      <c r="AP959" t="n">
        <v>44919</v>
      </c>
      <c r="AQ959" t="n">
        <v>15</v>
      </c>
      <c r="AS959" t="inlineStr">
        <is>
          <t>Yes</t>
        </is>
      </c>
    </row>
    <row r="960">
      <c r="A960" t="inlineStr">
        <is>
          <t>Mod</t>
        </is>
      </c>
      <c r="B960" t="inlineStr">
        <is>
          <t>Mark Of The Beast</t>
        </is>
      </c>
      <c r="E960" t="inlineStr">
        <is>
          <t>Thrown Melee</t>
        </is>
      </c>
      <c r="F960" t="n">
        <v>5</v>
      </c>
      <c r="G960" t="n">
        <v>1</v>
      </c>
      <c r="H960" t="inlineStr">
        <is>
          <t>Player trade (max rank)</t>
        </is>
      </c>
      <c r="I960" t="inlineStr">
        <is>
          <t>Yes</t>
        </is>
      </c>
      <c r="K960" t="inlineStr">
        <is>
          <t>Collection</t>
        </is>
      </c>
      <c r="L960" t="n">
        <v>20</v>
      </c>
      <c r="M960" t="n">
        <v>53.2</v>
      </c>
      <c r="N960" t="n">
        <v>118</v>
      </c>
      <c r="O960" t="inlineStr">
        <is>
          <t>2026-10-05 UTC (WFM pull 02:52-04:00)</t>
        </is>
      </c>
      <c r="P960" t="inlineStr">
        <is>
          <t>OK</t>
        </is>
      </c>
      <c r="R960" t="inlineStr">
        <is>
          <t>Every current tradeable mod at MAX RANK (WFM catalogue, rivens/locators excluded)</t>
        </is>
      </c>
      <c r="S960" t="inlineStr">
        <is>
          <t>mark_of_the_beast</t>
        </is>
      </c>
      <c r="T960" t="n">
        <v>4</v>
      </c>
      <c r="U960" t="n">
        <v>4</v>
      </c>
      <c r="V960" t="n">
        <v>35.5</v>
      </c>
      <c r="W960" t="n">
        <v>35</v>
      </c>
      <c r="X960" t="n">
        <v>38.3</v>
      </c>
      <c r="Y960" t="n">
        <v>40</v>
      </c>
      <c r="Z960" t="n">
        <v>1</v>
      </c>
      <c r="AN960" t="inlineStr">
        <is>
          <t>Thrown Melee</t>
        </is>
      </c>
      <c r="AO960" t="n">
        <v>930</v>
      </c>
      <c r="AP960" t="n">
        <v>44919</v>
      </c>
      <c r="AQ960" t="n">
        <v>30</v>
      </c>
      <c r="AS960" t="inlineStr">
        <is>
          <t>Yes</t>
        </is>
      </c>
    </row>
    <row r="961">
      <c r="A961" t="inlineStr">
        <is>
          <t>Mod</t>
        </is>
      </c>
      <c r="B961" t="inlineStr">
        <is>
          <t>Marked Target</t>
        </is>
      </c>
      <c r="E961" t="inlineStr">
        <is>
          <t>Archgun</t>
        </is>
      </c>
      <c r="F961" t="n">
        <v>5</v>
      </c>
      <c r="G961" t="n">
        <v>1</v>
      </c>
      <c r="H961" t="inlineStr">
        <is>
          <t>Player trade (max rank)</t>
        </is>
      </c>
      <c r="I961" t="inlineStr">
        <is>
          <t>Yes</t>
        </is>
      </c>
      <c r="K961" t="inlineStr">
        <is>
          <t>Collection</t>
        </is>
      </c>
      <c r="L961" t="n">
        <v>25</v>
      </c>
      <c r="M961" t="n">
        <v>25</v>
      </c>
      <c r="N961" t="n">
        <v>56</v>
      </c>
      <c r="O961" t="inlineStr">
        <is>
          <t>2026-10-05 UTC (WFM pull 02:52-04:00)</t>
        </is>
      </c>
      <c r="P961" t="inlineStr">
        <is>
          <t>OK</t>
        </is>
      </c>
      <c r="R961" t="inlineStr">
        <is>
          <t>Every current tradeable mod at MAX RANK (WFM catalogue, rivens/locators excluded)</t>
        </is>
      </c>
      <c r="S961" t="inlineStr">
        <is>
          <t>marked_target</t>
        </is>
      </c>
      <c r="T961" t="n">
        <v>3</v>
      </c>
      <c r="U961" t="n">
        <v>3</v>
      </c>
      <c r="V961" t="n">
        <v>15.5</v>
      </c>
      <c r="W961" t="n">
        <v>19</v>
      </c>
      <c r="X961" t="n">
        <v>18.6</v>
      </c>
      <c r="Y961" t="n">
        <v>66</v>
      </c>
      <c r="Z961" t="n">
        <v>0</v>
      </c>
      <c r="AN961" t="inlineStr">
        <is>
          <t>Archgun</t>
        </is>
      </c>
      <c r="AO961" t="n">
        <v>930</v>
      </c>
      <c r="AP961" t="n">
        <v>44919</v>
      </c>
      <c r="AQ961" t="n">
        <v>13</v>
      </c>
      <c r="AS961" t="inlineStr">
        <is>
          <t>Yes</t>
        </is>
      </c>
    </row>
    <row r="962">
      <c r="A962" t="inlineStr">
        <is>
          <t>Mod</t>
        </is>
      </c>
      <c r="B962" t="inlineStr">
        <is>
          <t>Martial Fury</t>
        </is>
      </c>
      <c r="E962" t="inlineStr">
        <is>
          <t>Conclave (PvP)</t>
        </is>
      </c>
      <c r="F962" t="n">
        <v>3</v>
      </c>
      <c r="G962" t="n">
        <v>1</v>
      </c>
      <c r="H962" t="inlineStr">
        <is>
          <t>Player trade (max rank)</t>
        </is>
      </c>
      <c r="I962" t="inlineStr">
        <is>
          <t>Yes</t>
        </is>
      </c>
      <c r="K962" t="inlineStr">
        <is>
          <t>Collection (PvP)</t>
        </is>
      </c>
      <c r="L962" t="n">
        <v>150</v>
      </c>
      <c r="M962" t="n">
        <v>150</v>
      </c>
      <c r="N962" t="n">
        <v>330</v>
      </c>
      <c r="O962" t="inlineStr">
        <is>
          <t>2026-10-05 UTC (WFM pull 02:52-04:00)</t>
        </is>
      </c>
      <c r="P962" t="inlineStr">
        <is>
          <t>OK</t>
        </is>
      </c>
      <c r="R962" t="inlineStr">
        <is>
          <t>Every current tradeable mod at MAX RANK (WFM catalogue, rivens/locators excluded)</t>
        </is>
      </c>
      <c r="S962" t="inlineStr">
        <is>
          <t>martial_fury</t>
        </is>
      </c>
      <c r="T962" t="n">
        <v>4</v>
      </c>
      <c r="U962" t="n">
        <v>0</v>
      </c>
      <c r="W962" t="n">
        <v>30</v>
      </c>
      <c r="X962" t="n">
        <v>30</v>
      </c>
      <c r="Y962" t="n">
        <v>1</v>
      </c>
      <c r="Z962" t="n">
        <v>0</v>
      </c>
      <c r="AN962" t="inlineStr">
        <is>
          <t>Conclave (PvP)</t>
        </is>
      </c>
      <c r="AO962" t="n">
        <v>210</v>
      </c>
      <c r="AP962" t="n">
        <v>10143</v>
      </c>
      <c r="AQ962" t="n">
        <v>50</v>
      </c>
      <c r="AS962" t="inlineStr">
        <is>
          <t>PvP subtotal</t>
        </is>
      </c>
    </row>
    <row r="963">
      <c r="A963" t="inlineStr">
        <is>
          <t>Mod</t>
        </is>
      </c>
      <c r="B963" t="inlineStr">
        <is>
          <t>Martyr Symbiosis</t>
        </is>
      </c>
      <c r="E963" t="inlineStr">
        <is>
          <t>Vulpaphyla</t>
        </is>
      </c>
      <c r="F963" t="n">
        <v>3</v>
      </c>
      <c r="G963" t="n">
        <v>1</v>
      </c>
      <c r="H963" t="inlineStr">
        <is>
          <t>Player trade (max rank)</t>
        </is>
      </c>
      <c r="I963" t="inlineStr">
        <is>
          <t>Yes</t>
        </is>
      </c>
      <c r="K963" t="inlineStr">
        <is>
          <t>Collection</t>
        </is>
      </c>
      <c r="L963" t="n">
        <v>14</v>
      </c>
      <c r="M963" t="n">
        <v>15</v>
      </c>
      <c r="N963" t="n">
        <v>22</v>
      </c>
      <c r="O963" t="inlineStr">
        <is>
          <t>2026-10-05 UTC (WFM pull 02:52-04:00)</t>
        </is>
      </c>
      <c r="P963" t="inlineStr">
        <is>
          <t>OK</t>
        </is>
      </c>
      <c r="R963" t="inlineStr">
        <is>
          <t>Every current tradeable mod at MAX RANK (WFM catalogue, rivens/locators excluded)</t>
        </is>
      </c>
      <c r="S963" t="inlineStr">
        <is>
          <t>martyr_symbiosis</t>
        </is>
      </c>
      <c r="T963" t="n">
        <v>9</v>
      </c>
      <c r="U963" t="n">
        <v>9</v>
      </c>
      <c r="V963" t="n">
        <v>15</v>
      </c>
      <c r="W963" t="n">
        <v>15</v>
      </c>
      <c r="X963" t="n">
        <v>14.9</v>
      </c>
      <c r="Y963" t="n">
        <v>402</v>
      </c>
      <c r="Z963" t="n">
        <v>14</v>
      </c>
      <c r="AN963" t="inlineStr">
        <is>
          <t>Vulpaphyla</t>
        </is>
      </c>
      <c r="AO963" t="n">
        <v>210</v>
      </c>
      <c r="AP963" t="n">
        <v>10143</v>
      </c>
      <c r="AQ963" t="n">
        <v>14.5</v>
      </c>
      <c r="AS963" t="inlineStr">
        <is>
          <t>Yes</t>
        </is>
      </c>
    </row>
    <row r="964">
      <c r="A964" t="inlineStr">
        <is>
          <t>Mod</t>
        </is>
      </c>
      <c r="B964" t="inlineStr">
        <is>
          <t>Master Key</t>
        </is>
      </c>
      <c r="E964" t="inlineStr">
        <is>
          <t>Parazon</t>
        </is>
      </c>
      <c r="G964" t="n">
        <v>1</v>
      </c>
      <c r="H964" t="inlineStr">
        <is>
          <t>Player trade (max rank)</t>
        </is>
      </c>
      <c r="I964" t="inlineStr">
        <is>
          <t>Yes</t>
        </is>
      </c>
      <c r="K964" t="inlineStr">
        <is>
          <t>Collection</t>
        </is>
      </c>
      <c r="L964" t="n">
        <v>5</v>
      </c>
      <c r="M964" t="n">
        <v>5</v>
      </c>
      <c r="N964" t="n">
        <v>11</v>
      </c>
      <c r="O964" t="inlineStr">
        <is>
          <t>2026-10-05 UTC (WFM pull 02:52-04:00)</t>
        </is>
      </c>
      <c r="P964" t="inlineStr">
        <is>
          <t>OK</t>
        </is>
      </c>
      <c r="R964" t="inlineStr">
        <is>
          <t>Every current tradeable mod at MAX RANK (WFM catalogue, rivens/locators excluded)</t>
        </is>
      </c>
      <c r="S964" t="inlineStr">
        <is>
          <t>master_key</t>
        </is>
      </c>
      <c r="T964" t="n">
        <v>8</v>
      </c>
      <c r="U964" t="n">
        <v>8</v>
      </c>
      <c r="V964" t="n">
        <v>3</v>
      </c>
      <c r="W964" t="n">
        <v>4</v>
      </c>
      <c r="X964" t="n">
        <v>3.7</v>
      </c>
      <c r="Y964" t="n">
        <v>26</v>
      </c>
      <c r="Z964" t="n">
        <v>1</v>
      </c>
      <c r="AN964" t="inlineStr">
        <is>
          <t>Parazon</t>
        </is>
      </c>
      <c r="AO964" t="n">
        <v>0</v>
      </c>
      <c r="AP964" t="n">
        <v>0</v>
      </c>
      <c r="AS964" t="inlineStr">
        <is>
          <t>Yes</t>
        </is>
      </c>
    </row>
    <row r="965">
      <c r="A965" t="inlineStr">
        <is>
          <t>Mod</t>
        </is>
      </c>
      <c r="B965" t="inlineStr">
        <is>
          <t>Master Thief</t>
        </is>
      </c>
      <c r="E965" t="inlineStr">
        <is>
          <t>Warframe</t>
        </is>
      </c>
      <c r="F965" t="n">
        <v>3</v>
      </c>
      <c r="G965" t="n">
        <v>1</v>
      </c>
      <c r="H965" t="inlineStr">
        <is>
          <t>Player trade (max rank)</t>
        </is>
      </c>
      <c r="I965" t="inlineStr">
        <is>
          <t>Yes</t>
        </is>
      </c>
      <c r="K965" t="inlineStr">
        <is>
          <t>Collection</t>
        </is>
      </c>
      <c r="L965" t="n">
        <v>3</v>
      </c>
      <c r="M965" t="n">
        <v>3</v>
      </c>
      <c r="N965" t="n">
        <v>5</v>
      </c>
      <c r="O965" t="inlineStr">
        <is>
          <t>2026-10-05 UTC (WFM pull 02:52-04:00)</t>
        </is>
      </c>
      <c r="P965" t="inlineStr">
        <is>
          <t>OK</t>
        </is>
      </c>
      <c r="R965" t="inlineStr">
        <is>
          <t>Every current tradeable mod at MAX RANK (WFM catalogue, rivens/locators excluded)</t>
        </is>
      </c>
      <c r="S965" t="inlineStr">
        <is>
          <t>master_thief</t>
        </is>
      </c>
      <c r="T965" t="n">
        <v>95</v>
      </c>
      <c r="U965" t="n">
        <v>2</v>
      </c>
      <c r="V965" t="n">
        <v>2</v>
      </c>
      <c r="W965" t="n">
        <v>8</v>
      </c>
      <c r="X965" t="n">
        <v>7.4</v>
      </c>
      <c r="Y965" t="n">
        <v>13</v>
      </c>
      <c r="Z965" t="n">
        <v>0</v>
      </c>
      <c r="AN965" t="inlineStr">
        <is>
          <t>Warframe</t>
        </is>
      </c>
      <c r="AO965" t="n">
        <v>210</v>
      </c>
      <c r="AP965" t="n">
        <v>10143</v>
      </c>
      <c r="AQ965" t="n">
        <v>5</v>
      </c>
      <c r="AS965" t="inlineStr">
        <is>
          <t>Yes</t>
        </is>
      </c>
    </row>
    <row r="966">
      <c r="A966" t="inlineStr">
        <is>
          <t>Mod</t>
        </is>
      </c>
      <c r="B966" t="inlineStr">
        <is>
          <t>Master's Edge</t>
        </is>
      </c>
      <c r="E966" t="inlineStr">
        <is>
          <t>Melee</t>
        </is>
      </c>
      <c r="F966" t="n">
        <v>5</v>
      </c>
      <c r="G966" t="n">
        <v>1</v>
      </c>
      <c r="H966" t="inlineStr">
        <is>
          <t>Player trade (max rank)</t>
        </is>
      </c>
      <c r="I966" t="inlineStr">
        <is>
          <t>Yes</t>
        </is>
      </c>
      <c r="K966" t="inlineStr">
        <is>
          <t>Collection</t>
        </is>
      </c>
      <c r="L966" t="n">
        <v>14</v>
      </c>
      <c r="M966" t="n">
        <v>14</v>
      </c>
      <c r="N966" t="n">
        <v>31</v>
      </c>
      <c r="O966" t="inlineStr">
        <is>
          <t>2026-10-05 UTC (WFM pull 02:52-04:00)</t>
        </is>
      </c>
      <c r="P966" t="inlineStr">
        <is>
          <t>OK</t>
        </is>
      </c>
      <c r="R966" t="inlineStr">
        <is>
          <t>Every current tradeable mod at MAX RANK (WFM catalogue, rivens/locators excluded)</t>
        </is>
      </c>
      <c r="S966" t="inlineStr">
        <is>
          <t>masters_edge</t>
        </is>
      </c>
      <c r="T966" t="n">
        <v>6</v>
      </c>
      <c r="U966" t="n">
        <v>6</v>
      </c>
      <c r="V966" t="n">
        <v>9</v>
      </c>
      <c r="W966" t="n">
        <v>9</v>
      </c>
      <c r="X966" t="n">
        <v>8.9</v>
      </c>
      <c r="Y966" t="n">
        <v>73</v>
      </c>
      <c r="Z966" t="n">
        <v>1</v>
      </c>
      <c r="AN966" t="inlineStr">
        <is>
          <t>Melee</t>
        </is>
      </c>
      <c r="AO966" t="n">
        <v>620</v>
      </c>
      <c r="AP966" t="n">
        <v>29946</v>
      </c>
      <c r="AQ966" t="n">
        <v>6.8</v>
      </c>
      <c r="AS966" t="inlineStr">
        <is>
          <t>Yes</t>
        </is>
      </c>
    </row>
    <row r="967">
      <c r="A967" t="inlineStr">
        <is>
          <t>Mod</t>
        </is>
      </c>
      <c r="B967" t="inlineStr">
        <is>
          <t>Maul</t>
        </is>
      </c>
      <c r="E967" t="inlineStr">
        <is>
          <t>Claws</t>
        </is>
      </c>
      <c r="F967" t="n">
        <v>10</v>
      </c>
      <c r="G967" t="n">
        <v>1</v>
      </c>
      <c r="H967" t="inlineStr">
        <is>
          <t>Player trade (max rank)</t>
        </is>
      </c>
      <c r="I967" t="inlineStr">
        <is>
          <t>Yes</t>
        </is>
      </c>
      <c r="K967" t="inlineStr">
        <is>
          <t>Collection</t>
        </is>
      </c>
      <c r="L967" t="n">
        <v>60</v>
      </c>
      <c r="M967" t="n">
        <v>65</v>
      </c>
      <c r="N967" t="n">
        <v>111</v>
      </c>
      <c r="O967" t="inlineStr">
        <is>
          <t>2026-10-05 UTC (WFM pull 02:52-04:00)</t>
        </is>
      </c>
      <c r="P967" t="inlineStr">
        <is>
          <t>OK</t>
        </is>
      </c>
      <c r="R967" t="inlineStr">
        <is>
          <t>Every current tradeable mod at MAX RANK (WFM catalogue, rivens/locators excluded)</t>
        </is>
      </c>
      <c r="S967" t="inlineStr">
        <is>
          <t>maul</t>
        </is>
      </c>
      <c r="T967" t="n">
        <v>9</v>
      </c>
      <c r="U967" t="n">
        <v>9</v>
      </c>
      <c r="V967" t="n">
        <v>55</v>
      </c>
      <c r="W967" t="n">
        <v>55</v>
      </c>
      <c r="X967" t="n">
        <v>56.6</v>
      </c>
      <c r="Y967" t="n">
        <v>756</v>
      </c>
      <c r="Z967" t="n">
        <v>22</v>
      </c>
      <c r="AA967" t="n">
        <v>31</v>
      </c>
      <c r="AB967" t="n">
        <v>29</v>
      </c>
      <c r="AN967" t="inlineStr">
        <is>
          <t>Claws</t>
        </is>
      </c>
      <c r="AO967" t="n">
        <v>20460</v>
      </c>
      <c r="AP967" t="n">
        <v>988218</v>
      </c>
      <c r="AQ967" t="n">
        <v>6</v>
      </c>
      <c r="AS967" t="inlineStr">
        <is>
          <t>Yes</t>
        </is>
      </c>
    </row>
    <row r="968">
      <c r="A968" t="inlineStr">
        <is>
          <t>Mod</t>
        </is>
      </c>
      <c r="B968" t="inlineStr">
        <is>
          <t>Maximum Capacity</t>
        </is>
      </c>
      <c r="E968" t="inlineStr">
        <is>
          <t>Conclave (PvP)</t>
        </is>
      </c>
      <c r="F968" t="n">
        <v>5</v>
      </c>
      <c r="G968" t="n">
        <v>1</v>
      </c>
      <c r="H968" t="inlineStr">
        <is>
          <t>Player trade (max rank)</t>
        </is>
      </c>
      <c r="I968" t="inlineStr">
        <is>
          <t>Yes</t>
        </is>
      </c>
      <c r="K968" t="inlineStr">
        <is>
          <t>Collection (PvP)</t>
        </is>
      </c>
      <c r="L968" t="n">
        <v>15</v>
      </c>
      <c r="M968" t="n">
        <v>22.5</v>
      </c>
      <c r="N968" t="n">
        <v>50</v>
      </c>
      <c r="O968" t="inlineStr">
        <is>
          <t>2026-10-05 UTC (WFM pull 02:52-04:00)</t>
        </is>
      </c>
      <c r="P968" t="inlineStr">
        <is>
          <t>OK</t>
        </is>
      </c>
      <c r="R968" t="inlineStr">
        <is>
          <t>Every current tradeable mod at MAX RANK (WFM catalogue, rivens/locators excluded)</t>
        </is>
      </c>
      <c r="S968" t="inlineStr">
        <is>
          <t>maximum_capacity</t>
        </is>
      </c>
      <c r="T968" t="n">
        <v>4</v>
      </c>
      <c r="U968" t="n">
        <v>0</v>
      </c>
      <c r="W968" t="n">
        <v>15</v>
      </c>
      <c r="X968" t="n">
        <v>15</v>
      </c>
      <c r="Y968" t="n">
        <v>1</v>
      </c>
      <c r="Z968" t="n">
        <v>0</v>
      </c>
      <c r="AN968" t="inlineStr">
        <is>
          <t>Conclave (PvP)</t>
        </is>
      </c>
      <c r="AO968" t="n">
        <v>310</v>
      </c>
      <c r="AP968" t="n">
        <v>14973</v>
      </c>
      <c r="AQ968" t="n">
        <v>15</v>
      </c>
      <c r="AS968" t="inlineStr">
        <is>
          <t>PvP subtotal</t>
        </is>
      </c>
    </row>
    <row r="969">
      <c r="A969" t="inlineStr">
        <is>
          <t>Mod</t>
        </is>
      </c>
      <c r="B969" t="inlineStr">
        <is>
          <t>Measured Burst</t>
        </is>
      </c>
      <c r="E969" t="inlineStr">
        <is>
          <t>Conclave (PvP)</t>
        </is>
      </c>
      <c r="F969" t="n">
        <v>3</v>
      </c>
      <c r="G969" t="n">
        <v>1</v>
      </c>
      <c r="H969" t="inlineStr">
        <is>
          <t>Player trade (max rank)</t>
        </is>
      </c>
      <c r="I969" t="inlineStr">
        <is>
          <t>Yes</t>
        </is>
      </c>
      <c r="K969" t="inlineStr">
        <is>
          <t>Collection (PvP)</t>
        </is>
      </c>
      <c r="L969" t="n">
        <v>15</v>
      </c>
      <c r="M969" t="n">
        <v>25</v>
      </c>
      <c r="N969" t="n">
        <v>39</v>
      </c>
      <c r="O969" t="inlineStr">
        <is>
          <t>2026-10-05 UTC (WFM pull 02:52-04:00)</t>
        </is>
      </c>
      <c r="P969" t="inlineStr">
        <is>
          <t>OK</t>
        </is>
      </c>
      <c r="R969" t="inlineStr">
        <is>
          <t>Every current tradeable mod at MAX RANK (WFM catalogue, rivens/locators excluded)</t>
        </is>
      </c>
      <c r="S969" t="inlineStr">
        <is>
          <t>measured_burst</t>
        </is>
      </c>
      <c r="T969" t="n">
        <v>13</v>
      </c>
      <c r="U969" t="n">
        <v>0</v>
      </c>
      <c r="Y969" t="n">
        <v>0</v>
      </c>
      <c r="Z969" t="n">
        <v>0</v>
      </c>
      <c r="AN969" t="inlineStr">
        <is>
          <t>Conclave (PvP)</t>
        </is>
      </c>
      <c r="AO969" t="n">
        <v>210</v>
      </c>
      <c r="AP969" t="n">
        <v>10143</v>
      </c>
      <c r="AQ969" t="n">
        <v>10</v>
      </c>
      <c r="AS969" t="inlineStr">
        <is>
          <t>PvP subtotal</t>
        </is>
      </c>
    </row>
    <row r="970">
      <c r="A970" t="inlineStr">
        <is>
          <t>Mod</t>
        </is>
      </c>
      <c r="B970" t="inlineStr">
        <is>
          <t>Mecha Empowered</t>
        </is>
      </c>
      <c r="E970" t="inlineStr">
        <is>
          <t>Aura</t>
        </is>
      </c>
      <c r="F970" t="n">
        <v>5</v>
      </c>
      <c r="G970" t="n">
        <v>1</v>
      </c>
      <c r="H970" t="inlineStr">
        <is>
          <t>Player trade (max rank)</t>
        </is>
      </c>
      <c r="I970" t="inlineStr">
        <is>
          <t>Yes</t>
        </is>
      </c>
      <c r="K970" t="inlineStr">
        <is>
          <t>Collection</t>
        </is>
      </c>
      <c r="L970" t="n">
        <v>24</v>
      </c>
      <c r="M970" t="n">
        <v>25</v>
      </c>
      <c r="N970" t="n">
        <v>41</v>
      </c>
      <c r="O970" t="inlineStr">
        <is>
          <t>2026-10-05 UTC (WFM pull 02:52-04:00)</t>
        </is>
      </c>
      <c r="P970" t="inlineStr">
        <is>
          <t>OK</t>
        </is>
      </c>
      <c r="R970" t="inlineStr">
        <is>
          <t>Every current tradeable mod at MAX RANK (WFM catalogue, rivens/locators excluded)</t>
        </is>
      </c>
      <c r="S970" t="inlineStr">
        <is>
          <t>mecha_empowered</t>
        </is>
      </c>
      <c r="T970" t="n">
        <v>7</v>
      </c>
      <c r="U970" t="n">
        <v>7</v>
      </c>
      <c r="V970" t="n">
        <v>20</v>
      </c>
      <c r="W970" t="n">
        <v>20</v>
      </c>
      <c r="X970" t="n">
        <v>19.5</v>
      </c>
      <c r="Y970" t="n">
        <v>693</v>
      </c>
      <c r="Z970" t="n">
        <v>16</v>
      </c>
      <c r="AN970" t="inlineStr">
        <is>
          <t>Aura</t>
        </is>
      </c>
      <c r="AO970" t="n">
        <v>930</v>
      </c>
      <c r="AP970" t="n">
        <v>44919</v>
      </c>
      <c r="AQ970" t="n">
        <v>20</v>
      </c>
      <c r="AS970" t="inlineStr">
        <is>
          <t>Yes</t>
        </is>
      </c>
    </row>
    <row r="971">
      <c r="A971" t="inlineStr">
        <is>
          <t>Mod</t>
        </is>
      </c>
      <c r="B971" t="inlineStr">
        <is>
          <t>Mecha Overdrive</t>
        </is>
      </c>
      <c r="E971" t="inlineStr">
        <is>
          <t>Kubrow Claws</t>
        </is>
      </c>
      <c r="F971" t="n">
        <v>5</v>
      </c>
      <c r="G971" t="n">
        <v>1</v>
      </c>
      <c r="H971" t="inlineStr">
        <is>
          <t>Player trade (max rank)</t>
        </is>
      </c>
      <c r="I971" t="inlineStr">
        <is>
          <t>Yes</t>
        </is>
      </c>
      <c r="K971" t="inlineStr">
        <is>
          <t>Collection</t>
        </is>
      </c>
      <c r="L971" t="n">
        <v>35</v>
      </c>
      <c r="M971" t="n">
        <v>39</v>
      </c>
      <c r="N971" t="n">
        <v>56</v>
      </c>
      <c r="O971" t="inlineStr">
        <is>
          <t>2026-10-05 UTC (WFM pull 02:52-04:00)</t>
        </is>
      </c>
      <c r="P971" t="inlineStr">
        <is>
          <t>OK</t>
        </is>
      </c>
      <c r="R971" t="inlineStr">
        <is>
          <t>Every current tradeable mod at MAX RANK (WFM catalogue, rivens/locators excluded)</t>
        </is>
      </c>
      <c r="S971" t="inlineStr">
        <is>
          <t>mecha_overdrive</t>
        </is>
      </c>
      <c r="T971" t="n">
        <v>8</v>
      </c>
      <c r="U971" t="n">
        <v>8</v>
      </c>
      <c r="V971" t="n">
        <v>27</v>
      </c>
      <c r="W971" t="n">
        <v>25</v>
      </c>
      <c r="X971" t="n">
        <v>24.8</v>
      </c>
      <c r="Y971" t="n">
        <v>857</v>
      </c>
      <c r="Z971" t="n">
        <v>32</v>
      </c>
      <c r="AA971" t="n">
        <v>12</v>
      </c>
      <c r="AB971" t="n">
        <v>23</v>
      </c>
      <c r="AN971" t="inlineStr">
        <is>
          <t>Kubrow Claws</t>
        </is>
      </c>
      <c r="AO971" t="n">
        <v>930</v>
      </c>
      <c r="AP971" t="n">
        <v>44919</v>
      </c>
      <c r="AQ971" t="n">
        <v>29.2</v>
      </c>
      <c r="AS971" t="inlineStr">
        <is>
          <t>Yes</t>
        </is>
      </c>
    </row>
    <row r="972">
      <c r="A972" t="inlineStr">
        <is>
          <t>Mod</t>
        </is>
      </c>
      <c r="B972" t="inlineStr">
        <is>
          <t>Mecha Pulse</t>
        </is>
      </c>
      <c r="E972" t="inlineStr">
        <is>
          <t>Warframe</t>
        </is>
      </c>
      <c r="F972" t="n">
        <v>3</v>
      </c>
      <c r="G972" t="n">
        <v>1</v>
      </c>
      <c r="H972" t="inlineStr">
        <is>
          <t>Player trade (max rank)</t>
        </is>
      </c>
      <c r="I972" t="inlineStr">
        <is>
          <t>Yes</t>
        </is>
      </c>
      <c r="K972" t="inlineStr">
        <is>
          <t>Collection</t>
        </is>
      </c>
      <c r="L972" t="n">
        <v>13</v>
      </c>
      <c r="M972" t="n">
        <v>14</v>
      </c>
      <c r="N972" t="n">
        <v>31</v>
      </c>
      <c r="O972" t="inlineStr">
        <is>
          <t>2026-10-05 UTC (WFM pull 02:52-04:00)</t>
        </is>
      </c>
      <c r="P972" t="inlineStr">
        <is>
          <t>OK</t>
        </is>
      </c>
      <c r="R972" t="inlineStr">
        <is>
          <t>Every current tradeable mod at MAX RANK (WFM catalogue, rivens/locators excluded)</t>
        </is>
      </c>
      <c r="S972" t="inlineStr">
        <is>
          <t>mecha_pulse</t>
        </is>
      </c>
      <c r="T972" t="n">
        <v>6</v>
      </c>
      <c r="U972" t="n">
        <v>6</v>
      </c>
      <c r="V972" t="n">
        <v>10</v>
      </c>
      <c r="W972" t="n">
        <v>10</v>
      </c>
      <c r="X972" t="n">
        <v>10.1</v>
      </c>
      <c r="Y972" t="n">
        <v>306</v>
      </c>
      <c r="Z972" t="n">
        <v>11</v>
      </c>
      <c r="AN972" t="inlineStr">
        <is>
          <t>Warframe</t>
        </is>
      </c>
      <c r="AO972" t="n">
        <v>210</v>
      </c>
      <c r="AP972" t="n">
        <v>10143</v>
      </c>
      <c r="AQ972" t="n">
        <v>5</v>
      </c>
      <c r="AS972" t="inlineStr">
        <is>
          <t>Yes</t>
        </is>
      </c>
    </row>
    <row r="973">
      <c r="A973" t="inlineStr">
        <is>
          <t>Mod</t>
        </is>
      </c>
      <c r="B973" t="inlineStr">
        <is>
          <t>Mecha Recharge</t>
        </is>
      </c>
      <c r="E973" t="inlineStr">
        <is>
          <t>Kubrow</t>
        </is>
      </c>
      <c r="F973" t="n">
        <v>5</v>
      </c>
      <c r="G973" t="n">
        <v>1</v>
      </c>
      <c r="H973" t="inlineStr">
        <is>
          <t>Player trade (max rank)</t>
        </is>
      </c>
      <c r="I973" t="inlineStr">
        <is>
          <t>Yes</t>
        </is>
      </c>
      <c r="K973" t="inlineStr">
        <is>
          <t>Collection</t>
        </is>
      </c>
      <c r="L973" t="n">
        <v>37</v>
      </c>
      <c r="M973" t="n">
        <v>43.5</v>
      </c>
      <c r="N973" t="n">
        <v>96</v>
      </c>
      <c r="O973" t="inlineStr">
        <is>
          <t>2026-10-05 UTC (WFM pull 02:52-04:00)</t>
        </is>
      </c>
      <c r="P973" t="inlineStr">
        <is>
          <t>OK</t>
        </is>
      </c>
      <c r="R973" t="inlineStr">
        <is>
          <t>Every current tradeable mod at MAX RANK (WFM catalogue, rivens/locators excluded)</t>
        </is>
      </c>
      <c r="S973" t="inlineStr">
        <is>
          <t>mecha_recharge</t>
        </is>
      </c>
      <c r="T973" t="n">
        <v>5</v>
      </c>
      <c r="U973" t="n">
        <v>5</v>
      </c>
      <c r="V973" t="n">
        <v>29</v>
      </c>
      <c r="W973" t="n">
        <v>25</v>
      </c>
      <c r="X973" t="n">
        <v>25.4</v>
      </c>
      <c r="Y973" t="n">
        <v>820</v>
      </c>
      <c r="Z973" t="n">
        <v>19</v>
      </c>
      <c r="AA973" t="n">
        <v>15</v>
      </c>
      <c r="AB973" t="n">
        <v>22</v>
      </c>
      <c r="AN973" t="inlineStr">
        <is>
          <t>Kubrow</t>
        </is>
      </c>
      <c r="AO973" t="n">
        <v>930</v>
      </c>
      <c r="AP973" t="n">
        <v>44919</v>
      </c>
      <c r="AQ973" t="n">
        <v>28.5</v>
      </c>
      <c r="AS973" t="inlineStr">
        <is>
          <t>Yes</t>
        </is>
      </c>
    </row>
    <row r="974">
      <c r="A974" t="inlineStr">
        <is>
          <t>Mod</t>
        </is>
      </c>
      <c r="B974" t="inlineStr">
        <is>
          <t>Medi-Pet Kit</t>
        </is>
      </c>
      <c r="E974" t="inlineStr">
        <is>
          <t>Companion</t>
        </is>
      </c>
      <c r="F974" t="n">
        <v>5</v>
      </c>
      <c r="G974" t="n">
        <v>1</v>
      </c>
      <c r="H974" t="inlineStr">
        <is>
          <t>Player trade (max rank)</t>
        </is>
      </c>
      <c r="I974" t="inlineStr">
        <is>
          <t>Yes</t>
        </is>
      </c>
      <c r="K974" t="inlineStr">
        <is>
          <t>Collection</t>
        </is>
      </c>
      <c r="L974" t="n">
        <v>8</v>
      </c>
      <c r="M974" t="n">
        <v>13.5</v>
      </c>
      <c r="N974" t="n">
        <v>30</v>
      </c>
      <c r="O974" t="inlineStr">
        <is>
          <t>2026-10-05 UTC (WFM pull 02:52-04:00)</t>
        </is>
      </c>
      <c r="P974" t="inlineStr">
        <is>
          <t>OK</t>
        </is>
      </c>
      <c r="R974" t="inlineStr">
        <is>
          <t>Every current tradeable mod at MAX RANK (WFM catalogue, rivens/locators excluded)</t>
        </is>
      </c>
      <c r="S974" t="inlineStr">
        <is>
          <t>medi_pet_kit</t>
        </is>
      </c>
      <c r="T974" t="n">
        <v>4</v>
      </c>
      <c r="U974" t="n">
        <v>4</v>
      </c>
      <c r="V974" t="n">
        <v>9</v>
      </c>
      <c r="W974" t="n">
        <v>7.5</v>
      </c>
      <c r="X974" t="n">
        <v>7.9</v>
      </c>
      <c r="Y974" t="n">
        <v>34</v>
      </c>
      <c r="Z974" t="n">
        <v>1</v>
      </c>
      <c r="AN974" t="inlineStr">
        <is>
          <t>Companion</t>
        </is>
      </c>
      <c r="AO974" t="n">
        <v>930</v>
      </c>
      <c r="AP974" t="n">
        <v>44919</v>
      </c>
      <c r="AQ974" t="n">
        <v>3</v>
      </c>
      <c r="AS974" t="inlineStr">
        <is>
          <t>Yes</t>
        </is>
      </c>
    </row>
    <row r="975">
      <c r="A975" t="inlineStr">
        <is>
          <t>Mod</t>
        </is>
      </c>
      <c r="B975" t="inlineStr">
        <is>
          <t>Medi-Ray</t>
        </is>
      </c>
      <c r="E975" t="inlineStr">
        <is>
          <t>Augment Robotic</t>
        </is>
      </c>
      <c r="F975" t="n">
        <v>5</v>
      </c>
      <c r="G975" t="n">
        <v>1</v>
      </c>
      <c r="H975" t="inlineStr">
        <is>
          <t>Player trade (max rank)</t>
        </is>
      </c>
      <c r="I975" t="inlineStr">
        <is>
          <t>Yes</t>
        </is>
      </c>
      <c r="K975" t="inlineStr">
        <is>
          <t>Collection</t>
        </is>
      </c>
      <c r="L975" t="n">
        <v>30</v>
      </c>
      <c r="M975" t="n">
        <v>30</v>
      </c>
      <c r="N975" t="n">
        <v>66</v>
      </c>
      <c r="O975" t="inlineStr">
        <is>
          <t>2026-10-05 UTC (WFM pull 02:52-04:00)</t>
        </is>
      </c>
      <c r="P975" t="inlineStr">
        <is>
          <t>OK</t>
        </is>
      </c>
      <c r="R975" t="inlineStr">
        <is>
          <t>Every current tradeable mod at MAX RANK (WFM catalogue, rivens/locators excluded)</t>
        </is>
      </c>
      <c r="S975" t="inlineStr">
        <is>
          <t>medi_ray</t>
        </is>
      </c>
      <c r="T975" t="n">
        <v>3</v>
      </c>
      <c r="U975" t="n">
        <v>3</v>
      </c>
      <c r="V975" t="n">
        <v>19.5</v>
      </c>
      <c r="W975" t="n">
        <v>17</v>
      </c>
      <c r="X975" t="n">
        <v>18.1</v>
      </c>
      <c r="Y975" t="n">
        <v>36</v>
      </c>
      <c r="Z975" t="n">
        <v>2</v>
      </c>
      <c r="AN975" t="inlineStr">
        <is>
          <t>Augment Robotic</t>
        </is>
      </c>
      <c r="AO975" t="n">
        <v>620</v>
      </c>
      <c r="AP975" t="n">
        <v>29946</v>
      </c>
      <c r="AQ975" t="n">
        <v>10</v>
      </c>
      <c r="AS975" t="inlineStr">
        <is>
          <t>Yes</t>
        </is>
      </c>
    </row>
    <row r="976">
      <c r="A976" t="inlineStr">
        <is>
          <t>Mod</t>
        </is>
      </c>
      <c r="B976" t="inlineStr">
        <is>
          <t>Melee Elementalist</t>
        </is>
      </c>
      <c r="E976" t="inlineStr">
        <is>
          <t>Melee</t>
        </is>
      </c>
      <c r="F976" t="n">
        <v>5</v>
      </c>
      <c r="G976" t="n">
        <v>1</v>
      </c>
      <c r="H976" t="inlineStr">
        <is>
          <t>Player trade (max rank)</t>
        </is>
      </c>
      <c r="I976" t="inlineStr">
        <is>
          <t>Yes</t>
        </is>
      </c>
      <c r="K976" t="inlineStr">
        <is>
          <t>Collection</t>
        </is>
      </c>
      <c r="L976" t="n">
        <v>10</v>
      </c>
      <c r="M976" t="n">
        <v>10</v>
      </c>
      <c r="N976" t="n">
        <v>14</v>
      </c>
      <c r="O976" t="inlineStr">
        <is>
          <t>2026-10-05 UTC (WFM pull 02:52-04:00)</t>
        </is>
      </c>
      <c r="P976" t="inlineStr">
        <is>
          <t>OK</t>
        </is>
      </c>
      <c r="R976" t="inlineStr">
        <is>
          <t>Every current tradeable mod at MAX RANK (WFM catalogue, rivens/locators excluded)</t>
        </is>
      </c>
      <c r="S976" t="inlineStr">
        <is>
          <t>melee_elementalist</t>
        </is>
      </c>
      <c r="T976" t="n">
        <v>16</v>
      </c>
      <c r="U976" t="n">
        <v>16</v>
      </c>
      <c r="V976" t="n">
        <v>10</v>
      </c>
      <c r="W976" t="n">
        <v>11.5</v>
      </c>
      <c r="X976" t="n">
        <v>11.5</v>
      </c>
      <c r="Y976" t="n">
        <v>675</v>
      </c>
      <c r="Z976" t="n">
        <v>14</v>
      </c>
      <c r="AA976" t="n">
        <v>3</v>
      </c>
      <c r="AB976" t="n">
        <v>7</v>
      </c>
      <c r="AN976" t="inlineStr">
        <is>
          <t>Melee</t>
        </is>
      </c>
      <c r="AO976" t="n">
        <v>620</v>
      </c>
      <c r="AP976" t="n">
        <v>29946</v>
      </c>
      <c r="AQ976" t="n">
        <v>6</v>
      </c>
      <c r="AS976" t="inlineStr">
        <is>
          <t>Yes</t>
        </is>
      </c>
    </row>
    <row r="977">
      <c r="A977" t="inlineStr">
        <is>
          <t>Mod</t>
        </is>
      </c>
      <c r="B977" t="inlineStr">
        <is>
          <t>Melee Guidance</t>
        </is>
      </c>
      <c r="E977" t="inlineStr">
        <is>
          <t>Aura</t>
        </is>
      </c>
      <c r="F977" t="n">
        <v>5</v>
      </c>
      <c r="G977" t="n">
        <v>1</v>
      </c>
      <c r="H977" t="inlineStr">
        <is>
          <t>Player trade (max rank)</t>
        </is>
      </c>
      <c r="I977" t="inlineStr">
        <is>
          <t>Yes</t>
        </is>
      </c>
      <c r="K977" t="inlineStr">
        <is>
          <t>Collection</t>
        </is>
      </c>
      <c r="L977" t="n">
        <v>9</v>
      </c>
      <c r="M977" t="n">
        <v>10</v>
      </c>
      <c r="N977" t="n">
        <v>22</v>
      </c>
      <c r="O977" t="inlineStr">
        <is>
          <t>2026-10-05 UTC (WFM pull 02:52-04:00)</t>
        </is>
      </c>
      <c r="P977" t="inlineStr">
        <is>
          <t>OK</t>
        </is>
      </c>
      <c r="R977" t="inlineStr">
        <is>
          <t>Every current tradeable mod at MAX RANK (WFM catalogue, rivens/locators excluded)</t>
        </is>
      </c>
      <c r="S977" t="inlineStr">
        <is>
          <t>melee_guidance</t>
        </is>
      </c>
      <c r="T977" t="n">
        <v>6</v>
      </c>
      <c r="U977" t="n">
        <v>6</v>
      </c>
      <c r="V977" t="n">
        <v>10</v>
      </c>
      <c r="W977" t="n">
        <v>10</v>
      </c>
      <c r="X977" t="n">
        <v>13.7</v>
      </c>
      <c r="Y977" t="n">
        <v>22</v>
      </c>
      <c r="Z977" t="n">
        <v>0</v>
      </c>
      <c r="AN977" t="inlineStr">
        <is>
          <t>Aura</t>
        </is>
      </c>
      <c r="AO977" t="n">
        <v>930</v>
      </c>
      <c r="AP977" t="n">
        <v>44919</v>
      </c>
      <c r="AQ977" t="n">
        <v>3</v>
      </c>
      <c r="AS977" t="inlineStr">
        <is>
          <t>Yes</t>
        </is>
      </c>
    </row>
    <row r="978">
      <c r="A978" t="inlineStr">
        <is>
          <t>Mod</t>
        </is>
      </c>
      <c r="B978" t="inlineStr">
        <is>
          <t>Melee Prowess</t>
        </is>
      </c>
      <c r="E978" t="inlineStr">
        <is>
          <t>Melee</t>
        </is>
      </c>
      <c r="F978" t="n">
        <v>5</v>
      </c>
      <c r="G978" t="n">
        <v>1</v>
      </c>
      <c r="H978" t="inlineStr">
        <is>
          <t>Player trade (max rank)</t>
        </is>
      </c>
      <c r="I978" t="inlineStr">
        <is>
          <t>Yes</t>
        </is>
      </c>
      <c r="K978" t="inlineStr">
        <is>
          <t>Collection</t>
        </is>
      </c>
      <c r="L978" t="n">
        <v>10</v>
      </c>
      <c r="M978" t="n">
        <v>10.5</v>
      </c>
      <c r="N978" t="n">
        <v>24</v>
      </c>
      <c r="O978" t="inlineStr">
        <is>
          <t>2026-10-05 UTC (WFM pull 02:52-04:00)</t>
        </is>
      </c>
      <c r="P978" t="inlineStr">
        <is>
          <t>OK</t>
        </is>
      </c>
      <c r="R978" t="inlineStr">
        <is>
          <t>Every current tradeable mod at MAX RANK (WFM catalogue, rivens/locators excluded)</t>
        </is>
      </c>
      <c r="S978" t="inlineStr">
        <is>
          <t>melee_prowess</t>
        </is>
      </c>
      <c r="T978" t="n">
        <v>3</v>
      </c>
      <c r="U978" t="n">
        <v>3</v>
      </c>
      <c r="V978" t="n">
        <v>7</v>
      </c>
      <c r="W978" t="n">
        <v>8</v>
      </c>
      <c r="X978" t="n">
        <v>8.5</v>
      </c>
      <c r="Y978" t="n">
        <v>12</v>
      </c>
      <c r="Z978" t="n">
        <v>0</v>
      </c>
      <c r="AN978" t="inlineStr">
        <is>
          <t>Melee</t>
        </is>
      </c>
      <c r="AO978" t="n">
        <v>310</v>
      </c>
      <c r="AP978" t="n">
        <v>14973</v>
      </c>
      <c r="AQ978" t="n">
        <v>1</v>
      </c>
      <c r="AS978" t="inlineStr">
        <is>
          <t>Yes</t>
        </is>
      </c>
    </row>
    <row r="979">
      <c r="A979" t="inlineStr">
        <is>
          <t>Mod</t>
        </is>
      </c>
      <c r="B979" t="inlineStr">
        <is>
          <t>Mending Shot</t>
        </is>
      </c>
      <c r="E979" t="inlineStr">
        <is>
          <t>Rifle (No AoE)</t>
        </is>
      </c>
      <c r="F979" t="n">
        <v>10</v>
      </c>
      <c r="G979" t="n">
        <v>1</v>
      </c>
      <c r="H979" t="inlineStr">
        <is>
          <t>Player trade (max rank)</t>
        </is>
      </c>
      <c r="I979" t="inlineStr">
        <is>
          <t>Yes</t>
        </is>
      </c>
      <c r="K979" t="inlineStr">
        <is>
          <t>Collection</t>
        </is>
      </c>
      <c r="L979" t="n">
        <v>85</v>
      </c>
      <c r="M979" t="n">
        <v>90</v>
      </c>
      <c r="N979" t="n">
        <v>164</v>
      </c>
      <c r="O979" t="inlineStr">
        <is>
          <t>2026-10-05 UTC (WFM pull 02:52-04:00)</t>
        </is>
      </c>
      <c r="P979" t="inlineStr">
        <is>
          <t>OK</t>
        </is>
      </c>
      <c r="R979" t="inlineStr">
        <is>
          <t>Every current tradeable mod at MAX RANK (WFM catalogue, rivens/locators excluded)</t>
        </is>
      </c>
      <c r="S979" t="inlineStr">
        <is>
          <t>mending_shot</t>
        </is>
      </c>
      <c r="T979" t="n">
        <v>6</v>
      </c>
      <c r="U979" t="n">
        <v>6</v>
      </c>
      <c r="V979" t="n">
        <v>80</v>
      </c>
      <c r="W979" t="n">
        <v>80</v>
      </c>
      <c r="X979" t="n">
        <v>74.59999999999999</v>
      </c>
      <c r="Y979" t="n">
        <v>19</v>
      </c>
      <c r="Z979" t="n">
        <v>0</v>
      </c>
      <c r="AN979" t="inlineStr">
        <is>
          <t>Rifle (No AoE)</t>
        </is>
      </c>
      <c r="AO979" t="n">
        <v>30690</v>
      </c>
      <c r="AP979" t="n">
        <v>1482327</v>
      </c>
      <c r="AQ979" t="n">
        <v>17</v>
      </c>
      <c r="AS979" t="inlineStr">
        <is>
          <t>Yes</t>
        </is>
      </c>
    </row>
    <row r="980">
      <c r="A980" t="inlineStr">
        <is>
          <t>Mod</t>
        </is>
      </c>
      <c r="B980" t="inlineStr">
        <is>
          <t>Mending Splinters</t>
        </is>
      </c>
      <c r="E980" t="inlineStr">
        <is>
          <t>Augment Gara</t>
        </is>
      </c>
      <c r="F980" t="n">
        <v>3</v>
      </c>
      <c r="G980" t="n">
        <v>1</v>
      </c>
      <c r="H980" t="inlineStr">
        <is>
          <t>Player trade (max rank)</t>
        </is>
      </c>
      <c r="I980" t="inlineStr">
        <is>
          <t>Yes</t>
        </is>
      </c>
      <c r="K980" t="inlineStr">
        <is>
          <t>Collection</t>
        </is>
      </c>
      <c r="L980" t="n">
        <v>20</v>
      </c>
      <c r="M980" t="n">
        <v>20</v>
      </c>
      <c r="N980" t="n">
        <v>44</v>
      </c>
      <c r="O980" t="inlineStr">
        <is>
          <t>2026-10-05 UTC (WFM pull 02:52-04:00)</t>
        </is>
      </c>
      <c r="P980" t="inlineStr">
        <is>
          <t>OK</t>
        </is>
      </c>
      <c r="R980" t="inlineStr">
        <is>
          <t>Every current tradeable mod at MAX RANK (WFM catalogue, rivens/locators excluded)</t>
        </is>
      </c>
      <c r="S980" t="inlineStr">
        <is>
          <t>mending_splinters</t>
        </is>
      </c>
      <c r="T980" t="n">
        <v>4</v>
      </c>
      <c r="U980" t="n">
        <v>4</v>
      </c>
      <c r="V980" t="n">
        <v>12</v>
      </c>
      <c r="W980" t="n">
        <v>15</v>
      </c>
      <c r="X980" t="n">
        <v>14.9</v>
      </c>
      <c r="Y980" t="n">
        <v>48</v>
      </c>
      <c r="Z980" t="n">
        <v>1</v>
      </c>
      <c r="AN980" t="inlineStr">
        <is>
          <t>Augment Gara</t>
        </is>
      </c>
      <c r="AO980" t="n">
        <v>210</v>
      </c>
      <c r="AP980" t="n">
        <v>10143</v>
      </c>
      <c r="AQ980" t="n">
        <v>21</v>
      </c>
      <c r="AS980" t="inlineStr">
        <is>
          <t>Yes</t>
        </is>
      </c>
    </row>
    <row r="981">
      <c r="A981" t="inlineStr">
        <is>
          <t>Mod</t>
        </is>
      </c>
      <c r="B981" t="inlineStr">
        <is>
          <t>Merciless Gunfight</t>
        </is>
      </c>
      <c r="E981" t="inlineStr">
        <is>
          <t>Pistol</t>
        </is>
      </c>
      <c r="F981" t="n">
        <v>5</v>
      </c>
      <c r="G981" t="n">
        <v>1</v>
      </c>
      <c r="H981" t="inlineStr">
        <is>
          <t>Player trade (max rank)</t>
        </is>
      </c>
      <c r="I981" t="inlineStr">
        <is>
          <t>Yes</t>
        </is>
      </c>
      <c r="K981" t="inlineStr">
        <is>
          <t>Collection</t>
        </is>
      </c>
      <c r="L981" t="n">
        <v>15</v>
      </c>
      <c r="M981" t="n">
        <v>25</v>
      </c>
      <c r="N981" t="n">
        <v>28</v>
      </c>
      <c r="O981" t="inlineStr">
        <is>
          <t>2026-10-05 UTC (WFM pull 02:52-04:00)</t>
        </is>
      </c>
      <c r="P981" t="inlineStr">
        <is>
          <t>OK</t>
        </is>
      </c>
      <c r="R981" t="inlineStr">
        <is>
          <t>Every current tradeable mod at MAX RANK (WFM catalogue, rivens/locators excluded)</t>
        </is>
      </c>
      <c r="S981" t="inlineStr">
        <is>
          <t>merciless_gunfight</t>
        </is>
      </c>
      <c r="T981" t="n">
        <v>7</v>
      </c>
      <c r="U981" t="n">
        <v>7</v>
      </c>
      <c r="V981" t="n">
        <v>20</v>
      </c>
      <c r="W981" t="n">
        <v>19.5</v>
      </c>
      <c r="X981" t="n">
        <v>18.5</v>
      </c>
      <c r="Y981" t="n">
        <v>1222</v>
      </c>
      <c r="Z981" t="n">
        <v>14</v>
      </c>
      <c r="AN981" t="inlineStr">
        <is>
          <t>Pistol</t>
        </is>
      </c>
      <c r="AO981" t="n">
        <v>930</v>
      </c>
      <c r="AP981" t="n">
        <v>44919</v>
      </c>
      <c r="AQ981" t="n">
        <v>14</v>
      </c>
      <c r="AS981" t="inlineStr">
        <is>
          <t>Yes</t>
        </is>
      </c>
    </row>
    <row r="982">
      <c r="A982" t="inlineStr">
        <is>
          <t>Mod</t>
        </is>
      </c>
      <c r="B982" t="inlineStr">
        <is>
          <t>Merulina Guardian</t>
        </is>
      </c>
      <c r="E982" t="inlineStr">
        <is>
          <t>Augment Yareli</t>
        </is>
      </c>
      <c r="F982" t="n">
        <v>3</v>
      </c>
      <c r="G982" t="n">
        <v>1</v>
      </c>
      <c r="H982" t="inlineStr">
        <is>
          <t>Player trade (max rank)</t>
        </is>
      </c>
      <c r="I982" t="inlineStr">
        <is>
          <t>Yes</t>
        </is>
      </c>
      <c r="K982" t="inlineStr">
        <is>
          <t>Collection</t>
        </is>
      </c>
      <c r="L982" t="n">
        <v>30</v>
      </c>
      <c r="M982" t="n">
        <v>30</v>
      </c>
      <c r="N982" t="n">
        <v>66</v>
      </c>
      <c r="O982" t="inlineStr">
        <is>
          <t>2026-10-05 UTC (WFM pull 02:52-04:00)</t>
        </is>
      </c>
      <c r="P982" t="inlineStr">
        <is>
          <t>OK</t>
        </is>
      </c>
      <c r="R982" t="inlineStr">
        <is>
          <t>Every current tradeable mod at MAX RANK (WFM catalogue, rivens/locators excluded)</t>
        </is>
      </c>
      <c r="S982" t="inlineStr">
        <is>
          <t>merulina_guardian</t>
        </is>
      </c>
      <c r="T982" t="n">
        <v>4</v>
      </c>
      <c r="U982" t="n">
        <v>4</v>
      </c>
      <c r="V982" t="n">
        <v>15.5</v>
      </c>
      <c r="W982" t="n">
        <v>16</v>
      </c>
      <c r="X982" t="n">
        <v>15.9</v>
      </c>
      <c r="Y982" t="n">
        <v>159</v>
      </c>
      <c r="Z982" t="n">
        <v>7</v>
      </c>
      <c r="AN982" t="inlineStr">
        <is>
          <t>Augment Yareli</t>
        </is>
      </c>
      <c r="AO982" t="n">
        <v>210</v>
      </c>
      <c r="AP982" t="n">
        <v>10143</v>
      </c>
      <c r="AQ982" t="n">
        <v>14.5</v>
      </c>
      <c r="AS982" t="inlineStr">
        <is>
          <t>Yes</t>
        </is>
      </c>
    </row>
    <row r="983">
      <c r="A983" t="inlineStr">
        <is>
          <t>Mod</t>
        </is>
      </c>
      <c r="B983" t="inlineStr">
        <is>
          <t>Mesa's Waltz</t>
        </is>
      </c>
      <c r="E983" t="inlineStr">
        <is>
          <t>Augment Mesa</t>
        </is>
      </c>
      <c r="F983" t="n">
        <v>3</v>
      </c>
      <c r="G983" t="n">
        <v>1</v>
      </c>
      <c r="H983" t="inlineStr">
        <is>
          <t>Player trade (max rank)</t>
        </is>
      </c>
      <c r="I983" t="inlineStr">
        <is>
          <t>Yes</t>
        </is>
      </c>
      <c r="K983" t="inlineStr">
        <is>
          <t>Collection</t>
        </is>
      </c>
      <c r="L983" t="n">
        <v>14</v>
      </c>
      <c r="M983" t="n">
        <v>15</v>
      </c>
      <c r="N983" t="n">
        <v>22</v>
      </c>
      <c r="O983" t="inlineStr">
        <is>
          <t>2026-10-05 UTC (WFM pull 02:52-04:00)</t>
        </is>
      </c>
      <c r="P983" t="inlineStr">
        <is>
          <t>OK</t>
        </is>
      </c>
      <c r="R983" t="inlineStr">
        <is>
          <t>Every current tradeable mod at MAX RANK (WFM catalogue, rivens/locators excluded)</t>
        </is>
      </c>
      <c r="S983" t="inlineStr">
        <is>
          <t>mesas_waltz</t>
        </is>
      </c>
      <c r="T983" t="n">
        <v>8</v>
      </c>
      <c r="U983" t="n">
        <v>8</v>
      </c>
      <c r="V983" t="n">
        <v>10</v>
      </c>
      <c r="W983" t="n">
        <v>10</v>
      </c>
      <c r="X983" t="n">
        <v>10.6</v>
      </c>
      <c r="Y983" t="n">
        <v>1701</v>
      </c>
      <c r="Z983" t="n">
        <v>15</v>
      </c>
      <c r="AN983" t="inlineStr">
        <is>
          <t>Augment Mesa</t>
        </is>
      </c>
      <c r="AO983" t="n">
        <v>210</v>
      </c>
      <c r="AP983" t="n">
        <v>10143</v>
      </c>
      <c r="AQ983" t="n">
        <v>10</v>
      </c>
      <c r="AS983" t="inlineStr">
        <is>
          <t>Yes</t>
        </is>
      </c>
    </row>
    <row r="984">
      <c r="A984" t="inlineStr">
        <is>
          <t>Mod</t>
        </is>
      </c>
      <c r="B984" t="inlineStr">
        <is>
          <t>Mesmer Shield</t>
        </is>
      </c>
      <c r="E984" t="inlineStr">
        <is>
          <t>Augment Revenant</t>
        </is>
      </c>
      <c r="F984" t="n">
        <v>3</v>
      </c>
      <c r="G984" t="n">
        <v>1</v>
      </c>
      <c r="H984" t="inlineStr">
        <is>
          <t>Player trade (max rank)</t>
        </is>
      </c>
      <c r="I984" t="inlineStr">
        <is>
          <t>Yes</t>
        </is>
      </c>
      <c r="K984" t="inlineStr">
        <is>
          <t>Collection</t>
        </is>
      </c>
      <c r="L984" t="n">
        <v>15</v>
      </c>
      <c r="M984" t="n">
        <v>19</v>
      </c>
      <c r="N984" t="n">
        <v>28</v>
      </c>
      <c r="O984" t="inlineStr">
        <is>
          <t>2026-10-05 UTC (WFM pull 02:52-04:00)</t>
        </is>
      </c>
      <c r="P984" t="inlineStr">
        <is>
          <t>OK</t>
        </is>
      </c>
      <c r="R984" t="inlineStr">
        <is>
          <t>Every current tradeable mod at MAX RANK (WFM catalogue, rivens/locators excluded)</t>
        </is>
      </c>
      <c r="S984" t="inlineStr">
        <is>
          <t>mesmer_shield</t>
        </is>
      </c>
      <c r="T984" t="n">
        <v>8</v>
      </c>
      <c r="U984" t="n">
        <v>8</v>
      </c>
      <c r="V984" t="n">
        <v>13</v>
      </c>
      <c r="W984" t="n">
        <v>14</v>
      </c>
      <c r="X984" t="n">
        <v>13.5</v>
      </c>
      <c r="Y984" t="n">
        <v>954</v>
      </c>
      <c r="Z984" t="n">
        <v>16</v>
      </c>
      <c r="AN984" t="inlineStr">
        <is>
          <t>Augment Revenant</t>
        </is>
      </c>
      <c r="AO984" t="n">
        <v>210</v>
      </c>
      <c r="AP984" t="n">
        <v>10143</v>
      </c>
      <c r="AQ984" t="n">
        <v>15</v>
      </c>
      <c r="AS984" t="inlineStr">
        <is>
          <t>Yes</t>
        </is>
      </c>
    </row>
    <row r="985">
      <c r="A985" t="inlineStr">
        <is>
          <t>Mod</t>
        </is>
      </c>
      <c r="B985" t="inlineStr">
        <is>
          <t>Metal Auger</t>
        </is>
      </c>
      <c r="E985" t="inlineStr">
        <is>
          <t>Rifle</t>
        </is>
      </c>
      <c r="F985" t="n">
        <v>5</v>
      </c>
      <c r="G985" t="n">
        <v>1</v>
      </c>
      <c r="H985" t="inlineStr">
        <is>
          <t>Player trade (max rank)</t>
        </is>
      </c>
      <c r="I985" t="inlineStr">
        <is>
          <t>Yes</t>
        </is>
      </c>
      <c r="K985" t="inlineStr">
        <is>
          <t>Collection</t>
        </is>
      </c>
      <c r="L985" t="n">
        <v>10</v>
      </c>
      <c r="M985" t="n">
        <v>14.2</v>
      </c>
      <c r="N985" t="n">
        <v>32</v>
      </c>
      <c r="O985" t="inlineStr">
        <is>
          <t>2026-10-05 UTC (WFM pull 02:52-04:00)</t>
        </is>
      </c>
      <c r="P985" t="inlineStr">
        <is>
          <t>OK</t>
        </is>
      </c>
      <c r="R985" t="inlineStr">
        <is>
          <t>Every current tradeable mod at MAX RANK (WFM catalogue, rivens/locators excluded)</t>
        </is>
      </c>
      <c r="S985" t="inlineStr">
        <is>
          <t>metal_auger</t>
        </is>
      </c>
      <c r="T985" t="n">
        <v>3</v>
      </c>
      <c r="U985" t="n">
        <v>3</v>
      </c>
      <c r="V985" t="n">
        <v>9.5</v>
      </c>
      <c r="W985" t="n">
        <v>9.5</v>
      </c>
      <c r="X985" t="n">
        <v>8.800000000000001</v>
      </c>
      <c r="Y985" t="n">
        <v>8</v>
      </c>
      <c r="Z985" t="n">
        <v>0</v>
      </c>
      <c r="AN985" t="inlineStr">
        <is>
          <t>Rifle</t>
        </is>
      </c>
      <c r="AO985" t="n">
        <v>930</v>
      </c>
      <c r="AP985" t="n">
        <v>44919</v>
      </c>
      <c r="AQ985" t="n">
        <v>3</v>
      </c>
      <c r="AS985" t="inlineStr">
        <is>
          <t>Yes</t>
        </is>
      </c>
    </row>
    <row r="986">
      <c r="A986" t="inlineStr">
        <is>
          <t>Mod</t>
        </is>
      </c>
      <c r="B986" t="inlineStr">
        <is>
          <t>Metal Fiber</t>
        </is>
      </c>
      <c r="E986" t="inlineStr">
        <is>
          <t>Companion</t>
        </is>
      </c>
      <c r="F986" t="n">
        <v>10</v>
      </c>
      <c r="G986" t="n">
        <v>1</v>
      </c>
      <c r="H986" t="inlineStr">
        <is>
          <t>Player trade (max rank)</t>
        </is>
      </c>
      <c r="I986" t="inlineStr">
        <is>
          <t>Yes</t>
        </is>
      </c>
      <c r="K986" t="inlineStr">
        <is>
          <t>Collection</t>
        </is>
      </c>
      <c r="L986" t="n">
        <v>28</v>
      </c>
      <c r="M986" t="n">
        <v>45</v>
      </c>
      <c r="N986" t="n">
        <v>100</v>
      </c>
      <c r="O986" t="inlineStr">
        <is>
          <t>2026-10-05 UTC (WFM pull 02:52-04:00)</t>
        </is>
      </c>
      <c r="P986" t="inlineStr">
        <is>
          <t>OK</t>
        </is>
      </c>
      <c r="R986" t="inlineStr">
        <is>
          <t>Every current tradeable mod at MAX RANK (WFM catalogue, rivens/locators excluded)</t>
        </is>
      </c>
      <c r="S986" t="inlineStr">
        <is>
          <t>metal_fiber</t>
        </is>
      </c>
      <c r="T986" t="n">
        <v>4</v>
      </c>
      <c r="U986" t="n">
        <v>4</v>
      </c>
      <c r="V986" t="n">
        <v>30</v>
      </c>
      <c r="W986" t="n">
        <v>35</v>
      </c>
      <c r="X986" t="n">
        <v>35.2</v>
      </c>
      <c r="Y986" t="n">
        <v>25</v>
      </c>
      <c r="Z986" t="n">
        <v>1</v>
      </c>
      <c r="AN986" t="inlineStr">
        <is>
          <t>Companion</t>
        </is>
      </c>
      <c r="AO986" t="n">
        <v>10230</v>
      </c>
      <c r="AP986" t="n">
        <v>494109</v>
      </c>
      <c r="AQ986" t="n">
        <v>2</v>
      </c>
      <c r="AS986" t="inlineStr">
        <is>
          <t>Yes</t>
        </is>
      </c>
    </row>
    <row r="987">
      <c r="A987" t="inlineStr">
        <is>
          <t>Mod</t>
        </is>
      </c>
      <c r="B987" t="inlineStr">
        <is>
          <t>Metamorphic Magazine</t>
        </is>
      </c>
      <c r="E987" t="inlineStr">
        <is>
          <t>Gorgon</t>
        </is>
      </c>
      <c r="F987" t="n">
        <v>5</v>
      </c>
      <c r="G987" t="n">
        <v>1</v>
      </c>
      <c r="H987" t="inlineStr">
        <is>
          <t>Player trade (max rank)</t>
        </is>
      </c>
      <c r="I987" t="inlineStr">
        <is>
          <t>Yes</t>
        </is>
      </c>
      <c r="K987" t="inlineStr">
        <is>
          <t>Collection</t>
        </is>
      </c>
      <c r="L987" t="n">
        <v>60</v>
      </c>
      <c r="M987" t="n">
        <v>60</v>
      </c>
      <c r="N987" t="n">
        <v>132</v>
      </c>
      <c r="O987" t="inlineStr">
        <is>
          <t>2026-10-05 UTC (WFM pull 02:52-04:00)</t>
        </is>
      </c>
      <c r="P987" t="inlineStr">
        <is>
          <t>OK</t>
        </is>
      </c>
      <c r="R987" t="inlineStr">
        <is>
          <t>Every current tradeable mod at MAX RANK (WFM catalogue, rivens/locators excluded)</t>
        </is>
      </c>
      <c r="S987" t="inlineStr">
        <is>
          <t>metamorphic_magazine</t>
        </is>
      </c>
      <c r="T987" t="n">
        <v>5</v>
      </c>
      <c r="U987" t="n">
        <v>5</v>
      </c>
      <c r="V987" t="n">
        <v>20</v>
      </c>
      <c r="W987" t="n">
        <v>20</v>
      </c>
      <c r="X987" t="n">
        <v>23.3</v>
      </c>
      <c r="Y987" t="n">
        <v>52</v>
      </c>
      <c r="Z987" t="n">
        <v>1</v>
      </c>
      <c r="AN987" t="inlineStr">
        <is>
          <t>Gorgon</t>
        </is>
      </c>
      <c r="AO987" t="n">
        <v>930</v>
      </c>
      <c r="AP987" t="n">
        <v>44919</v>
      </c>
      <c r="AQ987" t="n">
        <v>10</v>
      </c>
      <c r="AS987" t="inlineStr">
        <is>
          <t>Yes</t>
        </is>
      </c>
    </row>
    <row r="988">
      <c r="A988" t="inlineStr">
        <is>
          <t>Mod</t>
        </is>
      </c>
      <c r="B988" t="inlineStr">
        <is>
          <t>Metem-Erun</t>
        </is>
      </c>
      <c r="E988" t="inlineStr">
        <is>
          <t>Antique</t>
        </is>
      </c>
      <c r="F988" t="n">
        <v>5</v>
      </c>
      <c r="G988" t="n">
        <v>1</v>
      </c>
      <c r="H988" t="inlineStr">
        <is>
          <t>Player trade (max rank)</t>
        </is>
      </c>
      <c r="I988" t="inlineStr">
        <is>
          <t>Yes</t>
        </is>
      </c>
      <c r="K988" t="inlineStr">
        <is>
          <t>Collection</t>
        </is>
      </c>
      <c r="L988" t="n">
        <v>20</v>
      </c>
      <c r="M988" t="n">
        <v>22.5</v>
      </c>
      <c r="N988" t="n">
        <v>50</v>
      </c>
      <c r="O988" t="inlineStr">
        <is>
          <t>2026-10-05 UTC (WFM pull 02:52-04:00)</t>
        </is>
      </c>
      <c r="P988" t="inlineStr">
        <is>
          <t>OK</t>
        </is>
      </c>
      <c r="R988" t="inlineStr">
        <is>
          <t>Every current tradeable mod at MAX RANK (WFM catalogue, rivens/locators excluded)</t>
        </is>
      </c>
      <c r="S988" t="inlineStr">
        <is>
          <t>metem_erun</t>
        </is>
      </c>
      <c r="T988" t="n">
        <v>4</v>
      </c>
      <c r="U988" t="n">
        <v>4</v>
      </c>
      <c r="V988" t="n">
        <v>15</v>
      </c>
      <c r="W988" t="n">
        <v>20</v>
      </c>
      <c r="X988" t="n">
        <v>24.1</v>
      </c>
      <c r="Y988" t="n">
        <v>16</v>
      </c>
      <c r="Z988" t="n">
        <v>3</v>
      </c>
      <c r="AN988" t="inlineStr">
        <is>
          <t>Antique</t>
        </is>
      </c>
      <c r="AO988" t="n">
        <v>930</v>
      </c>
      <c r="AP988" t="n">
        <v>44919</v>
      </c>
      <c r="AQ988" t="n">
        <v>5</v>
      </c>
      <c r="AS988" t="inlineStr">
        <is>
          <t>Yes</t>
        </is>
      </c>
    </row>
    <row r="989">
      <c r="A989" t="inlineStr">
        <is>
          <t>Mod</t>
        </is>
      </c>
      <c r="B989" t="inlineStr">
        <is>
          <t>Metem-Hakh</t>
        </is>
      </c>
      <c r="E989" t="inlineStr">
        <is>
          <t>Antique</t>
        </is>
      </c>
      <c r="F989" t="n">
        <v>5</v>
      </c>
      <c r="G989" t="n">
        <v>1</v>
      </c>
      <c r="H989" t="inlineStr">
        <is>
          <t>Player trade (max rank)</t>
        </is>
      </c>
      <c r="I989" t="inlineStr">
        <is>
          <t>Yes</t>
        </is>
      </c>
      <c r="K989" t="inlineStr">
        <is>
          <t>Collection</t>
        </is>
      </c>
      <c r="L989" t="n">
        <v>35</v>
      </c>
      <c r="M989" t="n">
        <v>35</v>
      </c>
      <c r="N989" t="n">
        <v>77</v>
      </c>
      <c r="O989" t="inlineStr">
        <is>
          <t>2026-10-05 UTC (WFM pull 02:52-04:00)</t>
        </is>
      </c>
      <c r="P989" t="inlineStr">
        <is>
          <t>OK</t>
        </is>
      </c>
      <c r="R989" t="inlineStr">
        <is>
          <t>Every current tradeable mod at MAX RANK (WFM catalogue, rivens/locators excluded)</t>
        </is>
      </c>
      <c r="S989" t="inlineStr">
        <is>
          <t>metem_hakh</t>
        </is>
      </c>
      <c r="T989" t="n">
        <v>5</v>
      </c>
      <c r="U989" t="n">
        <v>5</v>
      </c>
      <c r="V989" t="n">
        <v>17.5</v>
      </c>
      <c r="W989" t="n">
        <v>29</v>
      </c>
      <c r="X989" t="n">
        <v>25.7</v>
      </c>
      <c r="Y989" t="n">
        <v>37</v>
      </c>
      <c r="Z989" t="n">
        <v>0</v>
      </c>
      <c r="AN989" t="inlineStr">
        <is>
          <t>Antique</t>
        </is>
      </c>
      <c r="AO989" t="n">
        <v>930</v>
      </c>
      <c r="AP989" t="n">
        <v>44919</v>
      </c>
      <c r="AQ989" t="n">
        <v>4.5</v>
      </c>
      <c r="AS989" t="inlineStr">
        <is>
          <t>Yes</t>
        </is>
      </c>
    </row>
    <row r="990">
      <c r="A990" t="inlineStr">
        <is>
          <t>Mod</t>
        </is>
      </c>
      <c r="B990" t="inlineStr">
        <is>
          <t>Meteor Crash</t>
        </is>
      </c>
      <c r="E990" t="inlineStr">
        <is>
          <t>Archmelee</t>
        </is>
      </c>
      <c r="F990" t="n">
        <v>5</v>
      </c>
      <c r="G990" t="n">
        <v>1</v>
      </c>
      <c r="H990" t="inlineStr">
        <is>
          <t>Player trade (max rank)</t>
        </is>
      </c>
      <c r="I990" t="inlineStr">
        <is>
          <t>Yes</t>
        </is>
      </c>
      <c r="K990" t="inlineStr">
        <is>
          <t>Collection</t>
        </is>
      </c>
      <c r="L990" t="n">
        <v>25</v>
      </c>
      <c r="M990" t="n">
        <v>25</v>
      </c>
      <c r="N990" t="n">
        <v>56</v>
      </c>
      <c r="O990" t="inlineStr">
        <is>
          <t>2026-10-05 UTC (WFM pull 02:52-04:00)</t>
        </is>
      </c>
      <c r="P990" t="inlineStr">
        <is>
          <t>OK</t>
        </is>
      </c>
      <c r="R990" t="inlineStr">
        <is>
          <t>Every current tradeable mod at MAX RANK (WFM catalogue, rivens/locators excluded)</t>
        </is>
      </c>
      <c r="S990" t="inlineStr">
        <is>
          <t>meteor_crash</t>
        </is>
      </c>
      <c r="T990" t="n">
        <v>3</v>
      </c>
      <c r="U990" t="n">
        <v>3</v>
      </c>
      <c r="V990" t="n">
        <v>9</v>
      </c>
      <c r="W990" t="n">
        <v>19</v>
      </c>
      <c r="X990" t="n">
        <v>16</v>
      </c>
      <c r="Y990" t="n">
        <v>3</v>
      </c>
      <c r="Z990" t="n">
        <v>1</v>
      </c>
      <c r="AN990" t="inlineStr">
        <is>
          <t>Archmelee</t>
        </is>
      </c>
      <c r="AO990" t="n">
        <v>930</v>
      </c>
      <c r="AP990" t="n">
        <v>44919</v>
      </c>
      <c r="AQ990" t="n">
        <v>8</v>
      </c>
      <c r="AS990" t="inlineStr">
        <is>
          <t>Yes</t>
        </is>
      </c>
    </row>
    <row r="991">
      <c r="A991" t="inlineStr">
        <is>
          <t>Mod</t>
        </is>
      </c>
      <c r="B991" t="inlineStr">
        <is>
          <t>Meteor Munitions</t>
        </is>
      </c>
      <c r="E991" t="inlineStr">
        <is>
          <t>Conclave (PvP)</t>
        </is>
      </c>
      <c r="F991" t="n">
        <v>3</v>
      </c>
      <c r="G991" t="n">
        <v>1</v>
      </c>
      <c r="H991" t="inlineStr">
        <is>
          <t>Player trade (max rank)</t>
        </is>
      </c>
      <c r="I991" t="inlineStr">
        <is>
          <t>Yes</t>
        </is>
      </c>
      <c r="K991" t="inlineStr">
        <is>
          <t>Collection (PvP)</t>
        </is>
      </c>
      <c r="L991" t="n">
        <v>150</v>
      </c>
      <c r="M991" t="n">
        <v>150</v>
      </c>
      <c r="N991" t="n">
        <v>275</v>
      </c>
      <c r="O991" t="inlineStr">
        <is>
          <t>2026-10-05 UTC (WFM pull 02:52-04:00)</t>
        </is>
      </c>
      <c r="P991" t="inlineStr">
        <is>
          <t>OK</t>
        </is>
      </c>
      <c r="R991" t="inlineStr">
        <is>
          <t>Every current tradeable mod at MAX RANK (WFM catalogue, rivens/locators excluded)</t>
        </is>
      </c>
      <c r="S991" t="inlineStr">
        <is>
          <t>meteor_munitions</t>
        </is>
      </c>
      <c r="T991" t="n">
        <v>3</v>
      </c>
      <c r="U991" t="n">
        <v>0</v>
      </c>
      <c r="W991" t="n">
        <v>20</v>
      </c>
      <c r="X991" t="n">
        <v>20</v>
      </c>
      <c r="Y991" t="n">
        <v>1</v>
      </c>
      <c r="Z991" t="n">
        <v>0</v>
      </c>
      <c r="AN991" t="inlineStr">
        <is>
          <t>Conclave (PvP)</t>
        </is>
      </c>
      <c r="AO991" t="n">
        <v>140</v>
      </c>
      <c r="AP991" t="n">
        <v>6762</v>
      </c>
      <c r="AQ991" t="n">
        <v>45</v>
      </c>
      <c r="AS991" t="inlineStr">
        <is>
          <t>PvP subtotal</t>
        </is>
      </c>
    </row>
    <row r="992">
      <c r="A992" t="inlineStr">
        <is>
          <t>Mod</t>
        </is>
      </c>
      <c r="B992" t="inlineStr">
        <is>
          <t>Meticulous Aim</t>
        </is>
      </c>
      <c r="E992" t="inlineStr">
        <is>
          <t>Augment Vulkar</t>
        </is>
      </c>
      <c r="F992" t="n">
        <v>5</v>
      </c>
      <c r="G992" t="n">
        <v>1</v>
      </c>
      <c r="H992" t="inlineStr">
        <is>
          <t>Player trade (max rank)</t>
        </is>
      </c>
      <c r="I992" t="inlineStr">
        <is>
          <t>Yes</t>
        </is>
      </c>
      <c r="K992" t="inlineStr">
        <is>
          <t>Collection</t>
        </is>
      </c>
      <c r="L992" t="n">
        <v>40</v>
      </c>
      <c r="M992" t="n">
        <v>50</v>
      </c>
      <c r="N992" t="n">
        <v>88</v>
      </c>
      <c r="O992" t="inlineStr">
        <is>
          <t>2026-10-05 UTC (WFM pull 02:52-04:00)</t>
        </is>
      </c>
      <c r="P992" t="inlineStr">
        <is>
          <t>OK</t>
        </is>
      </c>
      <c r="R992" t="inlineStr">
        <is>
          <t>Every current tradeable mod at MAX RANK (WFM catalogue, rivens/locators excluded)</t>
        </is>
      </c>
      <c r="S992" t="inlineStr">
        <is>
          <t>meticulous_aim</t>
        </is>
      </c>
      <c r="T992" t="n">
        <v>27</v>
      </c>
      <c r="U992" t="n">
        <v>2</v>
      </c>
      <c r="V992" t="n">
        <v>50</v>
      </c>
      <c r="W992" t="n">
        <v>80</v>
      </c>
      <c r="X992" t="n">
        <v>71.8</v>
      </c>
      <c r="Y992" t="n">
        <v>22</v>
      </c>
      <c r="Z992" t="n">
        <v>0</v>
      </c>
      <c r="AN992" t="inlineStr">
        <is>
          <t>Augment Vulkar</t>
        </is>
      </c>
      <c r="AO992" t="n">
        <v>930</v>
      </c>
      <c r="AP992" t="n">
        <v>44919</v>
      </c>
      <c r="AQ992" t="n">
        <v>50</v>
      </c>
      <c r="AS992" t="inlineStr">
        <is>
          <t>Yes</t>
        </is>
      </c>
    </row>
    <row r="993">
      <c r="A993" t="inlineStr">
        <is>
          <t>Mod</t>
        </is>
      </c>
      <c r="B993" t="inlineStr">
        <is>
          <t>Mind Freak</t>
        </is>
      </c>
      <c r="E993" t="inlineStr">
        <is>
          <t>Augment Nyx</t>
        </is>
      </c>
      <c r="F993" t="n">
        <v>3</v>
      </c>
      <c r="G993" t="n">
        <v>1</v>
      </c>
      <c r="H993" t="inlineStr">
        <is>
          <t>Player trade (max rank)</t>
        </is>
      </c>
      <c r="I993" t="inlineStr">
        <is>
          <t>Yes</t>
        </is>
      </c>
      <c r="K993" t="inlineStr">
        <is>
          <t>Collection</t>
        </is>
      </c>
      <c r="L993" t="n">
        <v>10</v>
      </c>
      <c r="M993" t="n">
        <v>12</v>
      </c>
      <c r="N993" t="n">
        <v>16</v>
      </c>
      <c r="O993" t="inlineStr">
        <is>
          <t>2026-10-05 UTC (WFM pull 02:52-04:00)</t>
        </is>
      </c>
      <c r="P993" t="inlineStr">
        <is>
          <t>OK</t>
        </is>
      </c>
      <c r="R993" t="inlineStr">
        <is>
          <t>Every current tradeable mod at MAX RANK (WFM catalogue, rivens/locators excluded)</t>
        </is>
      </c>
      <c r="S993" t="inlineStr">
        <is>
          <t>mind_freak</t>
        </is>
      </c>
      <c r="T993" t="n">
        <v>79</v>
      </c>
      <c r="U993" t="n">
        <v>2</v>
      </c>
      <c r="V993" t="n">
        <v>14.5</v>
      </c>
      <c r="W993" t="n">
        <v>15</v>
      </c>
      <c r="X993" t="n">
        <v>15</v>
      </c>
      <c r="Y993" t="n">
        <v>132</v>
      </c>
      <c r="Z993" t="n">
        <v>2</v>
      </c>
      <c r="AN993" t="inlineStr">
        <is>
          <t>Augment Nyx</t>
        </is>
      </c>
      <c r="AO993" t="n">
        <v>210</v>
      </c>
      <c r="AP993" t="n">
        <v>10143</v>
      </c>
      <c r="AQ993" t="n">
        <v>10</v>
      </c>
      <c r="AS993" t="inlineStr">
        <is>
          <t>Yes</t>
        </is>
      </c>
    </row>
    <row r="994">
      <c r="A994" t="inlineStr">
        <is>
          <t>Mod</t>
        </is>
      </c>
      <c r="B994" t="inlineStr">
        <is>
          <t>Mischief</t>
        </is>
      </c>
      <c r="E994" t="inlineStr">
        <is>
          <t>Smeeta Kavat</t>
        </is>
      </c>
      <c r="F994" t="n">
        <v>3</v>
      </c>
      <c r="G994" t="n">
        <v>1</v>
      </c>
      <c r="H994" t="inlineStr">
        <is>
          <t>Player trade (max rank)</t>
        </is>
      </c>
      <c r="I994" t="inlineStr">
        <is>
          <t>Yes</t>
        </is>
      </c>
      <c r="K994" t="inlineStr">
        <is>
          <t>Collection</t>
        </is>
      </c>
      <c r="L994" t="n">
        <v>8</v>
      </c>
      <c r="M994" t="n">
        <v>12</v>
      </c>
      <c r="N994" t="n">
        <v>27</v>
      </c>
      <c r="O994" t="inlineStr">
        <is>
          <t>2026-10-05 UTC (WFM pull 02:52-04:00)</t>
        </is>
      </c>
      <c r="P994" t="inlineStr">
        <is>
          <t>OK</t>
        </is>
      </c>
      <c r="R994" t="inlineStr">
        <is>
          <t>Every current tradeable mod at MAX RANK (WFM catalogue, rivens/locators excluded)</t>
        </is>
      </c>
      <c r="S994" t="inlineStr">
        <is>
          <t>mischief</t>
        </is>
      </c>
      <c r="T994" t="n">
        <v>5</v>
      </c>
      <c r="U994" t="n">
        <v>5</v>
      </c>
      <c r="V994" t="n">
        <v>8</v>
      </c>
      <c r="W994" t="n">
        <v>8</v>
      </c>
      <c r="X994" t="n">
        <v>8.699999999999999</v>
      </c>
      <c r="Y994" t="n">
        <v>19</v>
      </c>
      <c r="Z994" t="n">
        <v>1</v>
      </c>
      <c r="AN994" t="inlineStr">
        <is>
          <t>Smeeta Kavat</t>
        </is>
      </c>
      <c r="AO994" t="n">
        <v>210</v>
      </c>
      <c r="AP994" t="n">
        <v>10143</v>
      </c>
      <c r="AQ994" t="n">
        <v>4.5</v>
      </c>
      <c r="AS994" t="inlineStr">
        <is>
          <t>Yes</t>
        </is>
      </c>
    </row>
    <row r="995">
      <c r="A995" t="inlineStr">
        <is>
          <t>Mod</t>
        </is>
      </c>
      <c r="B995" t="inlineStr">
        <is>
          <t>Mobilize</t>
        </is>
      </c>
      <c r="E995" t="inlineStr">
        <is>
          <t>Warframe</t>
        </is>
      </c>
      <c r="F995" t="n">
        <v>3</v>
      </c>
      <c r="G995" t="n">
        <v>1</v>
      </c>
      <c r="H995" t="inlineStr">
        <is>
          <t>Player trade (max rank)</t>
        </is>
      </c>
      <c r="I995" t="inlineStr">
        <is>
          <t>Yes</t>
        </is>
      </c>
      <c r="K995" t="inlineStr">
        <is>
          <t>Collection</t>
        </is>
      </c>
      <c r="L995" t="n">
        <v>8</v>
      </c>
      <c r="M995" t="n">
        <v>10</v>
      </c>
      <c r="N995" t="n">
        <v>22</v>
      </c>
      <c r="O995" t="inlineStr">
        <is>
          <t>2026-10-05 UTC (WFM pull 02:52-04:00)</t>
        </is>
      </c>
      <c r="P995" t="inlineStr">
        <is>
          <t>OK</t>
        </is>
      </c>
      <c r="R995" t="inlineStr">
        <is>
          <t>Every current tradeable mod at MAX RANK (WFM catalogue, rivens/locators excluded)</t>
        </is>
      </c>
      <c r="S995" t="inlineStr">
        <is>
          <t>mobilize</t>
        </is>
      </c>
      <c r="T995" t="n">
        <v>6</v>
      </c>
      <c r="U995" t="n">
        <v>6</v>
      </c>
      <c r="V995" t="n">
        <v>9</v>
      </c>
      <c r="W995" t="n">
        <v>9</v>
      </c>
      <c r="X995" t="n">
        <v>9.800000000000001</v>
      </c>
      <c r="Y995" t="n">
        <v>20</v>
      </c>
      <c r="Z995" t="n">
        <v>0</v>
      </c>
      <c r="AN995" t="inlineStr">
        <is>
          <t>Warframe</t>
        </is>
      </c>
      <c r="AO995" t="n">
        <v>140</v>
      </c>
      <c r="AP995" t="n">
        <v>6762</v>
      </c>
      <c r="AQ995" t="n">
        <v>3</v>
      </c>
      <c r="AS995" t="inlineStr">
        <is>
          <t>Yes</t>
        </is>
      </c>
    </row>
    <row r="996">
      <c r="A996" t="inlineStr">
        <is>
          <t>Mod</t>
        </is>
      </c>
      <c r="B996" t="inlineStr">
        <is>
          <t>Modified Munitions</t>
        </is>
      </c>
      <c r="E996" t="inlineStr">
        <is>
          <t>Archgun</t>
        </is>
      </c>
      <c r="F996" t="n">
        <v>5</v>
      </c>
      <c r="G996" t="n">
        <v>1</v>
      </c>
      <c r="H996" t="inlineStr">
        <is>
          <t>Player trade (max rank)</t>
        </is>
      </c>
      <c r="I996" t="inlineStr">
        <is>
          <t>Yes</t>
        </is>
      </c>
      <c r="K996" t="inlineStr">
        <is>
          <t>Collection</t>
        </is>
      </c>
      <c r="L996" t="n">
        <v>17</v>
      </c>
      <c r="M996" t="n">
        <v>22.5</v>
      </c>
      <c r="N996" t="n">
        <v>50</v>
      </c>
      <c r="O996" t="inlineStr">
        <is>
          <t>2026-10-05 UTC (WFM pull 02:52-04:00)</t>
        </is>
      </c>
      <c r="P996" t="inlineStr">
        <is>
          <t>OK</t>
        </is>
      </c>
      <c r="R996" t="inlineStr">
        <is>
          <t>Every current tradeable mod at MAX RANK (WFM catalogue, rivens/locators excluded)</t>
        </is>
      </c>
      <c r="S996" t="inlineStr">
        <is>
          <t>modified_munitions</t>
        </is>
      </c>
      <c r="T996" t="n">
        <v>5</v>
      </c>
      <c r="U996" t="n">
        <v>5</v>
      </c>
      <c r="V996" t="n">
        <v>15</v>
      </c>
      <c r="W996" t="n">
        <v>14</v>
      </c>
      <c r="X996" t="n">
        <v>14.3</v>
      </c>
      <c r="Y996" t="n">
        <v>21</v>
      </c>
      <c r="Z996" t="n">
        <v>0</v>
      </c>
      <c r="AN996" t="inlineStr">
        <is>
          <t>Archgun</t>
        </is>
      </c>
      <c r="AO996" t="n">
        <v>620</v>
      </c>
      <c r="AP996" t="n">
        <v>29946</v>
      </c>
      <c r="AQ996" t="n">
        <v>7.5</v>
      </c>
      <c r="AS996" t="inlineStr">
        <is>
          <t>Yes</t>
        </is>
      </c>
    </row>
    <row r="997">
      <c r="A997" t="inlineStr">
        <is>
          <t>Mod</t>
        </is>
      </c>
      <c r="B997" t="inlineStr">
        <is>
          <t>Molecular Conversion</t>
        </is>
      </c>
      <c r="E997" t="inlineStr">
        <is>
          <t>Taxon</t>
        </is>
      </c>
      <c r="F997" t="n">
        <v>5</v>
      </c>
      <c r="G997" t="n">
        <v>1</v>
      </c>
      <c r="H997" t="inlineStr">
        <is>
          <t>Player trade (max rank)</t>
        </is>
      </c>
      <c r="I997" t="inlineStr">
        <is>
          <t>Yes</t>
        </is>
      </c>
      <c r="K997" t="inlineStr">
        <is>
          <t>Collection</t>
        </is>
      </c>
      <c r="L997" t="n">
        <v>14</v>
      </c>
      <c r="M997" t="n">
        <v>14</v>
      </c>
      <c r="N997" t="n">
        <v>18</v>
      </c>
      <c r="O997" t="inlineStr">
        <is>
          <t>2026-10-05 UTC (WFM pull 02:52-04:00)</t>
        </is>
      </c>
      <c r="P997" t="inlineStr">
        <is>
          <t>OK</t>
        </is>
      </c>
      <c r="R997" t="inlineStr">
        <is>
          <t>Every current tradeable mod at MAX RANK (WFM catalogue, rivens/locators excluded)</t>
        </is>
      </c>
      <c r="S997" t="inlineStr">
        <is>
          <t>molecular_conversion</t>
        </is>
      </c>
      <c r="T997" t="n">
        <v>4</v>
      </c>
      <c r="U997" t="n">
        <v>4</v>
      </c>
      <c r="V997" t="n">
        <v>9</v>
      </c>
      <c r="W997" t="n">
        <v>10</v>
      </c>
      <c r="X997" t="n">
        <v>10.7</v>
      </c>
      <c r="Y997" t="n">
        <v>9</v>
      </c>
      <c r="Z997" t="n">
        <v>0</v>
      </c>
      <c r="AN997" t="inlineStr">
        <is>
          <t>Taxon</t>
        </is>
      </c>
      <c r="AO997" t="n">
        <v>310</v>
      </c>
      <c r="AP997" t="n">
        <v>14973</v>
      </c>
      <c r="AQ997" t="n">
        <v>9</v>
      </c>
      <c r="AS997" t="inlineStr">
        <is>
          <t>Yes</t>
        </is>
      </c>
    </row>
    <row r="998">
      <c r="A998" t="inlineStr">
        <is>
          <t>Mod</t>
        </is>
      </c>
      <c r="B998" t="inlineStr">
        <is>
          <t>Molecular Fission</t>
        </is>
      </c>
      <c r="E998" t="inlineStr">
        <is>
          <t>Augment Nova</t>
        </is>
      </c>
      <c r="F998" t="n">
        <v>3</v>
      </c>
      <c r="G998" t="n">
        <v>1</v>
      </c>
      <c r="H998" t="inlineStr">
        <is>
          <t>Player trade (max rank)</t>
        </is>
      </c>
      <c r="I998" t="inlineStr">
        <is>
          <t>Yes</t>
        </is>
      </c>
      <c r="K998" t="inlineStr">
        <is>
          <t>Collection</t>
        </is>
      </c>
      <c r="L998" t="n">
        <v>15</v>
      </c>
      <c r="M998" t="n">
        <v>17.5</v>
      </c>
      <c r="N998" t="n">
        <v>39</v>
      </c>
      <c r="O998" t="inlineStr">
        <is>
          <t>2026-10-05 UTC (WFM pull 02:52-04:00)</t>
        </is>
      </c>
      <c r="P998" t="inlineStr">
        <is>
          <t>OK</t>
        </is>
      </c>
      <c r="R998" t="inlineStr">
        <is>
          <t>Every current tradeable mod at MAX RANK (WFM catalogue, rivens/locators excluded)</t>
        </is>
      </c>
      <c r="S998" t="inlineStr">
        <is>
          <t>molecular_fission</t>
        </is>
      </c>
      <c r="T998" t="n">
        <v>4</v>
      </c>
      <c r="U998" t="n">
        <v>4</v>
      </c>
      <c r="V998" t="n">
        <v>12.5</v>
      </c>
      <c r="W998" t="n">
        <v>13</v>
      </c>
      <c r="X998" t="n">
        <v>13</v>
      </c>
      <c r="Y998" t="n">
        <v>744</v>
      </c>
      <c r="Z998" t="n">
        <v>12</v>
      </c>
      <c r="AN998" t="inlineStr">
        <is>
          <t>Augment Nova</t>
        </is>
      </c>
      <c r="AO998" t="n">
        <v>210</v>
      </c>
      <c r="AP998" t="n">
        <v>10143</v>
      </c>
      <c r="AQ998" t="n">
        <v>14</v>
      </c>
      <c r="AS998" t="inlineStr">
        <is>
          <t>Yes</t>
        </is>
      </c>
    </row>
    <row r="999">
      <c r="A999" t="inlineStr">
        <is>
          <t>Mod</t>
        </is>
      </c>
      <c r="B999" t="inlineStr">
        <is>
          <t>Molten Impact</t>
        </is>
      </c>
      <c r="E999" t="inlineStr">
        <is>
          <t>Melee</t>
        </is>
      </c>
      <c r="F999" t="n">
        <v>5</v>
      </c>
      <c r="G999" t="n">
        <v>1</v>
      </c>
      <c r="H999" t="inlineStr">
        <is>
          <t>Player trade (max rank)</t>
        </is>
      </c>
      <c r="I999" t="inlineStr">
        <is>
          <t>Yes</t>
        </is>
      </c>
      <c r="K999" t="inlineStr">
        <is>
          <t>Collection</t>
        </is>
      </c>
      <c r="L999" t="n">
        <v>5</v>
      </c>
      <c r="M999" t="n">
        <v>7.5</v>
      </c>
      <c r="N999" t="n">
        <v>17</v>
      </c>
      <c r="O999" t="inlineStr">
        <is>
          <t>2026-10-05 UTC (WFM pull 02:52-04:00)</t>
        </is>
      </c>
      <c r="P999" t="inlineStr">
        <is>
          <t>OK</t>
        </is>
      </c>
      <c r="R999" t="inlineStr">
        <is>
          <t>Every current tradeable mod at MAX RANK (WFM catalogue, rivens/locators excluded)</t>
        </is>
      </c>
      <c r="S999" t="inlineStr">
        <is>
          <t>molten_impact</t>
        </is>
      </c>
      <c r="T999" t="n">
        <v>6</v>
      </c>
      <c r="U999" t="n">
        <v>6</v>
      </c>
      <c r="V999" t="n">
        <v>5</v>
      </c>
      <c r="W999" t="n">
        <v>7</v>
      </c>
      <c r="X999" t="n">
        <v>9.1</v>
      </c>
      <c r="Y999" t="n">
        <v>14</v>
      </c>
      <c r="Z999" t="n">
        <v>0</v>
      </c>
      <c r="AN999" t="inlineStr">
        <is>
          <t>Melee</t>
        </is>
      </c>
      <c r="AO999" t="n">
        <v>620</v>
      </c>
      <c r="AP999" t="n">
        <v>29946</v>
      </c>
      <c r="AQ999" t="n">
        <v>4.5</v>
      </c>
      <c r="AS999" t="inlineStr">
        <is>
          <t>Yes</t>
        </is>
      </c>
    </row>
    <row r="1000">
      <c r="A1000" t="inlineStr">
        <is>
          <t>Mod</t>
        </is>
      </c>
      <c r="B1000" t="inlineStr">
        <is>
          <t>Momentary Pause</t>
        </is>
      </c>
      <c r="E1000" t="inlineStr">
        <is>
          <t>Conclave (PvP)</t>
        </is>
      </c>
      <c r="F1000" t="n">
        <v>3</v>
      </c>
      <c r="G1000" t="n">
        <v>1</v>
      </c>
      <c r="H1000" t="inlineStr">
        <is>
          <t>Player trade (max rank)</t>
        </is>
      </c>
      <c r="I1000" t="inlineStr">
        <is>
          <t>Yes</t>
        </is>
      </c>
      <c r="K1000" t="inlineStr">
        <is>
          <t>Collection (PvP)</t>
        </is>
      </c>
      <c r="L1000" t="n">
        <v>350</v>
      </c>
      <c r="M1000" t="n">
        <v>350</v>
      </c>
      <c r="N1000" t="n">
        <v>386</v>
      </c>
      <c r="O1000" t="inlineStr">
        <is>
          <t>2026-10-05 UTC (WFM pull 02:52-04:00)</t>
        </is>
      </c>
      <c r="P1000" t="inlineStr">
        <is>
          <t>THIN</t>
        </is>
      </c>
      <c r="R1000" t="inlineStr">
        <is>
          <t>Every current tradeable mod at MAX RANK (WFM catalogue, rivens/locators excluded)</t>
        </is>
      </c>
      <c r="S1000" t="inlineStr">
        <is>
          <t>momentary_pause</t>
        </is>
      </c>
      <c r="T1000" t="n">
        <v>1</v>
      </c>
      <c r="U1000" t="n">
        <v>0</v>
      </c>
      <c r="V1000" t="n">
        <v>50</v>
      </c>
      <c r="W1000" t="n">
        <v>50</v>
      </c>
      <c r="X1000" t="n">
        <v>50</v>
      </c>
      <c r="Y1000" t="n">
        <v>1</v>
      </c>
      <c r="Z1000" t="n">
        <v>0</v>
      </c>
      <c r="AN1000" t="inlineStr">
        <is>
          <t>Conclave (PvP)</t>
        </is>
      </c>
      <c r="AO1000" t="n">
        <v>210</v>
      </c>
      <c r="AP1000" t="n">
        <v>10143</v>
      </c>
      <c r="AQ1000" t="n">
        <v>90</v>
      </c>
      <c r="AS1000" t="inlineStr">
        <is>
          <t>PvP subtotal</t>
        </is>
      </c>
    </row>
    <row r="1001">
      <c r="A1001" t="inlineStr">
        <is>
          <t>Mod</t>
        </is>
      </c>
      <c r="B1001" t="inlineStr">
        <is>
          <t>Momentous Bond</t>
        </is>
      </c>
      <c r="E1001" t="inlineStr">
        <is>
          <t>Companion</t>
        </is>
      </c>
      <c r="F1001" t="n">
        <v>5</v>
      </c>
      <c r="G1001" t="n">
        <v>1</v>
      </c>
      <c r="H1001" t="inlineStr">
        <is>
          <t>Player trade (max rank)</t>
        </is>
      </c>
      <c r="I1001" t="inlineStr">
        <is>
          <t>Yes</t>
        </is>
      </c>
      <c r="K1001" t="inlineStr">
        <is>
          <t>Collection</t>
        </is>
      </c>
      <c r="L1001" t="n">
        <v>20</v>
      </c>
      <c r="M1001" t="n">
        <v>24</v>
      </c>
      <c r="N1001" t="n">
        <v>28</v>
      </c>
      <c r="O1001" t="inlineStr">
        <is>
          <t>2026-10-05 UTC (WFM pull 02:52-04:00)</t>
        </is>
      </c>
      <c r="P1001" t="inlineStr">
        <is>
          <t>OK</t>
        </is>
      </c>
      <c r="R1001" t="inlineStr">
        <is>
          <t>Every current tradeable mod at MAX RANK (WFM catalogue, rivens/locators excluded)</t>
        </is>
      </c>
      <c r="S1001" t="inlineStr">
        <is>
          <t>momentous_bond</t>
        </is>
      </c>
      <c r="T1001" t="n">
        <v>14</v>
      </c>
      <c r="U1001" t="n">
        <v>14</v>
      </c>
      <c r="V1001" t="n">
        <v>20</v>
      </c>
      <c r="W1001" t="n">
        <v>20</v>
      </c>
      <c r="X1001" t="n">
        <v>21.1</v>
      </c>
      <c r="Y1001" t="n">
        <v>1313</v>
      </c>
      <c r="Z1001" t="n">
        <v>27</v>
      </c>
      <c r="AN1001" t="inlineStr">
        <is>
          <t>Companion</t>
        </is>
      </c>
      <c r="AO1001" t="n">
        <v>930</v>
      </c>
      <c r="AP1001" t="n">
        <v>44919</v>
      </c>
      <c r="AQ1001" t="n">
        <v>15</v>
      </c>
      <c r="AS1001" t="inlineStr">
        <is>
          <t>Yes</t>
        </is>
      </c>
    </row>
    <row r="1002">
      <c r="A1002" t="inlineStr">
        <is>
          <t>Mod</t>
        </is>
      </c>
      <c r="B1002" t="inlineStr">
        <is>
          <t>Morphic Transformer</t>
        </is>
      </c>
      <c r="E1002" t="inlineStr">
        <is>
          <t>Archwing</t>
        </is>
      </c>
      <c r="F1002" t="n">
        <v>3</v>
      </c>
      <c r="G1002" t="n">
        <v>1</v>
      </c>
      <c r="H1002" t="inlineStr">
        <is>
          <t>Player trade (max rank)</t>
        </is>
      </c>
      <c r="I1002" t="inlineStr">
        <is>
          <t>Yes</t>
        </is>
      </c>
      <c r="K1002" t="inlineStr">
        <is>
          <t>Collection</t>
        </is>
      </c>
      <c r="L1002" t="n">
        <v>10</v>
      </c>
      <c r="M1002" t="n">
        <v>13</v>
      </c>
      <c r="N1002" t="n">
        <v>17</v>
      </c>
      <c r="O1002" t="inlineStr">
        <is>
          <t>2026-10-05 UTC (WFM pull 02:52-04:00)</t>
        </is>
      </c>
      <c r="P1002" t="inlineStr">
        <is>
          <t>OK</t>
        </is>
      </c>
      <c r="R1002" t="inlineStr">
        <is>
          <t>Every current tradeable mod at MAX RANK (WFM catalogue, rivens/locators excluded)</t>
        </is>
      </c>
      <c r="S1002" t="inlineStr">
        <is>
          <t>morphic_transformer</t>
        </is>
      </c>
      <c r="T1002" t="n">
        <v>7</v>
      </c>
      <c r="U1002" t="n">
        <v>7</v>
      </c>
      <c r="V1002" t="n">
        <v>9.5</v>
      </c>
      <c r="W1002" t="n">
        <v>9</v>
      </c>
      <c r="X1002" t="n">
        <v>9.1</v>
      </c>
      <c r="Y1002" t="n">
        <v>42</v>
      </c>
      <c r="Z1002" t="n">
        <v>0</v>
      </c>
      <c r="AN1002" t="inlineStr">
        <is>
          <t>Archwing</t>
        </is>
      </c>
      <c r="AO1002" t="n">
        <v>210</v>
      </c>
      <c r="AP1002" t="n">
        <v>10143</v>
      </c>
      <c r="AQ1002" t="n">
        <v>5</v>
      </c>
      <c r="AS1002" t="inlineStr">
        <is>
          <t>Yes</t>
        </is>
      </c>
    </row>
    <row r="1003">
      <c r="A1003" t="inlineStr">
        <is>
          <t>Mod</t>
        </is>
      </c>
      <c r="B1003" t="inlineStr">
        <is>
          <t>Mortal Conduct</t>
        </is>
      </c>
      <c r="E1003" t="inlineStr">
        <is>
          <t>Conclave (PvP)</t>
        </is>
      </c>
      <c r="F1003" t="n">
        <v>3</v>
      </c>
      <c r="G1003" t="n">
        <v>1</v>
      </c>
      <c r="H1003" t="inlineStr">
        <is>
          <t>Player trade (max rank)</t>
        </is>
      </c>
      <c r="I1003" t="inlineStr">
        <is>
          <t>Yes</t>
        </is>
      </c>
      <c r="K1003" t="inlineStr">
        <is>
          <t>Collection (PvP)</t>
        </is>
      </c>
      <c r="L1003" t="n">
        <v>20</v>
      </c>
      <c r="M1003" t="n">
        <v>30</v>
      </c>
      <c r="N1003" t="n">
        <v>53</v>
      </c>
      <c r="O1003" t="inlineStr">
        <is>
          <t>2026-10-05 UTC (WFM pull 02:52-04:00)</t>
        </is>
      </c>
      <c r="P1003" t="inlineStr">
        <is>
          <t>OK</t>
        </is>
      </c>
      <c r="R1003" t="inlineStr">
        <is>
          <t>Every current tradeable mod at MAX RANK (WFM catalogue, rivens/locators excluded)</t>
        </is>
      </c>
      <c r="S1003" t="inlineStr">
        <is>
          <t>mortal_conduct</t>
        </is>
      </c>
      <c r="T1003" t="n">
        <v>10</v>
      </c>
      <c r="U1003" t="n">
        <v>1</v>
      </c>
      <c r="W1003" t="n">
        <v>20</v>
      </c>
      <c r="X1003" t="n">
        <v>20</v>
      </c>
      <c r="Y1003" t="n">
        <v>1</v>
      </c>
      <c r="Z1003" t="n">
        <v>0</v>
      </c>
      <c r="AN1003" t="inlineStr">
        <is>
          <t>Conclave (PvP)</t>
        </is>
      </c>
      <c r="AO1003" t="n">
        <v>210</v>
      </c>
      <c r="AP1003" t="n">
        <v>10143</v>
      </c>
      <c r="AQ1003" t="n">
        <v>15</v>
      </c>
      <c r="AS1003" t="inlineStr">
        <is>
          <t>PvP subtotal</t>
        </is>
      </c>
    </row>
    <row r="1004">
      <c r="A1004" t="inlineStr">
        <is>
          <t>Mod</t>
        </is>
      </c>
      <c r="B1004" t="inlineStr">
        <is>
          <t>Motus Impact</t>
        </is>
      </c>
      <c r="E1004" t="inlineStr">
        <is>
          <t>Melee</t>
        </is>
      </c>
      <c r="F1004" t="n">
        <v>3</v>
      </c>
      <c r="G1004" t="n">
        <v>1</v>
      </c>
      <c r="H1004" t="inlineStr">
        <is>
          <t>Player trade (max rank)</t>
        </is>
      </c>
      <c r="I1004" t="inlineStr">
        <is>
          <t>Yes</t>
        </is>
      </c>
      <c r="K1004" t="inlineStr">
        <is>
          <t>Collection</t>
        </is>
      </c>
      <c r="L1004" t="n">
        <v>7</v>
      </c>
      <c r="M1004" t="n">
        <v>9</v>
      </c>
      <c r="N1004" t="n">
        <v>14</v>
      </c>
      <c r="O1004" t="inlineStr">
        <is>
          <t>2026-10-05 UTC (WFM pull 02:52-04:00)</t>
        </is>
      </c>
      <c r="P1004" t="inlineStr">
        <is>
          <t>OK</t>
        </is>
      </c>
      <c r="R1004" t="inlineStr">
        <is>
          <t>Every current tradeable mod at MAX RANK (WFM catalogue, rivens/locators excluded)</t>
        </is>
      </c>
      <c r="S1004" t="inlineStr">
        <is>
          <t>motus_impact</t>
        </is>
      </c>
      <c r="T1004" t="n">
        <v>8</v>
      </c>
      <c r="U1004" t="n">
        <v>8</v>
      </c>
      <c r="V1004" t="n">
        <v>9</v>
      </c>
      <c r="W1004" t="n">
        <v>10</v>
      </c>
      <c r="X1004" t="n">
        <v>11.1</v>
      </c>
      <c r="Y1004" t="n">
        <v>15</v>
      </c>
      <c r="Z1004" t="n">
        <v>0</v>
      </c>
      <c r="AN1004" t="inlineStr">
        <is>
          <t>Melee</t>
        </is>
      </c>
      <c r="AO1004" t="n">
        <v>140</v>
      </c>
      <c r="AP1004" t="n">
        <v>6762</v>
      </c>
      <c r="AQ1004" t="n">
        <v>3</v>
      </c>
      <c r="AS1004" t="inlineStr">
        <is>
          <t>Yes</t>
        </is>
      </c>
    </row>
    <row r="1005">
      <c r="A1005" t="inlineStr">
        <is>
          <t>Mod</t>
        </is>
      </c>
      <c r="B1005" t="inlineStr">
        <is>
          <t>Motus Setup</t>
        </is>
      </c>
      <c r="E1005" t="inlineStr">
        <is>
          <t>Shotgun</t>
        </is>
      </c>
      <c r="F1005" t="n">
        <v>3</v>
      </c>
      <c r="G1005" t="n">
        <v>1</v>
      </c>
      <c r="H1005" t="inlineStr">
        <is>
          <t>Player trade (max rank)</t>
        </is>
      </c>
      <c r="I1005" t="inlineStr">
        <is>
          <t>Yes</t>
        </is>
      </c>
      <c r="K1005" t="inlineStr">
        <is>
          <t>Collection</t>
        </is>
      </c>
      <c r="L1005" t="n">
        <v>15</v>
      </c>
      <c r="M1005" t="n">
        <v>15</v>
      </c>
      <c r="N1005" t="n">
        <v>33</v>
      </c>
      <c r="O1005" t="inlineStr">
        <is>
          <t>2026-10-05 UTC (WFM pull 02:52-04:00)</t>
        </is>
      </c>
      <c r="P1005" t="inlineStr">
        <is>
          <t>OK</t>
        </is>
      </c>
      <c r="R1005" t="inlineStr">
        <is>
          <t>Every current tradeable mod at MAX RANK (WFM catalogue, rivens/locators excluded)</t>
        </is>
      </c>
      <c r="S1005" t="inlineStr">
        <is>
          <t>motus_setup</t>
        </is>
      </c>
      <c r="T1005" t="n">
        <v>3</v>
      </c>
      <c r="U1005" t="n">
        <v>3</v>
      </c>
      <c r="V1005" t="n">
        <v>10</v>
      </c>
      <c r="W1005" t="n">
        <v>10</v>
      </c>
      <c r="X1005" t="n">
        <v>10.7</v>
      </c>
      <c r="Y1005" t="n">
        <v>31</v>
      </c>
      <c r="Z1005" t="n">
        <v>0</v>
      </c>
      <c r="AN1005" t="inlineStr">
        <is>
          <t>Shotgun</t>
        </is>
      </c>
      <c r="AO1005" t="n">
        <v>210</v>
      </c>
      <c r="AP1005" t="n">
        <v>10143</v>
      </c>
      <c r="AQ1005" t="n">
        <v>4</v>
      </c>
      <c r="AS1005" t="inlineStr">
        <is>
          <t>Yes</t>
        </is>
      </c>
    </row>
    <row r="1006">
      <c r="A1006" t="inlineStr">
        <is>
          <t>Mod</t>
        </is>
      </c>
      <c r="B1006" t="inlineStr">
        <is>
          <t>Motus Signal</t>
        </is>
      </c>
      <c r="E1006" t="inlineStr">
        <is>
          <t>Warframe</t>
        </is>
      </c>
      <c r="F1006" t="n">
        <v>3</v>
      </c>
      <c r="G1006" t="n">
        <v>1</v>
      </c>
      <c r="H1006" t="inlineStr">
        <is>
          <t>Player trade (max rank)</t>
        </is>
      </c>
      <c r="I1006" t="inlineStr">
        <is>
          <t>Yes</t>
        </is>
      </c>
      <c r="K1006" t="inlineStr">
        <is>
          <t>Collection</t>
        </is>
      </c>
      <c r="L1006" t="n">
        <v>9</v>
      </c>
      <c r="M1006" t="n">
        <v>12</v>
      </c>
      <c r="N1006" t="n">
        <v>27</v>
      </c>
      <c r="O1006" t="inlineStr">
        <is>
          <t>2026-10-05 UTC (WFM pull 02:52-04:00)</t>
        </is>
      </c>
      <c r="P1006" t="inlineStr">
        <is>
          <t>OK</t>
        </is>
      </c>
      <c r="R1006" t="inlineStr">
        <is>
          <t>Every current tradeable mod at MAX RANK (WFM catalogue, rivens/locators excluded)</t>
        </is>
      </c>
      <c r="S1006" t="inlineStr">
        <is>
          <t>motus_signal</t>
        </is>
      </c>
      <c r="T1006" t="n">
        <v>4</v>
      </c>
      <c r="U1006" t="n">
        <v>4</v>
      </c>
      <c r="V1006" t="n">
        <v>8</v>
      </c>
      <c r="W1006" t="n">
        <v>9</v>
      </c>
      <c r="X1006" t="n">
        <v>10.1</v>
      </c>
      <c r="Y1006" t="n">
        <v>14</v>
      </c>
      <c r="Z1006" t="n">
        <v>0</v>
      </c>
      <c r="AN1006" t="inlineStr">
        <is>
          <t>Warframe</t>
        </is>
      </c>
      <c r="AO1006" t="n">
        <v>70</v>
      </c>
      <c r="AP1006" t="n">
        <v>3381</v>
      </c>
      <c r="AQ1006" t="n">
        <v>3</v>
      </c>
      <c r="AS1006" t="inlineStr">
        <is>
          <t>Yes</t>
        </is>
      </c>
    </row>
    <row r="1007">
      <c r="A1007" t="inlineStr">
        <is>
          <t>Mod</t>
        </is>
      </c>
      <c r="B1007" t="inlineStr">
        <is>
          <t>Mountain's Edge</t>
        </is>
      </c>
      <c r="E1007" t="inlineStr">
        <is>
          <t>Stance</t>
        </is>
      </c>
      <c r="F1007" t="n">
        <v>3</v>
      </c>
      <c r="G1007" t="n">
        <v>1</v>
      </c>
      <c r="H1007" t="inlineStr">
        <is>
          <t>Player trade (max rank)</t>
        </is>
      </c>
      <c r="I1007" t="inlineStr">
        <is>
          <t>Yes</t>
        </is>
      </c>
      <c r="K1007" t="inlineStr">
        <is>
          <t>Collection</t>
        </is>
      </c>
      <c r="L1007" t="n">
        <v>7</v>
      </c>
      <c r="M1007" t="n">
        <v>10</v>
      </c>
      <c r="N1007" t="n">
        <v>22</v>
      </c>
      <c r="O1007" t="inlineStr">
        <is>
          <t>2026-10-05 UTC (WFM pull 02:52-04:00)</t>
        </is>
      </c>
      <c r="P1007" t="inlineStr">
        <is>
          <t>OK</t>
        </is>
      </c>
      <c r="R1007" t="inlineStr">
        <is>
          <t>Every current tradeable mod at MAX RANK (WFM catalogue, rivens/locators excluded)</t>
        </is>
      </c>
      <c r="S1007" t="inlineStr">
        <is>
          <t>mountains_edge</t>
        </is>
      </c>
      <c r="T1007" t="n">
        <v>10</v>
      </c>
      <c r="U1007" t="n">
        <v>0</v>
      </c>
      <c r="V1007" t="n">
        <v>25</v>
      </c>
      <c r="W1007" t="n">
        <v>15</v>
      </c>
      <c r="X1007" t="n">
        <v>17.5</v>
      </c>
      <c r="Y1007" t="n">
        <v>13</v>
      </c>
      <c r="Z1007" t="n">
        <v>0</v>
      </c>
      <c r="AN1007" t="inlineStr">
        <is>
          <t>Stance</t>
        </is>
      </c>
      <c r="AO1007" t="n">
        <v>140</v>
      </c>
      <c r="AP1007" t="n">
        <v>6762</v>
      </c>
      <c r="AQ1007" t="n">
        <v>4</v>
      </c>
      <c r="AS1007" t="inlineStr">
        <is>
          <t>Yes</t>
        </is>
      </c>
    </row>
    <row r="1008">
      <c r="A1008" t="inlineStr">
        <is>
          <t>Mod</t>
        </is>
      </c>
      <c r="B1008" t="inlineStr">
        <is>
          <t>Munitions Vortex</t>
        </is>
      </c>
      <c r="E1008" t="inlineStr">
        <is>
          <t>Railjack (Battle, Slot 1)</t>
        </is>
      </c>
      <c r="F1008" t="n">
        <v>5</v>
      </c>
      <c r="G1008" t="n">
        <v>1</v>
      </c>
      <c r="H1008" t="inlineStr">
        <is>
          <t>Player trade (max rank)</t>
        </is>
      </c>
      <c r="I1008" t="inlineStr">
        <is>
          <t>Yes</t>
        </is>
      </c>
      <c r="K1008" t="inlineStr">
        <is>
          <t>Collection</t>
        </is>
      </c>
      <c r="L1008" t="n">
        <v>9</v>
      </c>
      <c r="M1008" t="n">
        <v>10</v>
      </c>
      <c r="N1008" t="n">
        <v>17</v>
      </c>
      <c r="O1008" t="inlineStr">
        <is>
          <t>2026-10-05 UTC (WFM pull 02:52-04:00)</t>
        </is>
      </c>
      <c r="P1008" t="inlineStr">
        <is>
          <t>OK</t>
        </is>
      </c>
      <c r="R1008" t="inlineStr">
        <is>
          <t>Every current tradeable mod at MAX RANK (WFM catalogue, rivens/locators excluded)</t>
        </is>
      </c>
      <c r="S1008" t="inlineStr">
        <is>
          <t>munitions_vortex</t>
        </is>
      </c>
      <c r="T1008" t="n">
        <v>71</v>
      </c>
      <c r="U1008" t="n">
        <v>0</v>
      </c>
      <c r="V1008" t="n">
        <v>15</v>
      </c>
      <c r="W1008" t="n">
        <v>15</v>
      </c>
      <c r="X1008" t="n">
        <v>18.8</v>
      </c>
      <c r="Y1008" t="n">
        <v>5</v>
      </c>
      <c r="Z1008" t="n">
        <v>0</v>
      </c>
      <c r="AN1008" t="inlineStr">
        <is>
          <t>Railjack (Battle, Slot 1)</t>
        </is>
      </c>
      <c r="AO1008" t="n">
        <v>620</v>
      </c>
      <c r="AP1008" t="n">
        <v>29946</v>
      </c>
      <c r="AQ1008" t="n">
        <v>5</v>
      </c>
      <c r="AS1008" t="inlineStr">
        <is>
          <t>Yes</t>
        </is>
      </c>
    </row>
    <row r="1009">
      <c r="A1009" t="inlineStr">
        <is>
          <t>Mod</t>
        </is>
      </c>
      <c r="B1009" t="inlineStr">
        <is>
          <t>Muzzle Flash</t>
        </is>
      </c>
      <c r="E1009" t="inlineStr">
        <is>
          <t>Augment Mesa</t>
        </is>
      </c>
      <c r="F1009" t="n">
        <v>3</v>
      </c>
      <c r="G1009" t="n">
        <v>1</v>
      </c>
      <c r="H1009" t="inlineStr">
        <is>
          <t>Player trade (max rank)</t>
        </is>
      </c>
      <c r="I1009" t="inlineStr">
        <is>
          <t>Yes</t>
        </is>
      </c>
      <c r="K1009" t="inlineStr">
        <is>
          <t>Collection</t>
        </is>
      </c>
      <c r="L1009" t="n">
        <v>10</v>
      </c>
      <c r="M1009" t="n">
        <v>12</v>
      </c>
      <c r="N1009" t="n">
        <v>17</v>
      </c>
      <c r="O1009" t="inlineStr">
        <is>
          <t>2026-10-05 UTC (WFM pull 02:52-04:00)</t>
        </is>
      </c>
      <c r="P1009" t="inlineStr">
        <is>
          <t>OK</t>
        </is>
      </c>
      <c r="R1009" t="inlineStr">
        <is>
          <t>Every current tradeable mod at MAX RANK (WFM catalogue, rivens/locators excluded)</t>
        </is>
      </c>
      <c r="S1009" t="inlineStr">
        <is>
          <t>muzzle_flash</t>
        </is>
      </c>
      <c r="T1009" t="n">
        <v>73</v>
      </c>
      <c r="U1009" t="n">
        <v>1</v>
      </c>
      <c r="V1009" t="n">
        <v>15</v>
      </c>
      <c r="W1009" t="n">
        <v>15</v>
      </c>
      <c r="X1009" t="n">
        <v>15.5</v>
      </c>
      <c r="Y1009" t="n">
        <v>472</v>
      </c>
      <c r="Z1009" t="n">
        <v>2</v>
      </c>
      <c r="AN1009" t="inlineStr">
        <is>
          <t>Augment Mesa</t>
        </is>
      </c>
      <c r="AO1009" t="n">
        <v>210</v>
      </c>
      <c r="AP1009" t="n">
        <v>10143</v>
      </c>
      <c r="AQ1009" t="n">
        <v>15</v>
      </c>
      <c r="AS1009" t="inlineStr">
        <is>
          <t>Yes</t>
        </is>
      </c>
    </row>
    <row r="1010">
      <c r="A1010" t="inlineStr">
        <is>
          <t>Mod</t>
        </is>
      </c>
      <c r="B1010" t="inlineStr">
        <is>
          <t>Mystic Bond</t>
        </is>
      </c>
      <c r="E1010" t="inlineStr">
        <is>
          <t>Companion</t>
        </is>
      </c>
      <c r="F1010" t="n">
        <v>5</v>
      </c>
      <c r="G1010" t="n">
        <v>1</v>
      </c>
      <c r="H1010" t="inlineStr">
        <is>
          <t>Player trade (max rank)</t>
        </is>
      </c>
      <c r="I1010" t="inlineStr">
        <is>
          <t>Yes</t>
        </is>
      </c>
      <c r="K1010" t="inlineStr">
        <is>
          <t>Collection</t>
        </is>
      </c>
      <c r="L1010" t="n">
        <v>12</v>
      </c>
      <c r="M1010" t="n">
        <v>19</v>
      </c>
      <c r="N1010" t="n">
        <v>22</v>
      </c>
      <c r="O1010" t="inlineStr">
        <is>
          <t>2026-10-05 UTC (WFM pull 02:52-04:00)</t>
        </is>
      </c>
      <c r="P1010" t="inlineStr">
        <is>
          <t>OK</t>
        </is>
      </c>
      <c r="R1010" t="inlineStr">
        <is>
          <t>Every current tradeable mod at MAX RANK (WFM catalogue, rivens/locators excluded)</t>
        </is>
      </c>
      <c r="S1010" t="inlineStr">
        <is>
          <t>mystic_bond</t>
        </is>
      </c>
      <c r="T1010" t="n">
        <v>14</v>
      </c>
      <c r="U1010" t="n">
        <v>14</v>
      </c>
      <c r="V1010" t="n">
        <v>19</v>
      </c>
      <c r="W1010" t="n">
        <v>20</v>
      </c>
      <c r="X1010" t="n">
        <v>19.4</v>
      </c>
      <c r="Y1010" t="n">
        <v>290</v>
      </c>
      <c r="Z1010" t="n">
        <v>4</v>
      </c>
      <c r="AA1010" t="n">
        <v>9</v>
      </c>
      <c r="AB1010" t="n">
        <v>3</v>
      </c>
      <c r="AN1010" t="inlineStr">
        <is>
          <t>Companion</t>
        </is>
      </c>
      <c r="AO1010" t="n">
        <v>930</v>
      </c>
      <c r="AP1010" t="n">
        <v>44919</v>
      </c>
      <c r="AQ1010" t="n">
        <v>17.5</v>
      </c>
      <c r="AS1010" t="inlineStr">
        <is>
          <t>Yes</t>
        </is>
      </c>
    </row>
    <row r="1011">
      <c r="A1011" t="inlineStr">
        <is>
          <t>Mod</t>
        </is>
      </c>
      <c r="B1011" t="inlineStr">
        <is>
          <t>Nano-Applicator</t>
        </is>
      </c>
      <c r="E1011" t="inlineStr">
        <is>
          <t>Shotgun</t>
        </is>
      </c>
      <c r="F1011" t="n">
        <v>5</v>
      </c>
      <c r="G1011" t="n">
        <v>1</v>
      </c>
      <c r="H1011" t="inlineStr">
        <is>
          <t>Player trade (max rank)</t>
        </is>
      </c>
      <c r="I1011" t="inlineStr">
        <is>
          <t>Yes</t>
        </is>
      </c>
      <c r="K1011" t="inlineStr">
        <is>
          <t>Collection</t>
        </is>
      </c>
      <c r="L1011" t="n">
        <v>5</v>
      </c>
      <c r="M1011" t="n">
        <v>8</v>
      </c>
      <c r="N1011" t="n">
        <v>11</v>
      </c>
      <c r="O1011" t="inlineStr">
        <is>
          <t>2026-10-05 UTC (WFM pull 02:52-04:00)</t>
        </is>
      </c>
      <c r="P1011" t="inlineStr">
        <is>
          <t>OK</t>
        </is>
      </c>
      <c r="R1011" t="inlineStr">
        <is>
          <t>Every current tradeable mod at MAX RANK (WFM catalogue, rivens/locators excluded)</t>
        </is>
      </c>
      <c r="S1011" t="inlineStr">
        <is>
          <t>nano_applicator</t>
        </is>
      </c>
      <c r="T1011" t="n">
        <v>68</v>
      </c>
      <c r="U1011" t="n">
        <v>2</v>
      </c>
      <c r="V1011" t="n">
        <v>10</v>
      </c>
      <c r="W1011" t="n">
        <v>8</v>
      </c>
      <c r="X1011" t="n">
        <v>9.4</v>
      </c>
      <c r="Y1011" t="n">
        <v>11</v>
      </c>
      <c r="Z1011" t="n">
        <v>0</v>
      </c>
      <c r="AN1011" t="inlineStr">
        <is>
          <t>Shotgun</t>
        </is>
      </c>
      <c r="AO1011" t="n">
        <v>930</v>
      </c>
      <c r="AP1011" t="n">
        <v>44919</v>
      </c>
      <c r="AQ1011" t="n">
        <v>6</v>
      </c>
      <c r="AS1011" t="inlineStr">
        <is>
          <t>Yes</t>
        </is>
      </c>
    </row>
    <row r="1012">
      <c r="A1012" t="inlineStr">
        <is>
          <t>Mod</t>
        </is>
      </c>
      <c r="B1012" t="inlineStr">
        <is>
          <t>Napalm Grenades</t>
        </is>
      </c>
      <c r="E1012" t="inlineStr">
        <is>
          <t>Augment Penta</t>
        </is>
      </c>
      <c r="F1012" t="n">
        <v>5</v>
      </c>
      <c r="G1012" t="n">
        <v>1</v>
      </c>
      <c r="H1012" t="inlineStr">
        <is>
          <t>Player trade (max rank)</t>
        </is>
      </c>
      <c r="I1012" t="inlineStr">
        <is>
          <t>Yes</t>
        </is>
      </c>
      <c r="K1012" t="inlineStr">
        <is>
          <t>Collection</t>
        </is>
      </c>
      <c r="L1012" t="n">
        <v>20</v>
      </c>
      <c r="M1012" t="n">
        <v>37.5</v>
      </c>
      <c r="N1012" t="n">
        <v>83</v>
      </c>
      <c r="O1012" t="inlineStr">
        <is>
          <t>2026-10-05 UTC (WFM pull 02:52-04:00)</t>
        </is>
      </c>
      <c r="P1012" t="inlineStr">
        <is>
          <t>OK</t>
        </is>
      </c>
      <c r="R1012" t="inlineStr">
        <is>
          <t>Every current tradeable mod at MAX RANK (WFM catalogue, rivens/locators excluded)</t>
        </is>
      </c>
      <c r="S1012" t="inlineStr">
        <is>
          <t>napalm_grenades</t>
        </is>
      </c>
      <c r="T1012" t="n">
        <v>3</v>
      </c>
      <c r="U1012" t="n">
        <v>3</v>
      </c>
      <c r="V1012" t="n">
        <v>25</v>
      </c>
      <c r="W1012" t="n">
        <v>22.5</v>
      </c>
      <c r="X1012" t="n">
        <v>24.4</v>
      </c>
      <c r="Y1012" t="n">
        <v>37</v>
      </c>
      <c r="Z1012" t="n">
        <v>0</v>
      </c>
      <c r="AN1012" t="inlineStr">
        <is>
          <t>Augment Penta</t>
        </is>
      </c>
      <c r="AO1012" t="n">
        <v>930</v>
      </c>
      <c r="AP1012" t="n">
        <v>44919</v>
      </c>
      <c r="AQ1012" t="n">
        <v>10</v>
      </c>
      <c r="AS1012" t="inlineStr">
        <is>
          <t>Yes</t>
        </is>
      </c>
    </row>
    <row r="1013">
      <c r="A1013" t="inlineStr">
        <is>
          <t>Mod</t>
        </is>
      </c>
      <c r="B1013" t="inlineStr">
        <is>
          <t>Naramon Transmute Core</t>
        </is>
      </c>
      <c r="E1013" t="inlineStr">
        <is>
          <t>Mod</t>
        </is>
      </c>
      <c r="G1013" t="n">
        <v>1</v>
      </c>
      <c r="H1013" t="inlineStr">
        <is>
          <t>Player trade (max rank)</t>
        </is>
      </c>
      <c r="I1013" t="inlineStr">
        <is>
          <t>Yes</t>
        </is>
      </c>
      <c r="K1013" t="inlineStr">
        <is>
          <t>Collection</t>
        </is>
      </c>
      <c r="L1013" t="n">
        <v>15</v>
      </c>
      <c r="M1013" t="n">
        <v>15</v>
      </c>
      <c r="N1013" t="n">
        <v>22</v>
      </c>
      <c r="O1013" t="inlineStr">
        <is>
          <t>2026-10-05 UTC (WFM pull 02:52-04:00)</t>
        </is>
      </c>
      <c r="P1013" t="inlineStr">
        <is>
          <t>OK</t>
        </is>
      </c>
      <c r="R1013" t="inlineStr">
        <is>
          <t>Every current tradeable mod at MAX RANK (WFM catalogue, rivens/locators excluded)</t>
        </is>
      </c>
      <c r="S1013" t="inlineStr">
        <is>
          <t>naramon_transmute_core</t>
        </is>
      </c>
      <c r="T1013" t="n">
        <v>3</v>
      </c>
      <c r="U1013" t="n">
        <v>3</v>
      </c>
      <c r="V1013" t="n">
        <v>10</v>
      </c>
      <c r="W1013" t="n">
        <v>13</v>
      </c>
      <c r="X1013" t="n">
        <v>13.4</v>
      </c>
      <c r="Y1013" t="n">
        <v>8</v>
      </c>
      <c r="Z1013" t="n">
        <v>1</v>
      </c>
      <c r="AN1013" t="inlineStr">
        <is>
          <t>Mod</t>
        </is>
      </c>
      <c r="AO1013" t="n">
        <v>0</v>
      </c>
      <c r="AP1013" t="n">
        <v>0</v>
      </c>
      <c r="AS1013" t="inlineStr">
        <is>
          <t>Yes</t>
        </is>
      </c>
    </row>
    <row r="1014">
      <c r="A1014" t="inlineStr">
        <is>
          <t>Mod</t>
        </is>
      </c>
      <c r="B1014" t="inlineStr">
        <is>
          <t>Narrow Barrel</t>
        </is>
      </c>
      <c r="E1014" t="inlineStr">
        <is>
          <t>Shotgun</t>
        </is>
      </c>
      <c r="F1014" t="n">
        <v>5</v>
      </c>
      <c r="G1014" t="n">
        <v>1</v>
      </c>
      <c r="H1014" t="inlineStr">
        <is>
          <t>Player trade (max rank)</t>
        </is>
      </c>
      <c r="I1014" t="inlineStr">
        <is>
          <t>Yes</t>
        </is>
      </c>
      <c r="K1014" t="inlineStr">
        <is>
          <t>Collection</t>
        </is>
      </c>
      <c r="L1014" t="n">
        <v>8</v>
      </c>
      <c r="M1014" t="n">
        <v>10</v>
      </c>
      <c r="N1014" t="n">
        <v>17</v>
      </c>
      <c r="O1014" t="inlineStr">
        <is>
          <t>2026-10-05 UTC (WFM pull 02:52-04:00)</t>
        </is>
      </c>
      <c r="P1014" t="inlineStr">
        <is>
          <t>OK</t>
        </is>
      </c>
      <c r="R1014" t="inlineStr">
        <is>
          <t>Every current tradeable mod at MAX RANK (WFM catalogue, rivens/locators excluded)</t>
        </is>
      </c>
      <c r="S1014" t="inlineStr">
        <is>
          <t>narrow_barrel</t>
        </is>
      </c>
      <c r="T1014" t="n">
        <v>57</v>
      </c>
      <c r="U1014" t="n">
        <v>2</v>
      </c>
      <c r="V1014" t="n">
        <v>15</v>
      </c>
      <c r="W1014" t="n">
        <v>15</v>
      </c>
      <c r="X1014" t="n">
        <v>15.4</v>
      </c>
      <c r="Y1014" t="n">
        <v>91</v>
      </c>
      <c r="Z1014" t="n">
        <v>2</v>
      </c>
      <c r="AN1014" t="inlineStr">
        <is>
          <t>Shotgun</t>
        </is>
      </c>
      <c r="AO1014" t="n">
        <v>930</v>
      </c>
      <c r="AP1014" t="n">
        <v>44919</v>
      </c>
      <c r="AQ1014" t="n">
        <v>6</v>
      </c>
      <c r="AS1014" t="inlineStr">
        <is>
          <t>Yes</t>
        </is>
      </c>
    </row>
    <row r="1015">
      <c r="A1015" t="inlineStr">
        <is>
          <t>Mod</t>
        </is>
      </c>
      <c r="B1015" t="inlineStr">
        <is>
          <t>Narrow Minded</t>
        </is>
      </c>
      <c r="E1015" t="inlineStr">
        <is>
          <t>Warframe</t>
        </is>
      </c>
      <c r="F1015" t="n">
        <v>10</v>
      </c>
      <c r="G1015" t="n">
        <v>1</v>
      </c>
      <c r="H1015" t="inlineStr">
        <is>
          <t>Player trade (max rank)</t>
        </is>
      </c>
      <c r="I1015" t="inlineStr">
        <is>
          <t>Yes</t>
        </is>
      </c>
      <c r="K1015" t="inlineStr">
        <is>
          <t>Collection</t>
        </is>
      </c>
      <c r="L1015" t="n">
        <v>73</v>
      </c>
      <c r="M1015" t="n">
        <v>74</v>
      </c>
      <c r="N1015" t="n">
        <v>88</v>
      </c>
      <c r="O1015" t="inlineStr">
        <is>
          <t>2026-10-05 UTC (WFM pull 02:52-04:00)</t>
        </is>
      </c>
      <c r="P1015" t="inlineStr">
        <is>
          <t>OK</t>
        </is>
      </c>
      <c r="R1015" t="inlineStr">
        <is>
          <t>Every current tradeable mod at MAX RANK (WFM catalogue, rivens/locators excluded)</t>
        </is>
      </c>
      <c r="S1015" t="inlineStr">
        <is>
          <t>narrow_minded</t>
        </is>
      </c>
      <c r="T1015" t="n">
        <v>20</v>
      </c>
      <c r="U1015" t="n">
        <v>20</v>
      </c>
      <c r="V1015" t="n">
        <v>70</v>
      </c>
      <c r="W1015" t="n">
        <v>70</v>
      </c>
      <c r="X1015" t="n">
        <v>69.7</v>
      </c>
      <c r="Y1015" t="n">
        <v>4351</v>
      </c>
      <c r="Z1015" t="n">
        <v>103</v>
      </c>
      <c r="AA1015" t="n">
        <v>58</v>
      </c>
      <c r="AB1015" t="n">
        <v>15</v>
      </c>
      <c r="AN1015" t="inlineStr">
        <is>
          <t>Warframe</t>
        </is>
      </c>
      <c r="AO1015" t="n">
        <v>30690</v>
      </c>
      <c r="AP1015" t="n">
        <v>1482327</v>
      </c>
      <c r="AQ1015" t="n">
        <v>10</v>
      </c>
      <c r="AS1015" t="inlineStr">
        <is>
          <t>Yes</t>
        </is>
      </c>
    </row>
    <row r="1016">
      <c r="A1016" t="inlineStr">
        <is>
          <t>Mod</t>
        </is>
      </c>
      <c r="B1016" t="inlineStr">
        <is>
          <t>Natural Talent</t>
        </is>
      </c>
      <c r="E1016" t="inlineStr">
        <is>
          <t>Warframe</t>
        </is>
      </c>
      <c r="F1016" t="n">
        <v>3</v>
      </c>
      <c r="G1016" t="n">
        <v>1</v>
      </c>
      <c r="H1016" t="inlineStr">
        <is>
          <t>Player trade (max rank)</t>
        </is>
      </c>
      <c r="I1016" t="inlineStr">
        <is>
          <t>Yes</t>
        </is>
      </c>
      <c r="K1016" t="inlineStr">
        <is>
          <t>Collection</t>
        </is>
      </c>
      <c r="L1016" t="n">
        <v>20</v>
      </c>
      <c r="M1016" t="n">
        <v>22.5</v>
      </c>
      <c r="N1016" t="n">
        <v>50</v>
      </c>
      <c r="O1016" t="inlineStr">
        <is>
          <t>2026-10-05 UTC (WFM pull 02:52-04:00)</t>
        </is>
      </c>
      <c r="P1016" t="inlineStr">
        <is>
          <t>OK</t>
        </is>
      </c>
      <c r="R1016" t="inlineStr">
        <is>
          <t>Every current tradeable mod at MAX RANK (WFM catalogue, rivens/locators excluded)</t>
        </is>
      </c>
      <c r="S1016" t="inlineStr">
        <is>
          <t>natural_talent</t>
        </is>
      </c>
      <c r="T1016" t="n">
        <v>4</v>
      </c>
      <c r="U1016" t="n">
        <v>4</v>
      </c>
      <c r="V1016" t="n">
        <v>15</v>
      </c>
      <c r="W1016" t="n">
        <v>15</v>
      </c>
      <c r="X1016" t="n">
        <v>13.8</v>
      </c>
      <c r="Y1016" t="n">
        <v>634</v>
      </c>
      <c r="Z1016" t="n">
        <v>17</v>
      </c>
      <c r="AN1016" t="inlineStr">
        <is>
          <t>Warframe</t>
        </is>
      </c>
      <c r="AO1016" t="n">
        <v>210</v>
      </c>
      <c r="AP1016" t="n">
        <v>10143</v>
      </c>
      <c r="AQ1016" t="n">
        <v>10</v>
      </c>
      <c r="AS1016" t="inlineStr">
        <is>
          <t>Yes</t>
        </is>
      </c>
    </row>
    <row r="1017">
      <c r="A1017" t="inlineStr">
        <is>
          <t>Mod</t>
        </is>
      </c>
      <c r="B1017" t="inlineStr">
        <is>
          <t>Nebula Bore</t>
        </is>
      </c>
      <c r="E1017" t="inlineStr">
        <is>
          <t>Archmelee</t>
        </is>
      </c>
      <c r="F1017" t="n">
        <v>5</v>
      </c>
      <c r="G1017" t="n">
        <v>1</v>
      </c>
      <c r="H1017" t="inlineStr">
        <is>
          <t>Player trade (max rank)</t>
        </is>
      </c>
      <c r="I1017" t="inlineStr">
        <is>
          <t>Yes</t>
        </is>
      </c>
      <c r="K1017" t="inlineStr">
        <is>
          <t>Collection</t>
        </is>
      </c>
      <c r="L1017" t="n">
        <v>50</v>
      </c>
      <c r="M1017" t="n">
        <v>50</v>
      </c>
      <c r="N1017" t="n">
        <v>100</v>
      </c>
      <c r="O1017" t="inlineStr">
        <is>
          <t>2026-10-05 UTC (WFM pull 02:52-04:00)</t>
        </is>
      </c>
      <c r="P1017" t="inlineStr">
        <is>
          <t>OK</t>
        </is>
      </c>
      <c r="R1017" t="inlineStr">
        <is>
          <t>Every current tradeable mod at MAX RANK (WFM catalogue, rivens/locators excluded)</t>
        </is>
      </c>
      <c r="S1017" t="inlineStr">
        <is>
          <t>nebula_bore</t>
        </is>
      </c>
      <c r="T1017" t="n">
        <v>3</v>
      </c>
      <c r="U1017" t="n">
        <v>3</v>
      </c>
      <c r="V1017" t="n">
        <v>15</v>
      </c>
      <c r="W1017" t="n">
        <v>15</v>
      </c>
      <c r="X1017" t="n">
        <v>15.4</v>
      </c>
      <c r="Y1017" t="n">
        <v>10</v>
      </c>
      <c r="Z1017" t="n">
        <v>0</v>
      </c>
      <c r="AN1017" t="inlineStr">
        <is>
          <t>Archmelee</t>
        </is>
      </c>
      <c r="AO1017" t="n">
        <v>930</v>
      </c>
      <c r="AP1017" t="n">
        <v>44919</v>
      </c>
      <c r="AQ1017" t="n">
        <v>5</v>
      </c>
      <c r="AS1017" t="inlineStr">
        <is>
          <t>Yes</t>
        </is>
      </c>
    </row>
    <row r="1018">
      <c r="A1018" t="inlineStr">
        <is>
          <t>Mod</t>
        </is>
      </c>
      <c r="B1018" t="inlineStr">
        <is>
          <t>Necramech Augur</t>
        </is>
      </c>
      <c r="E1018" t="inlineStr">
        <is>
          <t>Necramech</t>
        </is>
      </c>
      <c r="F1018" t="n">
        <v>5</v>
      </c>
      <c r="G1018" t="n">
        <v>1</v>
      </c>
      <c r="H1018" t="inlineStr">
        <is>
          <t>Player trade (max rank)</t>
        </is>
      </c>
      <c r="I1018" t="inlineStr">
        <is>
          <t>Yes</t>
        </is>
      </c>
      <c r="K1018" t="inlineStr">
        <is>
          <t>Collection</t>
        </is>
      </c>
      <c r="L1018" t="n">
        <v>15</v>
      </c>
      <c r="M1018" t="n">
        <v>15</v>
      </c>
      <c r="N1018" t="n">
        <v>22</v>
      </c>
      <c r="O1018" t="inlineStr">
        <is>
          <t>2026-10-05 UTC (WFM pull 02:52-04:00)</t>
        </is>
      </c>
      <c r="P1018" t="inlineStr">
        <is>
          <t>OK</t>
        </is>
      </c>
      <c r="R1018" t="inlineStr">
        <is>
          <t>Every current tradeable mod at MAX RANK (WFM catalogue, rivens/locators excluded)</t>
        </is>
      </c>
      <c r="S1018" t="inlineStr">
        <is>
          <t>necramech_augur</t>
        </is>
      </c>
      <c r="T1018" t="n">
        <v>50</v>
      </c>
      <c r="U1018" t="n">
        <v>1</v>
      </c>
      <c r="V1018" t="n">
        <v>20</v>
      </c>
      <c r="W1018" t="n">
        <v>19</v>
      </c>
      <c r="X1018" t="n">
        <v>18.6</v>
      </c>
      <c r="Y1018" t="n">
        <v>25</v>
      </c>
      <c r="Z1018" t="n">
        <v>0</v>
      </c>
      <c r="AN1018" t="inlineStr">
        <is>
          <t>Necramech</t>
        </is>
      </c>
      <c r="AO1018" t="n">
        <v>620</v>
      </c>
      <c r="AP1018" t="n">
        <v>29946</v>
      </c>
      <c r="AQ1018" t="n">
        <v>14</v>
      </c>
      <c r="AS1018" t="inlineStr">
        <is>
          <t>Yes</t>
        </is>
      </c>
    </row>
    <row r="1019">
      <c r="A1019" t="inlineStr">
        <is>
          <t>Mod</t>
        </is>
      </c>
      <c r="B1019" t="inlineStr">
        <is>
          <t>Necramech Aviator</t>
        </is>
      </c>
      <c r="E1019" t="inlineStr">
        <is>
          <t>Necramech</t>
        </is>
      </c>
      <c r="F1019" t="n">
        <v>3</v>
      </c>
      <c r="G1019" t="n">
        <v>1</v>
      </c>
      <c r="H1019" t="inlineStr">
        <is>
          <t>Player trade (max rank)</t>
        </is>
      </c>
      <c r="I1019" t="inlineStr">
        <is>
          <t>Yes</t>
        </is>
      </c>
      <c r="K1019" t="inlineStr">
        <is>
          <t>Collection</t>
        </is>
      </c>
      <c r="L1019" t="n">
        <v>19</v>
      </c>
      <c r="M1019" t="n">
        <v>26.5</v>
      </c>
      <c r="N1019" t="n">
        <v>43</v>
      </c>
      <c r="O1019" t="inlineStr">
        <is>
          <t>2026-10-05 UTC (WFM pull 02:52-04:00)</t>
        </is>
      </c>
      <c r="P1019" t="inlineStr">
        <is>
          <t>OK</t>
        </is>
      </c>
      <c r="R1019" t="inlineStr">
        <is>
          <t>Every current tradeable mod at MAX RANK (WFM catalogue, rivens/locators excluded)</t>
        </is>
      </c>
      <c r="S1019" t="inlineStr">
        <is>
          <t>necramech_aviator</t>
        </is>
      </c>
      <c r="T1019" t="n">
        <v>4</v>
      </c>
      <c r="U1019" t="n">
        <v>4</v>
      </c>
      <c r="W1019" t="n">
        <v>19</v>
      </c>
      <c r="X1019" t="n">
        <v>19</v>
      </c>
      <c r="Y1019" t="n">
        <v>7</v>
      </c>
      <c r="Z1019" t="n">
        <v>0</v>
      </c>
      <c r="AN1019" t="inlineStr">
        <is>
          <t>Necramech</t>
        </is>
      </c>
      <c r="AO1019" t="n">
        <v>70</v>
      </c>
      <c r="AP1019" t="n">
        <v>3381</v>
      </c>
      <c r="AQ1019" t="n">
        <v>20</v>
      </c>
      <c r="AS1019" t="inlineStr">
        <is>
          <t>Yes</t>
        </is>
      </c>
    </row>
    <row r="1020">
      <c r="A1020" t="inlineStr">
        <is>
          <t>Mod</t>
        </is>
      </c>
      <c r="B1020" t="inlineStr">
        <is>
          <t>Necramech Blitz</t>
        </is>
      </c>
      <c r="E1020" t="inlineStr">
        <is>
          <t>Necramech</t>
        </is>
      </c>
      <c r="F1020" t="n">
        <v>3</v>
      </c>
      <c r="G1020" t="n">
        <v>1</v>
      </c>
      <c r="H1020" t="inlineStr">
        <is>
          <t>Player trade (max rank)</t>
        </is>
      </c>
      <c r="I1020" t="inlineStr">
        <is>
          <t>Yes</t>
        </is>
      </c>
      <c r="K1020" t="inlineStr">
        <is>
          <t>Collection</t>
        </is>
      </c>
      <c r="L1020" t="n">
        <v>14</v>
      </c>
      <c r="M1020" t="n">
        <v>14</v>
      </c>
      <c r="N1020" t="n">
        <v>31</v>
      </c>
      <c r="O1020" t="inlineStr">
        <is>
          <t>2026-10-05 UTC (WFM pull 02:52-04:00)</t>
        </is>
      </c>
      <c r="P1020" t="inlineStr">
        <is>
          <t>OK</t>
        </is>
      </c>
      <c r="R1020" t="inlineStr">
        <is>
          <t>Every current tradeable mod at MAX RANK (WFM catalogue, rivens/locators excluded)</t>
        </is>
      </c>
      <c r="S1020" t="inlineStr">
        <is>
          <t>necramech_blitz</t>
        </is>
      </c>
      <c r="T1020" t="n">
        <v>4</v>
      </c>
      <c r="U1020" t="n">
        <v>4</v>
      </c>
      <c r="W1020" t="n">
        <v>9</v>
      </c>
      <c r="X1020" t="n">
        <v>12</v>
      </c>
      <c r="Y1020" t="n">
        <v>2</v>
      </c>
      <c r="Z1020" t="n">
        <v>0</v>
      </c>
      <c r="AN1020" t="inlineStr">
        <is>
          <t>Necramech</t>
        </is>
      </c>
      <c r="AO1020" t="n">
        <v>70</v>
      </c>
      <c r="AP1020" t="n">
        <v>3381</v>
      </c>
      <c r="AQ1020" t="n">
        <v>5</v>
      </c>
      <c r="AS1020" t="inlineStr">
        <is>
          <t>Yes</t>
        </is>
      </c>
    </row>
    <row r="1021">
      <c r="A1021" t="inlineStr">
        <is>
          <t>Mod</t>
        </is>
      </c>
      <c r="B1021" t="inlineStr">
        <is>
          <t>Necramech Continuity</t>
        </is>
      </c>
      <c r="E1021" t="inlineStr">
        <is>
          <t>Necramech</t>
        </is>
      </c>
      <c r="F1021" t="n">
        <v>5</v>
      </c>
      <c r="G1021" t="n">
        <v>1</v>
      </c>
      <c r="H1021" t="inlineStr">
        <is>
          <t>Player trade (max rank)</t>
        </is>
      </c>
      <c r="I1021" t="inlineStr">
        <is>
          <t>Yes</t>
        </is>
      </c>
      <c r="K1021" t="inlineStr">
        <is>
          <t>Collection</t>
        </is>
      </c>
      <c r="L1021" t="n">
        <v>10</v>
      </c>
      <c r="M1021" t="n">
        <v>33</v>
      </c>
      <c r="N1021" t="n">
        <v>44</v>
      </c>
      <c r="O1021" t="inlineStr">
        <is>
          <t>2026-10-05 UTC (WFM pull 02:52-04:00)</t>
        </is>
      </c>
      <c r="P1021" t="inlineStr">
        <is>
          <t>OK</t>
        </is>
      </c>
      <c r="R1021" t="inlineStr">
        <is>
          <t>Every current tradeable mod at MAX RANK (WFM catalogue, rivens/locators excluded)</t>
        </is>
      </c>
      <c r="S1021" t="inlineStr">
        <is>
          <t>necramech_continuity</t>
        </is>
      </c>
      <c r="T1021" t="n">
        <v>7</v>
      </c>
      <c r="U1021" t="n">
        <v>7</v>
      </c>
      <c r="V1021" t="n">
        <v>22</v>
      </c>
      <c r="W1021" t="n">
        <v>20</v>
      </c>
      <c r="X1021" t="n">
        <v>21.5</v>
      </c>
      <c r="Y1021" t="n">
        <v>84</v>
      </c>
      <c r="Z1021" t="n">
        <v>1</v>
      </c>
      <c r="AN1021" t="inlineStr">
        <is>
          <t>Necramech</t>
        </is>
      </c>
      <c r="AO1021" t="n">
        <v>620</v>
      </c>
      <c r="AP1021" t="n">
        <v>29946</v>
      </c>
      <c r="AQ1021" t="n">
        <v>16.5</v>
      </c>
      <c r="AS1021" t="inlineStr">
        <is>
          <t>Yes</t>
        </is>
      </c>
    </row>
    <row r="1022">
      <c r="A1022" t="inlineStr">
        <is>
          <t>Mod</t>
        </is>
      </c>
      <c r="B1022" t="inlineStr">
        <is>
          <t>Necramech Deflection</t>
        </is>
      </c>
      <c r="E1022" t="inlineStr">
        <is>
          <t>Necramech</t>
        </is>
      </c>
      <c r="F1022" t="n">
        <v>5</v>
      </c>
      <c r="G1022" t="n">
        <v>1</v>
      </c>
      <c r="H1022" t="inlineStr">
        <is>
          <t>Player trade (max rank)</t>
        </is>
      </c>
      <c r="I1022" t="inlineStr">
        <is>
          <t>Yes</t>
        </is>
      </c>
      <c r="K1022" t="inlineStr">
        <is>
          <t>Collection</t>
        </is>
      </c>
      <c r="L1022" t="n">
        <v>15</v>
      </c>
      <c r="M1022" t="n">
        <v>15</v>
      </c>
      <c r="N1022" t="n">
        <v>17</v>
      </c>
      <c r="O1022" t="inlineStr">
        <is>
          <t>2026-10-05 UTC (WFM pull 02:52-04:00)</t>
        </is>
      </c>
      <c r="P1022" t="inlineStr">
        <is>
          <t>OK</t>
        </is>
      </c>
      <c r="R1022" t="inlineStr">
        <is>
          <t>Every current tradeable mod at MAX RANK (WFM catalogue, rivens/locators excluded)</t>
        </is>
      </c>
      <c r="S1022" t="inlineStr">
        <is>
          <t>necramech_deflection</t>
        </is>
      </c>
      <c r="T1022" t="n">
        <v>61</v>
      </c>
      <c r="U1022" t="n">
        <v>1</v>
      </c>
      <c r="V1022" t="n">
        <v>15</v>
      </c>
      <c r="W1022" t="n">
        <v>15</v>
      </c>
      <c r="X1022" t="n">
        <v>15</v>
      </c>
      <c r="Y1022" t="n">
        <v>62</v>
      </c>
      <c r="Z1022" t="n">
        <v>1</v>
      </c>
      <c r="AN1022" t="inlineStr">
        <is>
          <t>Necramech</t>
        </is>
      </c>
      <c r="AO1022" t="n">
        <v>310</v>
      </c>
      <c r="AP1022" t="n">
        <v>14973</v>
      </c>
      <c r="AQ1022" t="n">
        <v>10</v>
      </c>
      <c r="AS1022" t="inlineStr">
        <is>
          <t>Yes</t>
        </is>
      </c>
    </row>
    <row r="1023">
      <c r="A1023" t="inlineStr">
        <is>
          <t>Mod</t>
        </is>
      </c>
      <c r="B1023" t="inlineStr">
        <is>
          <t>Necramech Drift</t>
        </is>
      </c>
      <c r="E1023" t="inlineStr">
        <is>
          <t>Necramech</t>
        </is>
      </c>
      <c r="F1023" t="n">
        <v>5</v>
      </c>
      <c r="G1023" t="n">
        <v>1</v>
      </c>
      <c r="H1023" t="inlineStr">
        <is>
          <t>Player trade (max rank)</t>
        </is>
      </c>
      <c r="I1023" t="inlineStr">
        <is>
          <t>Yes</t>
        </is>
      </c>
      <c r="K1023" t="inlineStr">
        <is>
          <t>Collection</t>
        </is>
      </c>
      <c r="L1023" t="n">
        <v>13</v>
      </c>
      <c r="M1023" t="n">
        <v>28.5</v>
      </c>
      <c r="N1023" t="n">
        <v>63</v>
      </c>
      <c r="O1023" t="inlineStr">
        <is>
          <t>2026-10-05 UTC (WFM pull 02:52-04:00)</t>
        </is>
      </c>
      <c r="P1023" t="inlineStr">
        <is>
          <t>OK</t>
        </is>
      </c>
      <c r="R1023" t="inlineStr">
        <is>
          <t>Every current tradeable mod at MAX RANK (WFM catalogue, rivens/locators excluded)</t>
        </is>
      </c>
      <c r="S1023" t="inlineStr">
        <is>
          <t>necramech_drift</t>
        </is>
      </c>
      <c r="T1023" t="n">
        <v>3</v>
      </c>
      <c r="U1023" t="n">
        <v>3</v>
      </c>
      <c r="V1023" t="n">
        <v>19</v>
      </c>
      <c r="W1023" t="n">
        <v>15</v>
      </c>
      <c r="X1023" t="n">
        <v>15.7</v>
      </c>
      <c r="Y1023" t="n">
        <v>16</v>
      </c>
      <c r="Z1023" t="n">
        <v>0</v>
      </c>
      <c r="AN1023" t="inlineStr">
        <is>
          <t>Necramech</t>
        </is>
      </c>
      <c r="AO1023" t="n">
        <v>620</v>
      </c>
      <c r="AP1023" t="n">
        <v>29946</v>
      </c>
      <c r="AQ1023" t="n">
        <v>10</v>
      </c>
      <c r="AS1023" t="inlineStr">
        <is>
          <t>Yes</t>
        </is>
      </c>
    </row>
    <row r="1024">
      <c r="A1024" t="inlineStr">
        <is>
          <t>Mod</t>
        </is>
      </c>
      <c r="B1024" t="inlineStr">
        <is>
          <t>Necramech Efficiency</t>
        </is>
      </c>
      <c r="E1024" t="inlineStr">
        <is>
          <t>Necramech</t>
        </is>
      </c>
      <c r="F1024" t="n">
        <v>5</v>
      </c>
      <c r="G1024" t="n">
        <v>1</v>
      </c>
      <c r="H1024" t="inlineStr">
        <is>
          <t>Player trade (max rank)</t>
        </is>
      </c>
      <c r="I1024" t="inlineStr">
        <is>
          <t>Yes</t>
        </is>
      </c>
      <c r="K1024" t="inlineStr">
        <is>
          <t>Collection</t>
        </is>
      </c>
      <c r="L1024" t="n">
        <v>10</v>
      </c>
      <c r="M1024" t="n">
        <v>27</v>
      </c>
      <c r="N1024" t="n">
        <v>60</v>
      </c>
      <c r="O1024" t="inlineStr">
        <is>
          <t>2026-10-05 UTC (WFM pull 02:52-04:00)</t>
        </is>
      </c>
      <c r="P1024" t="inlineStr">
        <is>
          <t>OK</t>
        </is>
      </c>
      <c r="R1024" t="inlineStr">
        <is>
          <t>Every current tradeable mod at MAX RANK (WFM catalogue, rivens/locators excluded)</t>
        </is>
      </c>
      <c r="S1024" t="inlineStr">
        <is>
          <t>necramech_efficiency</t>
        </is>
      </c>
      <c r="T1024" t="n">
        <v>5</v>
      </c>
      <c r="U1024" t="n">
        <v>5</v>
      </c>
      <c r="V1024" t="n">
        <v>18</v>
      </c>
      <c r="W1024" t="n">
        <v>18</v>
      </c>
      <c r="X1024" t="n">
        <v>18.8</v>
      </c>
      <c r="Y1024" t="n">
        <v>25</v>
      </c>
      <c r="Z1024" t="n">
        <v>0</v>
      </c>
      <c r="AN1024" t="inlineStr">
        <is>
          <t>Necramech</t>
        </is>
      </c>
      <c r="AO1024" t="n">
        <v>620</v>
      </c>
      <c r="AP1024" t="n">
        <v>29946</v>
      </c>
      <c r="AQ1024" t="n">
        <v>10</v>
      </c>
      <c r="AS1024" t="inlineStr">
        <is>
          <t>Yes</t>
        </is>
      </c>
    </row>
    <row r="1025">
      <c r="A1025" t="inlineStr">
        <is>
          <t>Mod</t>
        </is>
      </c>
      <c r="B1025" t="inlineStr">
        <is>
          <t>Necramech Enemy Sense</t>
        </is>
      </c>
      <c r="E1025" t="inlineStr">
        <is>
          <t>Necramech</t>
        </is>
      </c>
      <c r="F1025" t="n">
        <v>5</v>
      </c>
      <c r="G1025" t="n">
        <v>1</v>
      </c>
      <c r="H1025" t="inlineStr">
        <is>
          <t>Player trade (max rank)</t>
        </is>
      </c>
      <c r="I1025" t="inlineStr">
        <is>
          <t>Yes</t>
        </is>
      </c>
      <c r="K1025" t="inlineStr">
        <is>
          <t>Collection</t>
        </is>
      </c>
      <c r="L1025" t="n">
        <v>15</v>
      </c>
      <c r="M1025" t="n">
        <v>15</v>
      </c>
      <c r="N1025" t="n">
        <v>33</v>
      </c>
      <c r="O1025" t="inlineStr">
        <is>
          <t>2026-10-05 UTC (WFM pull 02:52-04:00)</t>
        </is>
      </c>
      <c r="P1025" t="inlineStr">
        <is>
          <t>OK</t>
        </is>
      </c>
      <c r="R1025" t="inlineStr">
        <is>
          <t>Every current tradeable mod at MAX RANK (WFM catalogue, rivens/locators excluded)</t>
        </is>
      </c>
      <c r="S1025" t="inlineStr">
        <is>
          <t>necramech_enemy_sense</t>
        </is>
      </c>
      <c r="T1025" t="n">
        <v>3</v>
      </c>
      <c r="U1025" t="n">
        <v>3</v>
      </c>
      <c r="V1025" t="n">
        <v>10</v>
      </c>
      <c r="W1025" t="n">
        <v>10</v>
      </c>
      <c r="X1025" t="n">
        <v>9.6</v>
      </c>
      <c r="Y1025" t="n">
        <v>8</v>
      </c>
      <c r="Z1025" t="n">
        <v>0</v>
      </c>
      <c r="AN1025" t="inlineStr">
        <is>
          <t>Necramech</t>
        </is>
      </c>
      <c r="AO1025" t="n">
        <v>310</v>
      </c>
      <c r="AP1025" t="n">
        <v>14973</v>
      </c>
      <c r="AQ1025" t="n">
        <v>8</v>
      </c>
      <c r="AS1025" t="inlineStr">
        <is>
          <t>Yes</t>
        </is>
      </c>
    </row>
    <row r="1026">
      <c r="A1026" t="inlineStr">
        <is>
          <t>Mod</t>
        </is>
      </c>
      <c r="B1026" t="inlineStr">
        <is>
          <t>Necramech Flow</t>
        </is>
      </c>
      <c r="E1026" t="inlineStr">
        <is>
          <t>Necramech</t>
        </is>
      </c>
      <c r="F1026" t="n">
        <v>5</v>
      </c>
      <c r="G1026" t="n">
        <v>1</v>
      </c>
      <c r="H1026" t="inlineStr">
        <is>
          <t>Player trade (max rank)</t>
        </is>
      </c>
      <c r="I1026" t="inlineStr">
        <is>
          <t>Yes</t>
        </is>
      </c>
      <c r="K1026" t="inlineStr">
        <is>
          <t>Collection</t>
        </is>
      </c>
      <c r="L1026" t="n">
        <v>19</v>
      </c>
      <c r="M1026" t="n">
        <v>23</v>
      </c>
      <c r="N1026" t="n">
        <v>28</v>
      </c>
      <c r="O1026" t="inlineStr">
        <is>
          <t>2026-10-05 UTC (WFM pull 02:52-04:00)</t>
        </is>
      </c>
      <c r="P1026" t="inlineStr">
        <is>
          <t>OK</t>
        </is>
      </c>
      <c r="R1026" t="inlineStr">
        <is>
          <t>Every current tradeable mod at MAX RANK (WFM catalogue, rivens/locators excluded)</t>
        </is>
      </c>
      <c r="S1026" t="inlineStr">
        <is>
          <t>necramech_flow</t>
        </is>
      </c>
      <c r="T1026" t="n">
        <v>7</v>
      </c>
      <c r="U1026" t="n">
        <v>7</v>
      </c>
      <c r="V1026" t="n">
        <v>20</v>
      </c>
      <c r="W1026" t="n">
        <v>20</v>
      </c>
      <c r="X1026" t="n">
        <v>19.4</v>
      </c>
      <c r="Y1026" t="n">
        <v>193</v>
      </c>
      <c r="Z1026" t="n">
        <v>3</v>
      </c>
      <c r="AN1026" t="inlineStr">
        <is>
          <t>Necramech</t>
        </is>
      </c>
      <c r="AO1026" t="n">
        <v>930</v>
      </c>
      <c r="AP1026" t="n">
        <v>44919</v>
      </c>
      <c r="AQ1026" t="n">
        <v>15</v>
      </c>
      <c r="AS1026" t="inlineStr">
        <is>
          <t>Yes</t>
        </is>
      </c>
    </row>
    <row r="1027">
      <c r="A1027" t="inlineStr">
        <is>
          <t>Mod</t>
        </is>
      </c>
      <c r="B1027" t="inlineStr">
        <is>
          <t>Necramech Friction</t>
        </is>
      </c>
      <c r="E1027" t="inlineStr">
        <is>
          <t>Necramech</t>
        </is>
      </c>
      <c r="F1027" t="n">
        <v>5</v>
      </c>
      <c r="G1027" t="n">
        <v>1</v>
      </c>
      <c r="H1027" t="inlineStr">
        <is>
          <t>Player trade (max rank)</t>
        </is>
      </c>
      <c r="I1027" t="inlineStr">
        <is>
          <t>Yes</t>
        </is>
      </c>
      <c r="K1027" t="inlineStr">
        <is>
          <t>Collection</t>
        </is>
      </c>
      <c r="L1027" t="n">
        <v>7</v>
      </c>
      <c r="M1027" t="n">
        <v>9</v>
      </c>
      <c r="N1027" t="n">
        <v>14</v>
      </c>
      <c r="O1027" t="inlineStr">
        <is>
          <t>2026-10-05 UTC (WFM pull 02:52-04:00)</t>
        </is>
      </c>
      <c r="P1027" t="inlineStr">
        <is>
          <t>OK</t>
        </is>
      </c>
      <c r="R1027" t="inlineStr">
        <is>
          <t>Every current tradeable mod at MAX RANK (WFM catalogue, rivens/locators excluded)</t>
        </is>
      </c>
      <c r="S1027" t="inlineStr">
        <is>
          <t>necramech_friction</t>
        </is>
      </c>
      <c r="T1027" t="n">
        <v>64</v>
      </c>
      <c r="U1027" t="n">
        <v>2</v>
      </c>
      <c r="V1027" t="n">
        <v>12</v>
      </c>
      <c r="W1027" t="n">
        <v>12</v>
      </c>
      <c r="X1027" t="n">
        <v>16</v>
      </c>
      <c r="Y1027" t="n">
        <v>6</v>
      </c>
      <c r="Z1027" t="n">
        <v>0</v>
      </c>
      <c r="AN1027" t="inlineStr">
        <is>
          <t>Necramech</t>
        </is>
      </c>
      <c r="AO1027" t="n">
        <v>620</v>
      </c>
      <c r="AP1027" t="n">
        <v>29946</v>
      </c>
      <c r="AQ1027" t="n">
        <v>6</v>
      </c>
      <c r="AS1027" t="inlineStr">
        <is>
          <t>Yes</t>
        </is>
      </c>
    </row>
    <row r="1028">
      <c r="A1028" t="inlineStr">
        <is>
          <t>Mod</t>
        </is>
      </c>
      <c r="B1028" t="inlineStr">
        <is>
          <t>Necramech Fury</t>
        </is>
      </c>
      <c r="E1028" t="inlineStr">
        <is>
          <t>Necramech</t>
        </is>
      </c>
      <c r="F1028" t="n">
        <v>3</v>
      </c>
      <c r="G1028" t="n">
        <v>1</v>
      </c>
      <c r="H1028" t="inlineStr">
        <is>
          <t>Player trade (max rank)</t>
        </is>
      </c>
      <c r="I1028" t="inlineStr">
        <is>
          <t>Yes</t>
        </is>
      </c>
      <c r="K1028" t="inlineStr">
        <is>
          <t>Collection</t>
        </is>
      </c>
      <c r="L1028" t="n">
        <v>5</v>
      </c>
      <c r="M1028" t="n">
        <v>6</v>
      </c>
      <c r="N1028" t="n">
        <v>10</v>
      </c>
      <c r="O1028" t="inlineStr">
        <is>
          <t>2026-10-05 UTC (WFM pull 02:52-04:00)</t>
        </is>
      </c>
      <c r="P1028" t="inlineStr">
        <is>
          <t>OK</t>
        </is>
      </c>
      <c r="R1028" t="inlineStr">
        <is>
          <t>Every current tradeable mod at MAX RANK (WFM catalogue, rivens/locators excluded)</t>
        </is>
      </c>
      <c r="S1028" t="inlineStr">
        <is>
          <t>necramech_fury</t>
        </is>
      </c>
      <c r="T1028" t="n">
        <v>93</v>
      </c>
      <c r="U1028" t="n">
        <v>1</v>
      </c>
      <c r="V1028" t="n">
        <v>9</v>
      </c>
      <c r="W1028" t="n">
        <v>7</v>
      </c>
      <c r="X1028" t="n">
        <v>6.8</v>
      </c>
      <c r="Y1028" t="n">
        <v>9</v>
      </c>
      <c r="Z1028" t="n">
        <v>0</v>
      </c>
      <c r="AN1028" t="inlineStr">
        <is>
          <t>Necramech</t>
        </is>
      </c>
      <c r="AO1028" t="n">
        <v>70</v>
      </c>
      <c r="AP1028" t="n">
        <v>3381</v>
      </c>
      <c r="AQ1028" t="n">
        <v>2</v>
      </c>
      <c r="AS1028" t="inlineStr">
        <is>
          <t>Yes</t>
        </is>
      </c>
    </row>
    <row r="1029">
      <c r="A1029" t="inlineStr">
        <is>
          <t>Mod</t>
        </is>
      </c>
      <c r="B1029" t="inlineStr">
        <is>
          <t>Necramech Hydraulics</t>
        </is>
      </c>
      <c r="E1029" t="inlineStr">
        <is>
          <t>Necramech</t>
        </is>
      </c>
      <c r="F1029" t="n">
        <v>3</v>
      </c>
      <c r="G1029" t="n">
        <v>1</v>
      </c>
      <c r="H1029" t="inlineStr">
        <is>
          <t>Player trade (max rank)</t>
        </is>
      </c>
      <c r="I1029" t="inlineStr">
        <is>
          <t>Yes</t>
        </is>
      </c>
      <c r="K1029" t="inlineStr">
        <is>
          <t>Collection</t>
        </is>
      </c>
      <c r="L1029" t="n">
        <v>8</v>
      </c>
      <c r="M1029" t="n">
        <v>10</v>
      </c>
      <c r="N1029" t="n">
        <v>11</v>
      </c>
      <c r="O1029" t="inlineStr">
        <is>
          <t>2026-10-05 UTC (WFM pull 02:52-04:00)</t>
        </is>
      </c>
      <c r="P1029" t="inlineStr">
        <is>
          <t>OK</t>
        </is>
      </c>
      <c r="R1029" t="inlineStr">
        <is>
          <t>Every current tradeable mod at MAX RANK (WFM catalogue, rivens/locators excluded)</t>
        </is>
      </c>
      <c r="S1029" t="inlineStr">
        <is>
          <t>necramech_hydraulics</t>
        </is>
      </c>
      <c r="T1029" t="n">
        <v>58</v>
      </c>
      <c r="U1029" t="n">
        <v>2</v>
      </c>
      <c r="V1029" t="n">
        <v>9.5</v>
      </c>
      <c r="W1029" t="n">
        <v>10</v>
      </c>
      <c r="X1029" t="n">
        <v>12.8</v>
      </c>
      <c r="Y1029" t="n">
        <v>23</v>
      </c>
      <c r="Z1029" t="n">
        <v>0</v>
      </c>
      <c r="AN1029" t="inlineStr">
        <is>
          <t>Necramech</t>
        </is>
      </c>
      <c r="AO1029" t="n">
        <v>140</v>
      </c>
      <c r="AP1029" t="n">
        <v>6762</v>
      </c>
      <c r="AQ1029" t="n">
        <v>9</v>
      </c>
      <c r="AS1029" t="inlineStr">
        <is>
          <t>Yes</t>
        </is>
      </c>
    </row>
    <row r="1030">
      <c r="A1030" t="inlineStr">
        <is>
          <t>Mod</t>
        </is>
      </c>
      <c r="B1030" t="inlineStr">
        <is>
          <t>Necramech Intensify</t>
        </is>
      </c>
      <c r="E1030" t="inlineStr">
        <is>
          <t>Necramech</t>
        </is>
      </c>
      <c r="F1030" t="n">
        <v>5</v>
      </c>
      <c r="G1030" t="n">
        <v>1</v>
      </c>
      <c r="H1030" t="inlineStr">
        <is>
          <t>Player trade (max rank)</t>
        </is>
      </c>
      <c r="I1030" t="inlineStr">
        <is>
          <t>Yes</t>
        </is>
      </c>
      <c r="K1030" t="inlineStr">
        <is>
          <t>Collection</t>
        </is>
      </c>
      <c r="L1030" t="n">
        <v>24</v>
      </c>
      <c r="M1030" t="n">
        <v>25</v>
      </c>
      <c r="N1030" t="n">
        <v>56</v>
      </c>
      <c r="O1030" t="inlineStr">
        <is>
          <t>2026-10-05 UTC (WFM pull 02:52-04:00)</t>
        </is>
      </c>
      <c r="P1030" t="inlineStr">
        <is>
          <t>OK</t>
        </is>
      </c>
      <c r="R1030" t="inlineStr">
        <is>
          <t>Every current tradeable mod at MAX RANK (WFM catalogue, rivens/locators excluded)</t>
        </is>
      </c>
      <c r="S1030" t="inlineStr">
        <is>
          <t>necramech_intensify</t>
        </is>
      </c>
      <c r="T1030" t="n">
        <v>6</v>
      </c>
      <c r="U1030" t="n">
        <v>6</v>
      </c>
      <c r="V1030" t="n">
        <v>22.5</v>
      </c>
      <c r="W1030" t="n">
        <v>21</v>
      </c>
      <c r="X1030" t="n">
        <v>21.5</v>
      </c>
      <c r="Y1030" t="n">
        <v>199</v>
      </c>
      <c r="Z1030" t="n">
        <v>1</v>
      </c>
      <c r="AN1030" t="inlineStr">
        <is>
          <t>Necramech</t>
        </is>
      </c>
      <c r="AO1030" t="n">
        <v>930</v>
      </c>
      <c r="AP1030" t="n">
        <v>44919</v>
      </c>
      <c r="AQ1030" t="n">
        <v>12</v>
      </c>
      <c r="AS1030" t="inlineStr">
        <is>
          <t>Yes</t>
        </is>
      </c>
    </row>
    <row r="1031">
      <c r="A1031" t="inlineStr">
        <is>
          <t>Mod</t>
        </is>
      </c>
      <c r="B1031" t="inlineStr">
        <is>
          <t>Necramech Pressure Point</t>
        </is>
      </c>
      <c r="E1031" t="inlineStr">
        <is>
          <t>Necramech</t>
        </is>
      </c>
      <c r="F1031" t="n">
        <v>5</v>
      </c>
      <c r="G1031" t="n">
        <v>1</v>
      </c>
      <c r="H1031" t="inlineStr">
        <is>
          <t>Player trade (max rank)</t>
        </is>
      </c>
      <c r="I1031" t="inlineStr">
        <is>
          <t>Yes</t>
        </is>
      </c>
      <c r="K1031" t="inlineStr">
        <is>
          <t>Collection</t>
        </is>
      </c>
      <c r="L1031" t="n">
        <v>20</v>
      </c>
      <c r="M1031" t="n">
        <v>24</v>
      </c>
      <c r="N1031" t="n">
        <v>31</v>
      </c>
      <c r="O1031" t="inlineStr">
        <is>
          <t>2026-10-05 UTC (WFM pull 02:52-04:00)</t>
        </is>
      </c>
      <c r="P1031" t="inlineStr">
        <is>
          <t>OK</t>
        </is>
      </c>
      <c r="R1031" t="inlineStr">
        <is>
          <t>Every current tradeable mod at MAX RANK (WFM catalogue, rivens/locators excluded)</t>
        </is>
      </c>
      <c r="S1031" t="inlineStr">
        <is>
          <t>necramech_pressure_point</t>
        </is>
      </c>
      <c r="T1031" t="n">
        <v>8</v>
      </c>
      <c r="U1031" t="n">
        <v>8</v>
      </c>
      <c r="V1031" t="n">
        <v>28</v>
      </c>
      <c r="W1031" t="n">
        <v>20</v>
      </c>
      <c r="X1031" t="n">
        <v>22.6</v>
      </c>
      <c r="Y1031" t="n">
        <v>24</v>
      </c>
      <c r="Z1031" t="n">
        <v>1</v>
      </c>
      <c r="AN1031" t="inlineStr">
        <is>
          <t>Necramech</t>
        </is>
      </c>
      <c r="AO1031" t="n">
        <v>930</v>
      </c>
      <c r="AP1031" t="n">
        <v>44919</v>
      </c>
      <c r="AQ1031" t="n">
        <v>20</v>
      </c>
      <c r="AS1031" t="inlineStr">
        <is>
          <t>Yes</t>
        </is>
      </c>
    </row>
    <row r="1032">
      <c r="A1032" t="inlineStr">
        <is>
          <t>Mod</t>
        </is>
      </c>
      <c r="B1032" t="inlineStr">
        <is>
          <t>Necramech Rage</t>
        </is>
      </c>
      <c r="E1032" t="inlineStr">
        <is>
          <t>Necramech</t>
        </is>
      </c>
      <c r="F1032" t="n">
        <v>5</v>
      </c>
      <c r="G1032" t="n">
        <v>1</v>
      </c>
      <c r="H1032" t="inlineStr">
        <is>
          <t>Player trade (max rank)</t>
        </is>
      </c>
      <c r="I1032" t="inlineStr">
        <is>
          <t>Yes</t>
        </is>
      </c>
      <c r="K1032" t="inlineStr">
        <is>
          <t>Collection</t>
        </is>
      </c>
      <c r="L1032" t="n">
        <v>25</v>
      </c>
      <c r="M1032" t="n">
        <v>30</v>
      </c>
      <c r="N1032" t="n">
        <v>38</v>
      </c>
      <c r="O1032" t="inlineStr">
        <is>
          <t>2026-10-05 UTC (WFM pull 02:52-04:00)</t>
        </is>
      </c>
      <c r="P1032" t="inlineStr">
        <is>
          <t>OK</t>
        </is>
      </c>
      <c r="R1032" t="inlineStr">
        <is>
          <t>Every current tradeable mod at MAX RANK (WFM catalogue, rivens/locators excluded)</t>
        </is>
      </c>
      <c r="S1032" t="inlineStr">
        <is>
          <t>necramech_rage</t>
        </is>
      </c>
      <c r="T1032" t="n">
        <v>3</v>
      </c>
      <c r="U1032" t="n">
        <v>3</v>
      </c>
      <c r="V1032" t="n">
        <v>20</v>
      </c>
      <c r="W1032" t="n">
        <v>20</v>
      </c>
      <c r="X1032" t="n">
        <v>21.1</v>
      </c>
      <c r="Y1032" t="n">
        <v>70</v>
      </c>
      <c r="Z1032" t="n">
        <v>0</v>
      </c>
      <c r="AN1032" t="inlineStr">
        <is>
          <t>Necramech</t>
        </is>
      </c>
      <c r="AO1032" t="n">
        <v>620</v>
      </c>
      <c r="AP1032" t="n">
        <v>29946</v>
      </c>
      <c r="AQ1032" t="n">
        <v>14</v>
      </c>
      <c r="AS1032" t="inlineStr">
        <is>
          <t>Yes</t>
        </is>
      </c>
    </row>
    <row r="1033">
      <c r="A1033" t="inlineStr">
        <is>
          <t>Mod</t>
        </is>
      </c>
      <c r="B1033" t="inlineStr">
        <is>
          <t>Necramech Reach</t>
        </is>
      </c>
      <c r="E1033" t="inlineStr">
        <is>
          <t>Necramech</t>
        </is>
      </c>
      <c r="F1033" t="n">
        <v>3</v>
      </c>
      <c r="G1033" t="n">
        <v>1</v>
      </c>
      <c r="H1033" t="inlineStr">
        <is>
          <t>Player trade (max rank)</t>
        </is>
      </c>
      <c r="I1033" t="inlineStr">
        <is>
          <t>Yes</t>
        </is>
      </c>
      <c r="K1033" t="inlineStr">
        <is>
          <t>Collection</t>
        </is>
      </c>
      <c r="L1033" t="n">
        <v>15</v>
      </c>
      <c r="M1033" t="n">
        <v>15</v>
      </c>
      <c r="N1033" t="n">
        <v>31</v>
      </c>
      <c r="O1033" t="inlineStr">
        <is>
          <t>2026-10-05 UTC (WFM pull 02:52-04:00)</t>
        </is>
      </c>
      <c r="P1033" t="inlineStr">
        <is>
          <t>OK</t>
        </is>
      </c>
      <c r="R1033" t="inlineStr">
        <is>
          <t>Every current tradeable mod at MAX RANK (WFM catalogue, rivens/locators excluded)</t>
        </is>
      </c>
      <c r="S1033" t="inlineStr">
        <is>
          <t>necramech_reach</t>
        </is>
      </c>
      <c r="T1033" t="n">
        <v>4</v>
      </c>
      <c r="U1033" t="n">
        <v>4</v>
      </c>
      <c r="V1033" t="n">
        <v>6</v>
      </c>
      <c r="W1033" t="n">
        <v>10</v>
      </c>
      <c r="X1033" t="n">
        <v>15.6</v>
      </c>
      <c r="Y1033" t="n">
        <v>9</v>
      </c>
      <c r="Z1033" t="n">
        <v>0</v>
      </c>
      <c r="AN1033" t="inlineStr">
        <is>
          <t>Necramech</t>
        </is>
      </c>
      <c r="AO1033" t="n">
        <v>70</v>
      </c>
      <c r="AP1033" t="n">
        <v>3381</v>
      </c>
      <c r="AQ1033" t="n">
        <v>9</v>
      </c>
      <c r="AS1033" t="inlineStr">
        <is>
          <t>Yes</t>
        </is>
      </c>
    </row>
    <row r="1034">
      <c r="A1034" t="inlineStr">
        <is>
          <t>Mod</t>
        </is>
      </c>
      <c r="B1034" t="inlineStr">
        <is>
          <t>Necramech Rebuke</t>
        </is>
      </c>
      <c r="E1034" t="inlineStr">
        <is>
          <t>Necramech</t>
        </is>
      </c>
      <c r="F1034" t="n">
        <v>3</v>
      </c>
      <c r="G1034" t="n">
        <v>1</v>
      </c>
      <c r="H1034" t="inlineStr">
        <is>
          <t>Player trade (max rank)</t>
        </is>
      </c>
      <c r="I1034" t="inlineStr">
        <is>
          <t>Yes</t>
        </is>
      </c>
      <c r="K1034" t="inlineStr">
        <is>
          <t>Collection</t>
        </is>
      </c>
      <c r="L1034" t="n">
        <v>15</v>
      </c>
      <c r="M1034" t="n">
        <v>15</v>
      </c>
      <c r="N1034" t="n">
        <v>17</v>
      </c>
      <c r="O1034" t="inlineStr">
        <is>
          <t>2026-10-05 UTC (WFM pull 02:52-04:00)</t>
        </is>
      </c>
      <c r="P1034" t="inlineStr">
        <is>
          <t>OK</t>
        </is>
      </c>
      <c r="R1034" t="inlineStr">
        <is>
          <t>Every current tradeable mod at MAX RANK (WFM catalogue, rivens/locators excluded)</t>
        </is>
      </c>
      <c r="S1034" t="inlineStr">
        <is>
          <t>necramech_rebuke</t>
        </is>
      </c>
      <c r="T1034" t="n">
        <v>43</v>
      </c>
      <c r="U1034" t="n">
        <v>2</v>
      </c>
      <c r="V1034" t="n">
        <v>10</v>
      </c>
      <c r="W1034" t="n">
        <v>15</v>
      </c>
      <c r="X1034" t="n">
        <v>18.5</v>
      </c>
      <c r="Y1034" t="n">
        <v>19</v>
      </c>
      <c r="Z1034" t="n">
        <v>0</v>
      </c>
      <c r="AN1034" t="inlineStr">
        <is>
          <t>Necramech</t>
        </is>
      </c>
      <c r="AO1034" t="n">
        <v>140</v>
      </c>
      <c r="AP1034" t="n">
        <v>6762</v>
      </c>
      <c r="AQ1034" t="n">
        <v>15</v>
      </c>
      <c r="AS1034" t="inlineStr">
        <is>
          <t>Yes</t>
        </is>
      </c>
    </row>
    <row r="1035">
      <c r="A1035" t="inlineStr">
        <is>
          <t>Mod</t>
        </is>
      </c>
      <c r="B1035" t="inlineStr">
        <is>
          <t>Necramech Redirection</t>
        </is>
      </c>
      <c r="E1035" t="inlineStr">
        <is>
          <t>Necramech</t>
        </is>
      </c>
      <c r="F1035" t="n">
        <v>10</v>
      </c>
      <c r="G1035" t="n">
        <v>1</v>
      </c>
      <c r="H1035" t="inlineStr">
        <is>
          <t>Player trade (max rank)</t>
        </is>
      </c>
      <c r="I1035" t="inlineStr">
        <is>
          <t>Yes</t>
        </is>
      </c>
      <c r="K1035" t="inlineStr">
        <is>
          <t>Collection</t>
        </is>
      </c>
      <c r="L1035" t="n">
        <v>30</v>
      </c>
      <c r="M1035" t="n">
        <v>33</v>
      </c>
      <c r="N1035" t="n">
        <v>50</v>
      </c>
      <c r="O1035" t="inlineStr">
        <is>
          <t>2026-10-05 UTC (WFM pull 02:52-04:00)</t>
        </is>
      </c>
      <c r="P1035" t="inlineStr">
        <is>
          <t>OK</t>
        </is>
      </c>
      <c r="R1035" t="inlineStr">
        <is>
          <t>Every current tradeable mod at MAX RANK (WFM catalogue, rivens/locators excluded)</t>
        </is>
      </c>
      <c r="S1035" t="inlineStr">
        <is>
          <t>necramech_redirection</t>
        </is>
      </c>
      <c r="T1035" t="n">
        <v>71</v>
      </c>
      <c r="U1035" t="n">
        <v>2</v>
      </c>
      <c r="V1035" t="n">
        <v>45</v>
      </c>
      <c r="W1035" t="n">
        <v>50</v>
      </c>
      <c r="X1035" t="n">
        <v>49.3</v>
      </c>
      <c r="Y1035" t="n">
        <v>63</v>
      </c>
      <c r="Z1035" t="n">
        <v>1</v>
      </c>
      <c r="AN1035" t="inlineStr">
        <is>
          <t>Necramech</t>
        </is>
      </c>
      <c r="AO1035" t="n">
        <v>10230</v>
      </c>
      <c r="AP1035" t="n">
        <v>494109</v>
      </c>
      <c r="AQ1035" t="n">
        <v>5</v>
      </c>
      <c r="AS1035" t="inlineStr">
        <is>
          <t>Yes</t>
        </is>
      </c>
    </row>
    <row r="1036">
      <c r="A1036" t="inlineStr">
        <is>
          <t>Mod</t>
        </is>
      </c>
      <c r="B1036" t="inlineStr">
        <is>
          <t>Necramech Refuel</t>
        </is>
      </c>
      <c r="E1036" t="inlineStr">
        <is>
          <t>Necramech</t>
        </is>
      </c>
      <c r="F1036" t="n">
        <v>3</v>
      </c>
      <c r="G1036" t="n">
        <v>1</v>
      </c>
      <c r="H1036" t="inlineStr">
        <is>
          <t>Player trade (max rank)</t>
        </is>
      </c>
      <c r="I1036" t="inlineStr">
        <is>
          <t>Yes</t>
        </is>
      </c>
      <c r="K1036" t="inlineStr">
        <is>
          <t>Collection</t>
        </is>
      </c>
      <c r="L1036" t="n">
        <v>19</v>
      </c>
      <c r="M1036" t="n">
        <v>21</v>
      </c>
      <c r="N1036" t="n">
        <v>47</v>
      </c>
      <c r="O1036" t="inlineStr">
        <is>
          <t>2026-10-05 UTC (WFM pull 02:52-04:00)</t>
        </is>
      </c>
      <c r="P1036" t="inlineStr">
        <is>
          <t>OK</t>
        </is>
      </c>
      <c r="R1036" t="inlineStr">
        <is>
          <t>Every current tradeable mod at MAX RANK (WFM catalogue, rivens/locators excluded)</t>
        </is>
      </c>
      <c r="S1036" t="inlineStr">
        <is>
          <t>necramech_refuel</t>
        </is>
      </c>
      <c r="T1036" t="n">
        <v>4</v>
      </c>
      <c r="U1036" t="n">
        <v>4</v>
      </c>
      <c r="V1036" t="n">
        <v>14</v>
      </c>
      <c r="W1036" t="n">
        <v>15</v>
      </c>
      <c r="X1036" t="n">
        <v>18.7</v>
      </c>
      <c r="Y1036" t="n">
        <v>36</v>
      </c>
      <c r="Z1036" t="n">
        <v>0</v>
      </c>
      <c r="AN1036" t="inlineStr">
        <is>
          <t>Necramech</t>
        </is>
      </c>
      <c r="AO1036" t="n">
        <v>70</v>
      </c>
      <c r="AP1036" t="n">
        <v>3381</v>
      </c>
      <c r="AQ1036" t="n">
        <v>19.5</v>
      </c>
      <c r="AS1036" t="inlineStr">
        <is>
          <t>Yes</t>
        </is>
      </c>
    </row>
    <row r="1037">
      <c r="A1037" t="inlineStr">
        <is>
          <t>Mod</t>
        </is>
      </c>
      <c r="B1037" t="inlineStr">
        <is>
          <t>Necramech Repair</t>
        </is>
      </c>
      <c r="E1037" t="inlineStr">
        <is>
          <t>Necramech</t>
        </is>
      </c>
      <c r="F1037" t="n">
        <v>3</v>
      </c>
      <c r="G1037" t="n">
        <v>1</v>
      </c>
      <c r="H1037" t="inlineStr">
        <is>
          <t>Player trade (max rank)</t>
        </is>
      </c>
      <c r="I1037" t="inlineStr">
        <is>
          <t>Yes</t>
        </is>
      </c>
      <c r="K1037" t="inlineStr">
        <is>
          <t>Collection</t>
        </is>
      </c>
      <c r="L1037" t="n">
        <v>18</v>
      </c>
      <c r="M1037" t="n">
        <v>25</v>
      </c>
      <c r="N1037" t="n">
        <v>28</v>
      </c>
      <c r="O1037" t="inlineStr">
        <is>
          <t>2026-10-05 UTC (WFM pull 02:52-04:00)</t>
        </is>
      </c>
      <c r="P1037" t="inlineStr">
        <is>
          <t>OK</t>
        </is>
      </c>
      <c r="R1037" t="inlineStr">
        <is>
          <t>Every current tradeable mod at MAX RANK (WFM catalogue, rivens/locators excluded)</t>
        </is>
      </c>
      <c r="S1037" t="inlineStr">
        <is>
          <t>necramech_repair</t>
        </is>
      </c>
      <c r="T1037" t="n">
        <v>59</v>
      </c>
      <c r="U1037" t="n">
        <v>2</v>
      </c>
      <c r="V1037" t="n">
        <v>25</v>
      </c>
      <c r="W1037" t="n">
        <v>25</v>
      </c>
      <c r="X1037" t="n">
        <v>27.5</v>
      </c>
      <c r="Y1037" t="n">
        <v>98</v>
      </c>
      <c r="Z1037" t="n">
        <v>2</v>
      </c>
      <c r="AN1037" t="inlineStr">
        <is>
          <t>Necramech</t>
        </is>
      </c>
      <c r="AO1037" t="n">
        <v>140</v>
      </c>
      <c r="AP1037" t="n">
        <v>6762</v>
      </c>
      <c r="AQ1037" t="n">
        <v>17</v>
      </c>
      <c r="AS1037" t="inlineStr">
        <is>
          <t>Yes</t>
        </is>
      </c>
    </row>
    <row r="1038">
      <c r="A1038" t="inlineStr">
        <is>
          <t>Mod</t>
        </is>
      </c>
      <c r="B1038" t="inlineStr">
        <is>
          <t>Necramech Seismic Wave</t>
        </is>
      </c>
      <c r="E1038" t="inlineStr">
        <is>
          <t>Necramech</t>
        </is>
      </c>
      <c r="F1038" t="n">
        <v>5</v>
      </c>
      <c r="G1038" t="n">
        <v>1</v>
      </c>
      <c r="H1038" t="inlineStr">
        <is>
          <t>Player trade (max rank)</t>
        </is>
      </c>
      <c r="I1038" t="inlineStr">
        <is>
          <t>Yes</t>
        </is>
      </c>
      <c r="K1038" t="inlineStr">
        <is>
          <t>Collection</t>
        </is>
      </c>
      <c r="L1038" t="n">
        <v>30</v>
      </c>
      <c r="M1038" t="n">
        <v>50</v>
      </c>
      <c r="N1038" t="n">
        <v>88</v>
      </c>
      <c r="O1038" t="inlineStr">
        <is>
          <t>2026-10-05 UTC (WFM pull 02:52-04:00)</t>
        </is>
      </c>
      <c r="P1038" t="inlineStr">
        <is>
          <t>OK</t>
        </is>
      </c>
      <c r="R1038" t="inlineStr">
        <is>
          <t>Every current tradeable mod at MAX RANK (WFM catalogue, rivens/locators excluded)</t>
        </is>
      </c>
      <c r="S1038" t="inlineStr">
        <is>
          <t>necramech_seismic_wave</t>
        </is>
      </c>
      <c r="T1038" t="n">
        <v>3</v>
      </c>
      <c r="U1038" t="n">
        <v>3</v>
      </c>
      <c r="V1038" t="n">
        <v>35</v>
      </c>
      <c r="W1038" t="n">
        <v>13</v>
      </c>
      <c r="X1038" t="n">
        <v>17.6</v>
      </c>
      <c r="Y1038" t="n">
        <v>7</v>
      </c>
      <c r="Z1038" t="n">
        <v>0</v>
      </c>
      <c r="AN1038" t="inlineStr">
        <is>
          <t>Necramech</t>
        </is>
      </c>
      <c r="AO1038" t="n">
        <v>930</v>
      </c>
      <c r="AP1038" t="n">
        <v>44919</v>
      </c>
      <c r="AQ1038" t="n">
        <v>10</v>
      </c>
      <c r="AS1038" t="inlineStr">
        <is>
          <t>Yes</t>
        </is>
      </c>
    </row>
    <row r="1039">
      <c r="A1039" t="inlineStr">
        <is>
          <t>Mod</t>
        </is>
      </c>
      <c r="B1039" t="inlineStr">
        <is>
          <t>Necramech Slipstream</t>
        </is>
      </c>
      <c r="E1039" t="inlineStr">
        <is>
          <t>Necramech</t>
        </is>
      </c>
      <c r="F1039" t="n">
        <v>5</v>
      </c>
      <c r="G1039" t="n">
        <v>1</v>
      </c>
      <c r="H1039" t="inlineStr">
        <is>
          <t>Player trade (max rank)</t>
        </is>
      </c>
      <c r="I1039" t="inlineStr">
        <is>
          <t>Yes</t>
        </is>
      </c>
      <c r="K1039" t="inlineStr">
        <is>
          <t>Collection</t>
        </is>
      </c>
      <c r="L1039" t="n">
        <v>25</v>
      </c>
      <c r="M1039" t="n">
        <v>30</v>
      </c>
      <c r="N1039" t="n">
        <v>56</v>
      </c>
      <c r="O1039" t="inlineStr">
        <is>
          <t>2026-10-05 UTC (WFM pull 02:52-04:00)</t>
        </is>
      </c>
      <c r="P1039" t="inlineStr">
        <is>
          <t>OK</t>
        </is>
      </c>
      <c r="R1039" t="inlineStr">
        <is>
          <t>Every current tradeable mod at MAX RANK (WFM catalogue, rivens/locators excluded)</t>
        </is>
      </c>
      <c r="S1039" t="inlineStr">
        <is>
          <t>necramech_slipstream</t>
        </is>
      </c>
      <c r="T1039" t="n">
        <v>3</v>
      </c>
      <c r="U1039" t="n">
        <v>3</v>
      </c>
      <c r="V1039" t="n">
        <v>25</v>
      </c>
      <c r="W1039" t="n">
        <v>15</v>
      </c>
      <c r="X1039" t="n">
        <v>19.2</v>
      </c>
      <c r="Y1039" t="n">
        <v>9</v>
      </c>
      <c r="Z1039" t="n">
        <v>0</v>
      </c>
      <c r="AN1039" t="inlineStr">
        <is>
          <t>Necramech</t>
        </is>
      </c>
      <c r="AO1039" t="n">
        <v>310</v>
      </c>
      <c r="AP1039" t="n">
        <v>14973</v>
      </c>
      <c r="AQ1039" t="n">
        <v>12</v>
      </c>
      <c r="AS1039" t="inlineStr">
        <is>
          <t>Yes</t>
        </is>
      </c>
    </row>
    <row r="1040">
      <c r="A1040" t="inlineStr">
        <is>
          <t>Mod</t>
        </is>
      </c>
      <c r="B1040" t="inlineStr">
        <is>
          <t>Necramech Steel Fiber</t>
        </is>
      </c>
      <c r="E1040" t="inlineStr">
        <is>
          <t>Necramech</t>
        </is>
      </c>
      <c r="F1040" t="n">
        <v>5</v>
      </c>
      <c r="G1040" t="n">
        <v>1</v>
      </c>
      <c r="H1040" t="inlineStr">
        <is>
          <t>Player trade (max rank)</t>
        </is>
      </c>
      <c r="I1040" t="inlineStr">
        <is>
          <t>Yes</t>
        </is>
      </c>
      <c r="K1040" t="inlineStr">
        <is>
          <t>Collection</t>
        </is>
      </c>
      <c r="L1040" t="n">
        <v>19</v>
      </c>
      <c r="M1040" t="n">
        <v>31.5</v>
      </c>
      <c r="N1040" t="n">
        <v>56</v>
      </c>
      <c r="O1040" t="inlineStr">
        <is>
          <t>2026-10-05 UTC (WFM pull 02:52-04:00)</t>
        </is>
      </c>
      <c r="P1040" t="inlineStr">
        <is>
          <t>OK</t>
        </is>
      </c>
      <c r="R1040" t="inlineStr">
        <is>
          <t>Every current tradeable mod at MAX RANK (WFM catalogue, rivens/locators excluded)</t>
        </is>
      </c>
      <c r="S1040" t="inlineStr">
        <is>
          <t>necramech_steel_fiber</t>
        </is>
      </c>
      <c r="T1040" t="n">
        <v>4</v>
      </c>
      <c r="U1040" t="n">
        <v>4</v>
      </c>
      <c r="V1040" t="n">
        <v>25</v>
      </c>
      <c r="W1040" t="n">
        <v>24</v>
      </c>
      <c r="X1040" t="n">
        <v>22.1</v>
      </c>
      <c r="Y1040" t="n">
        <v>84</v>
      </c>
      <c r="Z1040" t="n">
        <v>0</v>
      </c>
      <c r="AN1040" t="inlineStr">
        <is>
          <t>Necramech</t>
        </is>
      </c>
      <c r="AO1040" t="n">
        <v>620</v>
      </c>
      <c r="AP1040" t="n">
        <v>29946</v>
      </c>
      <c r="AQ1040" t="n">
        <v>14</v>
      </c>
      <c r="AS1040" t="inlineStr">
        <is>
          <t>Yes</t>
        </is>
      </c>
    </row>
    <row r="1041">
      <c r="A1041" t="inlineStr">
        <is>
          <t>Mod</t>
        </is>
      </c>
      <c r="B1041" t="inlineStr">
        <is>
          <t>Necramech Streamline</t>
        </is>
      </c>
      <c r="E1041" t="inlineStr">
        <is>
          <t>Necramech</t>
        </is>
      </c>
      <c r="F1041" t="n">
        <v>5</v>
      </c>
      <c r="G1041" t="n">
        <v>1</v>
      </c>
      <c r="H1041" t="inlineStr">
        <is>
          <t>Player trade (max rank)</t>
        </is>
      </c>
      <c r="I1041" t="inlineStr">
        <is>
          <t>Yes</t>
        </is>
      </c>
      <c r="K1041" t="inlineStr">
        <is>
          <t>Collection</t>
        </is>
      </c>
      <c r="L1041" t="n">
        <v>14</v>
      </c>
      <c r="M1041" t="n">
        <v>17.5</v>
      </c>
      <c r="N1041" t="n">
        <v>22</v>
      </c>
      <c r="O1041" t="inlineStr">
        <is>
          <t>2026-10-05 UTC (WFM pull 02:52-04:00)</t>
        </is>
      </c>
      <c r="P1041" t="inlineStr">
        <is>
          <t>OK</t>
        </is>
      </c>
      <c r="R1041" t="inlineStr">
        <is>
          <t>Every current tradeable mod at MAX RANK (WFM catalogue, rivens/locators excluded)</t>
        </is>
      </c>
      <c r="S1041" t="inlineStr">
        <is>
          <t>necramech_streamline</t>
        </is>
      </c>
      <c r="T1041" t="n">
        <v>4</v>
      </c>
      <c r="U1041" t="n">
        <v>4</v>
      </c>
      <c r="V1041" t="n">
        <v>15</v>
      </c>
      <c r="W1041" t="n">
        <v>15</v>
      </c>
      <c r="X1041" t="n">
        <v>15.5</v>
      </c>
      <c r="Y1041" t="n">
        <v>131</v>
      </c>
      <c r="Z1041" t="n">
        <v>1</v>
      </c>
      <c r="AN1041" t="inlineStr">
        <is>
          <t>Necramech</t>
        </is>
      </c>
      <c r="AO1041" t="n">
        <v>930</v>
      </c>
      <c r="AP1041" t="n">
        <v>44919</v>
      </c>
      <c r="AQ1041" t="n">
        <v>10</v>
      </c>
      <c r="AS1041" t="inlineStr">
        <is>
          <t>Yes</t>
        </is>
      </c>
    </row>
    <row r="1042">
      <c r="A1042" t="inlineStr">
        <is>
          <t>Mod</t>
        </is>
      </c>
      <c r="B1042" t="inlineStr">
        <is>
          <t>Necramech Stretch</t>
        </is>
      </c>
      <c r="E1042" t="inlineStr">
        <is>
          <t>Necramech</t>
        </is>
      </c>
      <c r="F1042" t="n">
        <v>5</v>
      </c>
      <c r="G1042" t="n">
        <v>1</v>
      </c>
      <c r="H1042" t="inlineStr">
        <is>
          <t>Player trade (max rank)</t>
        </is>
      </c>
      <c r="I1042" t="inlineStr">
        <is>
          <t>Yes</t>
        </is>
      </c>
      <c r="K1042" t="inlineStr">
        <is>
          <t>Collection</t>
        </is>
      </c>
      <c r="L1042" t="n">
        <v>20</v>
      </c>
      <c r="M1042" t="n">
        <v>20</v>
      </c>
      <c r="N1042" t="n">
        <v>22</v>
      </c>
      <c r="O1042" t="inlineStr">
        <is>
          <t>2026-10-05 UTC (WFM pull 02:52-04:00)</t>
        </is>
      </c>
      <c r="P1042" t="inlineStr">
        <is>
          <t>OK</t>
        </is>
      </c>
      <c r="R1042" t="inlineStr">
        <is>
          <t>Every current tradeable mod at MAX RANK (WFM catalogue, rivens/locators excluded)</t>
        </is>
      </c>
      <c r="S1042" t="inlineStr">
        <is>
          <t>necramech_stretch</t>
        </is>
      </c>
      <c r="T1042" t="n">
        <v>4</v>
      </c>
      <c r="U1042" t="n">
        <v>4</v>
      </c>
      <c r="V1042" t="n">
        <v>17</v>
      </c>
      <c r="W1042" t="n">
        <v>15</v>
      </c>
      <c r="X1042" t="n">
        <v>15</v>
      </c>
      <c r="Y1042" t="n">
        <v>34</v>
      </c>
      <c r="Z1042" t="n">
        <v>0</v>
      </c>
      <c r="AN1042" t="inlineStr">
        <is>
          <t>Necramech</t>
        </is>
      </c>
      <c r="AO1042" t="n">
        <v>620</v>
      </c>
      <c r="AP1042" t="n">
        <v>29946</v>
      </c>
      <c r="AQ1042" t="n">
        <v>8</v>
      </c>
      <c r="AS1042" t="inlineStr">
        <is>
          <t>Yes</t>
        </is>
      </c>
    </row>
    <row r="1043">
      <c r="A1043" t="inlineStr">
        <is>
          <t>Mod</t>
        </is>
      </c>
      <c r="B1043" t="inlineStr">
        <is>
          <t>Necramech Thrusters</t>
        </is>
      </c>
      <c r="E1043" t="inlineStr">
        <is>
          <t>Necramech</t>
        </is>
      </c>
      <c r="F1043" t="n">
        <v>3</v>
      </c>
      <c r="G1043" t="n">
        <v>1</v>
      </c>
      <c r="H1043" t="inlineStr">
        <is>
          <t>Player trade (max rank)</t>
        </is>
      </c>
      <c r="I1043" t="inlineStr">
        <is>
          <t>Yes</t>
        </is>
      </c>
      <c r="K1043" t="inlineStr">
        <is>
          <t>Collection</t>
        </is>
      </c>
      <c r="L1043" t="n">
        <v>15</v>
      </c>
      <c r="M1043" t="n">
        <v>22</v>
      </c>
      <c r="N1043" t="n">
        <v>49</v>
      </c>
      <c r="O1043" t="inlineStr">
        <is>
          <t>2026-10-05 UTC (WFM pull 02:52-04:00)</t>
        </is>
      </c>
      <c r="P1043" t="inlineStr">
        <is>
          <t>OK</t>
        </is>
      </c>
      <c r="R1043" t="inlineStr">
        <is>
          <t>Every current tradeable mod at MAX RANK (WFM catalogue, rivens/locators excluded)</t>
        </is>
      </c>
      <c r="S1043" t="inlineStr">
        <is>
          <t>necramech_thrusters</t>
        </is>
      </c>
      <c r="T1043" t="n">
        <v>3</v>
      </c>
      <c r="U1043" t="n">
        <v>3</v>
      </c>
      <c r="V1043" t="n">
        <v>21</v>
      </c>
      <c r="W1043" t="n">
        <v>19.5</v>
      </c>
      <c r="X1043" t="n">
        <v>19.6</v>
      </c>
      <c r="Y1043" t="n">
        <v>89</v>
      </c>
      <c r="Z1043" t="n">
        <v>0</v>
      </c>
      <c r="AN1043" t="inlineStr">
        <is>
          <t>Necramech</t>
        </is>
      </c>
      <c r="AO1043" t="n">
        <v>210</v>
      </c>
      <c r="AP1043" t="n">
        <v>10143</v>
      </c>
      <c r="AQ1043" t="n">
        <v>18</v>
      </c>
      <c r="AS1043" t="inlineStr">
        <is>
          <t>Yes</t>
        </is>
      </c>
    </row>
    <row r="1044">
      <c r="A1044" t="inlineStr">
        <is>
          <t>Mod</t>
        </is>
      </c>
      <c r="B1044" t="inlineStr">
        <is>
          <t>Necramech Vitality</t>
        </is>
      </c>
      <c r="E1044" t="inlineStr">
        <is>
          <t>Necramech</t>
        </is>
      </c>
      <c r="F1044" t="n">
        <v>5</v>
      </c>
      <c r="G1044" t="n">
        <v>1</v>
      </c>
      <c r="H1044" t="inlineStr">
        <is>
          <t>Player trade (max rank)</t>
        </is>
      </c>
      <c r="I1044" t="inlineStr">
        <is>
          <t>Yes</t>
        </is>
      </c>
      <c r="K1044" t="inlineStr">
        <is>
          <t>Collection</t>
        </is>
      </c>
      <c r="L1044" t="n">
        <v>14</v>
      </c>
      <c r="M1044" t="n">
        <v>14</v>
      </c>
      <c r="N1044" t="n">
        <v>22</v>
      </c>
      <c r="O1044" t="inlineStr">
        <is>
          <t>2026-10-05 UTC (WFM pull 02:52-04:00)</t>
        </is>
      </c>
      <c r="P1044" t="inlineStr">
        <is>
          <t>OK</t>
        </is>
      </c>
      <c r="R1044" t="inlineStr">
        <is>
          <t>Every current tradeable mod at MAX RANK (WFM catalogue, rivens/locators excluded)</t>
        </is>
      </c>
      <c r="S1044" t="inlineStr">
        <is>
          <t>necramech_vitality</t>
        </is>
      </c>
      <c r="T1044" t="n">
        <v>9</v>
      </c>
      <c r="U1044" t="n">
        <v>9</v>
      </c>
      <c r="V1044" t="n">
        <v>19.5</v>
      </c>
      <c r="W1044" t="n">
        <v>19.5</v>
      </c>
      <c r="X1044" t="n">
        <v>18.5</v>
      </c>
      <c r="Y1044" t="n">
        <v>84</v>
      </c>
      <c r="Z1044" t="n">
        <v>0</v>
      </c>
      <c r="AN1044" t="inlineStr">
        <is>
          <t>Necramech</t>
        </is>
      </c>
      <c r="AO1044" t="n">
        <v>310</v>
      </c>
      <c r="AP1044" t="n">
        <v>14973</v>
      </c>
      <c r="AQ1044" t="n">
        <v>13</v>
      </c>
      <c r="AS1044" t="inlineStr">
        <is>
          <t>Yes</t>
        </is>
      </c>
    </row>
    <row r="1045">
      <c r="A1045" t="inlineStr">
        <is>
          <t>Mod</t>
        </is>
      </c>
      <c r="B1045" t="inlineStr">
        <is>
          <t>Necrophagic Vigor</t>
        </is>
      </c>
      <c r="E1045" t="inlineStr">
        <is>
          <t>Hema</t>
        </is>
      </c>
      <c r="F1045" t="n">
        <v>5</v>
      </c>
      <c r="G1045" t="n">
        <v>1</v>
      </c>
      <c r="H1045" t="inlineStr">
        <is>
          <t>Player trade (max rank)</t>
        </is>
      </c>
      <c r="I1045" t="inlineStr">
        <is>
          <t>Yes</t>
        </is>
      </c>
      <c r="K1045" t="inlineStr">
        <is>
          <t>Collection</t>
        </is>
      </c>
      <c r="L1045" t="n">
        <v>94</v>
      </c>
      <c r="M1045" t="n">
        <v>134.2</v>
      </c>
      <c r="N1045" t="n">
        <v>264</v>
      </c>
      <c r="O1045" t="inlineStr">
        <is>
          <t>2026-10-05 UTC (WFM pull 02:52-04:00)</t>
        </is>
      </c>
      <c r="P1045" t="inlineStr">
        <is>
          <t>OK</t>
        </is>
      </c>
      <c r="R1045" t="inlineStr">
        <is>
          <t>Every current tradeable mod at MAX RANK (WFM catalogue, rivens/locators excluded)</t>
        </is>
      </c>
      <c r="S1045" t="inlineStr">
        <is>
          <t>necrophagic_vigor</t>
        </is>
      </c>
      <c r="T1045" t="n">
        <v>5</v>
      </c>
      <c r="U1045" t="n">
        <v>5</v>
      </c>
      <c r="V1045" t="n">
        <v>89.5</v>
      </c>
      <c r="W1045" t="n">
        <v>90</v>
      </c>
      <c r="X1045" t="n">
        <v>90.40000000000001</v>
      </c>
      <c r="Y1045" t="n">
        <v>454</v>
      </c>
      <c r="Z1045" t="n">
        <v>11</v>
      </c>
      <c r="AA1045" t="n">
        <v>50</v>
      </c>
      <c r="AB1045" t="n">
        <v>44</v>
      </c>
      <c r="AN1045" t="inlineStr">
        <is>
          <t>Hema</t>
        </is>
      </c>
      <c r="AO1045" t="n">
        <v>930</v>
      </c>
      <c r="AP1045" t="n">
        <v>44919</v>
      </c>
      <c r="AQ1045" t="n">
        <v>70</v>
      </c>
      <c r="AS1045" t="inlineStr">
        <is>
          <t>Yes</t>
        </is>
      </c>
    </row>
    <row r="1046">
      <c r="A1046" t="inlineStr">
        <is>
          <t>Mod</t>
        </is>
      </c>
      <c r="B1046" t="inlineStr">
        <is>
          <t>Negate</t>
        </is>
      </c>
      <c r="E1046" t="inlineStr">
        <is>
          <t>Wyrm</t>
        </is>
      </c>
      <c r="F1046" t="n">
        <v>5</v>
      </c>
      <c r="G1046" t="n">
        <v>1</v>
      </c>
      <c r="H1046" t="inlineStr">
        <is>
          <t>Player trade (max rank)</t>
        </is>
      </c>
      <c r="I1046" t="inlineStr">
        <is>
          <t>Yes</t>
        </is>
      </c>
      <c r="K1046" t="inlineStr">
        <is>
          <t>Collection</t>
        </is>
      </c>
      <c r="L1046" t="n">
        <v>55</v>
      </c>
      <c r="M1046" t="n">
        <v>55</v>
      </c>
      <c r="N1046" t="n">
        <v>66</v>
      </c>
      <c r="O1046" t="inlineStr">
        <is>
          <t>2026-10-05 UTC (WFM pull 02:52-04:00)</t>
        </is>
      </c>
      <c r="P1046" t="inlineStr">
        <is>
          <t>OK</t>
        </is>
      </c>
      <c r="R1046" t="inlineStr">
        <is>
          <t>Every current tradeable mod at MAX RANK (WFM catalogue, rivens/locators excluded)</t>
        </is>
      </c>
      <c r="S1046" t="inlineStr">
        <is>
          <t>negate</t>
        </is>
      </c>
      <c r="T1046" t="n">
        <v>12</v>
      </c>
      <c r="U1046" t="n">
        <v>12</v>
      </c>
      <c r="V1046" t="n">
        <v>50</v>
      </c>
      <c r="W1046" t="n">
        <v>50</v>
      </c>
      <c r="X1046" t="n">
        <v>51.4</v>
      </c>
      <c r="Y1046" t="n">
        <v>726</v>
      </c>
      <c r="Z1046" t="n">
        <v>27</v>
      </c>
      <c r="AN1046" t="inlineStr">
        <is>
          <t>Wyrm</t>
        </is>
      </c>
      <c r="AO1046" t="n">
        <v>930</v>
      </c>
      <c r="AP1046" t="n">
        <v>44919</v>
      </c>
      <c r="AQ1046" t="n">
        <v>49</v>
      </c>
      <c r="AS1046" t="inlineStr">
        <is>
          <t>Yes</t>
        </is>
      </c>
    </row>
    <row r="1047">
      <c r="A1047" t="inlineStr">
        <is>
          <t>Mod</t>
        </is>
      </c>
      <c r="B1047" t="inlineStr">
        <is>
          <t>Negation Armor</t>
        </is>
      </c>
      <c r="E1047" t="inlineStr">
        <is>
          <t>Augment Inaros</t>
        </is>
      </c>
      <c r="F1047" t="n">
        <v>3</v>
      </c>
      <c r="G1047" t="n">
        <v>1</v>
      </c>
      <c r="H1047" t="inlineStr">
        <is>
          <t>Player trade (max rank)</t>
        </is>
      </c>
      <c r="I1047" t="inlineStr">
        <is>
          <t>Yes</t>
        </is>
      </c>
      <c r="K1047" t="inlineStr">
        <is>
          <t>Collection</t>
        </is>
      </c>
      <c r="L1047" t="n">
        <v>15</v>
      </c>
      <c r="M1047" t="n">
        <v>17.2</v>
      </c>
      <c r="N1047" t="n">
        <v>38</v>
      </c>
      <c r="O1047" t="inlineStr">
        <is>
          <t>2026-10-05 UTC (WFM pull 02:52-04:00)</t>
        </is>
      </c>
      <c r="P1047" t="inlineStr">
        <is>
          <t>OK</t>
        </is>
      </c>
      <c r="R1047" t="inlineStr">
        <is>
          <t>Every current tradeable mod at MAX RANK (WFM catalogue, rivens/locators excluded)</t>
        </is>
      </c>
      <c r="S1047" t="inlineStr">
        <is>
          <t>negation_armor</t>
        </is>
      </c>
      <c r="T1047" t="n">
        <v>4</v>
      </c>
      <c r="U1047" t="n">
        <v>4</v>
      </c>
      <c r="V1047" t="n">
        <v>11.5</v>
      </c>
      <c r="W1047" t="n">
        <v>12</v>
      </c>
      <c r="X1047" t="n">
        <v>13</v>
      </c>
      <c r="Y1047" t="n">
        <v>38</v>
      </c>
      <c r="Z1047" t="n">
        <v>0</v>
      </c>
      <c r="AN1047" t="inlineStr">
        <is>
          <t>Augment Inaros</t>
        </is>
      </c>
      <c r="AO1047" t="n">
        <v>210</v>
      </c>
      <c r="AP1047" t="n">
        <v>10143</v>
      </c>
      <c r="AQ1047" t="n">
        <v>14</v>
      </c>
      <c r="AS1047" t="inlineStr">
        <is>
          <t>Yes</t>
        </is>
      </c>
    </row>
    <row r="1048">
      <c r="A1048" t="inlineStr">
        <is>
          <t>Mod</t>
        </is>
      </c>
      <c r="B1048" t="inlineStr">
        <is>
          <t>Netra</t>
        </is>
      </c>
      <c r="E1048" t="inlineStr">
        <is>
          <t>Parazon</t>
        </is>
      </c>
      <c r="F1048" t="n">
        <v>3</v>
      </c>
      <c r="G1048" t="n">
        <v>1</v>
      </c>
      <c r="H1048" t="inlineStr">
        <is>
          <t>Player trade (max rank)</t>
        </is>
      </c>
      <c r="I1048" t="inlineStr">
        <is>
          <t>Yes</t>
        </is>
      </c>
      <c r="K1048" t="inlineStr">
        <is>
          <t>Collection</t>
        </is>
      </c>
      <c r="L1048" t="n">
        <v>8</v>
      </c>
      <c r="M1048" t="n">
        <v>8</v>
      </c>
      <c r="N1048" t="n">
        <v>10</v>
      </c>
      <c r="O1048" t="inlineStr">
        <is>
          <t>2026-10-05 UTC (WFM pull 02:52-04:00)</t>
        </is>
      </c>
      <c r="P1048" t="inlineStr">
        <is>
          <t>OK</t>
        </is>
      </c>
      <c r="R1048" t="inlineStr">
        <is>
          <t>Every current tradeable mod at MAX RANK (WFM catalogue, rivens/locators excluded)</t>
        </is>
      </c>
      <c r="S1048" t="inlineStr">
        <is>
          <t>netra</t>
        </is>
      </c>
      <c r="T1048" t="n">
        <v>11</v>
      </c>
      <c r="U1048" t="n">
        <v>11</v>
      </c>
      <c r="V1048" t="n">
        <v>8</v>
      </c>
      <c r="W1048" t="n">
        <v>8</v>
      </c>
      <c r="X1048" t="n">
        <v>8.199999999999999</v>
      </c>
      <c r="Y1048" t="n">
        <v>2718</v>
      </c>
      <c r="Z1048" t="n">
        <v>54</v>
      </c>
      <c r="AN1048" t="inlineStr">
        <is>
          <t>Parazon</t>
        </is>
      </c>
      <c r="AO1048" t="n">
        <v>210</v>
      </c>
      <c r="AP1048" t="n">
        <v>10143</v>
      </c>
      <c r="AQ1048" t="n">
        <v>10</v>
      </c>
      <c r="AS1048" t="inlineStr">
        <is>
          <t>Yes</t>
        </is>
      </c>
    </row>
    <row r="1049">
      <c r="A1049" t="inlineStr">
        <is>
          <t>Mod</t>
        </is>
      </c>
      <c r="B1049" t="inlineStr">
        <is>
          <t>Netra Invocation</t>
        </is>
      </c>
      <c r="E1049" t="inlineStr">
        <is>
          <t>Tome</t>
        </is>
      </c>
      <c r="F1049" t="n">
        <v>3</v>
      </c>
      <c r="G1049" t="n">
        <v>1</v>
      </c>
      <c r="H1049" t="inlineStr">
        <is>
          <t>Player trade (max rank)</t>
        </is>
      </c>
      <c r="I1049" t="inlineStr">
        <is>
          <t>Yes</t>
        </is>
      </c>
      <c r="K1049" t="inlineStr">
        <is>
          <t>Collection</t>
        </is>
      </c>
      <c r="L1049" t="n">
        <v>10</v>
      </c>
      <c r="M1049" t="n">
        <v>12</v>
      </c>
      <c r="N1049" t="n">
        <v>27</v>
      </c>
      <c r="O1049" t="inlineStr">
        <is>
          <t>2026-10-05 UTC (WFM pull 02:52-04:00)</t>
        </is>
      </c>
      <c r="P1049" t="inlineStr">
        <is>
          <t>OK</t>
        </is>
      </c>
      <c r="R1049" t="inlineStr">
        <is>
          <t>Every current tradeable mod at MAX RANK (WFM catalogue, rivens/locators excluded)</t>
        </is>
      </c>
      <c r="S1049" t="inlineStr">
        <is>
          <t>netra_invocation</t>
        </is>
      </c>
      <c r="T1049" t="n">
        <v>3</v>
      </c>
      <c r="U1049" t="n">
        <v>3</v>
      </c>
      <c r="V1049" t="n">
        <v>8</v>
      </c>
      <c r="W1049" t="n">
        <v>9</v>
      </c>
      <c r="X1049" t="n">
        <v>8.699999999999999</v>
      </c>
      <c r="Y1049" t="n">
        <v>121</v>
      </c>
      <c r="Z1049" t="n">
        <v>4</v>
      </c>
      <c r="AN1049" t="inlineStr">
        <is>
          <t>Tome</t>
        </is>
      </c>
      <c r="AO1049" t="n">
        <v>210</v>
      </c>
      <c r="AP1049" t="n">
        <v>10143</v>
      </c>
      <c r="AQ1049" t="n">
        <v>10</v>
      </c>
      <c r="AS1049" t="inlineStr">
        <is>
          <t>Yes</t>
        </is>
      </c>
    </row>
    <row r="1050">
      <c r="A1050" t="inlineStr">
        <is>
          <t>Mod</t>
        </is>
      </c>
      <c r="B1050" t="inlineStr">
        <is>
          <t>Neutralize</t>
        </is>
      </c>
      <c r="E1050" t="inlineStr">
        <is>
          <t>Chesa Kubrow</t>
        </is>
      </c>
      <c r="F1050" t="n">
        <v>5</v>
      </c>
      <c r="G1050" t="n">
        <v>1</v>
      </c>
      <c r="H1050" t="inlineStr">
        <is>
          <t>Player trade (max rank)</t>
        </is>
      </c>
      <c r="I1050" t="inlineStr">
        <is>
          <t>Yes</t>
        </is>
      </c>
      <c r="K1050" t="inlineStr">
        <is>
          <t>Collection</t>
        </is>
      </c>
      <c r="L1050" t="n">
        <v>10</v>
      </c>
      <c r="M1050" t="n">
        <v>14</v>
      </c>
      <c r="N1050" t="n">
        <v>17</v>
      </c>
      <c r="O1050" t="inlineStr">
        <is>
          <t>2026-10-05 UTC (WFM pull 02:52-04:00)</t>
        </is>
      </c>
      <c r="P1050" t="inlineStr">
        <is>
          <t>OK</t>
        </is>
      </c>
      <c r="R1050" t="inlineStr">
        <is>
          <t>Every current tradeable mod at MAX RANK (WFM catalogue, rivens/locators excluded)</t>
        </is>
      </c>
      <c r="S1050" t="inlineStr">
        <is>
          <t>neutralize</t>
        </is>
      </c>
      <c r="T1050" t="n">
        <v>39</v>
      </c>
      <c r="U1050" t="n">
        <v>2</v>
      </c>
      <c r="V1050" t="n">
        <v>10</v>
      </c>
      <c r="W1050" t="n">
        <v>10</v>
      </c>
      <c r="X1050" t="n">
        <v>9</v>
      </c>
      <c r="Y1050" t="n">
        <v>3</v>
      </c>
      <c r="Z1050" t="n">
        <v>0</v>
      </c>
      <c r="AN1050" t="inlineStr">
        <is>
          <t>Chesa Kubrow</t>
        </is>
      </c>
      <c r="AO1050" t="n">
        <v>930</v>
      </c>
      <c r="AP1050" t="n">
        <v>44919</v>
      </c>
      <c r="AQ1050" t="n">
        <v>3</v>
      </c>
      <c r="AS1050" t="inlineStr">
        <is>
          <t>Yes</t>
        </is>
      </c>
    </row>
    <row r="1051">
      <c r="A1051" t="inlineStr">
        <is>
          <t>Mod</t>
        </is>
      </c>
      <c r="B1051" t="inlineStr">
        <is>
          <t>Neutralizing Justice</t>
        </is>
      </c>
      <c r="E1051" t="inlineStr">
        <is>
          <t>Augment Miter</t>
        </is>
      </c>
      <c r="F1051" t="n">
        <v>3</v>
      </c>
      <c r="G1051" t="n">
        <v>1</v>
      </c>
      <c r="H1051" t="inlineStr">
        <is>
          <t>Player trade (max rank)</t>
        </is>
      </c>
      <c r="I1051" t="inlineStr">
        <is>
          <t>Yes</t>
        </is>
      </c>
      <c r="K1051" t="inlineStr">
        <is>
          <t>Collection</t>
        </is>
      </c>
      <c r="L1051" t="n">
        <v>30</v>
      </c>
      <c r="M1051" t="n">
        <v>30</v>
      </c>
      <c r="N1051" t="n">
        <v>66</v>
      </c>
      <c r="O1051" t="inlineStr">
        <is>
          <t>2026-10-05 UTC (WFM pull 02:52-04:00)</t>
        </is>
      </c>
      <c r="P1051" t="inlineStr">
        <is>
          <t>OK</t>
        </is>
      </c>
      <c r="R1051" t="inlineStr">
        <is>
          <t>Every current tradeable mod at MAX RANK (WFM catalogue, rivens/locators excluded)</t>
        </is>
      </c>
      <c r="S1051" t="inlineStr">
        <is>
          <t>neutralizing_justice</t>
        </is>
      </c>
      <c r="T1051" t="n">
        <v>4</v>
      </c>
      <c r="U1051" t="n">
        <v>4</v>
      </c>
      <c r="V1051" t="n">
        <v>13</v>
      </c>
      <c r="W1051" t="n">
        <v>14</v>
      </c>
      <c r="X1051" t="n">
        <v>13.5</v>
      </c>
      <c r="Y1051" t="n">
        <v>46</v>
      </c>
      <c r="Z1051" t="n">
        <v>1</v>
      </c>
      <c r="AN1051" t="inlineStr">
        <is>
          <t>Augment Miter</t>
        </is>
      </c>
      <c r="AO1051" t="n">
        <v>210</v>
      </c>
      <c r="AP1051" t="n">
        <v>10143</v>
      </c>
      <c r="AQ1051" t="n">
        <v>15</v>
      </c>
      <c r="AS1051" t="inlineStr">
        <is>
          <t>Yes</t>
        </is>
      </c>
    </row>
    <row r="1052">
      <c r="A1052" t="inlineStr">
        <is>
          <t>Mod</t>
        </is>
      </c>
      <c r="B1052" t="inlineStr">
        <is>
          <t>Neutron Star</t>
        </is>
      </c>
      <c r="E1052" t="inlineStr">
        <is>
          <t>Augment Nova</t>
        </is>
      </c>
      <c r="F1052" t="n">
        <v>3</v>
      </c>
      <c r="G1052" t="n">
        <v>1</v>
      </c>
      <c r="H1052" t="inlineStr">
        <is>
          <t>Player trade (max rank)</t>
        </is>
      </c>
      <c r="I1052" t="inlineStr">
        <is>
          <t>Yes</t>
        </is>
      </c>
      <c r="K1052" t="inlineStr">
        <is>
          <t>Collection</t>
        </is>
      </c>
      <c r="L1052" t="n">
        <v>14</v>
      </c>
      <c r="M1052" t="n">
        <v>15</v>
      </c>
      <c r="N1052" t="n">
        <v>17</v>
      </c>
      <c r="O1052" t="inlineStr">
        <is>
          <t>2026-10-05 UTC (WFM pull 02:52-04:00)</t>
        </is>
      </c>
      <c r="P1052" t="inlineStr">
        <is>
          <t>OK</t>
        </is>
      </c>
      <c r="R1052" t="inlineStr">
        <is>
          <t>Every current tradeable mod at MAX RANK (WFM catalogue, rivens/locators excluded)</t>
        </is>
      </c>
      <c r="S1052" t="inlineStr">
        <is>
          <t>neutron_star</t>
        </is>
      </c>
      <c r="T1052" t="n">
        <v>7</v>
      </c>
      <c r="U1052" t="n">
        <v>7</v>
      </c>
      <c r="V1052" t="n">
        <v>13</v>
      </c>
      <c r="W1052" t="n">
        <v>14</v>
      </c>
      <c r="X1052" t="n">
        <v>13</v>
      </c>
      <c r="Y1052" t="n">
        <v>797</v>
      </c>
      <c r="Z1052" t="n">
        <v>6</v>
      </c>
      <c r="AN1052" t="inlineStr">
        <is>
          <t>Augment Nova</t>
        </is>
      </c>
      <c r="AO1052" t="n">
        <v>210</v>
      </c>
      <c r="AP1052" t="n">
        <v>10143</v>
      </c>
      <c r="AQ1052" t="n">
        <v>13</v>
      </c>
      <c r="AS1052" t="inlineStr">
        <is>
          <t>Yes</t>
        </is>
      </c>
    </row>
    <row r="1053">
      <c r="A1053" t="inlineStr">
        <is>
          <t>Mod</t>
        </is>
      </c>
      <c r="B1053" t="inlineStr">
        <is>
          <t>Night Stalker</t>
        </is>
      </c>
      <c r="E1053" t="inlineStr">
        <is>
          <t>Conclave (PvP)</t>
        </is>
      </c>
      <c r="F1053" t="n">
        <v>5</v>
      </c>
      <c r="G1053" t="n">
        <v>1</v>
      </c>
      <c r="H1053" t="inlineStr">
        <is>
          <t>Player trade (max rank)</t>
        </is>
      </c>
      <c r="I1053" t="inlineStr">
        <is>
          <t>Yes</t>
        </is>
      </c>
      <c r="K1053" t="inlineStr">
        <is>
          <t>Collection (PvP)</t>
        </is>
      </c>
      <c r="L1053" t="n">
        <v>200</v>
      </c>
      <c r="M1053" t="n">
        <v>200</v>
      </c>
      <c r="N1053" t="n">
        <v>330</v>
      </c>
      <c r="O1053" t="inlineStr">
        <is>
          <t>2026-10-05 UTC (WFM pull 02:52-04:00)</t>
        </is>
      </c>
      <c r="P1053" t="inlineStr">
        <is>
          <t>OK</t>
        </is>
      </c>
      <c r="R1053" t="inlineStr">
        <is>
          <t>Every current tradeable mod at MAX RANK (WFM catalogue, rivens/locators excluded)</t>
        </is>
      </c>
      <c r="S1053" t="inlineStr">
        <is>
          <t>night_stalker</t>
        </is>
      </c>
      <c r="T1053" t="n">
        <v>3</v>
      </c>
      <c r="U1053" t="n">
        <v>0</v>
      </c>
      <c r="V1053" t="n">
        <v>37.5</v>
      </c>
      <c r="W1053" t="n">
        <v>37.5</v>
      </c>
      <c r="X1053" t="n">
        <v>31.7</v>
      </c>
      <c r="Y1053" t="n">
        <v>3</v>
      </c>
      <c r="Z1053" t="n">
        <v>2</v>
      </c>
      <c r="AN1053" t="inlineStr">
        <is>
          <t>Conclave (PvP)</t>
        </is>
      </c>
      <c r="AO1053" t="n">
        <v>620</v>
      </c>
      <c r="AP1053" t="n">
        <v>29946</v>
      </c>
      <c r="AQ1053" t="n">
        <v>47.5</v>
      </c>
      <c r="AS1053" t="inlineStr">
        <is>
          <t>PvP subtotal</t>
        </is>
      </c>
    </row>
    <row r="1054">
      <c r="A1054" t="inlineStr">
        <is>
          <t>Mod</t>
        </is>
      </c>
      <c r="B1054" t="inlineStr">
        <is>
          <t>Nightwatch Napalm</t>
        </is>
      </c>
      <c r="E1054" t="inlineStr">
        <is>
          <t>Augment Ogris</t>
        </is>
      </c>
      <c r="F1054" t="n">
        <v>5</v>
      </c>
      <c r="G1054" t="n">
        <v>1</v>
      </c>
      <c r="H1054" t="inlineStr">
        <is>
          <t>Player trade (max rank)</t>
        </is>
      </c>
      <c r="I1054" t="inlineStr">
        <is>
          <t>Yes</t>
        </is>
      </c>
      <c r="K1054" t="inlineStr">
        <is>
          <t>Collection</t>
        </is>
      </c>
      <c r="L1054" t="n">
        <v>15</v>
      </c>
      <c r="M1054" t="n">
        <v>25.5</v>
      </c>
      <c r="N1054" t="n">
        <v>56</v>
      </c>
      <c r="O1054" t="inlineStr">
        <is>
          <t>2026-10-05 UTC (WFM pull 02:52-04:00)</t>
        </is>
      </c>
      <c r="P1054" t="inlineStr">
        <is>
          <t>OK</t>
        </is>
      </c>
      <c r="R1054" t="inlineStr">
        <is>
          <t>Every current tradeable mod at MAX RANK (WFM catalogue, rivens/locators excluded)</t>
        </is>
      </c>
      <c r="S1054" t="inlineStr">
        <is>
          <t>nightwatch_napalm</t>
        </is>
      </c>
      <c r="T1054" t="n">
        <v>9</v>
      </c>
      <c r="U1054" t="n">
        <v>9</v>
      </c>
      <c r="V1054" t="n">
        <v>17</v>
      </c>
      <c r="W1054" t="n">
        <v>20</v>
      </c>
      <c r="X1054" t="n">
        <v>18.7</v>
      </c>
      <c r="Y1054" t="n">
        <v>328</v>
      </c>
      <c r="Z1054" t="n">
        <v>5</v>
      </c>
      <c r="AN1054" t="inlineStr">
        <is>
          <t>Augment Ogris</t>
        </is>
      </c>
      <c r="AO1054" t="n">
        <v>620</v>
      </c>
      <c r="AP1054" t="n">
        <v>29946</v>
      </c>
      <c r="AQ1054" t="n">
        <v>13</v>
      </c>
      <c r="AS1054" t="inlineStr">
        <is>
          <t>Yes</t>
        </is>
      </c>
    </row>
    <row r="1055">
      <c r="A1055" t="inlineStr">
        <is>
          <t>Mod</t>
        </is>
      </c>
      <c r="B1055" t="inlineStr">
        <is>
          <t>Nira's Anguish</t>
        </is>
      </c>
      <c r="E1055" t="inlineStr">
        <is>
          <t>Warframe</t>
        </is>
      </c>
      <c r="F1055" t="n">
        <v>5</v>
      </c>
      <c r="G1055" t="n">
        <v>1</v>
      </c>
      <c r="H1055" t="inlineStr">
        <is>
          <t>Player trade (max rank)</t>
        </is>
      </c>
      <c r="I1055" t="inlineStr">
        <is>
          <t>Yes</t>
        </is>
      </c>
      <c r="K1055" t="inlineStr">
        <is>
          <t>Collection</t>
        </is>
      </c>
      <c r="L1055" t="n">
        <v>16</v>
      </c>
      <c r="M1055" t="n">
        <v>20</v>
      </c>
      <c r="N1055" t="n">
        <v>28</v>
      </c>
      <c r="O1055" t="inlineStr">
        <is>
          <t>2026-10-05 UTC (WFM pull 02:52-04:00)</t>
        </is>
      </c>
      <c r="P1055" t="inlineStr">
        <is>
          <t>OK</t>
        </is>
      </c>
      <c r="R1055" t="inlineStr">
        <is>
          <t>Every current tradeable mod at MAX RANK (WFM catalogue, rivens/locators excluded)</t>
        </is>
      </c>
      <c r="S1055" t="inlineStr">
        <is>
          <t>niras_anguish</t>
        </is>
      </c>
      <c r="T1055" t="n">
        <v>8</v>
      </c>
      <c r="U1055" t="n">
        <v>8</v>
      </c>
      <c r="V1055" t="n">
        <v>19</v>
      </c>
      <c r="W1055" t="n">
        <v>15</v>
      </c>
      <c r="X1055" t="n">
        <v>15.3</v>
      </c>
      <c r="Y1055" t="n">
        <v>357</v>
      </c>
      <c r="Z1055" t="n">
        <v>5</v>
      </c>
      <c r="AA1055" t="n">
        <v>5</v>
      </c>
      <c r="AB1055" t="n">
        <v>11</v>
      </c>
      <c r="AN1055" t="inlineStr">
        <is>
          <t>Warframe</t>
        </is>
      </c>
      <c r="AO1055" t="n">
        <v>310</v>
      </c>
      <c r="AP1055" t="n">
        <v>14973</v>
      </c>
      <c r="AQ1055" t="n">
        <v>9</v>
      </c>
      <c r="AS1055" t="inlineStr">
        <is>
          <t>Yes</t>
        </is>
      </c>
    </row>
    <row r="1056">
      <c r="A1056" t="inlineStr">
        <is>
          <t>Mod</t>
        </is>
      </c>
      <c r="B1056" t="inlineStr">
        <is>
          <t>Nira's Contempt</t>
        </is>
      </c>
      <c r="E1056" t="inlineStr">
        <is>
          <t>Whips</t>
        </is>
      </c>
      <c r="F1056" t="n">
        <v>5</v>
      </c>
      <c r="G1056" t="n">
        <v>1</v>
      </c>
      <c r="H1056" t="inlineStr">
        <is>
          <t>Player trade (max rank)</t>
        </is>
      </c>
      <c r="I1056" t="inlineStr">
        <is>
          <t>Yes</t>
        </is>
      </c>
      <c r="K1056" t="inlineStr">
        <is>
          <t>Collection</t>
        </is>
      </c>
      <c r="L1056" t="n">
        <v>15</v>
      </c>
      <c r="M1056" t="n">
        <v>18</v>
      </c>
      <c r="N1056" t="n">
        <v>40</v>
      </c>
      <c r="O1056" t="inlineStr">
        <is>
          <t>2026-10-05 UTC (WFM pull 02:52-04:00)</t>
        </is>
      </c>
      <c r="P1056" t="inlineStr">
        <is>
          <t>OK</t>
        </is>
      </c>
      <c r="R1056" t="inlineStr">
        <is>
          <t>Every current tradeable mod at MAX RANK (WFM catalogue, rivens/locators excluded)</t>
        </is>
      </c>
      <c r="S1056" t="inlineStr">
        <is>
          <t>niras_contempt</t>
        </is>
      </c>
      <c r="T1056" t="n">
        <v>8</v>
      </c>
      <c r="U1056" t="n">
        <v>8</v>
      </c>
      <c r="V1056" t="n">
        <v>12</v>
      </c>
      <c r="W1056" t="n">
        <v>12.5</v>
      </c>
      <c r="X1056" t="n">
        <v>12.7</v>
      </c>
      <c r="Y1056" t="n">
        <v>93</v>
      </c>
      <c r="Z1056" t="n">
        <v>2</v>
      </c>
      <c r="AN1056" t="inlineStr">
        <is>
          <t>Whips</t>
        </is>
      </c>
      <c r="AO1056" t="n">
        <v>930</v>
      </c>
      <c r="AP1056" t="n">
        <v>44919</v>
      </c>
      <c r="AQ1056" t="n">
        <v>7.5</v>
      </c>
      <c r="AS1056" t="inlineStr">
        <is>
          <t>Yes</t>
        </is>
      </c>
    </row>
    <row r="1057">
      <c r="A1057" t="inlineStr">
        <is>
          <t>Mod</t>
        </is>
      </c>
      <c r="B1057" t="inlineStr">
        <is>
          <t>Nira's Hatred</t>
        </is>
      </c>
      <c r="E1057" t="inlineStr">
        <is>
          <t>Warframe</t>
        </is>
      </c>
      <c r="F1057" t="n">
        <v>5</v>
      </c>
      <c r="G1057" t="n">
        <v>1</v>
      </c>
      <c r="H1057" t="inlineStr">
        <is>
          <t>Player trade (max rank)</t>
        </is>
      </c>
      <c r="I1057" t="inlineStr">
        <is>
          <t>Yes</t>
        </is>
      </c>
      <c r="K1057" t="inlineStr">
        <is>
          <t>Collection</t>
        </is>
      </c>
      <c r="L1057" t="n">
        <v>8</v>
      </c>
      <c r="M1057" t="n">
        <v>14</v>
      </c>
      <c r="N1057" t="n">
        <v>17</v>
      </c>
      <c r="O1057" t="inlineStr">
        <is>
          <t>2026-10-05 UTC (WFM pull 02:52-04:00)</t>
        </is>
      </c>
      <c r="P1057" t="inlineStr">
        <is>
          <t>OK</t>
        </is>
      </c>
      <c r="R1057" t="inlineStr">
        <is>
          <t>Every current tradeable mod at MAX RANK (WFM catalogue, rivens/locators excluded)</t>
        </is>
      </c>
      <c r="S1057" t="inlineStr">
        <is>
          <t>niras_hatred</t>
        </is>
      </c>
      <c r="T1057" t="n">
        <v>13</v>
      </c>
      <c r="U1057" t="n">
        <v>13</v>
      </c>
      <c r="V1057" t="n">
        <v>14</v>
      </c>
      <c r="W1057" t="n">
        <v>12.5</v>
      </c>
      <c r="X1057" t="n">
        <v>12.4</v>
      </c>
      <c r="Y1057" t="n">
        <v>571</v>
      </c>
      <c r="Z1057" t="n">
        <v>6</v>
      </c>
      <c r="AN1057" t="inlineStr">
        <is>
          <t>Warframe</t>
        </is>
      </c>
      <c r="AO1057" t="n">
        <v>620</v>
      </c>
      <c r="AP1057" t="n">
        <v>29946</v>
      </c>
      <c r="AQ1057" t="n">
        <v>5</v>
      </c>
      <c r="AS1057" t="inlineStr">
        <is>
          <t>Yes</t>
        </is>
      </c>
    </row>
    <row r="1058">
      <c r="A1058" t="inlineStr">
        <is>
          <t>Mod</t>
        </is>
      </c>
      <c r="B1058" t="inlineStr">
        <is>
          <t>Nitro Boost</t>
        </is>
      </c>
      <c r="E1058" t="inlineStr">
        <is>
          <t>K-Drive</t>
        </is>
      </c>
      <c r="F1058" t="n">
        <v>5</v>
      </c>
      <c r="G1058" t="n">
        <v>1</v>
      </c>
      <c r="H1058" t="inlineStr">
        <is>
          <t>Player trade (max rank)</t>
        </is>
      </c>
      <c r="I1058" t="inlineStr">
        <is>
          <t>Yes</t>
        </is>
      </c>
      <c r="K1058" t="inlineStr">
        <is>
          <t>Collection</t>
        </is>
      </c>
      <c r="L1058" t="n">
        <v>10</v>
      </c>
      <c r="M1058" t="n">
        <v>20</v>
      </c>
      <c r="N1058" t="n">
        <v>28</v>
      </c>
      <c r="O1058" t="inlineStr">
        <is>
          <t>2026-10-05 UTC (WFM pull 02:52-04:00)</t>
        </is>
      </c>
      <c r="P1058" t="inlineStr">
        <is>
          <t>OK</t>
        </is>
      </c>
      <c r="R1058" t="inlineStr">
        <is>
          <t>Every current tradeable mod at MAX RANK (WFM catalogue, rivens/locators excluded)</t>
        </is>
      </c>
      <c r="S1058" t="inlineStr">
        <is>
          <t>nitro_boost</t>
        </is>
      </c>
      <c r="T1058" t="n">
        <v>43</v>
      </c>
      <c r="U1058" t="n">
        <v>1</v>
      </c>
      <c r="V1058" t="n">
        <v>18</v>
      </c>
      <c r="W1058" t="n">
        <v>25</v>
      </c>
      <c r="X1058" t="n">
        <v>26.3</v>
      </c>
      <c r="Y1058" t="n">
        <v>13</v>
      </c>
      <c r="Z1058" t="n">
        <v>0</v>
      </c>
      <c r="AN1058" t="inlineStr">
        <is>
          <t>K-Drive</t>
        </is>
      </c>
      <c r="AO1058" t="n">
        <v>930</v>
      </c>
      <c r="AP1058" t="n">
        <v>44919</v>
      </c>
      <c r="AQ1058" t="n">
        <v>29.2</v>
      </c>
      <c r="AS1058" t="inlineStr">
        <is>
          <t>Yes</t>
        </is>
      </c>
    </row>
    <row r="1059">
      <c r="A1059" t="inlineStr">
        <is>
          <t>Mod</t>
        </is>
      </c>
      <c r="B1059" t="inlineStr">
        <is>
          <t>No Current Leap</t>
        </is>
      </c>
      <c r="E1059" t="inlineStr">
        <is>
          <t>Conclave (PvP)</t>
        </is>
      </c>
      <c r="F1059" t="n">
        <v>3</v>
      </c>
      <c r="G1059" t="n">
        <v>1</v>
      </c>
      <c r="H1059" t="inlineStr">
        <is>
          <t>Player trade (max rank)</t>
        </is>
      </c>
      <c r="I1059" t="inlineStr">
        <is>
          <t>Yes</t>
        </is>
      </c>
      <c r="K1059" t="inlineStr">
        <is>
          <t>Collection (PvP)</t>
        </is>
      </c>
      <c r="L1059" t="n">
        <v>75</v>
      </c>
      <c r="M1059" t="n">
        <v>75</v>
      </c>
      <c r="N1059" t="n">
        <v>165</v>
      </c>
      <c r="O1059" t="inlineStr">
        <is>
          <t>2026-10-05 UTC (WFM pull 02:52-04:00)</t>
        </is>
      </c>
      <c r="P1059" t="inlineStr">
        <is>
          <t>OK</t>
        </is>
      </c>
      <c r="R1059" t="inlineStr">
        <is>
          <t>Every current tradeable mod at MAX RANK (WFM catalogue, rivens/locators excluded)</t>
        </is>
      </c>
      <c r="S1059" t="inlineStr">
        <is>
          <t>no_current_leap</t>
        </is>
      </c>
      <c r="T1059" t="n">
        <v>5</v>
      </c>
      <c r="U1059" t="n">
        <v>0</v>
      </c>
      <c r="W1059" t="n">
        <v>10</v>
      </c>
      <c r="X1059" t="n">
        <v>10</v>
      </c>
      <c r="Y1059" t="n">
        <v>2</v>
      </c>
      <c r="Z1059" t="n">
        <v>0</v>
      </c>
      <c r="AN1059" t="inlineStr">
        <is>
          <t>Conclave (PvP)</t>
        </is>
      </c>
      <c r="AO1059" t="n">
        <v>140</v>
      </c>
      <c r="AP1059" t="n">
        <v>6762</v>
      </c>
      <c r="AQ1059" t="n">
        <v>42.5</v>
      </c>
      <c r="AS1059" t="inlineStr">
        <is>
          <t>PvP subtotal</t>
        </is>
      </c>
    </row>
    <row r="1060">
      <c r="A1060" t="inlineStr">
        <is>
          <t>Mod</t>
        </is>
      </c>
      <c r="B1060" t="inlineStr">
        <is>
          <t>No Return</t>
        </is>
      </c>
      <c r="E1060" t="inlineStr">
        <is>
          <t>Pistol</t>
        </is>
      </c>
      <c r="F1060" t="n">
        <v>5</v>
      </c>
      <c r="G1060" t="n">
        <v>1</v>
      </c>
      <c r="H1060" t="inlineStr">
        <is>
          <t>Player trade (max rank)</t>
        </is>
      </c>
      <c r="I1060" t="inlineStr">
        <is>
          <t>Yes</t>
        </is>
      </c>
      <c r="K1060" t="inlineStr">
        <is>
          <t>Collection</t>
        </is>
      </c>
      <c r="L1060" t="n">
        <v>7</v>
      </c>
      <c r="M1060" t="n">
        <v>13.5</v>
      </c>
      <c r="N1060" t="n">
        <v>30</v>
      </c>
      <c r="O1060" t="inlineStr">
        <is>
          <t>2026-10-05 UTC (WFM pull 02:52-04:00)</t>
        </is>
      </c>
      <c r="P1060" t="inlineStr">
        <is>
          <t>OK</t>
        </is>
      </c>
      <c r="R1060" t="inlineStr">
        <is>
          <t>Every current tradeable mod at MAX RANK (WFM catalogue, rivens/locators excluded)</t>
        </is>
      </c>
      <c r="S1060" t="inlineStr">
        <is>
          <t>no_return</t>
        </is>
      </c>
      <c r="T1060" t="n">
        <v>5</v>
      </c>
      <c r="U1060" t="n">
        <v>5</v>
      </c>
      <c r="V1060" t="n">
        <v>9</v>
      </c>
      <c r="W1060" t="n">
        <v>9</v>
      </c>
      <c r="X1060" t="n">
        <v>9.5</v>
      </c>
      <c r="Y1060" t="n">
        <v>2</v>
      </c>
      <c r="Z1060" t="n">
        <v>0</v>
      </c>
      <c r="AN1060" t="inlineStr">
        <is>
          <t>Pistol</t>
        </is>
      </c>
      <c r="AO1060" t="n">
        <v>620</v>
      </c>
      <c r="AP1060" t="n">
        <v>29946</v>
      </c>
      <c r="AQ1060" t="n">
        <v>4</v>
      </c>
      <c r="AS1060" t="inlineStr">
        <is>
          <t>Yes</t>
        </is>
      </c>
    </row>
    <row r="1061">
      <c r="A1061" t="inlineStr">
        <is>
          <t>Mod</t>
        </is>
      </c>
      <c r="B1061" t="inlineStr">
        <is>
          <t>Noble Cadence</t>
        </is>
      </c>
      <c r="E1061" t="inlineStr">
        <is>
          <t>Conclave (PvP)</t>
        </is>
      </c>
      <c r="F1061" t="n">
        <v>3</v>
      </c>
      <c r="G1061" t="n">
        <v>1</v>
      </c>
      <c r="H1061" t="inlineStr">
        <is>
          <t>Player trade (max rank)</t>
        </is>
      </c>
      <c r="I1061" t="inlineStr">
        <is>
          <t>Yes</t>
        </is>
      </c>
      <c r="K1061" t="inlineStr">
        <is>
          <t>Collection (PvP)</t>
        </is>
      </c>
      <c r="L1061" t="n">
        <v>100</v>
      </c>
      <c r="M1061" t="n">
        <v>100</v>
      </c>
      <c r="N1061" t="n">
        <v>221</v>
      </c>
      <c r="O1061" t="inlineStr">
        <is>
          <t>2026-10-05 UTC (WFM pull 02:52-04:00)</t>
        </is>
      </c>
      <c r="P1061" t="inlineStr">
        <is>
          <t>OK</t>
        </is>
      </c>
      <c r="R1061" t="inlineStr">
        <is>
          <t>Every current tradeable mod at MAX RANK (WFM catalogue, rivens/locators excluded)</t>
        </is>
      </c>
      <c r="S1061" t="inlineStr">
        <is>
          <t>noble_cadence</t>
        </is>
      </c>
      <c r="T1061" t="n">
        <v>3</v>
      </c>
      <c r="U1061" t="n">
        <v>0</v>
      </c>
      <c r="V1061" t="n">
        <v>20</v>
      </c>
      <c r="W1061" t="n">
        <v>20</v>
      </c>
      <c r="X1061" t="n">
        <v>20</v>
      </c>
      <c r="Y1061" t="n">
        <v>1</v>
      </c>
      <c r="Z1061" t="n">
        <v>0</v>
      </c>
      <c r="AN1061" t="inlineStr">
        <is>
          <t>Conclave (PvP)</t>
        </is>
      </c>
      <c r="AO1061" t="n">
        <v>140</v>
      </c>
      <c r="AP1061" t="n">
        <v>6762</v>
      </c>
      <c r="AQ1061" t="n">
        <v>20</v>
      </c>
      <c r="AS1061" t="inlineStr">
        <is>
          <t>PvP subtotal</t>
        </is>
      </c>
    </row>
    <row r="1062">
      <c r="A1062" t="inlineStr">
        <is>
          <t>Mod</t>
        </is>
      </c>
      <c r="B1062" t="inlineStr">
        <is>
          <t>Noctua Swarm</t>
        </is>
      </c>
      <c r="E1062" t="inlineStr">
        <is>
          <t>Augment Dante</t>
        </is>
      </c>
      <c r="F1062" t="n">
        <v>3</v>
      </c>
      <c r="G1062" t="n">
        <v>1</v>
      </c>
      <c r="H1062" t="inlineStr">
        <is>
          <t>Player trade (max rank)</t>
        </is>
      </c>
      <c r="I1062" t="inlineStr">
        <is>
          <t>Yes</t>
        </is>
      </c>
      <c r="K1062" t="inlineStr">
        <is>
          <t>Collection</t>
        </is>
      </c>
      <c r="L1062" t="n">
        <v>17</v>
      </c>
      <c r="M1062" t="n">
        <v>22.5</v>
      </c>
      <c r="N1062" t="n">
        <v>33</v>
      </c>
      <c r="O1062" t="inlineStr">
        <is>
          <t>2026-10-05 UTC (WFM pull 02:52-04:00)</t>
        </is>
      </c>
      <c r="P1062" t="inlineStr">
        <is>
          <t>OK</t>
        </is>
      </c>
      <c r="R1062" t="inlineStr">
        <is>
          <t>Every current tradeable mod at MAX RANK (WFM catalogue, rivens/locators excluded)</t>
        </is>
      </c>
      <c r="S1062" t="inlineStr">
        <is>
          <t>noctua_swarm</t>
        </is>
      </c>
      <c r="T1062" t="n">
        <v>5</v>
      </c>
      <c r="U1062" t="n">
        <v>5</v>
      </c>
      <c r="V1062" t="n">
        <v>15</v>
      </c>
      <c r="W1062" t="n">
        <v>12</v>
      </c>
      <c r="X1062" t="n">
        <v>12.8</v>
      </c>
      <c r="Y1062" t="n">
        <v>426</v>
      </c>
      <c r="Z1062" t="n">
        <v>6</v>
      </c>
      <c r="AN1062" t="inlineStr">
        <is>
          <t>Augment Dante</t>
        </is>
      </c>
      <c r="AO1062" t="n">
        <v>210</v>
      </c>
      <c r="AP1062" t="n">
        <v>10143</v>
      </c>
      <c r="AQ1062" t="n">
        <v>10</v>
      </c>
      <c r="AS1062" t="inlineStr">
        <is>
          <t>Yes</t>
        </is>
      </c>
    </row>
    <row r="1063">
      <c r="A1063" t="inlineStr">
        <is>
          <t>Mod</t>
        </is>
      </c>
      <c r="B1063" t="inlineStr">
        <is>
          <t>North Wind</t>
        </is>
      </c>
      <c r="E1063" t="inlineStr">
        <is>
          <t>Melee</t>
        </is>
      </c>
      <c r="F1063" t="n">
        <v>5</v>
      </c>
      <c r="G1063" t="n">
        <v>1</v>
      </c>
      <c r="H1063" t="inlineStr">
        <is>
          <t>Player trade (max rank)</t>
        </is>
      </c>
      <c r="I1063" t="inlineStr">
        <is>
          <t>Yes</t>
        </is>
      </c>
      <c r="K1063" t="inlineStr">
        <is>
          <t>Collection</t>
        </is>
      </c>
      <c r="L1063" t="n">
        <v>8</v>
      </c>
      <c r="M1063" t="n">
        <v>8</v>
      </c>
      <c r="N1063" t="n">
        <v>14</v>
      </c>
      <c r="O1063" t="inlineStr">
        <is>
          <t>2026-10-05 UTC (WFM pull 02:52-04:00)</t>
        </is>
      </c>
      <c r="P1063" t="inlineStr">
        <is>
          <t>OK</t>
        </is>
      </c>
      <c r="R1063" t="inlineStr">
        <is>
          <t>Every current tradeable mod at MAX RANK (WFM catalogue, rivens/locators excluded)</t>
        </is>
      </c>
      <c r="S1063" t="inlineStr">
        <is>
          <t>north_wind</t>
        </is>
      </c>
      <c r="T1063" t="n">
        <v>6</v>
      </c>
      <c r="U1063" t="n">
        <v>6</v>
      </c>
      <c r="V1063" t="n">
        <v>5</v>
      </c>
      <c r="W1063" t="n">
        <v>9</v>
      </c>
      <c r="X1063" t="n">
        <v>9.4</v>
      </c>
      <c r="Y1063" t="n">
        <v>12</v>
      </c>
      <c r="Z1063" t="n">
        <v>0</v>
      </c>
      <c r="AN1063" t="inlineStr">
        <is>
          <t>Melee</t>
        </is>
      </c>
      <c r="AO1063" t="n">
        <v>620</v>
      </c>
      <c r="AP1063" t="n">
        <v>29946</v>
      </c>
      <c r="AQ1063" t="n">
        <v>1</v>
      </c>
      <c r="AS1063" t="inlineStr">
        <is>
          <t>Yes</t>
        </is>
      </c>
    </row>
    <row r="1064">
      <c r="A1064" t="inlineStr">
        <is>
          <t>Mod</t>
        </is>
      </c>
      <c r="B1064" t="inlineStr">
        <is>
          <t>Null Audit</t>
        </is>
      </c>
      <c r="E1064" t="inlineStr">
        <is>
          <t>Hound</t>
        </is>
      </c>
      <c r="F1064" t="n">
        <v>5</v>
      </c>
      <c r="G1064" t="n">
        <v>1</v>
      </c>
      <c r="H1064" t="inlineStr">
        <is>
          <t>Player trade (max rank)</t>
        </is>
      </c>
      <c r="I1064" t="inlineStr">
        <is>
          <t>Yes</t>
        </is>
      </c>
      <c r="K1064" t="inlineStr">
        <is>
          <t>Collection</t>
        </is>
      </c>
      <c r="L1064" t="n">
        <v>10</v>
      </c>
      <c r="M1064" t="n">
        <v>14</v>
      </c>
      <c r="N1064" t="n">
        <v>21</v>
      </c>
      <c r="O1064" t="inlineStr">
        <is>
          <t>2026-10-05 UTC (WFM pull 02:52-04:00)</t>
        </is>
      </c>
      <c r="P1064" t="inlineStr">
        <is>
          <t>OK</t>
        </is>
      </c>
      <c r="R1064" t="inlineStr">
        <is>
          <t>Every current tradeable mod at MAX RANK (WFM catalogue, rivens/locators excluded)</t>
        </is>
      </c>
      <c r="S1064" t="inlineStr">
        <is>
          <t>null_audit</t>
        </is>
      </c>
      <c r="T1064" t="n">
        <v>59</v>
      </c>
      <c r="U1064" t="n">
        <v>1</v>
      </c>
      <c r="V1064" t="n">
        <v>19</v>
      </c>
      <c r="W1064" t="n">
        <v>17.5</v>
      </c>
      <c r="X1064" t="n">
        <v>18</v>
      </c>
      <c r="Y1064" t="n">
        <v>44</v>
      </c>
      <c r="Z1064" t="n">
        <v>1</v>
      </c>
      <c r="AN1064" t="inlineStr">
        <is>
          <t>Hound</t>
        </is>
      </c>
      <c r="AO1064" t="n">
        <v>930</v>
      </c>
      <c r="AP1064" t="n">
        <v>44919</v>
      </c>
      <c r="AQ1064" t="n">
        <v>10</v>
      </c>
      <c r="AS1064" t="inlineStr">
        <is>
          <t>Yes</t>
        </is>
      </c>
    </row>
    <row r="1065">
      <c r="A1065" t="inlineStr">
        <is>
          <t>Mod</t>
        </is>
      </c>
      <c r="B1065" t="inlineStr">
        <is>
          <t>Odomedic</t>
        </is>
      </c>
      <c r="E1065" t="inlineStr">
        <is>
          <t>Sentinel</t>
        </is>
      </c>
      <c r="F1065" t="n">
        <v>3</v>
      </c>
      <c r="G1065" t="n">
        <v>1</v>
      </c>
      <c r="H1065" t="inlineStr">
        <is>
          <t>Player trade (max rank)</t>
        </is>
      </c>
      <c r="I1065" t="inlineStr">
        <is>
          <t>Yes</t>
        </is>
      </c>
      <c r="K1065" t="inlineStr">
        <is>
          <t>Collection</t>
        </is>
      </c>
      <c r="L1065" t="n">
        <v>15</v>
      </c>
      <c r="M1065" t="n">
        <v>15</v>
      </c>
      <c r="N1065" t="n">
        <v>21</v>
      </c>
      <c r="O1065" t="inlineStr">
        <is>
          <t>2026-10-05 UTC (WFM pull 02:52-04:00)</t>
        </is>
      </c>
      <c r="P1065" t="inlineStr">
        <is>
          <t>OK</t>
        </is>
      </c>
      <c r="R1065" t="inlineStr">
        <is>
          <t>Every current tradeable mod at MAX RANK (WFM catalogue, rivens/locators excluded)</t>
        </is>
      </c>
      <c r="S1065" t="inlineStr">
        <is>
          <t>odomedic</t>
        </is>
      </c>
      <c r="T1065" t="n">
        <v>36</v>
      </c>
      <c r="U1065" t="n">
        <v>1</v>
      </c>
      <c r="V1065" t="n">
        <v>19</v>
      </c>
      <c r="W1065" t="n">
        <v>20</v>
      </c>
      <c r="X1065" t="n">
        <v>19.7</v>
      </c>
      <c r="Y1065" t="n">
        <v>3</v>
      </c>
      <c r="Z1065" t="n">
        <v>0</v>
      </c>
      <c r="AN1065" t="inlineStr">
        <is>
          <t>Sentinel</t>
        </is>
      </c>
      <c r="AO1065" t="n">
        <v>210</v>
      </c>
      <c r="AP1065" t="n">
        <v>10143</v>
      </c>
      <c r="AQ1065" t="n">
        <v>10</v>
      </c>
      <c r="AS1065" t="inlineStr">
        <is>
          <t>Yes</t>
        </is>
      </c>
    </row>
    <row r="1066">
      <c r="A1066" t="inlineStr">
        <is>
          <t>Mod</t>
        </is>
      </c>
      <c r="B1066" t="inlineStr">
        <is>
          <t>Omikuji's Fortune</t>
        </is>
      </c>
      <c r="E1066" t="inlineStr">
        <is>
          <t>Augment Koumei</t>
        </is>
      </c>
      <c r="F1066" t="n">
        <v>3</v>
      </c>
      <c r="G1066" t="n">
        <v>1</v>
      </c>
      <c r="H1066" t="inlineStr">
        <is>
          <t>Player trade (max rank)</t>
        </is>
      </c>
      <c r="I1066" t="inlineStr">
        <is>
          <t>Yes</t>
        </is>
      </c>
      <c r="K1066" t="inlineStr">
        <is>
          <t>Collection</t>
        </is>
      </c>
      <c r="L1066" t="n">
        <v>24</v>
      </c>
      <c r="M1066" t="n">
        <v>24</v>
      </c>
      <c r="N1066" t="n">
        <v>53</v>
      </c>
      <c r="O1066" t="inlineStr">
        <is>
          <t>2026-10-05 UTC (WFM pull 02:52-04:00)</t>
        </is>
      </c>
      <c r="P1066" t="inlineStr">
        <is>
          <t>OK</t>
        </is>
      </c>
      <c r="R1066" t="inlineStr">
        <is>
          <t>Every current tradeable mod at MAX RANK (WFM catalogue, rivens/locators excluded)</t>
        </is>
      </c>
      <c r="S1066" t="inlineStr">
        <is>
          <t>omikujis_fortune</t>
        </is>
      </c>
      <c r="T1066" t="n">
        <v>4</v>
      </c>
      <c r="U1066" t="n">
        <v>4</v>
      </c>
      <c r="V1066" t="n">
        <v>15</v>
      </c>
      <c r="W1066" t="n">
        <v>15</v>
      </c>
      <c r="X1066" t="n">
        <v>15</v>
      </c>
      <c r="Y1066" t="n">
        <v>150</v>
      </c>
      <c r="Z1066" t="n">
        <v>2</v>
      </c>
      <c r="AN1066" t="inlineStr">
        <is>
          <t>Augment Koumei</t>
        </is>
      </c>
      <c r="AO1066" t="n">
        <v>210</v>
      </c>
      <c r="AP1066" t="n">
        <v>10143</v>
      </c>
      <c r="AQ1066" t="n">
        <v>10</v>
      </c>
      <c r="AS1066" t="inlineStr">
        <is>
          <t>Yes</t>
        </is>
      </c>
    </row>
    <row r="1067">
      <c r="A1067" t="inlineStr">
        <is>
          <t>Mod</t>
        </is>
      </c>
      <c r="B1067" t="inlineStr">
        <is>
          <t>Omn-Evi</t>
        </is>
      </c>
      <c r="E1067" t="inlineStr">
        <is>
          <t>Antique</t>
        </is>
      </c>
      <c r="F1067" t="n">
        <v>5</v>
      </c>
      <c r="G1067" t="n">
        <v>1</v>
      </c>
      <c r="H1067" t="inlineStr">
        <is>
          <t>Player trade (max rank)</t>
        </is>
      </c>
      <c r="I1067" t="inlineStr">
        <is>
          <t>Yes</t>
        </is>
      </c>
      <c r="K1067" t="inlineStr">
        <is>
          <t>Collection</t>
        </is>
      </c>
      <c r="L1067" t="n">
        <v>35</v>
      </c>
      <c r="M1067" t="n">
        <v>40</v>
      </c>
      <c r="N1067" t="n">
        <v>88</v>
      </c>
      <c r="O1067" t="inlineStr">
        <is>
          <t>2026-10-05 UTC (WFM pull 02:52-04:00)</t>
        </is>
      </c>
      <c r="P1067" t="inlineStr">
        <is>
          <t>OK</t>
        </is>
      </c>
      <c r="R1067" t="inlineStr">
        <is>
          <t>Every current tradeable mod at MAX RANK (WFM catalogue, rivens/locators excluded)</t>
        </is>
      </c>
      <c r="S1067" t="inlineStr">
        <is>
          <t>omn_evi</t>
        </is>
      </c>
      <c r="T1067" t="n">
        <v>7</v>
      </c>
      <c r="U1067" t="n">
        <v>7</v>
      </c>
      <c r="V1067" t="n">
        <v>40</v>
      </c>
      <c r="W1067" t="n">
        <v>40</v>
      </c>
      <c r="X1067" t="n">
        <v>40.9</v>
      </c>
      <c r="Y1067" t="n">
        <v>770</v>
      </c>
      <c r="Z1067" t="n">
        <v>18</v>
      </c>
      <c r="AA1067" t="n">
        <v>15</v>
      </c>
      <c r="AB1067" t="n">
        <v>20</v>
      </c>
      <c r="AN1067" t="inlineStr">
        <is>
          <t>Antique</t>
        </is>
      </c>
      <c r="AO1067" t="n">
        <v>620</v>
      </c>
      <c r="AP1067" t="n">
        <v>29946</v>
      </c>
      <c r="AQ1067" t="n">
        <v>20</v>
      </c>
      <c r="AS1067" t="inlineStr">
        <is>
          <t>Yes</t>
        </is>
      </c>
    </row>
    <row r="1068">
      <c r="A1068" t="inlineStr">
        <is>
          <t>Mod</t>
        </is>
      </c>
      <c r="B1068" t="inlineStr">
        <is>
          <t>Onslaught Matrix</t>
        </is>
      </c>
      <c r="E1068" t="inlineStr">
        <is>
          <t>Railjack Aura</t>
        </is>
      </c>
      <c r="F1068" t="n">
        <v>5</v>
      </c>
      <c r="G1068" t="n">
        <v>1</v>
      </c>
      <c r="H1068" t="inlineStr">
        <is>
          <t>Player trade (max rank)</t>
        </is>
      </c>
      <c r="I1068" t="inlineStr">
        <is>
          <t>Yes</t>
        </is>
      </c>
      <c r="K1068" t="inlineStr">
        <is>
          <t>Collection</t>
        </is>
      </c>
      <c r="L1068" t="n">
        <v>4</v>
      </c>
      <c r="M1068" t="n">
        <v>8</v>
      </c>
      <c r="N1068" t="n">
        <v>13</v>
      </c>
      <c r="O1068" t="inlineStr">
        <is>
          <t>2026-10-05 UTC (WFM pull 02:52-04:00)</t>
        </is>
      </c>
      <c r="P1068" t="inlineStr">
        <is>
          <t>OK</t>
        </is>
      </c>
      <c r="R1068" t="inlineStr">
        <is>
          <t>Every current tradeable mod at MAX RANK (WFM catalogue, rivens/locators excluded)</t>
        </is>
      </c>
      <c r="S1068" t="inlineStr">
        <is>
          <t>onslaught_matrix</t>
        </is>
      </c>
      <c r="T1068" t="n">
        <v>87</v>
      </c>
      <c r="U1068" t="n">
        <v>1</v>
      </c>
      <c r="V1068" t="n">
        <v>11.5</v>
      </c>
      <c r="W1068" t="n">
        <v>10</v>
      </c>
      <c r="X1068" t="n">
        <v>15.5</v>
      </c>
      <c r="Y1068" t="n">
        <v>20</v>
      </c>
      <c r="Z1068" t="n">
        <v>0</v>
      </c>
      <c r="AN1068" t="inlineStr">
        <is>
          <t>Railjack Aura</t>
        </is>
      </c>
      <c r="AO1068" t="n">
        <v>620</v>
      </c>
      <c r="AP1068" t="n">
        <v>29946</v>
      </c>
      <c r="AQ1068" t="n">
        <v>4</v>
      </c>
      <c r="AS1068" t="inlineStr">
        <is>
          <t>Yes</t>
        </is>
      </c>
    </row>
    <row r="1069">
      <c r="A1069" t="inlineStr">
        <is>
          <t>Mod</t>
        </is>
      </c>
      <c r="B1069" t="inlineStr">
        <is>
          <t>Opportunity's Reach</t>
        </is>
      </c>
      <c r="E1069" t="inlineStr">
        <is>
          <t>Melee</t>
        </is>
      </c>
      <c r="F1069" t="n">
        <v>3</v>
      </c>
      <c r="G1069" t="n">
        <v>1</v>
      </c>
      <c r="H1069" t="inlineStr">
        <is>
          <t>Player trade (max rank)</t>
        </is>
      </c>
      <c r="I1069" t="inlineStr">
        <is>
          <t>Yes</t>
        </is>
      </c>
      <c r="K1069" t="inlineStr">
        <is>
          <t>Collection</t>
        </is>
      </c>
      <c r="L1069" t="n">
        <v>10</v>
      </c>
      <c r="M1069" t="n">
        <v>15</v>
      </c>
      <c r="N1069" t="n">
        <v>26</v>
      </c>
      <c r="O1069" t="inlineStr">
        <is>
          <t>2026-10-05 UTC (WFM pull 02:52-04:00)</t>
        </is>
      </c>
      <c r="P1069" t="inlineStr">
        <is>
          <t>OK</t>
        </is>
      </c>
      <c r="R1069" t="inlineStr">
        <is>
          <t>Every current tradeable mod at MAX RANK (WFM catalogue, rivens/locators excluded)</t>
        </is>
      </c>
      <c r="S1069" t="inlineStr">
        <is>
          <t>opportunitys_reach</t>
        </is>
      </c>
      <c r="T1069" t="n">
        <v>8</v>
      </c>
      <c r="U1069" t="n">
        <v>8</v>
      </c>
      <c r="V1069" t="n">
        <v>10</v>
      </c>
      <c r="W1069" t="n">
        <v>10</v>
      </c>
      <c r="X1069" t="n">
        <v>9.800000000000001</v>
      </c>
      <c r="Y1069" t="n">
        <v>176</v>
      </c>
      <c r="Z1069" t="n">
        <v>3</v>
      </c>
      <c r="AN1069" t="inlineStr">
        <is>
          <t>Melee</t>
        </is>
      </c>
      <c r="AO1069" t="n">
        <v>140</v>
      </c>
      <c r="AP1069" t="n">
        <v>6762</v>
      </c>
      <c r="AQ1069" t="n">
        <v>8</v>
      </c>
      <c r="AS1069" t="inlineStr">
        <is>
          <t>Yes</t>
        </is>
      </c>
    </row>
    <row r="1070">
      <c r="A1070" t="inlineStr">
        <is>
          <t>Mod</t>
        </is>
      </c>
      <c r="B1070" t="inlineStr">
        <is>
          <t>Ordnance Cheap Shot</t>
        </is>
      </c>
      <c r="E1070" t="inlineStr">
        <is>
          <t>Plexus</t>
        </is>
      </c>
      <c r="F1070" t="n">
        <v>5</v>
      </c>
      <c r="G1070" t="n">
        <v>1</v>
      </c>
      <c r="H1070" t="inlineStr">
        <is>
          <t>Player trade (max rank)</t>
        </is>
      </c>
      <c r="I1070" t="inlineStr">
        <is>
          <t>Yes</t>
        </is>
      </c>
      <c r="K1070" t="inlineStr">
        <is>
          <t>Collection</t>
        </is>
      </c>
      <c r="L1070" t="n">
        <v>8</v>
      </c>
      <c r="M1070" t="n">
        <v>22.5</v>
      </c>
      <c r="N1070" t="n">
        <v>50</v>
      </c>
      <c r="O1070" t="inlineStr">
        <is>
          <t>2026-10-05 UTC (WFM pull 02:52-04:00)</t>
        </is>
      </c>
      <c r="P1070" t="inlineStr">
        <is>
          <t>OK</t>
        </is>
      </c>
      <c r="R1070" t="inlineStr">
        <is>
          <t>Every current tradeable mod at MAX RANK (WFM catalogue, rivens/locators excluded)</t>
        </is>
      </c>
      <c r="S1070" t="inlineStr">
        <is>
          <t>ordnance_cheap_shot</t>
        </is>
      </c>
      <c r="T1070" t="n">
        <v>4</v>
      </c>
      <c r="U1070" t="n">
        <v>4</v>
      </c>
      <c r="V1070" t="n">
        <v>15</v>
      </c>
      <c r="W1070" t="n">
        <v>10.5</v>
      </c>
      <c r="X1070" t="n">
        <v>12</v>
      </c>
      <c r="Y1070" t="n">
        <v>8</v>
      </c>
      <c r="Z1070" t="n">
        <v>0</v>
      </c>
      <c r="AN1070" t="inlineStr">
        <is>
          <t>Plexus</t>
        </is>
      </c>
      <c r="AO1070" t="n">
        <v>930</v>
      </c>
      <c r="AP1070" t="n">
        <v>44919</v>
      </c>
      <c r="AQ1070" t="n">
        <v>10</v>
      </c>
      <c r="AS1070" t="inlineStr">
        <is>
          <t>Yes</t>
        </is>
      </c>
    </row>
    <row r="1071">
      <c r="A1071" t="inlineStr">
        <is>
          <t>Mod</t>
        </is>
      </c>
      <c r="B1071" t="inlineStr">
        <is>
          <t>Ordnance Velocity</t>
        </is>
      </c>
      <c r="E1071" t="inlineStr">
        <is>
          <t>Plexus</t>
        </is>
      </c>
      <c r="F1071" t="n">
        <v>5</v>
      </c>
      <c r="G1071" t="n">
        <v>1</v>
      </c>
      <c r="H1071" t="inlineStr">
        <is>
          <t>Player trade (max rank)</t>
        </is>
      </c>
      <c r="I1071" t="inlineStr">
        <is>
          <t>Yes</t>
        </is>
      </c>
      <c r="K1071" t="inlineStr">
        <is>
          <t>Collection</t>
        </is>
      </c>
      <c r="L1071" t="n">
        <v>30</v>
      </c>
      <c r="M1071" t="n">
        <v>35</v>
      </c>
      <c r="N1071" t="n">
        <v>44</v>
      </c>
      <c r="O1071" t="inlineStr">
        <is>
          <t>2026-10-05 UTC (WFM pull 02:52-04:00)</t>
        </is>
      </c>
      <c r="P1071" t="inlineStr">
        <is>
          <t>OK</t>
        </is>
      </c>
      <c r="R1071" t="inlineStr">
        <is>
          <t>Every current tradeable mod at MAX RANK (WFM catalogue, rivens/locators excluded)</t>
        </is>
      </c>
      <c r="S1071" t="inlineStr">
        <is>
          <t>ordnance_velocity</t>
        </is>
      </c>
      <c r="T1071" t="n">
        <v>9</v>
      </c>
      <c r="U1071" t="n">
        <v>9</v>
      </c>
      <c r="V1071" t="n">
        <v>30</v>
      </c>
      <c r="W1071" t="n">
        <v>30</v>
      </c>
      <c r="X1071" t="n">
        <v>29.2</v>
      </c>
      <c r="Y1071" t="n">
        <v>18</v>
      </c>
      <c r="Z1071" t="n">
        <v>0</v>
      </c>
      <c r="AN1071" t="inlineStr">
        <is>
          <t>Plexus</t>
        </is>
      </c>
      <c r="AO1071" t="n">
        <v>930</v>
      </c>
      <c r="AP1071" t="n">
        <v>44919</v>
      </c>
      <c r="AQ1071" t="n">
        <v>17</v>
      </c>
      <c r="AS1071" t="inlineStr">
        <is>
          <t>Yes</t>
        </is>
      </c>
    </row>
    <row r="1072">
      <c r="A1072" t="inlineStr">
        <is>
          <t>Mod</t>
        </is>
      </c>
      <c r="B1072" t="inlineStr">
        <is>
          <t>Ore Gaze</t>
        </is>
      </c>
      <c r="E1072" t="inlineStr">
        <is>
          <t>Augment Atlas</t>
        </is>
      </c>
      <c r="F1072" t="n">
        <v>3</v>
      </c>
      <c r="G1072" t="n">
        <v>1</v>
      </c>
      <c r="H1072" t="inlineStr">
        <is>
          <t>Player trade (max rank)</t>
        </is>
      </c>
      <c r="I1072" t="inlineStr">
        <is>
          <t>Yes</t>
        </is>
      </c>
      <c r="K1072" t="inlineStr">
        <is>
          <t>Collection</t>
        </is>
      </c>
      <c r="L1072" t="n">
        <v>20</v>
      </c>
      <c r="M1072" t="n">
        <v>20</v>
      </c>
      <c r="N1072" t="n">
        <v>44</v>
      </c>
      <c r="O1072" t="inlineStr">
        <is>
          <t>2026-10-05 UTC (WFM pull 02:52-04:00)</t>
        </is>
      </c>
      <c r="P1072" t="inlineStr">
        <is>
          <t>OK</t>
        </is>
      </c>
      <c r="R1072" t="inlineStr">
        <is>
          <t>Every current tradeable mod at MAX RANK (WFM catalogue, rivens/locators excluded)</t>
        </is>
      </c>
      <c r="S1072" t="inlineStr">
        <is>
          <t>ore_gaze</t>
        </is>
      </c>
      <c r="T1072" t="n">
        <v>3</v>
      </c>
      <c r="U1072" t="n">
        <v>3</v>
      </c>
      <c r="V1072" t="n">
        <v>12.5</v>
      </c>
      <c r="W1072" t="n">
        <v>15</v>
      </c>
      <c r="X1072" t="n">
        <v>14.7</v>
      </c>
      <c r="Y1072" t="n">
        <v>81</v>
      </c>
      <c r="Z1072" t="n">
        <v>1</v>
      </c>
      <c r="AN1072" t="inlineStr">
        <is>
          <t>Augment Atlas</t>
        </is>
      </c>
      <c r="AO1072" t="n">
        <v>210</v>
      </c>
      <c r="AP1072" t="n">
        <v>10143</v>
      </c>
      <c r="AQ1072" t="n">
        <v>12</v>
      </c>
      <c r="AS1072" t="inlineStr">
        <is>
          <t>Yes</t>
        </is>
      </c>
    </row>
    <row r="1073">
      <c r="A1073" t="inlineStr">
        <is>
          <t>Mod</t>
        </is>
      </c>
      <c r="B1073" t="inlineStr">
        <is>
          <t>Organ Shatter</t>
        </is>
      </c>
      <c r="E1073" t="inlineStr">
        <is>
          <t>Melee</t>
        </is>
      </c>
      <c r="F1073" t="n">
        <v>5</v>
      </c>
      <c r="G1073" t="n">
        <v>1</v>
      </c>
      <c r="H1073" t="inlineStr">
        <is>
          <t>Player trade (max rank)</t>
        </is>
      </c>
      <c r="I1073" t="inlineStr">
        <is>
          <t>Yes</t>
        </is>
      </c>
      <c r="K1073" t="inlineStr">
        <is>
          <t>Collection</t>
        </is>
      </c>
      <c r="L1073" t="n">
        <v>4</v>
      </c>
      <c r="M1073" t="n">
        <v>5</v>
      </c>
      <c r="N1073" t="n">
        <v>9</v>
      </c>
      <c r="O1073" t="inlineStr">
        <is>
          <t>2026-10-05 UTC (WFM pull 02:52-04:00)</t>
        </is>
      </c>
      <c r="P1073" t="inlineStr">
        <is>
          <t>OK</t>
        </is>
      </c>
      <c r="R1073" t="inlineStr">
        <is>
          <t>Every current tradeable mod at MAX RANK (WFM catalogue, rivens/locators excluded)</t>
        </is>
      </c>
      <c r="S1073" t="inlineStr">
        <is>
          <t>organ_shatter</t>
        </is>
      </c>
      <c r="T1073" t="n">
        <v>83</v>
      </c>
      <c r="U1073" t="n">
        <v>2</v>
      </c>
      <c r="V1073" t="n">
        <v>8</v>
      </c>
      <c r="W1073" t="n">
        <v>9</v>
      </c>
      <c r="X1073" t="n">
        <v>10.8</v>
      </c>
      <c r="Y1073" t="n">
        <v>54</v>
      </c>
      <c r="Z1073" t="n">
        <v>3</v>
      </c>
      <c r="AN1073" t="inlineStr">
        <is>
          <t>Melee</t>
        </is>
      </c>
      <c r="AO1073" t="n">
        <v>310</v>
      </c>
      <c r="AP1073" t="n">
        <v>14973</v>
      </c>
      <c r="AQ1073" t="n">
        <v>3</v>
      </c>
      <c r="AS1073" t="inlineStr">
        <is>
          <t>Yes</t>
        </is>
      </c>
    </row>
    <row r="1074">
      <c r="A1074" t="inlineStr">
        <is>
          <t>Mod</t>
        </is>
      </c>
      <c r="B1074" t="inlineStr">
        <is>
          <t>Orgone Tuning Matrix</t>
        </is>
      </c>
      <c r="E1074" t="inlineStr">
        <is>
          <t>Railjack Aura</t>
        </is>
      </c>
      <c r="F1074" t="n">
        <v>5</v>
      </c>
      <c r="G1074" t="n">
        <v>1</v>
      </c>
      <c r="H1074" t="inlineStr">
        <is>
          <t>Player trade (max rank)</t>
        </is>
      </c>
      <c r="I1074" t="inlineStr">
        <is>
          <t>Yes</t>
        </is>
      </c>
      <c r="K1074" t="inlineStr">
        <is>
          <t>Collection</t>
        </is>
      </c>
      <c r="L1074" t="n">
        <v>4</v>
      </c>
      <c r="M1074" t="n">
        <v>7</v>
      </c>
      <c r="N1074" t="n">
        <v>16</v>
      </c>
      <c r="O1074" t="inlineStr">
        <is>
          <t>2026-10-05 UTC (WFM pull 02:52-04:00)</t>
        </is>
      </c>
      <c r="P1074" t="inlineStr">
        <is>
          <t>OK</t>
        </is>
      </c>
      <c r="R1074" t="inlineStr">
        <is>
          <t>Every current tradeable mod at MAX RANK (WFM catalogue, rivens/locators excluded)</t>
        </is>
      </c>
      <c r="S1074" t="inlineStr">
        <is>
          <t>orgone_tuning_matrix</t>
        </is>
      </c>
      <c r="T1074" t="n">
        <v>82</v>
      </c>
      <c r="U1074" t="n">
        <v>1</v>
      </c>
      <c r="V1074" t="n">
        <v>15</v>
      </c>
      <c r="W1074" t="n">
        <v>14</v>
      </c>
      <c r="X1074" t="n">
        <v>13.8</v>
      </c>
      <c r="Y1074" t="n">
        <v>18</v>
      </c>
      <c r="Z1074" t="n">
        <v>0</v>
      </c>
      <c r="AN1074" t="inlineStr">
        <is>
          <t>Railjack Aura</t>
        </is>
      </c>
      <c r="AO1074" t="n">
        <v>620</v>
      </c>
      <c r="AP1074" t="n">
        <v>29946</v>
      </c>
      <c r="AQ1074" t="n">
        <v>5</v>
      </c>
      <c r="AS1074" t="inlineStr">
        <is>
          <t>Yes</t>
        </is>
      </c>
    </row>
    <row r="1075">
      <c r="A1075" t="inlineStr">
        <is>
          <t>Mod</t>
        </is>
      </c>
      <c r="B1075" t="inlineStr">
        <is>
          <t>Oull</t>
        </is>
      </c>
      <c r="E1075" t="inlineStr">
        <is>
          <t>Parazon</t>
        </is>
      </c>
      <c r="F1075" t="n">
        <v>3</v>
      </c>
      <c r="G1075" t="n">
        <v>1</v>
      </c>
      <c r="H1075" t="inlineStr">
        <is>
          <t>Player trade (max rank)</t>
        </is>
      </c>
      <c r="I1075" t="inlineStr">
        <is>
          <t>Yes</t>
        </is>
      </c>
      <c r="K1075" t="inlineStr">
        <is>
          <t>Collection</t>
        </is>
      </c>
      <c r="L1075" t="n">
        <v>24</v>
      </c>
      <c r="M1075" t="n">
        <v>25</v>
      </c>
      <c r="N1075" t="n">
        <v>33</v>
      </c>
      <c r="O1075" t="inlineStr">
        <is>
          <t>2026-10-05 UTC (WFM pull 02:52-04:00)</t>
        </is>
      </c>
      <c r="P1075" t="inlineStr">
        <is>
          <t>OK</t>
        </is>
      </c>
      <c r="R1075" t="inlineStr">
        <is>
          <t>Every current tradeable mod at MAX RANK (WFM catalogue, rivens/locators excluded)</t>
        </is>
      </c>
      <c r="S1075" t="inlineStr">
        <is>
          <t>oull</t>
        </is>
      </c>
      <c r="T1075" t="n">
        <v>12</v>
      </c>
      <c r="U1075" t="n">
        <v>12</v>
      </c>
      <c r="V1075" t="n">
        <v>25</v>
      </c>
      <c r="W1075" t="n">
        <v>25</v>
      </c>
      <c r="X1075" t="n">
        <v>24.7</v>
      </c>
      <c r="Y1075" t="n">
        <v>7448</v>
      </c>
      <c r="Z1075" t="n">
        <v>160</v>
      </c>
      <c r="AA1075" t="n">
        <v>15</v>
      </c>
      <c r="AB1075" t="n">
        <v>9</v>
      </c>
      <c r="AN1075" t="inlineStr">
        <is>
          <t>Parazon</t>
        </is>
      </c>
      <c r="AO1075" t="n">
        <v>210</v>
      </c>
      <c r="AP1075" t="n">
        <v>10143</v>
      </c>
      <c r="AQ1075" t="n">
        <v>30</v>
      </c>
      <c r="AS1075" t="inlineStr">
        <is>
          <t>Yes</t>
        </is>
      </c>
    </row>
    <row r="1076">
      <c r="A1076" t="inlineStr">
        <is>
          <t>Mod</t>
        </is>
      </c>
      <c r="B1076" t="inlineStr">
        <is>
          <t>Out Of Sight</t>
        </is>
      </c>
      <c r="E1076" t="inlineStr">
        <is>
          <t>Parazon</t>
        </is>
      </c>
      <c r="G1076" t="n">
        <v>1</v>
      </c>
      <c r="H1076" t="inlineStr">
        <is>
          <t>Player trade (max rank)</t>
        </is>
      </c>
      <c r="I1076" t="inlineStr">
        <is>
          <t>Yes</t>
        </is>
      </c>
      <c r="K1076" t="inlineStr">
        <is>
          <t>Collection</t>
        </is>
      </c>
      <c r="L1076" t="n">
        <v>7</v>
      </c>
      <c r="M1076" t="n">
        <v>7.5</v>
      </c>
      <c r="N1076" t="n">
        <v>17</v>
      </c>
      <c r="O1076" t="inlineStr">
        <is>
          <t>2026-10-05 UTC (WFM pull 02:52-04:00)</t>
        </is>
      </c>
      <c r="P1076" t="inlineStr">
        <is>
          <t>OK</t>
        </is>
      </c>
      <c r="R1076" t="inlineStr">
        <is>
          <t>Every current tradeable mod at MAX RANK (WFM catalogue, rivens/locators excluded)</t>
        </is>
      </c>
      <c r="S1076" t="inlineStr">
        <is>
          <t>out_of_sight</t>
        </is>
      </c>
      <c r="T1076" t="n">
        <v>4</v>
      </c>
      <c r="U1076" t="n">
        <v>4</v>
      </c>
      <c r="V1076" t="n">
        <v>5</v>
      </c>
      <c r="W1076" t="n">
        <v>5</v>
      </c>
      <c r="X1076" t="n">
        <v>5.5</v>
      </c>
      <c r="Y1076" t="n">
        <v>176</v>
      </c>
      <c r="Z1076" t="n">
        <v>3</v>
      </c>
      <c r="AN1076" t="inlineStr">
        <is>
          <t>Parazon</t>
        </is>
      </c>
      <c r="AO1076" t="n">
        <v>0</v>
      </c>
      <c r="AP1076" t="n">
        <v>0</v>
      </c>
      <c r="AS1076" t="inlineStr">
        <is>
          <t>Yes</t>
        </is>
      </c>
    </row>
    <row r="1077">
      <c r="A1077" t="inlineStr">
        <is>
          <t>Mod</t>
        </is>
      </c>
      <c r="B1077" t="inlineStr">
        <is>
          <t>Overcharge Detectors</t>
        </is>
      </c>
      <c r="E1077" t="inlineStr">
        <is>
          <t>Conclave (PvP)</t>
        </is>
      </c>
      <c r="F1077" t="n">
        <v>5</v>
      </c>
      <c r="G1077" t="n">
        <v>1</v>
      </c>
      <c r="H1077" t="inlineStr">
        <is>
          <t>Player trade (max rank)</t>
        </is>
      </c>
      <c r="I1077" t="inlineStr">
        <is>
          <t>Yes</t>
        </is>
      </c>
      <c r="K1077" t="inlineStr">
        <is>
          <t>Collection (PvP)</t>
        </is>
      </c>
      <c r="L1077" t="n">
        <v>200</v>
      </c>
      <c r="M1077" t="n">
        <v>200</v>
      </c>
      <c r="N1077" t="n">
        <v>330</v>
      </c>
      <c r="O1077" t="inlineStr">
        <is>
          <t>2026-10-05 UTC (WFM pull 02:52-04:00)</t>
        </is>
      </c>
      <c r="P1077" t="inlineStr">
        <is>
          <t>THIN</t>
        </is>
      </c>
      <c r="R1077" t="inlineStr">
        <is>
          <t>Every current tradeable mod at MAX RANK (WFM catalogue, rivens/locators excluded)</t>
        </is>
      </c>
      <c r="S1077" t="inlineStr">
        <is>
          <t>overcharge_detectors</t>
        </is>
      </c>
      <c r="T1077" t="n">
        <v>2</v>
      </c>
      <c r="U1077" t="n">
        <v>0</v>
      </c>
      <c r="W1077" t="n">
        <v>20</v>
      </c>
      <c r="X1077" t="n">
        <v>20</v>
      </c>
      <c r="Y1077" t="n">
        <v>1</v>
      </c>
      <c r="Z1077" t="n">
        <v>0</v>
      </c>
      <c r="AN1077" t="inlineStr">
        <is>
          <t>Conclave (PvP)</t>
        </is>
      </c>
      <c r="AO1077" t="n">
        <v>620</v>
      </c>
      <c r="AP1077" t="n">
        <v>29946</v>
      </c>
      <c r="AQ1077" t="n">
        <v>45</v>
      </c>
      <c r="AS1077" t="inlineStr">
        <is>
          <t>PvP subtotal</t>
        </is>
      </c>
    </row>
    <row r="1078">
      <c r="A1078" t="inlineStr">
        <is>
          <t>Mod</t>
        </is>
      </c>
      <c r="B1078" t="inlineStr">
        <is>
          <t>Overcharged</t>
        </is>
      </c>
      <c r="E1078" t="inlineStr">
        <is>
          <t>Conclave (PvP)</t>
        </is>
      </c>
      <c r="F1078" t="n">
        <v>5</v>
      </c>
      <c r="G1078" t="n">
        <v>1</v>
      </c>
      <c r="H1078" t="inlineStr">
        <is>
          <t>Player trade (max rank)</t>
        </is>
      </c>
      <c r="I1078" t="inlineStr">
        <is>
          <t>Yes</t>
        </is>
      </c>
      <c r="K1078" t="inlineStr">
        <is>
          <t>Collection (PvP)</t>
        </is>
      </c>
      <c r="L1078" t="n">
        <v>350</v>
      </c>
      <c r="M1078" t="n">
        <v>350</v>
      </c>
      <c r="N1078" t="n">
        <v>386</v>
      </c>
      <c r="O1078" t="inlineStr">
        <is>
          <t>2026-10-05 UTC (WFM pull 02:52-04:00)</t>
        </is>
      </c>
      <c r="P1078" t="inlineStr">
        <is>
          <t>THIN</t>
        </is>
      </c>
      <c r="R1078" t="inlineStr">
        <is>
          <t>Every current tradeable mod at MAX RANK (WFM catalogue, rivens/locators excluded)</t>
        </is>
      </c>
      <c r="S1078" t="inlineStr">
        <is>
          <t>overcharged</t>
        </is>
      </c>
      <c r="T1078" t="n">
        <v>1</v>
      </c>
      <c r="U1078" t="n">
        <v>0</v>
      </c>
      <c r="W1078" t="n">
        <v>50</v>
      </c>
      <c r="X1078" t="n">
        <v>50</v>
      </c>
      <c r="Y1078" t="n">
        <v>3</v>
      </c>
      <c r="Z1078" t="n">
        <v>0</v>
      </c>
      <c r="AN1078" t="inlineStr">
        <is>
          <t>Conclave (PvP)</t>
        </is>
      </c>
      <c r="AO1078" t="n">
        <v>930</v>
      </c>
      <c r="AP1078" t="n">
        <v>44919</v>
      </c>
      <c r="AQ1078" t="n">
        <v>90</v>
      </c>
      <c r="AS1078" t="inlineStr">
        <is>
          <t>PvP subtotal</t>
        </is>
      </c>
    </row>
    <row r="1079">
      <c r="A1079" t="inlineStr">
        <is>
          <t>Mod</t>
        </is>
      </c>
      <c r="B1079" t="inlineStr">
        <is>
          <t>Overextended</t>
        </is>
      </c>
      <c r="E1079" t="inlineStr">
        <is>
          <t>Warframe</t>
        </is>
      </c>
      <c r="F1079" t="n">
        <v>5</v>
      </c>
      <c r="G1079" t="n">
        <v>1</v>
      </c>
      <c r="H1079" t="inlineStr">
        <is>
          <t>Player trade (max rank)</t>
        </is>
      </c>
      <c r="I1079" t="inlineStr">
        <is>
          <t>Yes</t>
        </is>
      </c>
      <c r="K1079" t="inlineStr">
        <is>
          <t>Collection</t>
        </is>
      </c>
      <c r="L1079" t="n">
        <v>20</v>
      </c>
      <c r="M1079" t="n">
        <v>29</v>
      </c>
      <c r="N1079" t="n">
        <v>33</v>
      </c>
      <c r="O1079" t="inlineStr">
        <is>
          <t>2026-10-05 UTC (WFM pull 02:52-04:00)</t>
        </is>
      </c>
      <c r="P1079" t="inlineStr">
        <is>
          <t>OK</t>
        </is>
      </c>
      <c r="R1079" t="inlineStr">
        <is>
          <t>Every current tradeable mod at MAX RANK (WFM catalogue, rivens/locators excluded)</t>
        </is>
      </c>
      <c r="S1079" t="inlineStr">
        <is>
          <t>overextended</t>
        </is>
      </c>
      <c r="T1079" t="n">
        <v>17</v>
      </c>
      <c r="U1079" t="n">
        <v>17</v>
      </c>
      <c r="V1079" t="n">
        <v>20</v>
      </c>
      <c r="W1079" t="n">
        <v>20</v>
      </c>
      <c r="X1079" t="n">
        <v>20.9</v>
      </c>
      <c r="Y1079" t="n">
        <v>4214</v>
      </c>
      <c r="Z1079" t="n">
        <v>94</v>
      </c>
      <c r="AA1079" t="n">
        <v>5</v>
      </c>
      <c r="AB1079" t="n">
        <v>15</v>
      </c>
      <c r="AN1079" t="inlineStr">
        <is>
          <t>Warframe</t>
        </is>
      </c>
      <c r="AO1079" t="n">
        <v>930</v>
      </c>
      <c r="AP1079" t="n">
        <v>44919</v>
      </c>
      <c r="AQ1079" t="n">
        <v>19</v>
      </c>
      <c r="AS1079" t="inlineStr">
        <is>
          <t>Yes</t>
        </is>
      </c>
    </row>
    <row r="1080">
      <c r="A1080" t="inlineStr">
        <is>
          <t>Mod</t>
        </is>
      </c>
      <c r="B1080" t="inlineStr">
        <is>
          <t>Overloader</t>
        </is>
      </c>
      <c r="E1080" t="inlineStr">
        <is>
          <t>Plexus</t>
        </is>
      </c>
      <c r="F1080" t="n">
        <v>3</v>
      </c>
      <c r="G1080" t="n">
        <v>1</v>
      </c>
      <c r="H1080" t="inlineStr">
        <is>
          <t>Player trade (max rank)</t>
        </is>
      </c>
      <c r="I1080" t="inlineStr">
        <is>
          <t>Yes</t>
        </is>
      </c>
      <c r="K1080" t="inlineStr">
        <is>
          <t>Collection</t>
        </is>
      </c>
      <c r="L1080" t="n">
        <v>4</v>
      </c>
      <c r="M1080" t="n">
        <v>5</v>
      </c>
      <c r="N1080" t="n">
        <v>11</v>
      </c>
      <c r="O1080" t="inlineStr">
        <is>
          <t>2026-10-05 UTC (WFM pull 02:52-04:00)</t>
        </is>
      </c>
      <c r="P1080" t="inlineStr">
        <is>
          <t>OK</t>
        </is>
      </c>
      <c r="R1080" t="inlineStr">
        <is>
          <t>Every current tradeable mod at MAX RANK (WFM catalogue, rivens/locators excluded)</t>
        </is>
      </c>
      <c r="S1080" t="inlineStr">
        <is>
          <t>overloader</t>
        </is>
      </c>
      <c r="T1080" t="n">
        <v>78</v>
      </c>
      <c r="U1080" t="n">
        <v>1</v>
      </c>
      <c r="V1080" t="n">
        <v>10</v>
      </c>
      <c r="W1080" t="n">
        <v>10.5</v>
      </c>
      <c r="X1080" t="n">
        <v>11.8</v>
      </c>
      <c r="Y1080" t="n">
        <v>9</v>
      </c>
      <c r="Z1080" t="n">
        <v>0</v>
      </c>
      <c r="AN1080" t="inlineStr">
        <is>
          <t>Plexus</t>
        </is>
      </c>
      <c r="AO1080" t="n">
        <v>70</v>
      </c>
      <c r="AP1080" t="n">
        <v>3381</v>
      </c>
      <c r="AQ1080" t="n">
        <v>2</v>
      </c>
      <c r="AS1080" t="inlineStr">
        <is>
          <t>Yes</t>
        </is>
      </c>
    </row>
    <row r="1081">
      <c r="A1081" t="inlineStr">
        <is>
          <t>Mod</t>
        </is>
      </c>
      <c r="B1081" t="inlineStr">
        <is>
          <t>Overpressured Rounds</t>
        </is>
      </c>
      <c r="E1081" t="inlineStr">
        <is>
          <t>EFV-5 Jupiter</t>
        </is>
      </c>
      <c r="F1081" t="n">
        <v>5</v>
      </c>
      <c r="G1081" t="n">
        <v>1</v>
      </c>
      <c r="H1081" t="inlineStr">
        <is>
          <t>Player trade (max rank)</t>
        </is>
      </c>
      <c r="I1081" t="inlineStr">
        <is>
          <t>Yes</t>
        </is>
      </c>
      <c r="K1081" t="inlineStr">
        <is>
          <t>Collection</t>
        </is>
      </c>
      <c r="L1081" t="n">
        <v>35</v>
      </c>
      <c r="M1081" t="n">
        <v>50</v>
      </c>
      <c r="N1081" t="n">
        <v>88</v>
      </c>
      <c r="O1081" t="inlineStr">
        <is>
          <t>2026-10-05 UTC (WFM pull 02:52-04:00)</t>
        </is>
      </c>
      <c r="P1081" t="inlineStr">
        <is>
          <t>OK</t>
        </is>
      </c>
      <c r="R1081" t="inlineStr">
        <is>
          <t>Every current tradeable mod at MAX RANK (WFM catalogue, rivens/locators excluded)</t>
        </is>
      </c>
      <c r="S1081" t="inlineStr">
        <is>
          <t>overpressured_rounds</t>
        </is>
      </c>
      <c r="T1081" t="n">
        <v>23</v>
      </c>
      <c r="U1081" t="n">
        <v>2</v>
      </c>
      <c r="V1081" t="n">
        <v>80</v>
      </c>
      <c r="W1081" t="n">
        <v>80</v>
      </c>
      <c r="X1081" t="n">
        <v>100.1</v>
      </c>
      <c r="Y1081" t="n">
        <v>34</v>
      </c>
      <c r="Z1081" t="n">
        <v>1</v>
      </c>
      <c r="AN1081" t="inlineStr">
        <is>
          <t>EFV-5 Jupiter</t>
        </is>
      </c>
      <c r="AO1081" t="n">
        <v>930</v>
      </c>
      <c r="AP1081" t="n">
        <v>44919</v>
      </c>
      <c r="AQ1081" t="n">
        <v>50</v>
      </c>
      <c r="AS1081" t="inlineStr">
        <is>
          <t>Yes</t>
        </is>
      </c>
    </row>
    <row r="1082">
      <c r="A1082" t="inlineStr">
        <is>
          <t>Mod</t>
        </is>
      </c>
      <c r="B1082" t="inlineStr">
        <is>
          <t>Overview</t>
        </is>
      </c>
      <c r="E1082" t="inlineStr">
        <is>
          <t>Conclave (PvP)</t>
        </is>
      </c>
      <c r="F1082" t="n">
        <v>5</v>
      </c>
      <c r="G1082" t="n">
        <v>1</v>
      </c>
      <c r="H1082" t="inlineStr">
        <is>
          <t>Player trade (max rank)</t>
        </is>
      </c>
      <c r="I1082" t="inlineStr">
        <is>
          <t>Yes</t>
        </is>
      </c>
      <c r="K1082" t="inlineStr">
        <is>
          <t>Collection (PvP)</t>
        </is>
      </c>
      <c r="L1082" t="n">
        <v>8</v>
      </c>
      <c r="M1082" t="n">
        <v>8</v>
      </c>
      <c r="N1082" t="n">
        <v>11</v>
      </c>
      <c r="O1082" t="inlineStr">
        <is>
          <t>2026-10-05 UTC (WFM pull 02:52-04:00)</t>
        </is>
      </c>
      <c r="P1082" t="inlineStr">
        <is>
          <t>OK</t>
        </is>
      </c>
      <c r="R1082" t="inlineStr">
        <is>
          <t>Every current tradeable mod at MAX RANK (WFM catalogue, rivens/locators excluded)</t>
        </is>
      </c>
      <c r="S1082" t="inlineStr">
        <is>
          <t>overview</t>
        </is>
      </c>
      <c r="T1082" t="n">
        <v>47</v>
      </c>
      <c r="U1082" t="n">
        <v>2</v>
      </c>
      <c r="W1082" t="n">
        <v>10</v>
      </c>
      <c r="X1082" t="n">
        <v>10</v>
      </c>
      <c r="Y1082" t="n">
        <v>1</v>
      </c>
      <c r="Z1082" t="n">
        <v>0</v>
      </c>
      <c r="AN1082" t="inlineStr">
        <is>
          <t>Conclave (PvP)</t>
        </is>
      </c>
      <c r="AO1082" t="n">
        <v>620</v>
      </c>
      <c r="AP1082" t="n">
        <v>29946</v>
      </c>
      <c r="AQ1082" t="n">
        <v>2</v>
      </c>
      <c r="AS1082" t="inlineStr">
        <is>
          <t>PvP subtotal</t>
        </is>
      </c>
    </row>
    <row r="1083">
      <c r="A1083" t="inlineStr">
        <is>
          <t>Mod</t>
        </is>
      </c>
      <c r="B1083" t="inlineStr">
        <is>
          <t>Pacifying Bolts</t>
        </is>
      </c>
      <c r="E1083" t="inlineStr">
        <is>
          <t>Augment Nyx</t>
        </is>
      </c>
      <c r="F1083" t="n">
        <v>3</v>
      </c>
      <c r="G1083" t="n">
        <v>1</v>
      </c>
      <c r="H1083" t="inlineStr">
        <is>
          <t>Player trade (max rank)</t>
        </is>
      </c>
      <c r="I1083" t="inlineStr">
        <is>
          <t>Yes</t>
        </is>
      </c>
      <c r="K1083" t="inlineStr">
        <is>
          <t>Collection</t>
        </is>
      </c>
      <c r="L1083" t="n">
        <v>20</v>
      </c>
      <c r="M1083" t="n">
        <v>25.5</v>
      </c>
      <c r="N1083" t="n">
        <v>57</v>
      </c>
      <c r="O1083" t="inlineStr">
        <is>
          <t>2026-10-05 UTC (WFM pull 02:52-04:00)</t>
        </is>
      </c>
      <c r="P1083" t="inlineStr">
        <is>
          <t>OK</t>
        </is>
      </c>
      <c r="R1083" t="inlineStr">
        <is>
          <t>Every current tradeable mod at MAX RANK (WFM catalogue, rivens/locators excluded)</t>
        </is>
      </c>
      <c r="S1083" t="inlineStr">
        <is>
          <t>pacifying_bolts</t>
        </is>
      </c>
      <c r="T1083" t="n">
        <v>3</v>
      </c>
      <c r="U1083" t="n">
        <v>3</v>
      </c>
      <c r="V1083" t="n">
        <v>17</v>
      </c>
      <c r="W1083" t="n">
        <v>16.5</v>
      </c>
      <c r="X1083" t="n">
        <v>17</v>
      </c>
      <c r="Y1083" t="n">
        <v>113</v>
      </c>
      <c r="Z1083" t="n">
        <v>1</v>
      </c>
      <c r="AN1083" t="inlineStr">
        <is>
          <t>Augment Nyx</t>
        </is>
      </c>
      <c r="AO1083" t="n">
        <v>210</v>
      </c>
      <c r="AP1083" t="n">
        <v>10143</v>
      </c>
      <c r="AQ1083" t="n">
        <v>18</v>
      </c>
      <c r="AS1083" t="inlineStr">
        <is>
          <t>Yes</t>
        </is>
      </c>
    </row>
    <row r="1084">
      <c r="A1084" t="inlineStr">
        <is>
          <t>Mod</t>
        </is>
      </c>
      <c r="B1084" t="inlineStr">
        <is>
          <t>Pack Leader</t>
        </is>
      </c>
      <c r="E1084" t="inlineStr">
        <is>
          <t>Companion</t>
        </is>
      </c>
      <c r="F1084" t="n">
        <v>5</v>
      </c>
      <c r="G1084" t="n">
        <v>1</v>
      </c>
      <c r="H1084" t="inlineStr">
        <is>
          <t>Player trade (max rank)</t>
        </is>
      </c>
      <c r="I1084" t="inlineStr">
        <is>
          <t>Yes</t>
        </is>
      </c>
      <c r="K1084" t="inlineStr">
        <is>
          <t>Collection</t>
        </is>
      </c>
      <c r="L1084" t="n">
        <v>14</v>
      </c>
      <c r="M1084" t="n">
        <v>15</v>
      </c>
      <c r="N1084" t="n">
        <v>33</v>
      </c>
      <c r="O1084" t="inlineStr">
        <is>
          <t>2026-10-05 UTC (WFM pull 02:52-04:00)</t>
        </is>
      </c>
      <c r="P1084" t="inlineStr">
        <is>
          <t>OK</t>
        </is>
      </c>
      <c r="R1084" t="inlineStr">
        <is>
          <t>Every current tradeable mod at MAX RANK (WFM catalogue, rivens/locators excluded)</t>
        </is>
      </c>
      <c r="S1084" t="inlineStr">
        <is>
          <t>pack_leader</t>
        </is>
      </c>
      <c r="T1084" t="n">
        <v>3</v>
      </c>
      <c r="U1084" t="n">
        <v>3</v>
      </c>
      <c r="V1084" t="n">
        <v>10</v>
      </c>
      <c r="W1084" t="n">
        <v>10</v>
      </c>
      <c r="X1084" t="n">
        <v>9.9</v>
      </c>
      <c r="Y1084" t="n">
        <v>33</v>
      </c>
      <c r="Z1084" t="n">
        <v>1</v>
      </c>
      <c r="AN1084" t="inlineStr">
        <is>
          <t>Companion</t>
        </is>
      </c>
      <c r="AO1084" t="n">
        <v>310</v>
      </c>
      <c r="AP1084" t="n">
        <v>14973</v>
      </c>
      <c r="AQ1084" t="n">
        <v>4</v>
      </c>
      <c r="AS1084" t="inlineStr">
        <is>
          <t>Yes</t>
        </is>
      </c>
    </row>
    <row r="1085">
      <c r="A1085" t="inlineStr">
        <is>
          <t>Mod</t>
        </is>
      </c>
      <c r="B1085" t="inlineStr">
        <is>
          <t>Pain Points</t>
        </is>
      </c>
      <c r="E1085" t="inlineStr">
        <is>
          <t>Augment Athodai</t>
        </is>
      </c>
      <c r="F1085" t="n">
        <v>5</v>
      </c>
      <c r="G1085" t="n">
        <v>1</v>
      </c>
      <c r="H1085" t="inlineStr">
        <is>
          <t>Player trade (max rank)</t>
        </is>
      </c>
      <c r="I1085" t="inlineStr">
        <is>
          <t>Yes</t>
        </is>
      </c>
      <c r="K1085" t="inlineStr">
        <is>
          <t>Collection</t>
        </is>
      </c>
      <c r="L1085" t="n">
        <v>50</v>
      </c>
      <c r="M1085" t="n">
        <v>60</v>
      </c>
      <c r="N1085" t="n">
        <v>104</v>
      </c>
      <c r="O1085" t="inlineStr">
        <is>
          <t>2026-10-05 UTC (WFM pull 02:52-04:00)</t>
        </is>
      </c>
      <c r="P1085" t="inlineStr">
        <is>
          <t>OK</t>
        </is>
      </c>
      <c r="R1085" t="inlineStr">
        <is>
          <t>Every current tradeable mod at MAX RANK (WFM catalogue, rivens/locators excluded)</t>
        </is>
      </c>
      <c r="S1085" t="inlineStr">
        <is>
          <t>pain_points</t>
        </is>
      </c>
      <c r="T1085" t="n">
        <v>48</v>
      </c>
      <c r="U1085" t="n">
        <v>2</v>
      </c>
      <c r="V1085" t="n">
        <v>94</v>
      </c>
      <c r="W1085" t="n">
        <v>100</v>
      </c>
      <c r="X1085" t="n">
        <v>99.59999999999999</v>
      </c>
      <c r="Y1085" t="n">
        <v>386</v>
      </c>
      <c r="Z1085" t="n">
        <v>16</v>
      </c>
      <c r="AN1085" t="inlineStr">
        <is>
          <t>Augment Athodai</t>
        </is>
      </c>
      <c r="AO1085" t="n">
        <v>930</v>
      </c>
      <c r="AP1085" t="n">
        <v>44919</v>
      </c>
      <c r="AQ1085" t="n">
        <v>84</v>
      </c>
      <c r="AS1085" t="inlineStr">
        <is>
          <t>Yes</t>
        </is>
      </c>
    </row>
    <row r="1086">
      <c r="A1086" t="inlineStr">
        <is>
          <t>Mod</t>
        </is>
      </c>
      <c r="B1086" t="inlineStr">
        <is>
          <t>Pain Threshold</t>
        </is>
      </c>
      <c r="E1086" t="inlineStr">
        <is>
          <t>Warframe</t>
        </is>
      </c>
      <c r="F1086" t="n">
        <v>3</v>
      </c>
      <c r="G1086" t="n">
        <v>1</v>
      </c>
      <c r="H1086" t="inlineStr">
        <is>
          <t>Player trade (max rank)</t>
        </is>
      </c>
      <c r="I1086" t="inlineStr">
        <is>
          <t>Yes</t>
        </is>
      </c>
      <c r="K1086" t="inlineStr">
        <is>
          <t>Collection</t>
        </is>
      </c>
      <c r="L1086" t="n">
        <v>4</v>
      </c>
      <c r="M1086" t="n">
        <v>5</v>
      </c>
      <c r="N1086" t="n">
        <v>9</v>
      </c>
      <c r="O1086" t="inlineStr">
        <is>
          <t>2026-10-05 UTC (WFM pull 02:52-04:00)</t>
        </is>
      </c>
      <c r="P1086" t="inlineStr">
        <is>
          <t>OK</t>
        </is>
      </c>
      <c r="R1086" t="inlineStr">
        <is>
          <t>Every current tradeable mod at MAX RANK (WFM catalogue, rivens/locators excluded)</t>
        </is>
      </c>
      <c r="S1086" t="inlineStr">
        <is>
          <t>pain_threshold</t>
        </is>
      </c>
      <c r="T1086" t="n">
        <v>90</v>
      </c>
      <c r="U1086" t="n">
        <v>2</v>
      </c>
      <c r="V1086" t="n">
        <v>8</v>
      </c>
      <c r="W1086" t="n">
        <v>8</v>
      </c>
      <c r="X1086" t="n">
        <v>32.5</v>
      </c>
      <c r="Y1086" t="n">
        <v>17</v>
      </c>
      <c r="Z1086" t="n">
        <v>0</v>
      </c>
      <c r="AN1086" t="inlineStr">
        <is>
          <t>Warframe</t>
        </is>
      </c>
      <c r="AO1086" t="n">
        <v>210</v>
      </c>
      <c r="AP1086" t="n">
        <v>10143</v>
      </c>
      <c r="AQ1086" t="n">
        <v>3</v>
      </c>
      <c r="AS1086" t="inlineStr">
        <is>
          <t>Yes</t>
        </is>
      </c>
    </row>
    <row r="1087">
      <c r="A1087" t="inlineStr">
        <is>
          <t>Mod</t>
        </is>
      </c>
      <c r="B1087" t="inlineStr">
        <is>
          <t>Panzer Devolution</t>
        </is>
      </c>
      <c r="E1087" t="inlineStr">
        <is>
          <t>Panzer Vulpaphyla</t>
        </is>
      </c>
      <c r="F1087" t="n">
        <v>3</v>
      </c>
      <c r="G1087" t="n">
        <v>1</v>
      </c>
      <c r="H1087" t="inlineStr">
        <is>
          <t>Player trade (max rank)</t>
        </is>
      </c>
      <c r="I1087" t="inlineStr">
        <is>
          <t>Yes</t>
        </is>
      </c>
      <c r="K1087" t="inlineStr">
        <is>
          <t>Collection</t>
        </is>
      </c>
      <c r="L1087" t="n">
        <v>10</v>
      </c>
      <c r="M1087" t="n">
        <v>20</v>
      </c>
      <c r="N1087" t="n">
        <v>44</v>
      </c>
      <c r="O1087" t="inlineStr">
        <is>
          <t>2026-10-05 UTC (WFM pull 02:52-04:00)</t>
        </is>
      </c>
      <c r="P1087" t="inlineStr">
        <is>
          <t>OK</t>
        </is>
      </c>
      <c r="R1087" t="inlineStr">
        <is>
          <t>Every current tradeable mod at MAX RANK (WFM catalogue, rivens/locators excluded)</t>
        </is>
      </c>
      <c r="S1087" t="inlineStr">
        <is>
          <t>panzer_devolution</t>
        </is>
      </c>
      <c r="T1087" t="n">
        <v>3</v>
      </c>
      <c r="U1087" t="n">
        <v>3</v>
      </c>
      <c r="V1087" t="n">
        <v>15</v>
      </c>
      <c r="W1087" t="n">
        <v>15</v>
      </c>
      <c r="X1087" t="n">
        <v>14.4</v>
      </c>
      <c r="Y1087" t="n">
        <v>34</v>
      </c>
      <c r="Z1087" t="n">
        <v>3</v>
      </c>
      <c r="AN1087" t="inlineStr">
        <is>
          <t>Panzer Vulpaphyla</t>
        </is>
      </c>
      <c r="AO1087" t="n">
        <v>210</v>
      </c>
      <c r="AP1087" t="n">
        <v>10143</v>
      </c>
      <c r="AQ1087" t="n">
        <v>8</v>
      </c>
      <c r="AS1087" t="inlineStr">
        <is>
          <t>Yes</t>
        </is>
      </c>
    </row>
    <row r="1088">
      <c r="A1088" t="inlineStr">
        <is>
          <t>Mod</t>
        </is>
      </c>
      <c r="B1088" t="inlineStr">
        <is>
          <t>Parallax Scope</t>
        </is>
      </c>
      <c r="E1088" t="inlineStr">
        <is>
          <t>Archgun</t>
        </is>
      </c>
      <c r="F1088" t="n">
        <v>3</v>
      </c>
      <c r="G1088" t="n">
        <v>1</v>
      </c>
      <c r="H1088" t="inlineStr">
        <is>
          <t>Player trade (max rank)</t>
        </is>
      </c>
      <c r="I1088" t="inlineStr">
        <is>
          <t>Yes</t>
        </is>
      </c>
      <c r="K1088" t="inlineStr">
        <is>
          <t>Collection</t>
        </is>
      </c>
      <c r="L1088" t="n">
        <v>8</v>
      </c>
      <c r="M1088" t="n">
        <v>8</v>
      </c>
      <c r="N1088" t="n">
        <v>18</v>
      </c>
      <c r="O1088" t="inlineStr">
        <is>
          <t>2026-10-05 UTC (WFM pull 02:52-04:00)</t>
        </is>
      </c>
      <c r="P1088" t="inlineStr">
        <is>
          <t>OK</t>
        </is>
      </c>
      <c r="R1088" t="inlineStr">
        <is>
          <t>Every current tradeable mod at MAX RANK (WFM catalogue, rivens/locators excluded)</t>
        </is>
      </c>
      <c r="S1088" t="inlineStr">
        <is>
          <t>parallax_scope</t>
        </is>
      </c>
      <c r="T1088" t="n">
        <v>5</v>
      </c>
      <c r="U1088" t="n">
        <v>5</v>
      </c>
      <c r="V1088" t="n">
        <v>5</v>
      </c>
      <c r="W1088" t="n">
        <v>8</v>
      </c>
      <c r="X1088" t="n">
        <v>7.3</v>
      </c>
      <c r="Y1088" t="n">
        <v>23</v>
      </c>
      <c r="Z1088" t="n">
        <v>1</v>
      </c>
      <c r="AN1088" t="inlineStr">
        <is>
          <t>Archgun</t>
        </is>
      </c>
      <c r="AO1088" t="n">
        <v>70</v>
      </c>
      <c r="AP1088" t="n">
        <v>3381</v>
      </c>
      <c r="AQ1088" t="n">
        <v>3</v>
      </c>
      <c r="AS1088" t="inlineStr">
        <is>
          <t>Yes</t>
        </is>
      </c>
    </row>
    <row r="1089">
      <c r="A1089" t="inlineStr">
        <is>
          <t>Mod</t>
        </is>
      </c>
      <c r="B1089" t="inlineStr">
        <is>
          <t>Paralytic Spores</t>
        </is>
      </c>
      <c r="E1089" t="inlineStr">
        <is>
          <t>Medjay Predasite</t>
        </is>
      </c>
      <c r="F1089" t="n">
        <v>3</v>
      </c>
      <c r="G1089" t="n">
        <v>1</v>
      </c>
      <c r="H1089" t="inlineStr">
        <is>
          <t>Player trade (max rank)</t>
        </is>
      </c>
      <c r="I1089" t="inlineStr">
        <is>
          <t>Yes</t>
        </is>
      </c>
      <c r="K1089" t="inlineStr">
        <is>
          <t>Collection</t>
        </is>
      </c>
      <c r="L1089" t="n">
        <v>10</v>
      </c>
      <c r="M1089" t="n">
        <v>10</v>
      </c>
      <c r="N1089" t="n">
        <v>22</v>
      </c>
      <c r="O1089" t="inlineStr">
        <is>
          <t>2026-10-05 UTC (WFM pull 02:52-04:00)</t>
        </is>
      </c>
      <c r="P1089" t="inlineStr">
        <is>
          <t>OK</t>
        </is>
      </c>
      <c r="R1089" t="inlineStr">
        <is>
          <t>Every current tradeable mod at MAX RANK (WFM catalogue, rivens/locators excluded)</t>
        </is>
      </c>
      <c r="S1089" t="inlineStr">
        <is>
          <t>paralytic_spores</t>
        </is>
      </c>
      <c r="T1089" t="n">
        <v>15</v>
      </c>
      <c r="U1089" t="n">
        <v>0</v>
      </c>
      <c r="Y1089" t="n">
        <v>0</v>
      </c>
      <c r="Z1089" t="n">
        <v>0</v>
      </c>
      <c r="AN1089" t="inlineStr">
        <is>
          <t>Medjay Predasite</t>
        </is>
      </c>
      <c r="AO1089" t="n">
        <v>210</v>
      </c>
      <c r="AP1089" t="n">
        <v>10143</v>
      </c>
      <c r="AQ1089" t="n">
        <v>9</v>
      </c>
      <c r="AS1089" t="inlineStr">
        <is>
          <t>Yes</t>
        </is>
      </c>
    </row>
    <row r="1090">
      <c r="A1090" t="inlineStr">
        <is>
          <t>Mod</t>
        </is>
      </c>
      <c r="B1090" t="inlineStr">
        <is>
          <t>Parasitic Vitality</t>
        </is>
      </c>
      <c r="E1090" t="inlineStr">
        <is>
          <t>Augment Nidus</t>
        </is>
      </c>
      <c r="F1090" t="n">
        <v>3</v>
      </c>
      <c r="G1090" t="n">
        <v>1</v>
      </c>
      <c r="H1090" t="inlineStr">
        <is>
          <t>Player trade (max rank)</t>
        </is>
      </c>
      <c r="I1090" t="inlineStr">
        <is>
          <t>Yes</t>
        </is>
      </c>
      <c r="K1090" t="inlineStr">
        <is>
          <t>Collection</t>
        </is>
      </c>
      <c r="L1090" t="n">
        <v>17</v>
      </c>
      <c r="M1090" t="n">
        <v>22.5</v>
      </c>
      <c r="N1090" t="n">
        <v>44</v>
      </c>
      <c r="O1090" t="inlineStr">
        <is>
          <t>2026-10-05 UTC (WFM pull 02:52-04:00)</t>
        </is>
      </c>
      <c r="P1090" t="inlineStr">
        <is>
          <t>OK</t>
        </is>
      </c>
      <c r="R1090" t="inlineStr">
        <is>
          <t>Every current tradeable mod at MAX RANK (WFM catalogue, rivens/locators excluded)</t>
        </is>
      </c>
      <c r="S1090" t="inlineStr">
        <is>
          <t>parasitic_vitality</t>
        </is>
      </c>
      <c r="T1090" t="n">
        <v>6</v>
      </c>
      <c r="U1090" t="n">
        <v>6</v>
      </c>
      <c r="V1090" t="n">
        <v>15</v>
      </c>
      <c r="W1090" t="n">
        <v>15</v>
      </c>
      <c r="X1090" t="n">
        <v>15.6</v>
      </c>
      <c r="Y1090" t="n">
        <v>530</v>
      </c>
      <c r="Z1090" t="n">
        <v>10</v>
      </c>
      <c r="AN1090" t="inlineStr">
        <is>
          <t>Augment Nidus</t>
        </is>
      </c>
      <c r="AO1090" t="n">
        <v>210</v>
      </c>
      <c r="AP1090" t="n">
        <v>10143</v>
      </c>
      <c r="AQ1090" t="n">
        <v>19</v>
      </c>
      <c r="AS1090" t="inlineStr">
        <is>
          <t>Yes</t>
        </is>
      </c>
    </row>
    <row r="1091">
      <c r="A1091" t="inlineStr">
        <is>
          <t>Mod</t>
        </is>
      </c>
      <c r="B1091" t="inlineStr">
        <is>
          <t>Parry</t>
        </is>
      </c>
      <c r="E1091" t="inlineStr">
        <is>
          <t>Melee</t>
        </is>
      </c>
      <c r="F1091" t="n">
        <v>5</v>
      </c>
      <c r="G1091" t="n">
        <v>1</v>
      </c>
      <c r="H1091" t="inlineStr">
        <is>
          <t>Player trade (max rank)</t>
        </is>
      </c>
      <c r="I1091" t="inlineStr">
        <is>
          <t>Yes</t>
        </is>
      </c>
      <c r="K1091" t="inlineStr">
        <is>
          <t>Collection</t>
        </is>
      </c>
      <c r="L1091" t="n">
        <v>7</v>
      </c>
      <c r="M1091" t="n">
        <v>15</v>
      </c>
      <c r="N1091" t="n">
        <v>33</v>
      </c>
      <c r="O1091" t="inlineStr">
        <is>
          <t>2026-10-05 UTC (WFM pull 02:52-04:00)</t>
        </is>
      </c>
      <c r="P1091" t="inlineStr">
        <is>
          <t>OK</t>
        </is>
      </c>
      <c r="R1091" t="inlineStr">
        <is>
          <t>Every current tradeable mod at MAX RANK (WFM catalogue, rivens/locators excluded)</t>
        </is>
      </c>
      <c r="S1091" t="inlineStr">
        <is>
          <t>parry</t>
        </is>
      </c>
      <c r="T1091" t="n">
        <v>3</v>
      </c>
      <c r="U1091" t="n">
        <v>3</v>
      </c>
      <c r="Y1091" t="n">
        <v>0</v>
      </c>
      <c r="Z1091" t="n">
        <v>0</v>
      </c>
      <c r="AN1091" t="inlineStr">
        <is>
          <t>Melee</t>
        </is>
      </c>
      <c r="AO1091" t="n">
        <v>310</v>
      </c>
      <c r="AP1091" t="n">
        <v>14973</v>
      </c>
      <c r="AQ1091" t="n">
        <v>3</v>
      </c>
      <c r="AS1091" t="inlineStr">
        <is>
          <t>Yes</t>
        </is>
      </c>
    </row>
    <row r="1092">
      <c r="A1092" t="inlineStr">
        <is>
          <t>Mod</t>
        </is>
      </c>
      <c r="B1092" t="inlineStr">
        <is>
          <t>Particle Ram</t>
        </is>
      </c>
      <c r="E1092" t="inlineStr">
        <is>
          <t>Railjack (Battle, Slot 2)</t>
        </is>
      </c>
      <c r="F1092" t="n">
        <v>10</v>
      </c>
      <c r="G1092" t="n">
        <v>1</v>
      </c>
      <c r="H1092" t="inlineStr">
        <is>
          <t>Player trade (max rank)</t>
        </is>
      </c>
      <c r="I1092" t="inlineStr">
        <is>
          <t>Yes</t>
        </is>
      </c>
      <c r="K1092" t="inlineStr">
        <is>
          <t>Collection</t>
        </is>
      </c>
      <c r="L1092" t="n">
        <v>75</v>
      </c>
      <c r="M1092" t="n">
        <v>80</v>
      </c>
      <c r="N1092" t="n">
        <v>88</v>
      </c>
      <c r="O1092" t="inlineStr">
        <is>
          <t>2026-10-05 UTC (WFM pull 02:52-04:00)</t>
        </is>
      </c>
      <c r="P1092" t="inlineStr">
        <is>
          <t>OK</t>
        </is>
      </c>
      <c r="R1092" t="inlineStr">
        <is>
          <t>Every current tradeable mod at MAX RANK (WFM catalogue, rivens/locators excluded)</t>
        </is>
      </c>
      <c r="S1092" t="inlineStr">
        <is>
          <t>particle_ram</t>
        </is>
      </c>
      <c r="T1092" t="n">
        <v>9</v>
      </c>
      <c r="U1092" t="n">
        <v>9</v>
      </c>
      <c r="V1092" t="n">
        <v>80</v>
      </c>
      <c r="W1092" t="n">
        <v>80</v>
      </c>
      <c r="X1092" t="n">
        <v>77.90000000000001</v>
      </c>
      <c r="Y1092" t="n">
        <v>28</v>
      </c>
      <c r="Z1092" t="n">
        <v>0</v>
      </c>
      <c r="AN1092" t="inlineStr">
        <is>
          <t>Railjack (Battle, Slot 2)</t>
        </is>
      </c>
      <c r="AO1092" t="n">
        <v>30690</v>
      </c>
      <c r="AP1092" t="n">
        <v>1482327</v>
      </c>
      <c r="AQ1092" t="n">
        <v>10</v>
      </c>
      <c r="AS1092" t="inlineStr">
        <is>
          <t>Yes</t>
        </is>
      </c>
    </row>
    <row r="1093">
      <c r="A1093" t="inlineStr">
        <is>
          <t>Mod</t>
        </is>
      </c>
      <c r="B1093" t="inlineStr">
        <is>
          <t>Partitioned Mallet</t>
        </is>
      </c>
      <c r="E1093" t="inlineStr">
        <is>
          <t>Augment Octavia</t>
        </is>
      </c>
      <c r="F1093" t="n">
        <v>3</v>
      </c>
      <c r="G1093" t="n">
        <v>1</v>
      </c>
      <c r="H1093" t="inlineStr">
        <is>
          <t>Player trade (max rank)</t>
        </is>
      </c>
      <c r="I1093" t="inlineStr">
        <is>
          <t>Yes</t>
        </is>
      </c>
      <c r="K1093" t="inlineStr">
        <is>
          <t>Collection</t>
        </is>
      </c>
      <c r="L1093" t="n">
        <v>25</v>
      </c>
      <c r="M1093" t="n">
        <v>25</v>
      </c>
      <c r="N1093" t="n">
        <v>56</v>
      </c>
      <c r="O1093" t="inlineStr">
        <is>
          <t>2026-10-05 UTC (WFM pull 02:52-04:00)</t>
        </is>
      </c>
      <c r="P1093" t="inlineStr">
        <is>
          <t>OK</t>
        </is>
      </c>
      <c r="R1093" t="inlineStr">
        <is>
          <t>Every current tradeable mod at MAX RANK (WFM catalogue, rivens/locators excluded)</t>
        </is>
      </c>
      <c r="S1093" t="inlineStr">
        <is>
          <t>partitioned_mallet</t>
        </is>
      </c>
      <c r="T1093" t="n">
        <v>5</v>
      </c>
      <c r="U1093" t="n">
        <v>5</v>
      </c>
      <c r="V1093" t="n">
        <v>12</v>
      </c>
      <c r="W1093" t="n">
        <v>14</v>
      </c>
      <c r="X1093" t="n">
        <v>13.9</v>
      </c>
      <c r="Y1093" t="n">
        <v>40</v>
      </c>
      <c r="Z1093" t="n">
        <v>2</v>
      </c>
      <c r="AN1093" t="inlineStr">
        <is>
          <t>Augment Octavia</t>
        </is>
      </c>
      <c r="AO1093" t="n">
        <v>210</v>
      </c>
      <c r="AP1093" t="n">
        <v>10143</v>
      </c>
      <c r="AQ1093" t="n">
        <v>15</v>
      </c>
      <c r="AS1093" t="inlineStr">
        <is>
          <t>Yes</t>
        </is>
      </c>
    </row>
    <row r="1094">
      <c r="A1094" t="inlineStr">
        <is>
          <t>Mod</t>
        </is>
      </c>
      <c r="B1094" t="inlineStr">
        <is>
          <t>Patagium</t>
        </is>
      </c>
      <c r="E1094" t="inlineStr">
        <is>
          <t>Warframe</t>
        </is>
      </c>
      <c r="F1094" t="n">
        <v>5</v>
      </c>
      <c r="G1094" t="n">
        <v>1</v>
      </c>
      <c r="H1094" t="inlineStr">
        <is>
          <t>Player trade (max rank)</t>
        </is>
      </c>
      <c r="I1094" t="inlineStr">
        <is>
          <t>Yes</t>
        </is>
      </c>
      <c r="K1094" t="inlineStr">
        <is>
          <t>Collection</t>
        </is>
      </c>
      <c r="L1094" t="n">
        <v>5</v>
      </c>
      <c r="M1094" t="n">
        <v>13.5</v>
      </c>
      <c r="N1094" t="n">
        <v>30</v>
      </c>
      <c r="O1094" t="inlineStr">
        <is>
          <t>2026-10-05 UTC (WFM pull 02:52-04:00)</t>
        </is>
      </c>
      <c r="P1094" t="inlineStr">
        <is>
          <t>OK</t>
        </is>
      </c>
      <c r="R1094" t="inlineStr">
        <is>
          <t>Every current tradeable mod at MAX RANK (WFM catalogue, rivens/locators excluded)</t>
        </is>
      </c>
      <c r="S1094" t="inlineStr">
        <is>
          <t>patagium</t>
        </is>
      </c>
      <c r="T1094" t="n">
        <v>4</v>
      </c>
      <c r="U1094" t="n">
        <v>4</v>
      </c>
      <c r="V1094" t="n">
        <v>10</v>
      </c>
      <c r="W1094" t="n">
        <v>10</v>
      </c>
      <c r="X1094" t="n">
        <v>8.5</v>
      </c>
      <c r="Y1094" t="n">
        <v>11</v>
      </c>
      <c r="Z1094" t="n">
        <v>1</v>
      </c>
      <c r="AN1094" t="inlineStr">
        <is>
          <t>Warframe</t>
        </is>
      </c>
      <c r="AO1094" t="n">
        <v>620</v>
      </c>
      <c r="AP1094" t="n">
        <v>29946</v>
      </c>
      <c r="AQ1094" t="n">
        <v>4.5</v>
      </c>
      <c r="AS1094" t="inlineStr">
        <is>
          <t>Yes</t>
        </is>
      </c>
    </row>
    <row r="1095">
      <c r="A1095" t="inlineStr">
        <is>
          <t>Mod</t>
        </is>
      </c>
      <c r="B1095" t="inlineStr">
        <is>
          <t>Path Of Statues</t>
        </is>
      </c>
      <c r="E1095" t="inlineStr">
        <is>
          <t>Augment Atlas</t>
        </is>
      </c>
      <c r="F1095" t="n">
        <v>3</v>
      </c>
      <c r="G1095" t="n">
        <v>1</v>
      </c>
      <c r="H1095" t="inlineStr">
        <is>
          <t>Player trade (max rank)</t>
        </is>
      </c>
      <c r="I1095" t="inlineStr">
        <is>
          <t>Yes</t>
        </is>
      </c>
      <c r="K1095" t="inlineStr">
        <is>
          <t>Collection</t>
        </is>
      </c>
      <c r="L1095" t="n">
        <v>12</v>
      </c>
      <c r="M1095" t="n">
        <v>22.5</v>
      </c>
      <c r="N1095" t="n">
        <v>39</v>
      </c>
      <c r="O1095" t="inlineStr">
        <is>
          <t>2026-10-05 UTC (WFM pull 02:52-04:00)</t>
        </is>
      </c>
      <c r="P1095" t="inlineStr">
        <is>
          <t>OK</t>
        </is>
      </c>
      <c r="R1095" t="inlineStr">
        <is>
          <t>Every current tradeable mod at MAX RANK (WFM catalogue, rivens/locators excluded)</t>
        </is>
      </c>
      <c r="S1095" t="inlineStr">
        <is>
          <t>path_of_statues</t>
        </is>
      </c>
      <c r="T1095" t="n">
        <v>5</v>
      </c>
      <c r="U1095" t="n">
        <v>5</v>
      </c>
      <c r="V1095" t="n">
        <v>15</v>
      </c>
      <c r="W1095" t="n">
        <v>15</v>
      </c>
      <c r="X1095" t="n">
        <v>14.3</v>
      </c>
      <c r="Y1095" t="n">
        <v>84</v>
      </c>
      <c r="Z1095" t="n">
        <v>1</v>
      </c>
      <c r="AN1095" t="inlineStr">
        <is>
          <t>Augment Atlas</t>
        </is>
      </c>
      <c r="AO1095" t="n">
        <v>210</v>
      </c>
      <c r="AP1095" t="n">
        <v>10143</v>
      </c>
      <c r="AQ1095" t="n">
        <v>15</v>
      </c>
      <c r="AS1095" t="inlineStr">
        <is>
          <t>Yes</t>
        </is>
      </c>
    </row>
    <row r="1096">
      <c r="A1096" t="inlineStr">
        <is>
          <t>Mod</t>
        </is>
      </c>
      <c r="B1096" t="inlineStr">
        <is>
          <t>Pathogen Rounds</t>
        </is>
      </c>
      <c r="E1096" t="inlineStr">
        <is>
          <t>Pistol</t>
        </is>
      </c>
      <c r="F1096" t="n">
        <v>5</v>
      </c>
      <c r="G1096" t="n">
        <v>1</v>
      </c>
      <c r="H1096" t="inlineStr">
        <is>
          <t>Player trade (max rank)</t>
        </is>
      </c>
      <c r="I1096" t="inlineStr">
        <is>
          <t>Yes</t>
        </is>
      </c>
      <c r="K1096" t="inlineStr">
        <is>
          <t>Collection</t>
        </is>
      </c>
      <c r="L1096" t="n">
        <v>13</v>
      </c>
      <c r="M1096" t="n">
        <v>15</v>
      </c>
      <c r="N1096" t="n">
        <v>26</v>
      </c>
      <c r="O1096" t="inlineStr">
        <is>
          <t>2026-10-05 UTC (WFM pull 02:52-04:00)</t>
        </is>
      </c>
      <c r="P1096" t="inlineStr">
        <is>
          <t>OK</t>
        </is>
      </c>
      <c r="R1096" t="inlineStr">
        <is>
          <t>Every current tradeable mod at MAX RANK (WFM catalogue, rivens/locators excluded)</t>
        </is>
      </c>
      <c r="S1096" t="inlineStr">
        <is>
          <t>pathogen_rounds</t>
        </is>
      </c>
      <c r="T1096" t="n">
        <v>8</v>
      </c>
      <c r="U1096" t="n">
        <v>8</v>
      </c>
      <c r="V1096" t="n">
        <v>14</v>
      </c>
      <c r="W1096" t="n">
        <v>15</v>
      </c>
      <c r="X1096" t="n">
        <v>15.7</v>
      </c>
      <c r="Y1096" t="n">
        <v>383</v>
      </c>
      <c r="Z1096" t="n">
        <v>5</v>
      </c>
      <c r="AN1096" t="inlineStr">
        <is>
          <t>Pistol</t>
        </is>
      </c>
      <c r="AO1096" t="n">
        <v>620</v>
      </c>
      <c r="AP1096" t="n">
        <v>29946</v>
      </c>
      <c r="AQ1096" t="n">
        <v>7.5</v>
      </c>
      <c r="AS1096" t="inlineStr">
        <is>
          <t>Yes</t>
        </is>
      </c>
    </row>
    <row r="1097">
      <c r="A1097" t="inlineStr">
        <is>
          <t>Mod</t>
        </is>
      </c>
      <c r="B1097" t="inlineStr">
        <is>
          <t>Peaceful Provocation</t>
        </is>
      </c>
      <c r="E1097" t="inlineStr">
        <is>
          <t>Augment Equinox</t>
        </is>
      </c>
      <c r="F1097" t="n">
        <v>3</v>
      </c>
      <c r="G1097" t="n">
        <v>1</v>
      </c>
      <c r="H1097" t="inlineStr">
        <is>
          <t>Player trade (max rank)</t>
        </is>
      </c>
      <c r="I1097" t="inlineStr">
        <is>
          <t>Yes</t>
        </is>
      </c>
      <c r="K1097" t="inlineStr">
        <is>
          <t>Collection</t>
        </is>
      </c>
      <c r="L1097" t="n">
        <v>25</v>
      </c>
      <c r="M1097" t="n">
        <v>25</v>
      </c>
      <c r="N1097" t="n">
        <v>56</v>
      </c>
      <c r="O1097" t="inlineStr">
        <is>
          <t>2026-10-05 UTC (WFM pull 02:52-04:00)</t>
        </is>
      </c>
      <c r="P1097" t="inlineStr">
        <is>
          <t>OK</t>
        </is>
      </c>
      <c r="R1097" t="inlineStr">
        <is>
          <t>Every current tradeable mod at MAX RANK (WFM catalogue, rivens/locators excluded)</t>
        </is>
      </c>
      <c r="S1097" t="inlineStr">
        <is>
          <t>peaceful_provocation</t>
        </is>
      </c>
      <c r="T1097" t="n">
        <v>4</v>
      </c>
      <c r="U1097" t="n">
        <v>4</v>
      </c>
      <c r="V1097" t="n">
        <v>14</v>
      </c>
      <c r="W1097" t="n">
        <v>15</v>
      </c>
      <c r="X1097" t="n">
        <v>15.7</v>
      </c>
      <c r="Y1097" t="n">
        <v>26</v>
      </c>
      <c r="Z1097" t="n">
        <v>0</v>
      </c>
      <c r="AN1097" t="inlineStr">
        <is>
          <t>Augment Equinox</t>
        </is>
      </c>
      <c r="AO1097" t="n">
        <v>210</v>
      </c>
      <c r="AP1097" t="n">
        <v>10143</v>
      </c>
      <c r="AQ1097" t="n">
        <v>16</v>
      </c>
      <c r="AS1097" t="inlineStr">
        <is>
          <t>Yes</t>
        </is>
      </c>
    </row>
    <row r="1098">
      <c r="A1098" t="inlineStr">
        <is>
          <t>Mod</t>
        </is>
      </c>
      <c r="B1098" t="inlineStr">
        <is>
          <t>Peculiar Audience</t>
        </is>
      </c>
      <c r="E1098" t="inlineStr">
        <is>
          <t>Warframe</t>
        </is>
      </c>
      <c r="F1098" t="n">
        <v>5</v>
      </c>
      <c r="G1098" t="n">
        <v>1</v>
      </c>
      <c r="H1098" t="inlineStr">
        <is>
          <t>Player trade (max rank)</t>
        </is>
      </c>
      <c r="I1098" t="inlineStr">
        <is>
          <t>Yes</t>
        </is>
      </c>
      <c r="K1098" t="inlineStr">
        <is>
          <t>Collection</t>
        </is>
      </c>
      <c r="L1098" t="n">
        <v>44</v>
      </c>
      <c r="M1098" t="n">
        <v>44</v>
      </c>
      <c r="N1098" t="n">
        <v>56</v>
      </c>
      <c r="O1098" t="inlineStr">
        <is>
          <t>2026-10-05 UTC (WFM pull 02:52-04:00)</t>
        </is>
      </c>
      <c r="P1098" t="inlineStr">
        <is>
          <t>OK</t>
        </is>
      </c>
      <c r="R1098" t="inlineStr">
        <is>
          <t>Every current tradeable mod at MAX RANK (WFM catalogue, rivens/locators excluded)</t>
        </is>
      </c>
      <c r="S1098" t="inlineStr">
        <is>
          <t>peculiar_audience</t>
        </is>
      </c>
      <c r="T1098" t="n">
        <v>3</v>
      </c>
      <c r="U1098" t="n">
        <v>3</v>
      </c>
      <c r="V1098" t="n">
        <v>18</v>
      </c>
      <c r="W1098" t="n">
        <v>20</v>
      </c>
      <c r="X1098" t="n">
        <v>22.6</v>
      </c>
      <c r="Y1098" t="n">
        <v>98</v>
      </c>
      <c r="Z1098" t="n">
        <v>6</v>
      </c>
      <c r="AN1098" t="inlineStr">
        <is>
          <t>Warframe</t>
        </is>
      </c>
      <c r="AO1098" t="n">
        <v>620</v>
      </c>
      <c r="AP1098" t="n">
        <v>29946</v>
      </c>
      <c r="AQ1098" t="n">
        <v>10</v>
      </c>
      <c r="AS1098" t="inlineStr">
        <is>
          <t>Yes</t>
        </is>
      </c>
    </row>
    <row r="1099">
      <c r="A1099" t="inlineStr">
        <is>
          <t>Mod</t>
        </is>
      </c>
      <c r="B1099" t="inlineStr">
        <is>
          <t>Peculiar Bloom</t>
        </is>
      </c>
      <c r="E1099" t="inlineStr">
        <is>
          <t>Warframe</t>
        </is>
      </c>
      <c r="F1099" t="n">
        <v>5</v>
      </c>
      <c r="G1099" t="n">
        <v>1</v>
      </c>
      <c r="H1099" t="inlineStr">
        <is>
          <t>Player trade (max rank)</t>
        </is>
      </c>
      <c r="I1099" t="inlineStr">
        <is>
          <t>Yes</t>
        </is>
      </c>
      <c r="K1099" t="inlineStr">
        <is>
          <t>Collection</t>
        </is>
      </c>
      <c r="L1099" t="n">
        <v>30</v>
      </c>
      <c r="M1099" t="n">
        <v>39</v>
      </c>
      <c r="N1099" t="n">
        <v>86</v>
      </c>
      <c r="O1099" t="inlineStr">
        <is>
          <t>2026-10-05 UTC (WFM pull 02:52-04:00)</t>
        </is>
      </c>
      <c r="P1099" t="inlineStr">
        <is>
          <t>OK</t>
        </is>
      </c>
      <c r="R1099" t="inlineStr">
        <is>
          <t>Every current tradeable mod at MAX RANK (WFM catalogue, rivens/locators excluded)</t>
        </is>
      </c>
      <c r="S1099" t="inlineStr">
        <is>
          <t>peculiar_bloom</t>
        </is>
      </c>
      <c r="T1099" t="n">
        <v>4</v>
      </c>
      <c r="U1099" t="n">
        <v>4</v>
      </c>
      <c r="V1099" t="n">
        <v>26</v>
      </c>
      <c r="W1099" t="n">
        <v>30</v>
      </c>
      <c r="X1099" t="n">
        <v>32.7</v>
      </c>
      <c r="Y1099" t="n">
        <v>46</v>
      </c>
      <c r="Z1099" t="n">
        <v>1</v>
      </c>
      <c r="AN1099" t="inlineStr">
        <is>
          <t>Warframe</t>
        </is>
      </c>
      <c r="AO1099" t="n">
        <v>620</v>
      </c>
      <c r="AP1099" t="n">
        <v>29946</v>
      </c>
      <c r="AQ1099" t="n">
        <v>20</v>
      </c>
      <c r="AS1099" t="inlineStr">
        <is>
          <t>Yes</t>
        </is>
      </c>
    </row>
    <row r="1100">
      <c r="A1100" t="inlineStr">
        <is>
          <t>Mod</t>
        </is>
      </c>
      <c r="B1100" t="inlineStr">
        <is>
          <t>Peculiar End</t>
        </is>
      </c>
      <c r="E1100" t="inlineStr">
        <is>
          <t>Warframe</t>
        </is>
      </c>
      <c r="F1100" t="n">
        <v>5</v>
      </c>
      <c r="G1100" t="n">
        <v>1</v>
      </c>
      <c r="H1100" t="inlineStr">
        <is>
          <t>Player trade (max rank)</t>
        </is>
      </c>
      <c r="I1100" t="inlineStr">
        <is>
          <t>Yes</t>
        </is>
      </c>
      <c r="K1100" t="inlineStr">
        <is>
          <t>Collection</t>
        </is>
      </c>
      <c r="L1100" t="n">
        <v>40</v>
      </c>
      <c r="M1100" t="n">
        <v>45</v>
      </c>
      <c r="N1100" t="n">
        <v>56</v>
      </c>
      <c r="O1100" t="inlineStr">
        <is>
          <t>2026-10-05 UTC (WFM pull 02:52-04:00)</t>
        </is>
      </c>
      <c r="P1100" t="inlineStr">
        <is>
          <t>OK</t>
        </is>
      </c>
      <c r="R1100" t="inlineStr">
        <is>
          <t>Every current tradeable mod at MAX RANK (WFM catalogue, rivens/locators excluded)</t>
        </is>
      </c>
      <c r="S1100" t="inlineStr">
        <is>
          <t>peculiar_end</t>
        </is>
      </c>
      <c r="T1100" t="n">
        <v>27</v>
      </c>
      <c r="U1100" t="n">
        <v>2</v>
      </c>
      <c r="V1100" t="n">
        <v>42.5</v>
      </c>
      <c r="W1100" t="n">
        <v>47.5</v>
      </c>
      <c r="X1100" t="n">
        <v>48</v>
      </c>
      <c r="Y1100" t="n">
        <v>47</v>
      </c>
      <c r="Z1100" t="n">
        <v>2</v>
      </c>
      <c r="AN1100" t="inlineStr">
        <is>
          <t>Warframe</t>
        </is>
      </c>
      <c r="AO1100" t="n">
        <v>310</v>
      </c>
      <c r="AP1100" t="n">
        <v>14973</v>
      </c>
      <c r="AQ1100" t="n">
        <v>45</v>
      </c>
      <c r="AS1100" t="inlineStr">
        <is>
          <t>Yes</t>
        </is>
      </c>
    </row>
    <row r="1101">
      <c r="A1101" t="inlineStr">
        <is>
          <t>Mod</t>
        </is>
      </c>
      <c r="B1101" t="inlineStr">
        <is>
          <t>Peculiar Growth</t>
        </is>
      </c>
      <c r="E1101" t="inlineStr">
        <is>
          <t>Warframe</t>
        </is>
      </c>
      <c r="F1101" t="n">
        <v>5</v>
      </c>
      <c r="G1101" t="n">
        <v>1</v>
      </c>
      <c r="H1101" t="inlineStr">
        <is>
          <t>Player trade (max rank)</t>
        </is>
      </c>
      <c r="I1101" t="inlineStr">
        <is>
          <t>Yes</t>
        </is>
      </c>
      <c r="K1101" t="inlineStr">
        <is>
          <t>Collection</t>
        </is>
      </c>
      <c r="L1101" t="n">
        <v>20</v>
      </c>
      <c r="M1101" t="n">
        <v>25</v>
      </c>
      <c r="N1101" t="n">
        <v>33</v>
      </c>
      <c r="O1101" t="inlineStr">
        <is>
          <t>2026-10-05 UTC (WFM pull 02:52-04:00)</t>
        </is>
      </c>
      <c r="P1101" t="inlineStr">
        <is>
          <t>OK</t>
        </is>
      </c>
      <c r="R1101" t="inlineStr">
        <is>
          <t>Every current tradeable mod at MAX RANK (WFM catalogue, rivens/locators excluded)</t>
        </is>
      </c>
      <c r="S1101" t="inlineStr">
        <is>
          <t>peculiar_growth</t>
        </is>
      </c>
      <c r="T1101" t="n">
        <v>44</v>
      </c>
      <c r="U1101" t="n">
        <v>1</v>
      </c>
      <c r="V1101" t="n">
        <v>25</v>
      </c>
      <c r="W1101" t="n">
        <v>20</v>
      </c>
      <c r="X1101" t="n">
        <v>22.4</v>
      </c>
      <c r="Y1101" t="n">
        <v>52</v>
      </c>
      <c r="Z1101" t="n">
        <v>0</v>
      </c>
      <c r="AN1101" t="inlineStr">
        <is>
          <t>Warframe</t>
        </is>
      </c>
      <c r="AO1101" t="n">
        <v>620</v>
      </c>
      <c r="AP1101" t="n">
        <v>29946</v>
      </c>
      <c r="AQ1101" t="n">
        <v>30</v>
      </c>
      <c r="AS1101" t="inlineStr">
        <is>
          <t>Yes</t>
        </is>
      </c>
    </row>
    <row r="1102">
      <c r="A1102" t="inlineStr">
        <is>
          <t>Mod</t>
        </is>
      </c>
      <c r="B1102" t="inlineStr">
        <is>
          <t>Perfect Balance</t>
        </is>
      </c>
      <c r="E1102" t="inlineStr">
        <is>
          <t>K-Drive</t>
        </is>
      </c>
      <c r="F1102" t="n">
        <v>10</v>
      </c>
      <c r="G1102" t="n">
        <v>1</v>
      </c>
      <c r="H1102" t="inlineStr">
        <is>
          <t>Player trade (max rank)</t>
        </is>
      </c>
      <c r="I1102" t="inlineStr">
        <is>
          <t>Yes</t>
        </is>
      </c>
      <c r="K1102" t="inlineStr">
        <is>
          <t>Collection</t>
        </is>
      </c>
      <c r="L1102" t="n">
        <v>70</v>
      </c>
      <c r="M1102" t="n">
        <v>70</v>
      </c>
      <c r="N1102" t="n">
        <v>100</v>
      </c>
      <c r="O1102" t="inlineStr">
        <is>
          <t>2026-10-05 UTC (WFM pull 02:52-04:00)</t>
        </is>
      </c>
      <c r="P1102" t="inlineStr">
        <is>
          <t>OK</t>
        </is>
      </c>
      <c r="R1102" t="inlineStr">
        <is>
          <t>Every current tradeable mod at MAX RANK (WFM catalogue, rivens/locators excluded)</t>
        </is>
      </c>
      <c r="S1102" t="inlineStr">
        <is>
          <t>perfect_balance</t>
        </is>
      </c>
      <c r="T1102" t="n">
        <v>30</v>
      </c>
      <c r="U1102" t="n">
        <v>1</v>
      </c>
      <c r="W1102" t="n">
        <v>40</v>
      </c>
      <c r="X1102" t="n">
        <v>65</v>
      </c>
      <c r="Y1102" t="n">
        <v>2</v>
      </c>
      <c r="Z1102" t="n">
        <v>0</v>
      </c>
      <c r="AN1102" t="inlineStr">
        <is>
          <t>K-Drive</t>
        </is>
      </c>
      <c r="AO1102" t="n">
        <v>20460</v>
      </c>
      <c r="AP1102" t="n">
        <v>988218</v>
      </c>
      <c r="AQ1102" t="n">
        <v>23.2</v>
      </c>
      <c r="AS1102" t="inlineStr">
        <is>
          <t>Yes</t>
        </is>
      </c>
    </row>
    <row r="1103">
      <c r="A1103" t="inlineStr">
        <is>
          <t>Mod</t>
        </is>
      </c>
      <c r="B1103" t="inlineStr">
        <is>
          <t>Perpetual Agony</t>
        </is>
      </c>
      <c r="E1103" t="inlineStr">
        <is>
          <t>Pistol</t>
        </is>
      </c>
      <c r="F1103" t="n">
        <v>5</v>
      </c>
      <c r="G1103" t="n">
        <v>1</v>
      </c>
      <c r="H1103" t="inlineStr">
        <is>
          <t>Player trade (max rank)</t>
        </is>
      </c>
      <c r="I1103" t="inlineStr">
        <is>
          <t>Yes</t>
        </is>
      </c>
      <c r="K1103" t="inlineStr">
        <is>
          <t>Collection</t>
        </is>
      </c>
      <c r="L1103" t="n">
        <v>9</v>
      </c>
      <c r="M1103" t="n">
        <v>18</v>
      </c>
      <c r="N1103" t="n">
        <v>40</v>
      </c>
      <c r="O1103" t="inlineStr">
        <is>
          <t>2026-10-05 UTC (WFM pull 02:52-04:00)</t>
        </is>
      </c>
      <c r="P1103" t="inlineStr">
        <is>
          <t>OK</t>
        </is>
      </c>
      <c r="R1103" t="inlineStr">
        <is>
          <t>Every current tradeable mod at MAX RANK (WFM catalogue, rivens/locators excluded)</t>
        </is>
      </c>
      <c r="S1103" t="inlineStr">
        <is>
          <t>perpetual_agony</t>
        </is>
      </c>
      <c r="T1103" t="n">
        <v>5</v>
      </c>
      <c r="U1103" t="n">
        <v>5</v>
      </c>
      <c r="W1103" t="n">
        <v>12</v>
      </c>
      <c r="X1103" t="n">
        <v>12</v>
      </c>
      <c r="Y1103" t="n">
        <v>1</v>
      </c>
      <c r="Z1103" t="n">
        <v>0</v>
      </c>
      <c r="AN1103" t="inlineStr">
        <is>
          <t>Pistol</t>
        </is>
      </c>
      <c r="AO1103" t="n">
        <v>310</v>
      </c>
      <c r="AP1103" t="n">
        <v>14973</v>
      </c>
      <c r="AQ1103" t="n">
        <v>2</v>
      </c>
      <c r="AS1103" t="inlineStr">
        <is>
          <t>Yes</t>
        </is>
      </c>
    </row>
    <row r="1104">
      <c r="A1104" t="inlineStr">
        <is>
          <t>Mod</t>
        </is>
      </c>
      <c r="B1104" t="inlineStr">
        <is>
          <t>Persistent Posture</t>
        </is>
      </c>
      <c r="E1104" t="inlineStr">
        <is>
          <t>Stance</t>
        </is>
      </c>
      <c r="F1104" t="n">
        <v>3</v>
      </c>
      <c r="G1104" t="n">
        <v>1</v>
      </c>
      <c r="H1104" t="inlineStr">
        <is>
          <t>Player trade (max rank)</t>
        </is>
      </c>
      <c r="I1104" t="inlineStr">
        <is>
          <t>Yes</t>
        </is>
      </c>
      <c r="K1104" t="inlineStr">
        <is>
          <t>Collection</t>
        </is>
      </c>
      <c r="L1104" t="n">
        <v>15</v>
      </c>
      <c r="M1104" t="n">
        <v>15</v>
      </c>
      <c r="N1104" t="n">
        <v>22</v>
      </c>
      <c r="O1104" t="inlineStr">
        <is>
          <t>2026-10-05 UTC (WFM pull 02:52-04:00)</t>
        </is>
      </c>
      <c r="P1104" t="inlineStr">
        <is>
          <t>OK</t>
        </is>
      </c>
      <c r="R1104" t="inlineStr">
        <is>
          <t>Every current tradeable mod at MAX RANK (WFM catalogue, rivens/locators excluded)</t>
        </is>
      </c>
      <c r="S1104" t="inlineStr">
        <is>
          <t>persistent_posture</t>
        </is>
      </c>
      <c r="T1104" t="n">
        <v>51</v>
      </c>
      <c r="U1104" t="n">
        <v>2</v>
      </c>
      <c r="V1104" t="n">
        <v>20</v>
      </c>
      <c r="W1104" t="n">
        <v>20</v>
      </c>
      <c r="X1104" t="n">
        <v>19.9</v>
      </c>
      <c r="Y1104" t="n">
        <v>40</v>
      </c>
      <c r="Z1104" t="n">
        <v>5</v>
      </c>
      <c r="AN1104" t="inlineStr">
        <is>
          <t>Stance</t>
        </is>
      </c>
      <c r="AO1104" t="n">
        <v>70</v>
      </c>
      <c r="AP1104" t="n">
        <v>3381</v>
      </c>
      <c r="AQ1104" t="n">
        <v>18</v>
      </c>
      <c r="AS1104" t="inlineStr">
        <is>
          <t>Yes</t>
        </is>
      </c>
    </row>
    <row r="1105">
      <c r="A1105" t="inlineStr">
        <is>
          <t>Mod</t>
        </is>
      </c>
      <c r="B1105" t="inlineStr">
        <is>
          <t>Phoenix Blaze</t>
        </is>
      </c>
      <c r="E1105" t="inlineStr">
        <is>
          <t>Railjack (Battle, Slot 3)</t>
        </is>
      </c>
      <c r="F1105" t="n">
        <v>10</v>
      </c>
      <c r="G1105" t="n">
        <v>1</v>
      </c>
      <c r="H1105" t="inlineStr">
        <is>
          <t>Player trade (max rank)</t>
        </is>
      </c>
      <c r="I1105" t="inlineStr">
        <is>
          <t>Yes</t>
        </is>
      </c>
      <c r="K1105" t="inlineStr">
        <is>
          <t>Collection</t>
        </is>
      </c>
      <c r="L1105" t="n">
        <v>45</v>
      </c>
      <c r="M1105" t="n">
        <v>70</v>
      </c>
      <c r="N1105" t="n">
        <v>88</v>
      </c>
      <c r="O1105" t="inlineStr">
        <is>
          <t>2026-10-05 UTC (WFM pull 02:52-04:00)</t>
        </is>
      </c>
      <c r="P1105" t="inlineStr">
        <is>
          <t>OK</t>
        </is>
      </c>
      <c r="R1105" t="inlineStr">
        <is>
          <t>Every current tradeable mod at MAX RANK (WFM catalogue, rivens/locators excluded)</t>
        </is>
      </c>
      <c r="S1105" t="inlineStr">
        <is>
          <t>phoenix_blaze</t>
        </is>
      </c>
      <c r="T1105" t="n">
        <v>5</v>
      </c>
      <c r="U1105" t="n">
        <v>5</v>
      </c>
      <c r="V1105" t="n">
        <v>60</v>
      </c>
      <c r="W1105" t="n">
        <v>60</v>
      </c>
      <c r="X1105" t="n">
        <v>60.5</v>
      </c>
      <c r="Y1105" t="n">
        <v>11</v>
      </c>
      <c r="Z1105" t="n">
        <v>0</v>
      </c>
      <c r="AN1105" t="inlineStr">
        <is>
          <t>Railjack (Battle, Slot 3)</t>
        </is>
      </c>
      <c r="AO1105" t="n">
        <v>20460</v>
      </c>
      <c r="AP1105" t="n">
        <v>988218</v>
      </c>
      <c r="AQ1105" t="n">
        <v>2</v>
      </c>
      <c r="AS1105" t="inlineStr">
        <is>
          <t>Yes</t>
        </is>
      </c>
    </row>
    <row r="1106">
      <c r="A1106" t="inlineStr">
        <is>
          <t>Mod</t>
        </is>
      </c>
      <c r="B1106" t="inlineStr">
        <is>
          <t>Phoenix Renewal</t>
        </is>
      </c>
      <c r="E1106" t="inlineStr">
        <is>
          <t>Augment Oberon</t>
        </is>
      </c>
      <c r="F1106" t="n">
        <v>3</v>
      </c>
      <c r="G1106" t="n">
        <v>1</v>
      </c>
      <c r="H1106" t="inlineStr">
        <is>
          <t>Player trade (max rank)</t>
        </is>
      </c>
      <c r="I1106" t="inlineStr">
        <is>
          <t>Yes</t>
        </is>
      </c>
      <c r="K1106" t="inlineStr">
        <is>
          <t>Collection</t>
        </is>
      </c>
      <c r="L1106" t="n">
        <v>10</v>
      </c>
      <c r="M1106" t="n">
        <v>15</v>
      </c>
      <c r="N1106" t="n">
        <v>28</v>
      </c>
      <c r="O1106" t="inlineStr">
        <is>
          <t>2026-10-05 UTC (WFM pull 02:52-04:00)</t>
        </is>
      </c>
      <c r="P1106" t="inlineStr">
        <is>
          <t>OK</t>
        </is>
      </c>
      <c r="R1106" t="inlineStr">
        <is>
          <t>Every current tradeable mod at MAX RANK (WFM catalogue, rivens/locators excluded)</t>
        </is>
      </c>
      <c r="S1106" t="inlineStr">
        <is>
          <t>phoenix_renewal</t>
        </is>
      </c>
      <c r="T1106" t="n">
        <v>8</v>
      </c>
      <c r="U1106" t="n">
        <v>8</v>
      </c>
      <c r="V1106" t="n">
        <v>12</v>
      </c>
      <c r="W1106" t="n">
        <v>10</v>
      </c>
      <c r="X1106" t="n">
        <v>10.4</v>
      </c>
      <c r="Y1106" t="n">
        <v>48</v>
      </c>
      <c r="Z1106" t="n">
        <v>0</v>
      </c>
      <c r="AN1106" t="inlineStr">
        <is>
          <t>Augment Oberon</t>
        </is>
      </c>
      <c r="AO1106" t="n">
        <v>210</v>
      </c>
      <c r="AP1106" t="n">
        <v>10143</v>
      </c>
      <c r="AQ1106" t="n">
        <v>10</v>
      </c>
      <c r="AS1106" t="inlineStr">
        <is>
          <t>Yes</t>
        </is>
      </c>
    </row>
    <row r="1107">
      <c r="A1107" t="inlineStr">
        <is>
          <t>Mod</t>
        </is>
      </c>
      <c r="B1107" t="inlineStr">
        <is>
          <t>Photon Overcharge</t>
        </is>
      </c>
      <c r="E1107" t="inlineStr">
        <is>
          <t>Glaxion</t>
        </is>
      </c>
      <c r="F1107" t="n">
        <v>5</v>
      </c>
      <c r="G1107" t="n">
        <v>1</v>
      </c>
      <c r="H1107" t="inlineStr">
        <is>
          <t>Player trade (max rank)</t>
        </is>
      </c>
      <c r="I1107" t="inlineStr">
        <is>
          <t>Yes</t>
        </is>
      </c>
      <c r="K1107" t="inlineStr">
        <is>
          <t>Collection</t>
        </is>
      </c>
      <c r="L1107" t="n">
        <v>35</v>
      </c>
      <c r="M1107" t="n">
        <v>42.8</v>
      </c>
      <c r="N1107" t="n">
        <v>95</v>
      </c>
      <c r="O1107" t="inlineStr">
        <is>
          <t>2026-10-05 UTC (WFM pull 02:52-04:00)</t>
        </is>
      </c>
      <c r="P1107" t="inlineStr">
        <is>
          <t>OK</t>
        </is>
      </c>
      <c r="R1107" t="inlineStr">
        <is>
          <t>Every current tradeable mod at MAX RANK (WFM catalogue, rivens/locators excluded)</t>
        </is>
      </c>
      <c r="S1107" t="inlineStr">
        <is>
          <t>photon_overcharge</t>
        </is>
      </c>
      <c r="T1107" t="n">
        <v>6</v>
      </c>
      <c r="U1107" t="n">
        <v>6</v>
      </c>
      <c r="V1107" t="n">
        <v>28.5</v>
      </c>
      <c r="W1107" t="n">
        <v>21</v>
      </c>
      <c r="X1107" t="n">
        <v>24</v>
      </c>
      <c r="Y1107" t="n">
        <v>381</v>
      </c>
      <c r="Z1107" t="n">
        <v>4</v>
      </c>
      <c r="AN1107" t="inlineStr">
        <is>
          <t>Glaxion</t>
        </is>
      </c>
      <c r="AO1107" t="n">
        <v>930</v>
      </c>
      <c r="AP1107" t="n">
        <v>44919</v>
      </c>
      <c r="AQ1107" t="n">
        <v>15</v>
      </c>
      <c r="AS1107" t="inlineStr">
        <is>
          <t>Yes</t>
        </is>
      </c>
    </row>
    <row r="1108">
      <c r="A1108" t="inlineStr">
        <is>
          <t>Mod</t>
        </is>
      </c>
      <c r="B1108" t="inlineStr">
        <is>
          <t>Photon Repeater</t>
        </is>
      </c>
      <c r="E1108" t="inlineStr">
        <is>
          <t>Augment Vauban</t>
        </is>
      </c>
      <c r="F1108" t="n">
        <v>3</v>
      </c>
      <c r="G1108" t="n">
        <v>1</v>
      </c>
      <c r="H1108" t="inlineStr">
        <is>
          <t>Player trade (max rank)</t>
        </is>
      </c>
      <c r="I1108" t="inlineStr">
        <is>
          <t>Yes</t>
        </is>
      </c>
      <c r="K1108" t="inlineStr">
        <is>
          <t>Collection</t>
        </is>
      </c>
      <c r="L1108" t="n">
        <v>20</v>
      </c>
      <c r="M1108" t="n">
        <v>24.8</v>
      </c>
      <c r="N1108" t="n">
        <v>55</v>
      </c>
      <c r="O1108" t="inlineStr">
        <is>
          <t>2026-10-05 UTC (WFM pull 02:52-04:00)</t>
        </is>
      </c>
      <c r="P1108" t="inlineStr">
        <is>
          <t>OK</t>
        </is>
      </c>
      <c r="R1108" t="inlineStr">
        <is>
          <t>Every current tradeable mod at MAX RANK (WFM catalogue, rivens/locators excluded)</t>
        </is>
      </c>
      <c r="S1108" t="inlineStr">
        <is>
          <t>photon_repeater</t>
        </is>
      </c>
      <c r="T1108" t="n">
        <v>3</v>
      </c>
      <c r="U1108" t="n">
        <v>3</v>
      </c>
      <c r="V1108" t="n">
        <v>16.5</v>
      </c>
      <c r="W1108" t="n">
        <v>17.5</v>
      </c>
      <c r="X1108" t="n">
        <v>17.1</v>
      </c>
      <c r="Y1108" t="n">
        <v>142</v>
      </c>
      <c r="Z1108" t="n">
        <v>0</v>
      </c>
      <c r="AN1108" t="inlineStr">
        <is>
          <t>Augment Vauban</t>
        </is>
      </c>
      <c r="AO1108" t="n">
        <v>210</v>
      </c>
      <c r="AP1108" t="n">
        <v>10143</v>
      </c>
      <c r="AQ1108" t="n">
        <v>21</v>
      </c>
      <c r="AS1108" t="inlineStr">
        <is>
          <t>Yes</t>
        </is>
      </c>
    </row>
    <row r="1109">
      <c r="A1109" t="inlineStr">
        <is>
          <t>Mod</t>
        </is>
      </c>
      <c r="B1109" t="inlineStr">
        <is>
          <t>Physique</t>
        </is>
      </c>
      <c r="E1109" t="inlineStr">
        <is>
          <t>Aura</t>
        </is>
      </c>
      <c r="F1109" t="n">
        <v>5</v>
      </c>
      <c r="G1109" t="n">
        <v>1</v>
      </c>
      <c r="H1109" t="inlineStr">
        <is>
          <t>Player trade (max rank)</t>
        </is>
      </c>
      <c r="I1109" t="inlineStr">
        <is>
          <t>Yes</t>
        </is>
      </c>
      <c r="K1109" t="inlineStr">
        <is>
          <t>Collection</t>
        </is>
      </c>
      <c r="L1109" t="n">
        <v>15</v>
      </c>
      <c r="M1109" t="n">
        <v>15</v>
      </c>
      <c r="N1109" t="n">
        <v>33</v>
      </c>
      <c r="O1109" t="inlineStr">
        <is>
          <t>2026-10-05 UTC (WFM pull 02:52-04:00)</t>
        </is>
      </c>
      <c r="P1109" t="inlineStr">
        <is>
          <t>OK</t>
        </is>
      </c>
      <c r="R1109" t="inlineStr">
        <is>
          <t>Every current tradeable mod at MAX RANK (WFM catalogue, rivens/locators excluded)</t>
        </is>
      </c>
      <c r="S1109" t="inlineStr">
        <is>
          <t>physique</t>
        </is>
      </c>
      <c r="T1109" t="n">
        <v>5</v>
      </c>
      <c r="U1109" t="n">
        <v>5</v>
      </c>
      <c r="V1109" t="n">
        <v>9</v>
      </c>
      <c r="W1109" t="n">
        <v>10</v>
      </c>
      <c r="X1109" t="n">
        <v>10.5</v>
      </c>
      <c r="Y1109" t="n">
        <v>46</v>
      </c>
      <c r="Z1109" t="n">
        <v>0</v>
      </c>
      <c r="AN1109" t="inlineStr">
        <is>
          <t>Aura</t>
        </is>
      </c>
      <c r="AO1109" t="n">
        <v>620</v>
      </c>
      <c r="AP1109" t="n">
        <v>29946</v>
      </c>
      <c r="AQ1109" t="n">
        <v>7.5</v>
      </c>
      <c r="AS1109" t="inlineStr">
        <is>
          <t>Yes</t>
        </is>
      </c>
    </row>
    <row r="1110">
      <c r="A1110" t="inlineStr">
        <is>
          <t>Mod</t>
        </is>
      </c>
      <c r="B1110" t="inlineStr">
        <is>
          <t>Piercing Caliber</t>
        </is>
      </c>
      <c r="E1110" t="inlineStr">
        <is>
          <t>Rifle</t>
        </is>
      </c>
      <c r="F1110" t="n">
        <v>5</v>
      </c>
      <c r="G1110" t="n">
        <v>1</v>
      </c>
      <c r="H1110" t="inlineStr">
        <is>
          <t>Player trade (max rank)</t>
        </is>
      </c>
      <c r="I1110" t="inlineStr">
        <is>
          <t>Yes</t>
        </is>
      </c>
      <c r="K1110" t="inlineStr">
        <is>
          <t>Collection</t>
        </is>
      </c>
      <c r="L1110" t="n">
        <v>30</v>
      </c>
      <c r="M1110" t="n">
        <v>41.2</v>
      </c>
      <c r="N1110" t="n">
        <v>56</v>
      </c>
      <c r="O1110" t="inlineStr">
        <is>
          <t>2026-10-05 UTC (WFM pull 02:52-04:00)</t>
        </is>
      </c>
      <c r="P1110" t="inlineStr">
        <is>
          <t>OK</t>
        </is>
      </c>
      <c r="R1110" t="inlineStr">
        <is>
          <t>Every current tradeable mod at MAX RANK (WFM catalogue, rivens/locators excluded)</t>
        </is>
      </c>
      <c r="S1110" t="inlineStr">
        <is>
          <t>piercing_caliber</t>
        </is>
      </c>
      <c r="T1110" t="n">
        <v>9</v>
      </c>
      <c r="U1110" t="n">
        <v>9</v>
      </c>
      <c r="V1110" t="n">
        <v>27.5</v>
      </c>
      <c r="W1110" t="n">
        <v>25</v>
      </c>
      <c r="X1110" t="n">
        <v>30.3</v>
      </c>
      <c r="Y1110" t="n">
        <v>82</v>
      </c>
      <c r="Z1110" t="n">
        <v>2</v>
      </c>
      <c r="AN1110" t="inlineStr">
        <is>
          <t>Rifle</t>
        </is>
      </c>
      <c r="AO1110" t="n">
        <v>930</v>
      </c>
      <c r="AP1110" t="n">
        <v>44919</v>
      </c>
      <c r="AQ1110" t="n">
        <v>19</v>
      </c>
      <c r="AS1110" t="inlineStr">
        <is>
          <t>Yes</t>
        </is>
      </c>
    </row>
    <row r="1111">
      <c r="A1111" t="inlineStr">
        <is>
          <t>Mod</t>
        </is>
      </c>
      <c r="B1111" t="inlineStr">
        <is>
          <t>Piercing Fury</t>
        </is>
      </c>
      <c r="E1111" t="inlineStr">
        <is>
          <t>Conclave (PvP)</t>
        </is>
      </c>
      <c r="F1111" t="n">
        <v>3</v>
      </c>
      <c r="G1111" t="n">
        <v>1</v>
      </c>
      <c r="H1111" t="inlineStr">
        <is>
          <t>Player trade (max rank)</t>
        </is>
      </c>
      <c r="I1111" t="inlineStr">
        <is>
          <t>Yes</t>
        </is>
      </c>
      <c r="K1111" t="inlineStr">
        <is>
          <t>Collection (PvP)</t>
        </is>
      </c>
      <c r="L1111" t="n">
        <v>50</v>
      </c>
      <c r="M1111" t="n">
        <v>100</v>
      </c>
      <c r="N1111" t="n">
        <v>221</v>
      </c>
      <c r="O1111" t="inlineStr">
        <is>
          <t>2026-10-05 UTC (WFM pull 02:52-04:00)</t>
        </is>
      </c>
      <c r="P1111" t="inlineStr">
        <is>
          <t>OK</t>
        </is>
      </c>
      <c r="R1111" t="inlineStr">
        <is>
          <t>Every current tradeable mod at MAX RANK (WFM catalogue, rivens/locators excluded)</t>
        </is>
      </c>
      <c r="S1111" t="inlineStr">
        <is>
          <t>piercing_fury</t>
        </is>
      </c>
      <c r="T1111" t="n">
        <v>6</v>
      </c>
      <c r="U1111" t="n">
        <v>0</v>
      </c>
      <c r="Y1111" t="n">
        <v>0</v>
      </c>
      <c r="Z1111" t="n">
        <v>0</v>
      </c>
      <c r="AN1111" t="inlineStr">
        <is>
          <t>Conclave (PvP)</t>
        </is>
      </c>
      <c r="AO1111" t="n">
        <v>140</v>
      </c>
      <c r="AP1111" t="n">
        <v>6762</v>
      </c>
      <c r="AQ1111" t="n">
        <v>20</v>
      </c>
      <c r="AS1111" t="inlineStr">
        <is>
          <t>PvP subtotal</t>
        </is>
      </c>
    </row>
    <row r="1112">
      <c r="A1112" t="inlineStr">
        <is>
          <t>Mod</t>
        </is>
      </c>
      <c r="B1112" t="inlineStr">
        <is>
          <t>Piercing Hit</t>
        </is>
      </c>
      <c r="E1112" t="inlineStr">
        <is>
          <t>Rifle</t>
        </is>
      </c>
      <c r="F1112" t="n">
        <v>5</v>
      </c>
      <c r="G1112" t="n">
        <v>1</v>
      </c>
      <c r="H1112" t="inlineStr">
        <is>
          <t>Player trade (max rank)</t>
        </is>
      </c>
      <c r="I1112" t="inlineStr">
        <is>
          <t>Yes</t>
        </is>
      </c>
      <c r="K1112" t="inlineStr">
        <is>
          <t>Collection</t>
        </is>
      </c>
      <c r="L1112" t="n">
        <v>6</v>
      </c>
      <c r="M1112" t="n">
        <v>15</v>
      </c>
      <c r="N1112" t="n">
        <v>33</v>
      </c>
      <c r="O1112" t="inlineStr">
        <is>
          <t>2026-10-05 UTC (WFM pull 02:52-04:00)</t>
        </is>
      </c>
      <c r="P1112" t="inlineStr">
        <is>
          <t>OK</t>
        </is>
      </c>
      <c r="R1112" t="inlineStr">
        <is>
          <t>Every current tradeable mod at MAX RANK (WFM catalogue, rivens/locators excluded)</t>
        </is>
      </c>
      <c r="S1112" t="inlineStr">
        <is>
          <t>piercing_hit</t>
        </is>
      </c>
      <c r="T1112" t="n">
        <v>3</v>
      </c>
      <c r="U1112" t="n">
        <v>3</v>
      </c>
      <c r="W1112" t="n">
        <v>10</v>
      </c>
      <c r="X1112" t="n">
        <v>10</v>
      </c>
      <c r="Y1112" t="n">
        <v>1</v>
      </c>
      <c r="Z1112" t="n">
        <v>0</v>
      </c>
      <c r="AN1112" t="inlineStr">
        <is>
          <t>Rifle</t>
        </is>
      </c>
      <c r="AO1112" t="n">
        <v>310</v>
      </c>
      <c r="AP1112" t="n">
        <v>14973</v>
      </c>
      <c r="AQ1112" t="n">
        <v>2</v>
      </c>
      <c r="AS1112" t="inlineStr">
        <is>
          <t>Yes</t>
        </is>
      </c>
    </row>
    <row r="1113">
      <c r="A1113" t="inlineStr">
        <is>
          <t>Mod</t>
        </is>
      </c>
      <c r="B1113" t="inlineStr">
        <is>
          <t>Piercing Navigator</t>
        </is>
      </c>
      <c r="E1113" t="inlineStr">
        <is>
          <t>Augment Ivara</t>
        </is>
      </c>
      <c r="F1113" t="n">
        <v>3</v>
      </c>
      <c r="G1113" t="n">
        <v>1</v>
      </c>
      <c r="H1113" t="inlineStr">
        <is>
          <t>Player trade (max rank)</t>
        </is>
      </c>
      <c r="I1113" t="inlineStr">
        <is>
          <t>Yes</t>
        </is>
      </c>
      <c r="K1113" t="inlineStr">
        <is>
          <t>Collection</t>
        </is>
      </c>
      <c r="L1113" t="n">
        <v>30</v>
      </c>
      <c r="M1113" t="n">
        <v>30</v>
      </c>
      <c r="N1113" t="n">
        <v>66</v>
      </c>
      <c r="O1113" t="inlineStr">
        <is>
          <t>2026-10-05 UTC (WFM pull 02:52-04:00)</t>
        </is>
      </c>
      <c r="P1113" t="inlineStr">
        <is>
          <t>OK</t>
        </is>
      </c>
      <c r="R1113" t="inlineStr">
        <is>
          <t>Every current tradeable mod at MAX RANK (WFM catalogue, rivens/locators excluded)</t>
        </is>
      </c>
      <c r="S1113" t="inlineStr">
        <is>
          <t>piercing_navigator</t>
        </is>
      </c>
      <c r="T1113" t="n">
        <v>3</v>
      </c>
      <c r="U1113" t="n">
        <v>3</v>
      </c>
      <c r="V1113" t="n">
        <v>14</v>
      </c>
      <c r="W1113" t="n">
        <v>15</v>
      </c>
      <c r="X1113" t="n">
        <v>18.3</v>
      </c>
      <c r="Y1113" t="n">
        <v>21</v>
      </c>
      <c r="Z1113" t="n">
        <v>1</v>
      </c>
      <c r="AN1113" t="inlineStr">
        <is>
          <t>Augment Ivara</t>
        </is>
      </c>
      <c r="AO1113" t="n">
        <v>210</v>
      </c>
      <c r="AP1113" t="n">
        <v>10143</v>
      </c>
      <c r="AQ1113" t="n">
        <v>10</v>
      </c>
      <c r="AS1113" t="inlineStr">
        <is>
          <t>Yes</t>
        </is>
      </c>
    </row>
    <row r="1114">
      <c r="A1114" t="inlineStr">
        <is>
          <t>Mod</t>
        </is>
      </c>
      <c r="B1114" t="inlineStr">
        <is>
          <t>Piercing Roar</t>
        </is>
      </c>
      <c r="E1114" t="inlineStr">
        <is>
          <t>Augment Rhino</t>
        </is>
      </c>
      <c r="F1114" t="n">
        <v>3</v>
      </c>
      <c r="G1114" t="n">
        <v>1</v>
      </c>
      <c r="H1114" t="inlineStr">
        <is>
          <t>Player trade (max rank)</t>
        </is>
      </c>
      <c r="I1114" t="inlineStr">
        <is>
          <t>Yes</t>
        </is>
      </c>
      <c r="K1114" t="inlineStr">
        <is>
          <t>Collection</t>
        </is>
      </c>
      <c r="L1114" t="n">
        <v>19</v>
      </c>
      <c r="M1114" t="n">
        <v>21.8</v>
      </c>
      <c r="N1114" t="n">
        <v>48</v>
      </c>
      <c r="O1114" t="inlineStr">
        <is>
          <t>2026-10-05 UTC (WFM pull 02:52-04:00)</t>
        </is>
      </c>
      <c r="P1114" t="inlineStr">
        <is>
          <t>OK</t>
        </is>
      </c>
      <c r="R1114" t="inlineStr">
        <is>
          <t>Every current tradeable mod at MAX RANK (WFM catalogue, rivens/locators excluded)</t>
        </is>
      </c>
      <c r="S1114" t="inlineStr">
        <is>
          <t>piercing_roar</t>
        </is>
      </c>
      <c r="T1114" t="n">
        <v>4</v>
      </c>
      <c r="U1114" t="n">
        <v>4</v>
      </c>
      <c r="V1114" t="n">
        <v>14.5</v>
      </c>
      <c r="W1114" t="n">
        <v>14.5</v>
      </c>
      <c r="X1114" t="n">
        <v>14.2</v>
      </c>
      <c r="Y1114" t="n">
        <v>195</v>
      </c>
      <c r="Z1114" t="n">
        <v>8</v>
      </c>
      <c r="AN1114" t="inlineStr">
        <is>
          <t>Augment Rhino</t>
        </is>
      </c>
      <c r="AO1114" t="n">
        <v>210</v>
      </c>
      <c r="AP1114" t="n">
        <v>10143</v>
      </c>
      <c r="AQ1114" t="n">
        <v>15</v>
      </c>
      <c r="AS1114" t="inlineStr">
        <is>
          <t>Yes</t>
        </is>
      </c>
    </row>
    <row r="1115">
      <c r="A1115" t="inlineStr">
        <is>
          <t>Mod</t>
        </is>
      </c>
      <c r="B1115" t="inlineStr">
        <is>
          <t>Piercing Step</t>
        </is>
      </c>
      <c r="E1115" t="inlineStr">
        <is>
          <t>Warframe</t>
        </is>
      </c>
      <c r="F1115" t="n">
        <v>5</v>
      </c>
      <c r="G1115" t="n">
        <v>1</v>
      </c>
      <c r="H1115" t="inlineStr">
        <is>
          <t>Player trade (max rank)</t>
        </is>
      </c>
      <c r="I1115" t="inlineStr">
        <is>
          <t>Yes</t>
        </is>
      </c>
      <c r="K1115" t="inlineStr">
        <is>
          <t>Collection</t>
        </is>
      </c>
      <c r="L1115" t="n">
        <v>10</v>
      </c>
      <c r="M1115" t="n">
        <v>30</v>
      </c>
      <c r="N1115" t="n">
        <v>66</v>
      </c>
      <c r="O1115" t="inlineStr">
        <is>
          <t>2026-10-05 UTC (WFM pull 02:52-04:00)</t>
        </is>
      </c>
      <c r="P1115" t="inlineStr">
        <is>
          <t>OK</t>
        </is>
      </c>
      <c r="R1115" t="inlineStr">
        <is>
          <t>Every current tradeable mod at MAX RANK (WFM catalogue, rivens/locators excluded)</t>
        </is>
      </c>
      <c r="S1115" t="inlineStr">
        <is>
          <t>piercing_step</t>
        </is>
      </c>
      <c r="T1115" t="n">
        <v>3</v>
      </c>
      <c r="U1115" t="n">
        <v>3</v>
      </c>
      <c r="W1115" t="n">
        <v>20</v>
      </c>
      <c r="X1115" t="n">
        <v>20</v>
      </c>
      <c r="Y1115" t="n">
        <v>1</v>
      </c>
      <c r="Z1115" t="n">
        <v>0</v>
      </c>
      <c r="AN1115" t="inlineStr">
        <is>
          <t>Warframe</t>
        </is>
      </c>
      <c r="AO1115" t="n">
        <v>620</v>
      </c>
      <c r="AP1115" t="n">
        <v>29946</v>
      </c>
      <c r="AQ1115" t="n">
        <v>5</v>
      </c>
      <c r="AS1115" t="inlineStr">
        <is>
          <t>Yes</t>
        </is>
      </c>
    </row>
    <row r="1116">
      <c r="A1116" t="inlineStr">
        <is>
          <t>Mod</t>
        </is>
      </c>
      <c r="B1116" t="inlineStr">
        <is>
          <t>Pilfering Strangledome</t>
        </is>
      </c>
      <c r="E1116" t="inlineStr">
        <is>
          <t>Augment Khora</t>
        </is>
      </c>
      <c r="F1116" t="n">
        <v>3</v>
      </c>
      <c r="G1116" t="n">
        <v>1</v>
      </c>
      <c r="H1116" t="inlineStr">
        <is>
          <t>Player trade (max rank)</t>
        </is>
      </c>
      <c r="I1116" t="inlineStr">
        <is>
          <t>Yes</t>
        </is>
      </c>
      <c r="K1116" t="inlineStr">
        <is>
          <t>Collection</t>
        </is>
      </c>
      <c r="L1116" t="n">
        <v>15</v>
      </c>
      <c r="M1116" t="n">
        <v>15</v>
      </c>
      <c r="N1116" t="n">
        <v>21</v>
      </c>
      <c r="O1116" t="inlineStr">
        <is>
          <t>2026-10-05 UTC (WFM pull 02:52-04:00)</t>
        </is>
      </c>
      <c r="P1116" t="inlineStr">
        <is>
          <t>OK</t>
        </is>
      </c>
      <c r="R1116" t="inlineStr">
        <is>
          <t>Every current tradeable mod at MAX RANK (WFM catalogue, rivens/locators excluded)</t>
        </is>
      </c>
      <c r="S1116" t="inlineStr">
        <is>
          <t>pilfering_strangledome</t>
        </is>
      </c>
      <c r="T1116" t="n">
        <v>9</v>
      </c>
      <c r="U1116" t="n">
        <v>9</v>
      </c>
      <c r="V1116" t="n">
        <v>10</v>
      </c>
      <c r="W1116" t="n">
        <v>10</v>
      </c>
      <c r="X1116" t="n">
        <v>9.800000000000001</v>
      </c>
      <c r="Y1116" t="n">
        <v>1155</v>
      </c>
      <c r="Z1116" t="n">
        <v>10</v>
      </c>
      <c r="AN1116" t="inlineStr">
        <is>
          <t>Augment Khora</t>
        </is>
      </c>
      <c r="AO1116" t="n">
        <v>210</v>
      </c>
      <c r="AP1116" t="n">
        <v>10143</v>
      </c>
      <c r="AQ1116" t="n">
        <v>10</v>
      </c>
      <c r="AS1116" t="inlineStr">
        <is>
          <t>Yes</t>
        </is>
      </c>
    </row>
    <row r="1117">
      <c r="A1117" t="inlineStr">
        <is>
          <t>Mod</t>
        </is>
      </c>
      <c r="B1117" t="inlineStr">
        <is>
          <t>Pilfering Swarm</t>
        </is>
      </c>
      <c r="E1117" t="inlineStr">
        <is>
          <t>Augment Hydroid</t>
        </is>
      </c>
      <c r="F1117" t="n">
        <v>3</v>
      </c>
      <c r="G1117" t="n">
        <v>1</v>
      </c>
      <c r="H1117" t="inlineStr">
        <is>
          <t>Player trade (max rank)</t>
        </is>
      </c>
      <c r="I1117" t="inlineStr">
        <is>
          <t>Yes</t>
        </is>
      </c>
      <c r="K1117" t="inlineStr">
        <is>
          <t>Collection</t>
        </is>
      </c>
      <c r="L1117" t="n">
        <v>15</v>
      </c>
      <c r="M1117" t="n">
        <v>15</v>
      </c>
      <c r="N1117" t="n">
        <v>33</v>
      </c>
      <c r="O1117" t="inlineStr">
        <is>
          <t>2026-10-05 UTC (WFM pull 02:52-04:00)</t>
        </is>
      </c>
      <c r="P1117" t="inlineStr">
        <is>
          <t>OK</t>
        </is>
      </c>
      <c r="R1117" t="inlineStr">
        <is>
          <t>Every current tradeable mod at MAX RANK (WFM catalogue, rivens/locators excluded)</t>
        </is>
      </c>
      <c r="S1117" t="inlineStr">
        <is>
          <t>pilfering_swarm</t>
        </is>
      </c>
      <c r="T1117" t="n">
        <v>6</v>
      </c>
      <c r="U1117" t="n">
        <v>6</v>
      </c>
      <c r="V1117" t="n">
        <v>10</v>
      </c>
      <c r="W1117" t="n">
        <v>10</v>
      </c>
      <c r="X1117" t="n">
        <v>11.5</v>
      </c>
      <c r="Y1117" t="n">
        <v>460</v>
      </c>
      <c r="Z1117" t="n">
        <v>12</v>
      </c>
      <c r="AN1117" t="inlineStr">
        <is>
          <t>Augment Hydroid</t>
        </is>
      </c>
      <c r="AO1117" t="n">
        <v>210</v>
      </c>
      <c r="AP1117" t="n">
        <v>10143</v>
      </c>
      <c r="AQ1117" t="n">
        <v>10</v>
      </c>
      <c r="AS1117" t="inlineStr">
        <is>
          <t>Yes</t>
        </is>
      </c>
    </row>
    <row r="1118">
      <c r="A1118" t="inlineStr">
        <is>
          <t>Mod</t>
        </is>
      </c>
      <c r="B1118" t="inlineStr">
        <is>
          <t>Pistol Acuity</t>
        </is>
      </c>
      <c r="E1118" t="inlineStr">
        <is>
          <t>Pistol</t>
        </is>
      </c>
      <c r="F1118" t="n">
        <v>10</v>
      </c>
      <c r="G1118" t="n">
        <v>1</v>
      </c>
      <c r="H1118" t="inlineStr">
        <is>
          <t>Player trade (max rank)</t>
        </is>
      </c>
      <c r="I1118" t="inlineStr">
        <is>
          <t>Yes</t>
        </is>
      </c>
      <c r="K1118" t="inlineStr">
        <is>
          <t>Collection</t>
        </is>
      </c>
      <c r="L1118" t="n">
        <v>58</v>
      </c>
      <c r="M1118" t="n">
        <v>60</v>
      </c>
      <c r="N1118" t="n">
        <v>76</v>
      </c>
      <c r="O1118" t="inlineStr">
        <is>
          <t>2026-10-05 UTC (WFM pull 02:52-04:00)</t>
        </is>
      </c>
      <c r="P1118" t="inlineStr">
        <is>
          <t>OK</t>
        </is>
      </c>
      <c r="R1118" t="inlineStr">
        <is>
          <t>Every current tradeable mod at MAX RANK (WFM catalogue, rivens/locators excluded)</t>
        </is>
      </c>
      <c r="S1118" t="inlineStr">
        <is>
          <t>pistol_acuity</t>
        </is>
      </c>
      <c r="T1118" t="n">
        <v>10</v>
      </c>
      <c r="U1118" t="n">
        <v>10</v>
      </c>
      <c r="V1118" t="n">
        <v>54</v>
      </c>
      <c r="W1118" t="n">
        <v>54</v>
      </c>
      <c r="X1118" t="n">
        <v>52.1</v>
      </c>
      <c r="Y1118" t="n">
        <v>593</v>
      </c>
      <c r="Z1118" t="n">
        <v>22</v>
      </c>
      <c r="AA1118" t="n">
        <v>35</v>
      </c>
      <c r="AB1118" t="n">
        <v>23</v>
      </c>
      <c r="AN1118" t="inlineStr">
        <is>
          <t>Pistol</t>
        </is>
      </c>
      <c r="AO1118" t="n">
        <v>30690</v>
      </c>
      <c r="AP1118" t="n">
        <v>1482327</v>
      </c>
      <c r="AQ1118" t="n">
        <v>3</v>
      </c>
      <c r="AS1118" t="inlineStr">
        <is>
          <t>Yes</t>
        </is>
      </c>
    </row>
    <row r="1119">
      <c r="A1119" t="inlineStr">
        <is>
          <t>Mod</t>
        </is>
      </c>
      <c r="B1119" t="inlineStr">
        <is>
          <t>Pistol Ammo Mutation</t>
        </is>
      </c>
      <c r="E1119" t="inlineStr">
        <is>
          <t>Pistol</t>
        </is>
      </c>
      <c r="F1119" t="n">
        <v>5</v>
      </c>
      <c r="G1119" t="n">
        <v>1</v>
      </c>
      <c r="H1119" t="inlineStr">
        <is>
          <t>Player trade (max rank)</t>
        </is>
      </c>
      <c r="I1119" t="inlineStr">
        <is>
          <t>Yes</t>
        </is>
      </c>
      <c r="K1119" t="inlineStr">
        <is>
          <t>Collection</t>
        </is>
      </c>
      <c r="L1119" t="n">
        <v>10</v>
      </c>
      <c r="M1119" t="n">
        <v>12</v>
      </c>
      <c r="N1119" t="n">
        <v>17</v>
      </c>
      <c r="O1119" t="inlineStr">
        <is>
          <t>2026-10-05 UTC (WFM pull 02:52-04:00)</t>
        </is>
      </c>
      <c r="P1119" t="inlineStr">
        <is>
          <t>OK</t>
        </is>
      </c>
      <c r="R1119" t="inlineStr">
        <is>
          <t>Every current tradeable mod at MAX RANK (WFM catalogue, rivens/locators excluded)</t>
        </is>
      </c>
      <c r="S1119" t="inlineStr">
        <is>
          <t>pistol_ammo_mutation</t>
        </is>
      </c>
      <c r="T1119" t="n">
        <v>81</v>
      </c>
      <c r="U1119" t="n">
        <v>1</v>
      </c>
      <c r="V1119" t="n">
        <v>15</v>
      </c>
      <c r="W1119" t="n">
        <v>15</v>
      </c>
      <c r="X1119" t="n">
        <v>15.1</v>
      </c>
      <c r="Y1119" t="n">
        <v>165</v>
      </c>
      <c r="Z1119" t="n">
        <v>1</v>
      </c>
      <c r="AN1119" t="inlineStr">
        <is>
          <t>Pistol</t>
        </is>
      </c>
      <c r="AO1119" t="n">
        <v>930</v>
      </c>
      <c r="AP1119" t="n">
        <v>44919</v>
      </c>
      <c r="AQ1119" t="n">
        <v>9</v>
      </c>
      <c r="AS1119" t="inlineStr">
        <is>
          <t>Yes</t>
        </is>
      </c>
    </row>
    <row r="1120">
      <c r="A1120" t="inlineStr">
        <is>
          <t>Mod</t>
        </is>
      </c>
      <c r="B1120" t="inlineStr">
        <is>
          <t>Pistol Amp</t>
        </is>
      </c>
      <c r="E1120" t="inlineStr">
        <is>
          <t>Aura</t>
        </is>
      </c>
      <c r="F1120" t="n">
        <v>5</v>
      </c>
      <c r="G1120" t="n">
        <v>1</v>
      </c>
      <c r="H1120" t="inlineStr">
        <is>
          <t>Player trade (max rank)</t>
        </is>
      </c>
      <c r="I1120" t="inlineStr">
        <is>
          <t>Yes</t>
        </is>
      </c>
      <c r="K1120" t="inlineStr">
        <is>
          <t>Collection</t>
        </is>
      </c>
      <c r="L1120" t="n">
        <v>14</v>
      </c>
      <c r="M1120" t="n">
        <v>15</v>
      </c>
      <c r="N1120" t="n">
        <v>22</v>
      </c>
      <c r="O1120" t="inlineStr">
        <is>
          <t>2026-10-05 UTC (WFM pull 02:52-04:00)</t>
        </is>
      </c>
      <c r="P1120" t="inlineStr">
        <is>
          <t>OK</t>
        </is>
      </c>
      <c r="R1120" t="inlineStr">
        <is>
          <t>Every current tradeable mod at MAX RANK (WFM catalogue, rivens/locators excluded)</t>
        </is>
      </c>
      <c r="S1120" t="inlineStr">
        <is>
          <t>pistol_amp</t>
        </is>
      </c>
      <c r="T1120" t="n">
        <v>8</v>
      </c>
      <c r="U1120" t="n">
        <v>8</v>
      </c>
      <c r="V1120" t="n">
        <v>10</v>
      </c>
      <c r="W1120" t="n">
        <v>10</v>
      </c>
      <c r="X1120" t="n">
        <v>10.4</v>
      </c>
      <c r="Y1120" t="n">
        <v>316</v>
      </c>
      <c r="Z1120" t="n">
        <v>10</v>
      </c>
      <c r="AN1120" t="inlineStr">
        <is>
          <t>Aura</t>
        </is>
      </c>
      <c r="AO1120" t="n">
        <v>620</v>
      </c>
      <c r="AP1120" t="n">
        <v>29946</v>
      </c>
      <c r="AQ1120" t="n">
        <v>5</v>
      </c>
      <c r="AS1120" t="inlineStr">
        <is>
          <t>Yes</t>
        </is>
      </c>
    </row>
    <row r="1121">
      <c r="A1121" t="inlineStr">
        <is>
          <t>Mod</t>
        </is>
      </c>
      <c r="B1121" t="inlineStr">
        <is>
          <t>Pistol Elementalist</t>
        </is>
      </c>
      <c r="E1121" t="inlineStr">
        <is>
          <t>Pistol</t>
        </is>
      </c>
      <c r="F1121" t="n">
        <v>5</v>
      </c>
      <c r="G1121" t="n">
        <v>1</v>
      </c>
      <c r="H1121" t="inlineStr">
        <is>
          <t>Player trade (max rank)</t>
        </is>
      </c>
      <c r="I1121" t="inlineStr">
        <is>
          <t>Yes</t>
        </is>
      </c>
      <c r="K1121" t="inlineStr">
        <is>
          <t>Collection</t>
        </is>
      </c>
      <c r="L1121" t="n">
        <v>17</v>
      </c>
      <c r="M1121" t="n">
        <v>18</v>
      </c>
      <c r="N1121" t="n">
        <v>22</v>
      </c>
      <c r="O1121" t="inlineStr">
        <is>
          <t>2026-10-05 UTC (WFM pull 02:52-04:00)</t>
        </is>
      </c>
      <c r="P1121" t="inlineStr">
        <is>
          <t>OK</t>
        </is>
      </c>
      <c r="R1121" t="inlineStr">
        <is>
          <t>Every current tradeable mod at MAX RANK (WFM catalogue, rivens/locators excluded)</t>
        </is>
      </c>
      <c r="S1121" t="inlineStr">
        <is>
          <t>pistol_elementalist</t>
        </is>
      </c>
      <c r="T1121" t="n">
        <v>15</v>
      </c>
      <c r="U1121" t="n">
        <v>15</v>
      </c>
      <c r="V1121" t="n">
        <v>14</v>
      </c>
      <c r="W1121" t="n">
        <v>15</v>
      </c>
      <c r="X1121" t="n">
        <v>14.8</v>
      </c>
      <c r="Y1121" t="n">
        <v>1592</v>
      </c>
      <c r="Z1121" t="n">
        <v>23</v>
      </c>
      <c r="AN1121" t="inlineStr">
        <is>
          <t>Pistol</t>
        </is>
      </c>
      <c r="AO1121" t="n">
        <v>620</v>
      </c>
      <c r="AP1121" t="n">
        <v>29946</v>
      </c>
      <c r="AQ1121" t="n">
        <v>10</v>
      </c>
      <c r="AS1121" t="inlineStr">
        <is>
          <t>Yes</t>
        </is>
      </c>
    </row>
    <row r="1122">
      <c r="A1122" t="inlineStr">
        <is>
          <t>Mod</t>
        </is>
      </c>
      <c r="B1122" t="inlineStr">
        <is>
          <t>Pistol Gambit</t>
        </is>
      </c>
      <c r="E1122" t="inlineStr">
        <is>
          <t>Pistol</t>
        </is>
      </c>
      <c r="F1122" t="n">
        <v>5</v>
      </c>
      <c r="G1122" t="n">
        <v>1</v>
      </c>
      <c r="H1122" t="inlineStr">
        <is>
          <t>Player trade (max rank)</t>
        </is>
      </c>
      <c r="I1122" t="inlineStr">
        <is>
          <t>Yes</t>
        </is>
      </c>
      <c r="K1122" t="inlineStr">
        <is>
          <t>Collection</t>
        </is>
      </c>
      <c r="L1122" t="n">
        <v>8</v>
      </c>
      <c r="M1122" t="n">
        <v>12</v>
      </c>
      <c r="N1122" t="n">
        <v>27</v>
      </c>
      <c r="O1122" t="inlineStr">
        <is>
          <t>2026-10-05 UTC (WFM pull 02:52-04:00)</t>
        </is>
      </c>
      <c r="P1122" t="inlineStr">
        <is>
          <t>OK</t>
        </is>
      </c>
      <c r="R1122" t="inlineStr">
        <is>
          <t>Every current tradeable mod at MAX RANK (WFM catalogue, rivens/locators excluded)</t>
        </is>
      </c>
      <c r="S1122" t="inlineStr">
        <is>
          <t>pistol_gambit</t>
        </is>
      </c>
      <c r="T1122" t="n">
        <v>5</v>
      </c>
      <c r="U1122" t="n">
        <v>5</v>
      </c>
      <c r="V1122" t="n">
        <v>8</v>
      </c>
      <c r="W1122" t="n">
        <v>9</v>
      </c>
      <c r="X1122" t="n">
        <v>9.5</v>
      </c>
      <c r="Y1122" t="n">
        <v>23</v>
      </c>
      <c r="Z1122" t="n">
        <v>0</v>
      </c>
      <c r="AN1122" t="inlineStr">
        <is>
          <t>Pistol</t>
        </is>
      </c>
      <c r="AO1122" t="n">
        <v>310</v>
      </c>
      <c r="AP1122" t="n">
        <v>14973</v>
      </c>
      <c r="AQ1122" t="n">
        <v>4.5</v>
      </c>
      <c r="AS1122" t="inlineStr">
        <is>
          <t>Yes</t>
        </is>
      </c>
    </row>
    <row r="1123">
      <c r="A1123" t="inlineStr">
        <is>
          <t>Mod</t>
        </is>
      </c>
      <c r="B1123" t="inlineStr">
        <is>
          <t>Pistol Pestilence</t>
        </is>
      </c>
      <c r="E1123" t="inlineStr">
        <is>
          <t>Pistol</t>
        </is>
      </c>
      <c r="F1123" t="n">
        <v>3</v>
      </c>
      <c r="G1123" t="n">
        <v>1</v>
      </c>
      <c r="H1123" t="inlineStr">
        <is>
          <t>Player trade (max rank)</t>
        </is>
      </c>
      <c r="I1123" t="inlineStr">
        <is>
          <t>Yes</t>
        </is>
      </c>
      <c r="K1123" t="inlineStr">
        <is>
          <t>Collection</t>
        </is>
      </c>
      <c r="L1123" t="n">
        <v>14</v>
      </c>
      <c r="M1123" t="n">
        <v>15</v>
      </c>
      <c r="N1123" t="n">
        <v>22</v>
      </c>
      <c r="O1123" t="inlineStr">
        <is>
          <t>2026-10-05 UTC (WFM pull 02:52-04:00)</t>
        </is>
      </c>
      <c r="P1123" t="inlineStr">
        <is>
          <t>OK</t>
        </is>
      </c>
      <c r="R1123" t="inlineStr">
        <is>
          <t>Every current tradeable mod at MAX RANK (WFM catalogue, rivens/locators excluded)</t>
        </is>
      </c>
      <c r="S1123" t="inlineStr">
        <is>
          <t>pistol_pestilence</t>
        </is>
      </c>
      <c r="T1123" t="n">
        <v>11</v>
      </c>
      <c r="U1123" t="n">
        <v>11</v>
      </c>
      <c r="V1123" t="n">
        <v>12</v>
      </c>
      <c r="W1123" t="n">
        <v>10.5</v>
      </c>
      <c r="X1123" t="n">
        <v>11.3</v>
      </c>
      <c r="Y1123" t="n">
        <v>1488</v>
      </c>
      <c r="Z1123" t="n">
        <v>15</v>
      </c>
      <c r="AN1123" t="inlineStr">
        <is>
          <t>Pistol</t>
        </is>
      </c>
      <c r="AO1123" t="n">
        <v>210</v>
      </c>
      <c r="AP1123" t="n">
        <v>10143</v>
      </c>
      <c r="AQ1123" t="n">
        <v>9</v>
      </c>
      <c r="AS1123" t="inlineStr">
        <is>
          <t>Yes</t>
        </is>
      </c>
    </row>
    <row r="1124">
      <c r="A1124" t="inlineStr">
        <is>
          <t>Mod</t>
        </is>
      </c>
      <c r="B1124" t="inlineStr">
        <is>
          <t>Pistol Scavenger</t>
        </is>
      </c>
      <c r="E1124" t="inlineStr">
        <is>
          <t>Aura</t>
        </is>
      </c>
      <c r="F1124" t="n">
        <v>5</v>
      </c>
      <c r="G1124" t="n">
        <v>1</v>
      </c>
      <c r="H1124" t="inlineStr">
        <is>
          <t>Player trade (max rank)</t>
        </is>
      </c>
      <c r="I1124" t="inlineStr">
        <is>
          <t>Yes</t>
        </is>
      </c>
      <c r="K1124" t="inlineStr">
        <is>
          <t>Collection</t>
        </is>
      </c>
      <c r="L1124" t="n">
        <v>14</v>
      </c>
      <c r="M1124" t="n">
        <v>20</v>
      </c>
      <c r="N1124" t="n">
        <v>22</v>
      </c>
      <c r="O1124" t="inlineStr">
        <is>
          <t>2026-10-05 UTC (WFM pull 02:52-04:00)</t>
        </is>
      </c>
      <c r="P1124" t="inlineStr">
        <is>
          <t>OK</t>
        </is>
      </c>
      <c r="R1124" t="inlineStr">
        <is>
          <t>Every current tradeable mod at MAX RANK (WFM catalogue, rivens/locators excluded)</t>
        </is>
      </c>
      <c r="S1124" t="inlineStr">
        <is>
          <t>pistol_scavenger</t>
        </is>
      </c>
      <c r="T1124" t="n">
        <v>52</v>
      </c>
      <c r="U1124" t="n">
        <v>2</v>
      </c>
      <c r="V1124" t="n">
        <v>18</v>
      </c>
      <c r="W1124" t="n">
        <v>25</v>
      </c>
      <c r="X1124" t="n">
        <v>25.3</v>
      </c>
      <c r="Y1124" t="n">
        <v>66</v>
      </c>
      <c r="Z1124" t="n">
        <v>0</v>
      </c>
      <c r="AN1124" t="inlineStr">
        <is>
          <t>Aura</t>
        </is>
      </c>
      <c r="AO1124" t="n">
        <v>620</v>
      </c>
      <c r="AP1124" t="n">
        <v>29946</v>
      </c>
      <c r="AQ1124" t="n">
        <v>22.5</v>
      </c>
      <c r="AS1124" t="inlineStr">
        <is>
          <t>Yes</t>
        </is>
      </c>
    </row>
    <row r="1125">
      <c r="A1125" t="inlineStr">
        <is>
          <t>Mod</t>
        </is>
      </c>
      <c r="B1125" t="inlineStr">
        <is>
          <t>Plan B</t>
        </is>
      </c>
      <c r="E1125" t="inlineStr">
        <is>
          <t>Conclave (PvP)</t>
        </is>
      </c>
      <c r="F1125" t="n">
        <v>3</v>
      </c>
      <c r="G1125" t="n">
        <v>1</v>
      </c>
      <c r="H1125" t="inlineStr">
        <is>
          <t>Player trade (max rank)</t>
        </is>
      </c>
      <c r="I1125" t="inlineStr">
        <is>
          <t>Yes</t>
        </is>
      </c>
      <c r="K1125" t="inlineStr">
        <is>
          <t>Collection (PvP)</t>
        </is>
      </c>
      <c r="L1125" t="n">
        <v>15</v>
      </c>
      <c r="M1125" t="n">
        <v>15</v>
      </c>
      <c r="N1125" t="n">
        <v>33</v>
      </c>
      <c r="O1125" t="inlineStr">
        <is>
          <t>2026-10-05 UTC (WFM pull 02:52-04:00)</t>
        </is>
      </c>
      <c r="P1125" t="inlineStr">
        <is>
          <t>OK</t>
        </is>
      </c>
      <c r="R1125" t="inlineStr">
        <is>
          <t>Every current tradeable mod at MAX RANK (WFM catalogue, rivens/locators excluded)</t>
        </is>
      </c>
      <c r="S1125" t="inlineStr">
        <is>
          <t>plan_b</t>
        </is>
      </c>
      <c r="T1125" t="n">
        <v>19</v>
      </c>
      <c r="U1125" t="n">
        <v>2</v>
      </c>
      <c r="W1125" t="n">
        <v>10</v>
      </c>
      <c r="X1125" t="n">
        <v>10</v>
      </c>
      <c r="Y1125" t="n">
        <v>1</v>
      </c>
      <c r="Z1125" t="n">
        <v>0</v>
      </c>
      <c r="AN1125" t="inlineStr">
        <is>
          <t>Conclave (PvP)</t>
        </is>
      </c>
      <c r="AO1125" t="n">
        <v>210</v>
      </c>
      <c r="AP1125" t="n">
        <v>10143</v>
      </c>
      <c r="AQ1125" t="n">
        <v>10</v>
      </c>
      <c r="AS1125" t="inlineStr">
        <is>
          <t>PvP subtotal</t>
        </is>
      </c>
    </row>
    <row r="1126">
      <c r="A1126" t="inlineStr">
        <is>
          <t>Mod</t>
        </is>
      </c>
      <c r="B1126" t="inlineStr">
        <is>
          <t>Point Blank</t>
        </is>
      </c>
      <c r="E1126" t="inlineStr">
        <is>
          <t>Shotgun</t>
        </is>
      </c>
      <c r="F1126" t="n">
        <v>5</v>
      </c>
      <c r="G1126" t="n">
        <v>1</v>
      </c>
      <c r="H1126" t="inlineStr">
        <is>
          <t>Player trade (max rank)</t>
        </is>
      </c>
      <c r="I1126" t="inlineStr">
        <is>
          <t>Yes</t>
        </is>
      </c>
      <c r="K1126" t="inlineStr">
        <is>
          <t>Collection</t>
        </is>
      </c>
      <c r="L1126" t="n">
        <v>2</v>
      </c>
      <c r="M1126" t="n">
        <v>9</v>
      </c>
      <c r="N1126" t="n">
        <v>20</v>
      </c>
      <c r="O1126" t="inlineStr">
        <is>
          <t>2026-10-05 UTC (WFM pull 02:52-04:00)</t>
        </is>
      </c>
      <c r="P1126" t="inlineStr">
        <is>
          <t>OK</t>
        </is>
      </c>
      <c r="R1126" t="inlineStr">
        <is>
          <t>Every current tradeable mod at MAX RANK (WFM catalogue, rivens/locators excluded)</t>
        </is>
      </c>
      <c r="S1126" t="inlineStr">
        <is>
          <t>point_blank</t>
        </is>
      </c>
      <c r="T1126" t="n">
        <v>8</v>
      </c>
      <c r="U1126" t="n">
        <v>8</v>
      </c>
      <c r="V1126" t="n">
        <v>10</v>
      </c>
      <c r="W1126" t="n">
        <v>9</v>
      </c>
      <c r="X1126" t="n">
        <v>8.699999999999999</v>
      </c>
      <c r="Y1126" t="n">
        <v>34</v>
      </c>
      <c r="Z1126" t="n">
        <v>0</v>
      </c>
      <c r="AN1126" t="inlineStr">
        <is>
          <t>Shotgun</t>
        </is>
      </c>
      <c r="AO1126" t="n">
        <v>620</v>
      </c>
      <c r="AP1126" t="n">
        <v>29946</v>
      </c>
      <c r="AQ1126" t="n">
        <v>4</v>
      </c>
      <c r="AS1126" t="inlineStr">
        <is>
          <t>Yes</t>
        </is>
      </c>
    </row>
    <row r="1127">
      <c r="A1127" t="inlineStr">
        <is>
          <t>Mod</t>
        </is>
      </c>
      <c r="B1127" t="inlineStr">
        <is>
          <t>Point Strike</t>
        </is>
      </c>
      <c r="E1127" t="inlineStr">
        <is>
          <t>Rifle</t>
        </is>
      </c>
      <c r="F1127" t="n">
        <v>5</v>
      </c>
      <c r="G1127" t="n">
        <v>1</v>
      </c>
      <c r="H1127" t="inlineStr">
        <is>
          <t>Player trade (max rank)</t>
        </is>
      </c>
      <c r="I1127" t="inlineStr">
        <is>
          <t>Yes</t>
        </is>
      </c>
      <c r="K1127" t="inlineStr">
        <is>
          <t>Collection</t>
        </is>
      </c>
      <c r="L1127" t="n">
        <v>8</v>
      </c>
      <c r="M1127" t="n">
        <v>9</v>
      </c>
      <c r="N1127" t="n">
        <v>20</v>
      </c>
      <c r="O1127" t="inlineStr">
        <is>
          <t>2026-10-05 UTC (WFM pull 02:52-04:00)</t>
        </is>
      </c>
      <c r="P1127" t="inlineStr">
        <is>
          <t>OK</t>
        </is>
      </c>
      <c r="R1127" t="inlineStr">
        <is>
          <t>Every current tradeable mod at MAX RANK (WFM catalogue, rivens/locators excluded)</t>
        </is>
      </c>
      <c r="S1127" t="inlineStr">
        <is>
          <t>point_strike</t>
        </is>
      </c>
      <c r="T1127" t="n">
        <v>7</v>
      </c>
      <c r="U1127" t="n">
        <v>7</v>
      </c>
      <c r="V1127" t="n">
        <v>8</v>
      </c>
      <c r="W1127" t="n">
        <v>8</v>
      </c>
      <c r="X1127" t="n">
        <v>7.9</v>
      </c>
      <c r="Y1127" t="n">
        <v>27</v>
      </c>
      <c r="Z1127" t="n">
        <v>0</v>
      </c>
      <c r="AN1127" t="inlineStr">
        <is>
          <t>Rifle</t>
        </is>
      </c>
      <c r="AO1127" t="n">
        <v>310</v>
      </c>
      <c r="AP1127" t="n">
        <v>14973</v>
      </c>
      <c r="AQ1127" t="n">
        <v>4.5</v>
      </c>
      <c r="AS1127" t="inlineStr">
        <is>
          <t>Yes</t>
        </is>
      </c>
    </row>
    <row r="1128">
      <c r="A1128" t="inlineStr">
        <is>
          <t>Mod</t>
        </is>
      </c>
      <c r="B1128" t="inlineStr">
        <is>
          <t>Pointed Wind</t>
        </is>
      </c>
      <c r="E1128" t="inlineStr">
        <is>
          <t>Stance</t>
        </is>
      </c>
      <c r="F1128" t="n">
        <v>3</v>
      </c>
      <c r="G1128" t="n">
        <v>1</v>
      </c>
      <c r="H1128" t="inlineStr">
        <is>
          <t>Player trade (max rank)</t>
        </is>
      </c>
      <c r="I1128" t="inlineStr">
        <is>
          <t>Yes</t>
        </is>
      </c>
      <c r="K1128" t="inlineStr">
        <is>
          <t>Collection</t>
        </is>
      </c>
      <c r="L1128" t="n">
        <v>10</v>
      </c>
      <c r="M1128" t="n">
        <v>14.2</v>
      </c>
      <c r="N1128" t="n">
        <v>32</v>
      </c>
      <c r="O1128" t="inlineStr">
        <is>
          <t>2026-10-05 UTC (WFM pull 02:52-04:00)</t>
        </is>
      </c>
      <c r="P1128" t="inlineStr">
        <is>
          <t>OK</t>
        </is>
      </c>
      <c r="R1128" t="inlineStr">
        <is>
          <t>Every current tradeable mod at MAX RANK (WFM catalogue, rivens/locators excluded)</t>
        </is>
      </c>
      <c r="S1128" t="inlineStr">
        <is>
          <t>pointed_wind</t>
        </is>
      </c>
      <c r="T1128" t="n">
        <v>4</v>
      </c>
      <c r="U1128" t="n">
        <v>4</v>
      </c>
      <c r="V1128" t="n">
        <v>9.5</v>
      </c>
      <c r="W1128" t="n">
        <v>10</v>
      </c>
      <c r="X1128" t="n">
        <v>10.4</v>
      </c>
      <c r="Y1128" t="n">
        <v>129</v>
      </c>
      <c r="Z1128" t="n">
        <v>0</v>
      </c>
      <c r="AN1128" t="inlineStr">
        <is>
          <t>Stance</t>
        </is>
      </c>
      <c r="AO1128" t="n">
        <v>210</v>
      </c>
      <c r="AP1128" t="n">
        <v>10143</v>
      </c>
      <c r="AQ1128" t="n">
        <v>9</v>
      </c>
      <c r="AS1128" t="inlineStr">
        <is>
          <t>Yes</t>
        </is>
      </c>
    </row>
    <row r="1129">
      <c r="A1129" t="inlineStr">
        <is>
          <t>Mod</t>
        </is>
      </c>
      <c r="B1129" t="inlineStr">
        <is>
          <t>Poisonous Sting</t>
        </is>
      </c>
      <c r="E1129" t="inlineStr">
        <is>
          <t>Archmelee</t>
        </is>
      </c>
      <c r="F1129" t="n">
        <v>5</v>
      </c>
      <c r="G1129" t="n">
        <v>1</v>
      </c>
      <c r="H1129" t="inlineStr">
        <is>
          <t>Player trade (max rank)</t>
        </is>
      </c>
      <c r="I1129" t="inlineStr">
        <is>
          <t>Yes</t>
        </is>
      </c>
      <c r="K1129" t="inlineStr">
        <is>
          <t>Collection</t>
        </is>
      </c>
      <c r="L1129" t="n">
        <v>20</v>
      </c>
      <c r="M1129" t="n">
        <v>22.5</v>
      </c>
      <c r="N1129" t="n">
        <v>50</v>
      </c>
      <c r="O1129" t="inlineStr">
        <is>
          <t>2026-10-05 UTC (WFM pull 02:52-04:00)</t>
        </is>
      </c>
      <c r="P1129" t="inlineStr">
        <is>
          <t>OK</t>
        </is>
      </c>
      <c r="R1129" t="inlineStr">
        <is>
          <t>Every current tradeable mod at MAX RANK (WFM catalogue, rivens/locators excluded)</t>
        </is>
      </c>
      <c r="S1129" t="inlineStr">
        <is>
          <t>poisonous_sting</t>
        </is>
      </c>
      <c r="T1129" t="n">
        <v>3</v>
      </c>
      <c r="U1129" t="n">
        <v>3</v>
      </c>
      <c r="V1129" t="n">
        <v>15</v>
      </c>
      <c r="W1129" t="n">
        <v>10</v>
      </c>
      <c r="X1129" t="n">
        <v>11.6</v>
      </c>
      <c r="Y1129" t="n">
        <v>11</v>
      </c>
      <c r="Z1129" t="n">
        <v>0</v>
      </c>
      <c r="AN1129" t="inlineStr">
        <is>
          <t>Archmelee</t>
        </is>
      </c>
      <c r="AO1129" t="n">
        <v>620</v>
      </c>
      <c r="AP1129" t="n">
        <v>29946</v>
      </c>
      <c r="AQ1129" t="n">
        <v>6</v>
      </c>
      <c r="AS1129" t="inlineStr">
        <is>
          <t>Yes</t>
        </is>
      </c>
    </row>
    <row r="1130">
      <c r="A1130" t="inlineStr">
        <is>
          <t>Mod</t>
        </is>
      </c>
      <c r="B1130" t="inlineStr">
        <is>
          <t>Polar Magazine</t>
        </is>
      </c>
      <c r="E1130" t="inlineStr">
        <is>
          <t>Archgun</t>
        </is>
      </c>
      <c r="F1130" t="n">
        <v>5</v>
      </c>
      <c r="G1130" t="n">
        <v>1</v>
      </c>
      <c r="H1130" t="inlineStr">
        <is>
          <t>Player trade (max rank)</t>
        </is>
      </c>
      <c r="I1130" t="inlineStr">
        <is>
          <t>Yes</t>
        </is>
      </c>
      <c r="K1130" t="inlineStr">
        <is>
          <t>Collection</t>
        </is>
      </c>
      <c r="L1130" t="n">
        <v>9</v>
      </c>
      <c r="M1130" t="n">
        <v>10</v>
      </c>
      <c r="N1130" t="n">
        <v>22</v>
      </c>
      <c r="O1130" t="inlineStr">
        <is>
          <t>2026-10-05 UTC (WFM pull 02:52-04:00)</t>
        </is>
      </c>
      <c r="P1130" t="inlineStr">
        <is>
          <t>OK</t>
        </is>
      </c>
      <c r="R1130" t="inlineStr">
        <is>
          <t>Every current tradeable mod at MAX RANK (WFM catalogue, rivens/locators excluded)</t>
        </is>
      </c>
      <c r="S1130" t="inlineStr">
        <is>
          <t>polar_magazine</t>
        </is>
      </c>
      <c r="T1130" t="n">
        <v>7</v>
      </c>
      <c r="U1130" t="n">
        <v>7</v>
      </c>
      <c r="V1130" t="n">
        <v>12</v>
      </c>
      <c r="W1130" t="n">
        <v>10</v>
      </c>
      <c r="X1130" t="n">
        <v>10.2</v>
      </c>
      <c r="Y1130" t="n">
        <v>38</v>
      </c>
      <c r="Z1130" t="n">
        <v>1</v>
      </c>
      <c r="AN1130" t="inlineStr">
        <is>
          <t>Archgun</t>
        </is>
      </c>
      <c r="AO1130" t="n">
        <v>620</v>
      </c>
      <c r="AP1130" t="n">
        <v>29946</v>
      </c>
      <c r="AQ1130" t="n">
        <v>4</v>
      </c>
      <c r="AS1130" t="inlineStr">
        <is>
          <t>Yes</t>
        </is>
      </c>
    </row>
    <row r="1131">
      <c r="A1131" t="inlineStr">
        <is>
          <t>Mod</t>
        </is>
      </c>
      <c r="B1131" t="inlineStr">
        <is>
          <t>Pool Of Life</t>
        </is>
      </c>
      <c r="E1131" t="inlineStr">
        <is>
          <t>Augment Trinity</t>
        </is>
      </c>
      <c r="F1131" t="n">
        <v>3</v>
      </c>
      <c r="G1131" t="n">
        <v>1</v>
      </c>
      <c r="H1131" t="inlineStr">
        <is>
          <t>Player trade (max rank)</t>
        </is>
      </c>
      <c r="I1131" t="inlineStr">
        <is>
          <t>Yes</t>
        </is>
      </c>
      <c r="K1131" t="inlineStr">
        <is>
          <t>Collection</t>
        </is>
      </c>
      <c r="L1131" t="n">
        <v>13</v>
      </c>
      <c r="M1131" t="n">
        <v>15</v>
      </c>
      <c r="N1131" t="n">
        <v>19</v>
      </c>
      <c r="O1131" t="inlineStr">
        <is>
          <t>2026-10-05 UTC (WFM pull 02:52-04:00)</t>
        </is>
      </c>
      <c r="P1131" t="inlineStr">
        <is>
          <t>OK</t>
        </is>
      </c>
      <c r="R1131" t="inlineStr">
        <is>
          <t>Every current tradeable mod at MAX RANK (WFM catalogue, rivens/locators excluded)</t>
        </is>
      </c>
      <c r="S1131" t="inlineStr">
        <is>
          <t>pool_of_life</t>
        </is>
      </c>
      <c r="T1131" t="n">
        <v>44</v>
      </c>
      <c r="U1131" t="n">
        <v>1</v>
      </c>
      <c r="V1131" t="n">
        <v>13</v>
      </c>
      <c r="W1131" t="n">
        <v>11</v>
      </c>
      <c r="X1131" t="n">
        <v>13.2</v>
      </c>
      <c r="Y1131" t="n">
        <v>39</v>
      </c>
      <c r="Z1131" t="n">
        <v>0</v>
      </c>
      <c r="AN1131" t="inlineStr">
        <is>
          <t>Augment Trinity</t>
        </is>
      </c>
      <c r="AO1131" t="n">
        <v>210</v>
      </c>
      <c r="AP1131" t="n">
        <v>10143</v>
      </c>
      <c r="AQ1131" t="n">
        <v>17</v>
      </c>
      <c r="AS1131" t="inlineStr">
        <is>
          <t>Yes</t>
        </is>
      </c>
    </row>
    <row r="1132">
      <c r="A1132" t="inlineStr">
        <is>
          <t>Mod</t>
        </is>
      </c>
      <c r="B1132" t="inlineStr">
        <is>
          <t>Pop Top</t>
        </is>
      </c>
      <c r="E1132" t="inlineStr">
        <is>
          <t>K-Drive</t>
        </is>
      </c>
      <c r="F1132" t="n">
        <v>5</v>
      </c>
      <c r="G1132" t="n">
        <v>1</v>
      </c>
      <c r="H1132" t="inlineStr">
        <is>
          <t>Player trade (max rank)</t>
        </is>
      </c>
      <c r="I1132" t="inlineStr">
        <is>
          <t>Yes</t>
        </is>
      </c>
      <c r="K1132" t="inlineStr">
        <is>
          <t>Collection</t>
        </is>
      </c>
      <c r="L1132" t="n">
        <v>17</v>
      </c>
      <c r="M1132" t="n">
        <v>30</v>
      </c>
      <c r="N1132" t="n">
        <v>33</v>
      </c>
      <c r="O1132" t="inlineStr">
        <is>
          <t>2026-10-05 UTC (WFM pull 02:52-04:00)</t>
        </is>
      </c>
      <c r="P1132" t="inlineStr">
        <is>
          <t>OK</t>
        </is>
      </c>
      <c r="R1132" t="inlineStr">
        <is>
          <t>Every current tradeable mod at MAX RANK (WFM catalogue, rivens/locators excluded)</t>
        </is>
      </c>
      <c r="S1132" t="inlineStr">
        <is>
          <t>pop_top</t>
        </is>
      </c>
      <c r="T1132" t="n">
        <v>24</v>
      </c>
      <c r="U1132" t="n">
        <v>1</v>
      </c>
      <c r="W1132" t="n">
        <v>40</v>
      </c>
      <c r="X1132" t="n">
        <v>33.3</v>
      </c>
      <c r="Y1132" t="n">
        <v>3</v>
      </c>
      <c r="Z1132" t="n">
        <v>0</v>
      </c>
      <c r="AN1132" t="inlineStr">
        <is>
          <t>K-Drive</t>
        </is>
      </c>
      <c r="AO1132" t="n">
        <v>620</v>
      </c>
      <c r="AP1132" t="n">
        <v>29946</v>
      </c>
      <c r="AQ1132" t="n">
        <v>20</v>
      </c>
      <c r="AS1132" t="inlineStr">
        <is>
          <t>Yes</t>
        </is>
      </c>
    </row>
    <row r="1133">
      <c r="A1133" t="inlineStr">
        <is>
          <t>Mod</t>
        </is>
      </c>
      <c r="B1133" t="inlineStr">
        <is>
          <t>Poppin' Vert</t>
        </is>
      </c>
      <c r="E1133" t="inlineStr">
        <is>
          <t>K-Drive</t>
        </is>
      </c>
      <c r="F1133" t="n">
        <v>3</v>
      </c>
      <c r="G1133" t="n">
        <v>1</v>
      </c>
      <c r="H1133" t="inlineStr">
        <is>
          <t>Player trade (max rank)</t>
        </is>
      </c>
      <c r="I1133" t="inlineStr">
        <is>
          <t>Yes</t>
        </is>
      </c>
      <c r="K1133" t="inlineStr">
        <is>
          <t>Collection</t>
        </is>
      </c>
      <c r="L1133" t="n">
        <v>18</v>
      </c>
      <c r="M1133" t="n">
        <v>22.5</v>
      </c>
      <c r="N1133" t="n">
        <v>28</v>
      </c>
      <c r="O1133" t="inlineStr">
        <is>
          <t>2026-10-05 UTC (WFM pull 02:52-04:00)</t>
        </is>
      </c>
      <c r="P1133" t="inlineStr">
        <is>
          <t>OK</t>
        </is>
      </c>
      <c r="R1133" t="inlineStr">
        <is>
          <t>Every current tradeable mod at MAX RANK (WFM catalogue, rivens/locators excluded)</t>
        </is>
      </c>
      <c r="S1133" t="inlineStr">
        <is>
          <t>poppin_vert</t>
        </is>
      </c>
      <c r="T1133" t="n">
        <v>32</v>
      </c>
      <c r="U1133" t="n">
        <v>1</v>
      </c>
      <c r="V1133" t="n">
        <v>15</v>
      </c>
      <c r="W1133" t="n">
        <v>25</v>
      </c>
      <c r="X1133" t="n">
        <v>30</v>
      </c>
      <c r="Y1133" t="n">
        <v>4</v>
      </c>
      <c r="Z1133" t="n">
        <v>0</v>
      </c>
      <c r="AN1133" t="inlineStr">
        <is>
          <t>K-Drive</t>
        </is>
      </c>
      <c r="AO1133" t="n">
        <v>210</v>
      </c>
      <c r="AP1133" t="n">
        <v>10143</v>
      </c>
      <c r="AQ1133" t="n">
        <v>22.5</v>
      </c>
      <c r="AS1133" t="inlineStr">
        <is>
          <t>Yes</t>
        </is>
      </c>
    </row>
    <row r="1134">
      <c r="A1134" t="inlineStr">
        <is>
          <t>Mod</t>
        </is>
      </c>
      <c r="B1134" t="inlineStr">
        <is>
          <t>Pounce</t>
        </is>
      </c>
      <c r="E1134" t="inlineStr">
        <is>
          <t>Kavat</t>
        </is>
      </c>
      <c r="F1134" t="n">
        <v>3</v>
      </c>
      <c r="G1134" t="n">
        <v>1</v>
      </c>
      <c r="H1134" t="inlineStr">
        <is>
          <t>Player trade (max rank)</t>
        </is>
      </c>
      <c r="I1134" t="inlineStr">
        <is>
          <t>Yes</t>
        </is>
      </c>
      <c r="K1134" t="inlineStr">
        <is>
          <t>Collection</t>
        </is>
      </c>
      <c r="L1134" t="n">
        <v>6</v>
      </c>
      <c r="M1134" t="n">
        <v>9</v>
      </c>
      <c r="N1134" t="n">
        <v>10</v>
      </c>
      <c r="O1134" t="inlineStr">
        <is>
          <t>2026-10-05 UTC (WFM pull 02:52-04:00)</t>
        </is>
      </c>
      <c r="P1134" t="inlineStr">
        <is>
          <t>OK</t>
        </is>
      </c>
      <c r="R1134" t="inlineStr">
        <is>
          <t>Every current tradeable mod at MAX RANK (WFM catalogue, rivens/locators excluded)</t>
        </is>
      </c>
      <c r="S1134" t="inlineStr">
        <is>
          <t>pounce</t>
        </is>
      </c>
      <c r="T1134" t="n">
        <v>58</v>
      </c>
      <c r="U1134" t="n">
        <v>2</v>
      </c>
      <c r="V1134" t="n">
        <v>9</v>
      </c>
      <c r="W1134" t="n">
        <v>9</v>
      </c>
      <c r="X1134" t="n">
        <v>8</v>
      </c>
      <c r="Y1134" t="n">
        <v>9</v>
      </c>
      <c r="Z1134" t="n">
        <v>0</v>
      </c>
      <c r="AN1134" t="inlineStr">
        <is>
          <t>Kavat</t>
        </is>
      </c>
      <c r="AO1134" t="n">
        <v>140</v>
      </c>
      <c r="AP1134" t="n">
        <v>6762</v>
      </c>
      <c r="AQ1134" t="n">
        <v>4.5</v>
      </c>
      <c r="AS1134" t="inlineStr">
        <is>
          <t>Yes</t>
        </is>
      </c>
    </row>
    <row r="1135">
      <c r="A1135" t="inlineStr">
        <is>
          <t>Mod</t>
        </is>
      </c>
      <c r="B1135" t="inlineStr">
        <is>
          <t>Power Donation</t>
        </is>
      </c>
      <c r="E1135" t="inlineStr">
        <is>
          <t>Aura</t>
        </is>
      </c>
      <c r="F1135" t="n">
        <v>5</v>
      </c>
      <c r="G1135" t="n">
        <v>1</v>
      </c>
      <c r="H1135" t="inlineStr">
        <is>
          <t>Player trade (max rank)</t>
        </is>
      </c>
      <c r="I1135" t="inlineStr">
        <is>
          <t>Yes</t>
        </is>
      </c>
      <c r="K1135" t="inlineStr">
        <is>
          <t>Collection</t>
        </is>
      </c>
      <c r="L1135" t="n">
        <v>15</v>
      </c>
      <c r="M1135" t="n">
        <v>20</v>
      </c>
      <c r="N1135" t="n">
        <v>44</v>
      </c>
      <c r="O1135" t="inlineStr">
        <is>
          <t>2026-10-05 UTC (WFM pull 02:52-04:00)</t>
        </is>
      </c>
      <c r="P1135" t="inlineStr">
        <is>
          <t>OK</t>
        </is>
      </c>
      <c r="R1135" t="inlineStr">
        <is>
          <t>Every current tradeable mod at MAX RANK (WFM catalogue, rivens/locators excluded)</t>
        </is>
      </c>
      <c r="S1135" t="inlineStr">
        <is>
          <t>power_donation</t>
        </is>
      </c>
      <c r="T1135" t="n">
        <v>8</v>
      </c>
      <c r="U1135" t="n">
        <v>8</v>
      </c>
      <c r="V1135" t="n">
        <v>15</v>
      </c>
      <c r="W1135" t="n">
        <v>15</v>
      </c>
      <c r="X1135" t="n">
        <v>15.5</v>
      </c>
      <c r="Y1135" t="n">
        <v>240</v>
      </c>
      <c r="Z1135" t="n">
        <v>4</v>
      </c>
      <c r="AN1135" t="inlineStr">
        <is>
          <t>Aura</t>
        </is>
      </c>
      <c r="AO1135" t="n">
        <v>930</v>
      </c>
      <c r="AP1135" t="n">
        <v>44919</v>
      </c>
      <c r="AQ1135" t="n">
        <v>10</v>
      </c>
      <c r="AS1135" t="inlineStr">
        <is>
          <t>Yes</t>
        </is>
      </c>
    </row>
    <row r="1136">
      <c r="A1136" t="inlineStr">
        <is>
          <t>Mod</t>
        </is>
      </c>
      <c r="B1136" t="inlineStr">
        <is>
          <t>Power Drain</t>
        </is>
      </c>
      <c r="E1136" t="inlineStr">
        <is>
          <t>Parazon</t>
        </is>
      </c>
      <c r="G1136" t="n">
        <v>1</v>
      </c>
      <c r="H1136" t="inlineStr">
        <is>
          <t>Player trade (max rank)</t>
        </is>
      </c>
      <c r="I1136" t="inlineStr">
        <is>
          <t>Yes</t>
        </is>
      </c>
      <c r="K1136" t="inlineStr">
        <is>
          <t>Collection</t>
        </is>
      </c>
      <c r="L1136" t="n">
        <v>19</v>
      </c>
      <c r="M1136" t="n">
        <v>24.8</v>
      </c>
      <c r="N1136" t="n">
        <v>55</v>
      </c>
      <c r="O1136" t="inlineStr">
        <is>
          <t>2026-10-05 UTC (WFM pull 02:52-04:00)</t>
        </is>
      </c>
      <c r="P1136" t="inlineStr">
        <is>
          <t>OK</t>
        </is>
      </c>
      <c r="R1136" t="inlineStr">
        <is>
          <t>Every current tradeable mod at MAX RANK (WFM catalogue, rivens/locators excluded)</t>
        </is>
      </c>
      <c r="S1136" t="inlineStr">
        <is>
          <t>power_drain</t>
        </is>
      </c>
      <c r="T1136" t="n">
        <v>7</v>
      </c>
      <c r="U1136" t="n">
        <v>7</v>
      </c>
      <c r="V1136" t="n">
        <v>16.5</v>
      </c>
      <c r="W1136" t="n">
        <v>15</v>
      </c>
      <c r="X1136" t="n">
        <v>16</v>
      </c>
      <c r="Y1136" t="n">
        <v>488</v>
      </c>
      <c r="Z1136" t="n">
        <v>10</v>
      </c>
      <c r="AA1136" t="n">
        <v>2</v>
      </c>
      <c r="AB1136" t="n">
        <v>17</v>
      </c>
      <c r="AN1136" t="inlineStr">
        <is>
          <t>Parazon</t>
        </is>
      </c>
      <c r="AO1136" t="n">
        <v>0</v>
      </c>
      <c r="AP1136" t="n">
        <v>0</v>
      </c>
      <c r="AS1136" t="inlineStr">
        <is>
          <t>Yes</t>
        </is>
      </c>
    </row>
    <row r="1137">
      <c r="A1137" t="inlineStr">
        <is>
          <t>Mod</t>
        </is>
      </c>
      <c r="B1137" t="inlineStr">
        <is>
          <t>Power Drift</t>
        </is>
      </c>
      <c r="E1137" t="inlineStr">
        <is>
          <t>Warframe</t>
        </is>
      </c>
      <c r="F1137" t="n">
        <v>5</v>
      </c>
      <c r="G1137" t="n">
        <v>1</v>
      </c>
      <c r="H1137" t="inlineStr">
        <is>
          <t>Player trade (max rank)</t>
        </is>
      </c>
      <c r="I1137" t="inlineStr">
        <is>
          <t>Yes</t>
        </is>
      </c>
      <c r="K1137" t="inlineStr">
        <is>
          <t>Collection</t>
        </is>
      </c>
      <c r="L1137" t="n">
        <v>10</v>
      </c>
      <c r="M1137" t="n">
        <v>14</v>
      </c>
      <c r="N1137" t="n">
        <v>17</v>
      </c>
      <c r="O1137" t="inlineStr">
        <is>
          <t>2026-10-05 UTC (WFM pull 02:52-04:00)</t>
        </is>
      </c>
      <c r="P1137" t="inlineStr">
        <is>
          <t>OK</t>
        </is>
      </c>
      <c r="R1137" t="inlineStr">
        <is>
          <t>Every current tradeable mod at MAX RANK (WFM catalogue, rivens/locators excluded)</t>
        </is>
      </c>
      <c r="S1137" t="inlineStr">
        <is>
          <t>power_drift</t>
        </is>
      </c>
      <c r="T1137" t="n">
        <v>21</v>
      </c>
      <c r="U1137" t="n">
        <v>21</v>
      </c>
      <c r="V1137" t="n">
        <v>10</v>
      </c>
      <c r="W1137" t="n">
        <v>10</v>
      </c>
      <c r="X1137" t="n">
        <v>10.8</v>
      </c>
      <c r="Y1137" t="n">
        <v>2623</v>
      </c>
      <c r="Z1137" t="n">
        <v>34</v>
      </c>
      <c r="AN1137" t="inlineStr">
        <is>
          <t>Warframe</t>
        </is>
      </c>
      <c r="AO1137" t="n">
        <v>930</v>
      </c>
      <c r="AP1137" t="n">
        <v>44919</v>
      </c>
      <c r="AQ1137" t="n">
        <v>6</v>
      </c>
      <c r="AS1137" t="inlineStr">
        <is>
          <t>Yes</t>
        </is>
      </c>
    </row>
    <row r="1138">
      <c r="A1138" t="inlineStr">
        <is>
          <t>Mod</t>
        </is>
      </c>
      <c r="B1138" t="inlineStr">
        <is>
          <t>Power Of Three</t>
        </is>
      </c>
      <c r="E1138" t="inlineStr">
        <is>
          <t>Augment Ivara</t>
        </is>
      </c>
      <c r="F1138" t="n">
        <v>3</v>
      </c>
      <c r="G1138" t="n">
        <v>1</v>
      </c>
      <c r="H1138" t="inlineStr">
        <is>
          <t>Player trade (max rank)</t>
        </is>
      </c>
      <c r="I1138" t="inlineStr">
        <is>
          <t>Yes</t>
        </is>
      </c>
      <c r="K1138" t="inlineStr">
        <is>
          <t>Collection</t>
        </is>
      </c>
      <c r="L1138" t="n">
        <v>15</v>
      </c>
      <c r="M1138" t="n">
        <v>16.5</v>
      </c>
      <c r="N1138" t="n">
        <v>37</v>
      </c>
      <c r="O1138" t="inlineStr">
        <is>
          <t>2026-10-05 UTC (WFM pull 02:52-04:00)</t>
        </is>
      </c>
      <c r="P1138" t="inlineStr">
        <is>
          <t>OK</t>
        </is>
      </c>
      <c r="R1138" t="inlineStr">
        <is>
          <t>Every current tradeable mod at MAX RANK (WFM catalogue, rivens/locators excluded)</t>
        </is>
      </c>
      <c r="S1138" t="inlineStr">
        <is>
          <t>power_of_three</t>
        </is>
      </c>
      <c r="T1138" t="n">
        <v>5</v>
      </c>
      <c r="U1138" t="n">
        <v>5</v>
      </c>
      <c r="V1138" t="n">
        <v>11</v>
      </c>
      <c r="W1138" t="n">
        <v>10</v>
      </c>
      <c r="X1138" t="n">
        <v>10.8</v>
      </c>
      <c r="Y1138" t="n">
        <v>22</v>
      </c>
      <c r="Z1138" t="n">
        <v>0</v>
      </c>
      <c r="AN1138" t="inlineStr">
        <is>
          <t>Augment Ivara</t>
        </is>
      </c>
      <c r="AO1138" t="n">
        <v>210</v>
      </c>
      <c r="AP1138" t="n">
        <v>10143</v>
      </c>
      <c r="AQ1138" t="n">
        <v>9</v>
      </c>
      <c r="AS1138" t="inlineStr">
        <is>
          <t>Yes</t>
        </is>
      </c>
    </row>
    <row r="1139">
      <c r="A1139" t="inlineStr">
        <is>
          <t>Mod</t>
        </is>
      </c>
      <c r="B1139" t="inlineStr">
        <is>
          <t>Power Throw</t>
        </is>
      </c>
      <c r="E1139" t="inlineStr">
        <is>
          <t>Thrown Melee</t>
        </is>
      </c>
      <c r="F1139" t="n">
        <v>5</v>
      </c>
      <c r="G1139" t="n">
        <v>1</v>
      </c>
      <c r="H1139" t="inlineStr">
        <is>
          <t>Player trade (max rank)</t>
        </is>
      </c>
      <c r="I1139" t="inlineStr">
        <is>
          <t>Yes</t>
        </is>
      </c>
      <c r="K1139" t="inlineStr">
        <is>
          <t>Collection</t>
        </is>
      </c>
      <c r="L1139" t="n">
        <v>5</v>
      </c>
      <c r="M1139" t="n">
        <v>7.5</v>
      </c>
      <c r="N1139" t="n">
        <v>17</v>
      </c>
      <c r="O1139" t="inlineStr">
        <is>
          <t>2026-10-05 UTC (WFM pull 02:52-04:00)</t>
        </is>
      </c>
      <c r="P1139" t="inlineStr">
        <is>
          <t>OK</t>
        </is>
      </c>
      <c r="R1139" t="inlineStr">
        <is>
          <t>Every current tradeable mod at MAX RANK (WFM catalogue, rivens/locators excluded)</t>
        </is>
      </c>
      <c r="S1139" t="inlineStr">
        <is>
          <t>power_throw</t>
        </is>
      </c>
      <c r="T1139" t="n">
        <v>7</v>
      </c>
      <c r="U1139" t="n">
        <v>7</v>
      </c>
      <c r="V1139" t="n">
        <v>5</v>
      </c>
      <c r="W1139" t="n">
        <v>6.5</v>
      </c>
      <c r="X1139" t="n">
        <v>6.7</v>
      </c>
      <c r="Y1139" t="n">
        <v>71</v>
      </c>
      <c r="Z1139" t="n">
        <v>2</v>
      </c>
      <c r="AN1139" t="inlineStr">
        <is>
          <t>Thrown Melee</t>
        </is>
      </c>
      <c r="AO1139" t="n">
        <v>930</v>
      </c>
      <c r="AP1139" t="n">
        <v>44919</v>
      </c>
      <c r="AQ1139" t="n">
        <v>2</v>
      </c>
      <c r="AS1139" t="inlineStr">
        <is>
          <t>Yes</t>
        </is>
      </c>
    </row>
    <row r="1140">
      <c r="A1140" t="inlineStr">
        <is>
          <t>Mod</t>
        </is>
      </c>
      <c r="B1140" t="inlineStr">
        <is>
          <t>Precision Conditioning</t>
        </is>
      </c>
      <c r="E1140" t="inlineStr">
        <is>
          <t>Claws</t>
        </is>
      </c>
      <c r="F1140" t="n">
        <v>10</v>
      </c>
      <c r="G1140" t="n">
        <v>1</v>
      </c>
      <c r="H1140" t="inlineStr">
        <is>
          <t>Player trade (max rank)</t>
        </is>
      </c>
      <c r="I1140" t="inlineStr">
        <is>
          <t>Yes</t>
        </is>
      </c>
      <c r="K1140" t="inlineStr">
        <is>
          <t>Collection</t>
        </is>
      </c>
      <c r="L1140" t="n">
        <v>65</v>
      </c>
      <c r="M1140" t="n">
        <v>70</v>
      </c>
      <c r="N1140" t="n">
        <v>87</v>
      </c>
      <c r="O1140" t="inlineStr">
        <is>
          <t>2026-10-05 UTC (WFM pull 02:52-04:00)</t>
        </is>
      </c>
      <c r="P1140" t="inlineStr">
        <is>
          <t>OK</t>
        </is>
      </c>
      <c r="R1140" t="inlineStr">
        <is>
          <t>Every current tradeable mod at MAX RANK (WFM catalogue, rivens/locators excluded)</t>
        </is>
      </c>
      <c r="S1140" t="inlineStr">
        <is>
          <t>precision_conditioning</t>
        </is>
      </c>
      <c r="T1140" t="n">
        <v>11</v>
      </c>
      <c r="U1140" t="n">
        <v>11</v>
      </c>
      <c r="V1140" t="n">
        <v>68</v>
      </c>
      <c r="W1140" t="n">
        <v>68</v>
      </c>
      <c r="X1140" t="n">
        <v>66.59999999999999</v>
      </c>
      <c r="Y1140" t="n">
        <v>649</v>
      </c>
      <c r="Z1140" t="n">
        <v>10</v>
      </c>
      <c r="AA1140" t="n">
        <v>43</v>
      </c>
      <c r="AB1140" t="n">
        <v>22</v>
      </c>
      <c r="AN1140" t="inlineStr">
        <is>
          <t>Claws</t>
        </is>
      </c>
      <c r="AO1140" t="n">
        <v>20460</v>
      </c>
      <c r="AP1140" t="n">
        <v>988218</v>
      </c>
      <c r="AQ1140" t="n">
        <v>10</v>
      </c>
      <c r="AS1140" t="inlineStr">
        <is>
          <t>Yes</t>
        </is>
      </c>
    </row>
    <row r="1141">
      <c r="A1141" t="inlineStr">
        <is>
          <t>Mod</t>
        </is>
      </c>
      <c r="B1141" t="inlineStr">
        <is>
          <t>Precision Intensify</t>
        </is>
      </c>
      <c r="E1141" t="inlineStr">
        <is>
          <t>Warframe</t>
        </is>
      </c>
      <c r="F1141" t="n">
        <v>5</v>
      </c>
      <c r="G1141" t="n">
        <v>1</v>
      </c>
      <c r="H1141" t="inlineStr">
        <is>
          <t>Player trade (max rank)</t>
        </is>
      </c>
      <c r="I1141" t="inlineStr">
        <is>
          <t>Yes</t>
        </is>
      </c>
      <c r="K1141" t="inlineStr">
        <is>
          <t>Collection</t>
        </is>
      </c>
      <c r="L1141" t="n">
        <v>9</v>
      </c>
      <c r="M1141" t="n">
        <v>10</v>
      </c>
      <c r="N1141" t="n">
        <v>17</v>
      </c>
      <c r="O1141" t="inlineStr">
        <is>
          <t>2026-10-05 UTC (WFM pull 02:52-04:00)</t>
        </is>
      </c>
      <c r="P1141" t="inlineStr">
        <is>
          <t>OK</t>
        </is>
      </c>
      <c r="R1141" t="inlineStr">
        <is>
          <t>Every current tradeable mod at MAX RANK (WFM catalogue, rivens/locators excluded)</t>
        </is>
      </c>
      <c r="S1141" t="inlineStr">
        <is>
          <t>precision_intensify</t>
        </is>
      </c>
      <c r="T1141" t="n">
        <v>20</v>
      </c>
      <c r="U1141" t="n">
        <v>20</v>
      </c>
      <c r="V1141" t="n">
        <v>10</v>
      </c>
      <c r="W1141" t="n">
        <v>10</v>
      </c>
      <c r="X1141" t="n">
        <v>10.4</v>
      </c>
      <c r="Y1141" t="n">
        <v>2592</v>
      </c>
      <c r="Z1141" t="n">
        <v>19</v>
      </c>
      <c r="AN1141" t="inlineStr">
        <is>
          <t>Warframe</t>
        </is>
      </c>
      <c r="AO1141" t="n">
        <v>930</v>
      </c>
      <c r="AP1141" t="n">
        <v>44919</v>
      </c>
      <c r="AQ1141" t="n">
        <v>5</v>
      </c>
      <c r="AS1141" t="inlineStr">
        <is>
          <t>Yes</t>
        </is>
      </c>
    </row>
    <row r="1142">
      <c r="A1142" t="inlineStr">
        <is>
          <t>Mod</t>
        </is>
      </c>
      <c r="B1142" t="inlineStr">
        <is>
          <t>Precision Munition</t>
        </is>
      </c>
      <c r="E1142" t="inlineStr">
        <is>
          <t>Conclave (PvP)</t>
        </is>
      </c>
      <c r="G1142" t="n">
        <v>1</v>
      </c>
      <c r="H1142" t="inlineStr">
        <is>
          <t>Player trade (max rank)</t>
        </is>
      </c>
      <c r="I1142" t="inlineStr">
        <is>
          <t>Yes</t>
        </is>
      </c>
      <c r="K1142" t="inlineStr">
        <is>
          <t>Collection (PvP)</t>
        </is>
      </c>
      <c r="L1142" t="n">
        <v>9</v>
      </c>
      <c r="M1142" t="n">
        <v>9</v>
      </c>
      <c r="N1142" t="n">
        <v>11</v>
      </c>
      <c r="O1142" t="inlineStr">
        <is>
          <t>2026-10-05 UTC (WFM pull 02:52-04:00)</t>
        </is>
      </c>
      <c r="P1142" t="inlineStr">
        <is>
          <t>OK</t>
        </is>
      </c>
      <c r="R1142" t="inlineStr">
        <is>
          <t>Every current tradeable mod at MAX RANK (WFM catalogue, rivens/locators excluded)</t>
        </is>
      </c>
      <c r="S1142" t="inlineStr">
        <is>
          <t>precision_munition</t>
        </is>
      </c>
      <c r="T1142" t="n">
        <v>16</v>
      </c>
      <c r="U1142" t="n">
        <v>0</v>
      </c>
      <c r="V1142" t="n">
        <v>9</v>
      </c>
      <c r="W1142" t="n">
        <v>10</v>
      </c>
      <c r="X1142" t="n">
        <v>11.3</v>
      </c>
      <c r="Y1142" t="n">
        <v>15</v>
      </c>
      <c r="Z1142" t="n">
        <v>0</v>
      </c>
      <c r="AN1142" t="inlineStr">
        <is>
          <t>Conclave (PvP)</t>
        </is>
      </c>
      <c r="AO1142" t="n">
        <v>0</v>
      </c>
      <c r="AP1142" t="n">
        <v>0</v>
      </c>
      <c r="AS1142" t="inlineStr">
        <is>
          <t>PvP subtotal</t>
        </is>
      </c>
    </row>
    <row r="1143">
      <c r="A1143" t="inlineStr">
        <is>
          <t>Mod</t>
        </is>
      </c>
      <c r="B1143" t="inlineStr">
        <is>
          <t>Precision Strike</t>
        </is>
      </c>
      <c r="E1143" t="inlineStr">
        <is>
          <t>Augment Tonkor</t>
        </is>
      </c>
      <c r="F1143" t="n">
        <v>3</v>
      </c>
      <c r="G1143" t="n">
        <v>1</v>
      </c>
      <c r="H1143" t="inlineStr">
        <is>
          <t>Player trade (max rank)</t>
        </is>
      </c>
      <c r="I1143" t="inlineStr">
        <is>
          <t>Yes</t>
        </is>
      </c>
      <c r="K1143" t="inlineStr">
        <is>
          <t>Collection</t>
        </is>
      </c>
      <c r="L1143" t="n">
        <v>54</v>
      </c>
      <c r="M1143" t="n">
        <v>54</v>
      </c>
      <c r="N1143" t="n">
        <v>119</v>
      </c>
      <c r="O1143" t="inlineStr">
        <is>
          <t>2026-10-05 UTC (WFM pull 02:52-04:00)</t>
        </is>
      </c>
      <c r="P1143" t="inlineStr">
        <is>
          <t>OK</t>
        </is>
      </c>
      <c r="R1143" t="inlineStr">
        <is>
          <t>Every current tradeable mod at MAX RANK (WFM catalogue, rivens/locators excluded)</t>
        </is>
      </c>
      <c r="S1143" t="inlineStr">
        <is>
          <t>precision_strike</t>
        </is>
      </c>
      <c r="T1143" t="n">
        <v>4</v>
      </c>
      <c r="U1143" t="n">
        <v>4</v>
      </c>
      <c r="V1143" t="n">
        <v>30</v>
      </c>
      <c r="W1143" t="n">
        <v>25</v>
      </c>
      <c r="X1143" t="n">
        <v>24.7</v>
      </c>
      <c r="Y1143" t="n">
        <v>57</v>
      </c>
      <c r="Z1143" t="n">
        <v>3</v>
      </c>
      <c r="AN1143" t="inlineStr">
        <is>
          <t>Augment Tonkor</t>
        </is>
      </c>
      <c r="AO1143" t="n">
        <v>210</v>
      </c>
      <c r="AP1143" t="n">
        <v>10143</v>
      </c>
      <c r="AQ1143" t="n">
        <v>19</v>
      </c>
      <c r="AS1143" t="inlineStr">
        <is>
          <t>Yes</t>
        </is>
      </c>
    </row>
    <row r="1144">
      <c r="A1144" t="inlineStr">
        <is>
          <t>Mod</t>
        </is>
      </c>
      <c r="B1144" t="inlineStr">
        <is>
          <t>Predator</t>
        </is>
      </c>
      <c r="E1144" t="inlineStr">
        <is>
          <t>Plexus</t>
        </is>
      </c>
      <c r="F1144" t="n">
        <v>5</v>
      </c>
      <c r="G1144" t="n">
        <v>1</v>
      </c>
      <c r="H1144" t="inlineStr">
        <is>
          <t>Player trade (max rank)</t>
        </is>
      </c>
      <c r="I1144" t="inlineStr">
        <is>
          <t>Yes</t>
        </is>
      </c>
      <c r="K1144" t="inlineStr">
        <is>
          <t>Collection</t>
        </is>
      </c>
      <c r="L1144" t="n">
        <v>3</v>
      </c>
      <c r="M1144" t="n">
        <v>4</v>
      </c>
      <c r="N1144" t="n">
        <v>9</v>
      </c>
      <c r="O1144" t="inlineStr">
        <is>
          <t>2026-10-05 UTC (WFM pull 02:52-04:00)</t>
        </is>
      </c>
      <c r="P1144" t="inlineStr">
        <is>
          <t>OK</t>
        </is>
      </c>
      <c r="R1144" t="inlineStr">
        <is>
          <t>Every current tradeable mod at MAX RANK (WFM catalogue, rivens/locators excluded)</t>
        </is>
      </c>
      <c r="S1144" t="inlineStr">
        <is>
          <t>predator</t>
        </is>
      </c>
      <c r="T1144" t="n">
        <v>93</v>
      </c>
      <c r="U1144" t="n">
        <v>2</v>
      </c>
      <c r="V1144" t="n">
        <v>12</v>
      </c>
      <c r="W1144" t="n">
        <v>10</v>
      </c>
      <c r="X1144" t="n">
        <v>10.2</v>
      </c>
      <c r="Y1144" t="n">
        <v>44</v>
      </c>
      <c r="Z1144" t="n">
        <v>2</v>
      </c>
      <c r="AN1144" t="inlineStr">
        <is>
          <t>Plexus</t>
        </is>
      </c>
      <c r="AO1144" t="n">
        <v>620</v>
      </c>
      <c r="AP1144" t="n">
        <v>29946</v>
      </c>
      <c r="AQ1144" t="n">
        <v>4</v>
      </c>
      <c r="AS1144" t="inlineStr">
        <is>
          <t>Yes</t>
        </is>
      </c>
    </row>
    <row r="1145">
      <c r="A1145" t="inlineStr">
        <is>
          <t>Mod</t>
        </is>
      </c>
      <c r="B1145" t="inlineStr">
        <is>
          <t>Preparation</t>
        </is>
      </c>
      <c r="E1145" t="inlineStr">
        <is>
          <t>Warframe</t>
        </is>
      </c>
      <c r="F1145" t="n">
        <v>10</v>
      </c>
      <c r="G1145" t="n">
        <v>1</v>
      </c>
      <c r="H1145" t="inlineStr">
        <is>
          <t>Player trade (max rank)</t>
        </is>
      </c>
      <c r="I1145" t="inlineStr">
        <is>
          <t>Yes</t>
        </is>
      </c>
      <c r="K1145" t="inlineStr">
        <is>
          <t>Collection</t>
        </is>
      </c>
      <c r="L1145" t="n">
        <v>60</v>
      </c>
      <c r="M1145" t="n">
        <v>70</v>
      </c>
      <c r="N1145" t="n">
        <v>83</v>
      </c>
      <c r="O1145" t="inlineStr">
        <is>
          <t>2026-10-05 UTC (WFM pull 02:52-04:00)</t>
        </is>
      </c>
      <c r="P1145" t="inlineStr">
        <is>
          <t>OK</t>
        </is>
      </c>
      <c r="R1145" t="inlineStr">
        <is>
          <t>Every current tradeable mod at MAX RANK (WFM catalogue, rivens/locators excluded)</t>
        </is>
      </c>
      <c r="S1145" t="inlineStr">
        <is>
          <t>preparation</t>
        </is>
      </c>
      <c r="T1145" t="n">
        <v>29</v>
      </c>
      <c r="U1145" t="n">
        <v>29</v>
      </c>
      <c r="V1145" t="n">
        <v>69</v>
      </c>
      <c r="W1145" t="n">
        <v>70</v>
      </c>
      <c r="X1145" t="n">
        <v>69.40000000000001</v>
      </c>
      <c r="Y1145" t="n">
        <v>2146</v>
      </c>
      <c r="Z1145" t="n">
        <v>38</v>
      </c>
      <c r="AA1145" t="n">
        <v>50</v>
      </c>
      <c r="AB1145" t="n">
        <v>10</v>
      </c>
      <c r="AN1145" t="inlineStr">
        <is>
          <t>Warframe</t>
        </is>
      </c>
      <c r="AO1145" t="n">
        <v>30690</v>
      </c>
      <c r="AP1145" t="n">
        <v>1482327</v>
      </c>
      <c r="AQ1145" t="n">
        <v>14</v>
      </c>
      <c r="AS1145" t="inlineStr">
        <is>
          <t>Yes</t>
        </is>
      </c>
    </row>
    <row r="1146">
      <c r="A1146" t="inlineStr">
        <is>
          <t>Mod</t>
        </is>
      </c>
      <c r="B1146" t="inlineStr">
        <is>
          <t>Pressure Point</t>
        </is>
      </c>
      <c r="E1146" t="inlineStr">
        <is>
          <t>Melee</t>
        </is>
      </c>
      <c r="F1146" t="n">
        <v>5</v>
      </c>
      <c r="G1146" t="n">
        <v>1</v>
      </c>
      <c r="H1146" t="inlineStr">
        <is>
          <t>Player trade (max rank)</t>
        </is>
      </c>
      <c r="I1146" t="inlineStr">
        <is>
          <t>Yes</t>
        </is>
      </c>
      <c r="K1146" t="inlineStr">
        <is>
          <t>Collection</t>
        </is>
      </c>
      <c r="L1146" t="n">
        <v>8</v>
      </c>
      <c r="M1146" t="n">
        <v>8</v>
      </c>
      <c r="N1146" t="n">
        <v>18</v>
      </c>
      <c r="O1146" t="inlineStr">
        <is>
          <t>2026-10-05 UTC (WFM pull 02:52-04:00)</t>
        </is>
      </c>
      <c r="P1146" t="inlineStr">
        <is>
          <t>OK</t>
        </is>
      </c>
      <c r="R1146" t="inlineStr">
        <is>
          <t>Every current tradeable mod at MAX RANK (WFM catalogue, rivens/locators excluded)</t>
        </is>
      </c>
      <c r="S1146" t="inlineStr">
        <is>
          <t>pressure_point</t>
        </is>
      </c>
      <c r="T1146" t="n">
        <v>7</v>
      </c>
      <c r="U1146" t="n">
        <v>7</v>
      </c>
      <c r="V1146" t="n">
        <v>5</v>
      </c>
      <c r="W1146" t="n">
        <v>5</v>
      </c>
      <c r="X1146" t="n">
        <v>6.4</v>
      </c>
      <c r="Y1146" t="n">
        <v>38</v>
      </c>
      <c r="Z1146" t="n">
        <v>20</v>
      </c>
      <c r="AN1146" t="inlineStr">
        <is>
          <t>Melee</t>
        </is>
      </c>
      <c r="AO1146" t="n">
        <v>310</v>
      </c>
      <c r="AP1146" t="n">
        <v>14973</v>
      </c>
      <c r="AQ1146" t="n">
        <v>3</v>
      </c>
      <c r="AS1146" t="inlineStr">
        <is>
          <t>Yes</t>
        </is>
      </c>
    </row>
    <row r="1147">
      <c r="A1147" t="inlineStr">
        <is>
          <t>Mod</t>
        </is>
      </c>
      <c r="B1147" t="inlineStr">
        <is>
          <t>Pressurized Magazine</t>
        </is>
      </c>
      <c r="E1147" t="inlineStr">
        <is>
          <t>Pistol</t>
        </is>
      </c>
      <c r="F1147" t="n">
        <v>5</v>
      </c>
      <c r="G1147" t="n">
        <v>1</v>
      </c>
      <c r="H1147" t="inlineStr">
        <is>
          <t>Player trade (max rank)</t>
        </is>
      </c>
      <c r="I1147" t="inlineStr">
        <is>
          <t>Yes</t>
        </is>
      </c>
      <c r="K1147" t="inlineStr">
        <is>
          <t>Collection</t>
        </is>
      </c>
      <c r="L1147" t="n">
        <v>15</v>
      </c>
      <c r="M1147" t="n">
        <v>22.5</v>
      </c>
      <c r="N1147" t="n">
        <v>50</v>
      </c>
      <c r="O1147" t="inlineStr">
        <is>
          <t>2026-10-05 UTC (WFM pull 02:52-04:00)</t>
        </is>
      </c>
      <c r="P1147" t="inlineStr">
        <is>
          <t>OK</t>
        </is>
      </c>
      <c r="R1147" t="inlineStr">
        <is>
          <t>Every current tradeable mod at MAX RANK (WFM catalogue, rivens/locators excluded)</t>
        </is>
      </c>
      <c r="S1147" t="inlineStr">
        <is>
          <t>pressurized_magazine</t>
        </is>
      </c>
      <c r="T1147" t="n">
        <v>3</v>
      </c>
      <c r="U1147" t="n">
        <v>3</v>
      </c>
      <c r="V1147" t="n">
        <v>15</v>
      </c>
      <c r="W1147" t="n">
        <v>11.5</v>
      </c>
      <c r="X1147" t="n">
        <v>17.9</v>
      </c>
      <c r="Y1147" t="n">
        <v>14</v>
      </c>
      <c r="Z1147" t="n">
        <v>2</v>
      </c>
      <c r="AN1147" t="inlineStr">
        <is>
          <t>Pistol</t>
        </is>
      </c>
      <c r="AO1147" t="n">
        <v>930</v>
      </c>
      <c r="AP1147" t="n">
        <v>44919</v>
      </c>
      <c r="AQ1147" t="n">
        <v>3</v>
      </c>
      <c r="AS1147" t="inlineStr">
        <is>
          <t>Yes</t>
        </is>
      </c>
    </row>
    <row r="1148">
      <c r="A1148" t="inlineStr">
        <is>
          <t>Mod</t>
        </is>
      </c>
      <c r="B1148" t="inlineStr">
        <is>
          <t>Prey Of Dynar</t>
        </is>
      </c>
      <c r="E1148" t="inlineStr">
        <is>
          <t>Augment Voruna</t>
        </is>
      </c>
      <c r="F1148" t="n">
        <v>3</v>
      </c>
      <c r="G1148" t="n">
        <v>1</v>
      </c>
      <c r="H1148" t="inlineStr">
        <is>
          <t>Player trade (max rank)</t>
        </is>
      </c>
      <c r="I1148" t="inlineStr">
        <is>
          <t>Yes</t>
        </is>
      </c>
      <c r="K1148" t="inlineStr">
        <is>
          <t>Collection</t>
        </is>
      </c>
      <c r="L1148" t="n">
        <v>10</v>
      </c>
      <c r="M1148" t="n">
        <v>10</v>
      </c>
      <c r="N1148" t="n">
        <v>14</v>
      </c>
      <c r="O1148" t="inlineStr">
        <is>
          <t>2026-10-05 UTC (WFM pull 02:52-04:00)</t>
        </is>
      </c>
      <c r="P1148" t="inlineStr">
        <is>
          <t>OK</t>
        </is>
      </c>
      <c r="R1148" t="inlineStr">
        <is>
          <t>Every current tradeable mod at MAX RANK (WFM catalogue, rivens/locators excluded)</t>
        </is>
      </c>
      <c r="S1148" t="inlineStr">
        <is>
          <t>prey_of_dynar</t>
        </is>
      </c>
      <c r="T1148" t="n">
        <v>111</v>
      </c>
      <c r="U1148" t="n">
        <v>2</v>
      </c>
      <c r="V1148" t="n">
        <v>12.5</v>
      </c>
      <c r="W1148" t="n">
        <v>13.5</v>
      </c>
      <c r="X1148" t="n">
        <v>13.2</v>
      </c>
      <c r="Y1148" t="n">
        <v>608</v>
      </c>
      <c r="Z1148" t="n">
        <v>8</v>
      </c>
      <c r="AN1148" t="inlineStr">
        <is>
          <t>Augment Voruna</t>
        </is>
      </c>
      <c r="AO1148" t="n">
        <v>210</v>
      </c>
      <c r="AP1148" t="n">
        <v>10143</v>
      </c>
      <c r="AQ1148" t="n">
        <v>13</v>
      </c>
      <c r="AS1148" t="inlineStr">
        <is>
          <t>Yes</t>
        </is>
      </c>
    </row>
    <row r="1149">
      <c r="A1149" t="inlineStr">
        <is>
          <t>Mod</t>
        </is>
      </c>
      <c r="B1149" t="inlineStr">
        <is>
          <t>Primal Rage</t>
        </is>
      </c>
      <c r="E1149" t="inlineStr">
        <is>
          <t>Augment Wukong</t>
        </is>
      </c>
      <c r="F1149" t="n">
        <v>3</v>
      </c>
      <c r="G1149" t="n">
        <v>1</v>
      </c>
      <c r="H1149" t="inlineStr">
        <is>
          <t>Player trade (max rank)</t>
        </is>
      </c>
      <c r="I1149" t="inlineStr">
        <is>
          <t>Yes</t>
        </is>
      </c>
      <c r="K1149" t="inlineStr">
        <is>
          <t>Collection</t>
        </is>
      </c>
      <c r="L1149" t="n">
        <v>25</v>
      </c>
      <c r="M1149" t="n">
        <v>25</v>
      </c>
      <c r="N1149" t="n">
        <v>56</v>
      </c>
      <c r="O1149" t="inlineStr">
        <is>
          <t>2026-10-05 UTC (WFM pull 02:52-04:00)</t>
        </is>
      </c>
      <c r="P1149" t="inlineStr">
        <is>
          <t>OK</t>
        </is>
      </c>
      <c r="R1149" t="inlineStr">
        <is>
          <t>Every current tradeable mod at MAX RANK (WFM catalogue, rivens/locators excluded)</t>
        </is>
      </c>
      <c r="S1149" t="inlineStr">
        <is>
          <t>primal_rage</t>
        </is>
      </c>
      <c r="T1149" t="n">
        <v>5</v>
      </c>
      <c r="U1149" t="n">
        <v>5</v>
      </c>
      <c r="V1149" t="n">
        <v>15</v>
      </c>
      <c r="W1149" t="n">
        <v>14</v>
      </c>
      <c r="X1149" t="n">
        <v>14</v>
      </c>
      <c r="Y1149" t="n">
        <v>290</v>
      </c>
      <c r="Z1149" t="n">
        <v>6</v>
      </c>
      <c r="AN1149" t="inlineStr">
        <is>
          <t>Augment Wukong</t>
        </is>
      </c>
      <c r="AO1149" t="n">
        <v>210</v>
      </c>
      <c r="AP1149" t="n">
        <v>10143</v>
      </c>
      <c r="AQ1149" t="n">
        <v>15</v>
      </c>
      <c r="AS1149" t="inlineStr">
        <is>
          <t>Yes</t>
        </is>
      </c>
    </row>
    <row r="1150">
      <c r="A1150" t="inlineStr">
        <is>
          <t>Mod</t>
        </is>
      </c>
      <c r="B1150" t="inlineStr">
        <is>
          <t>Primary Acuity</t>
        </is>
      </c>
      <c r="E1150" t="inlineStr">
        <is>
          <t>Rifle</t>
        </is>
      </c>
      <c r="F1150" t="n">
        <v>10</v>
      </c>
      <c r="G1150" t="n">
        <v>1</v>
      </c>
      <c r="H1150" t="inlineStr">
        <is>
          <t>Player trade (max rank)</t>
        </is>
      </c>
      <c r="I1150" t="inlineStr">
        <is>
          <t>Yes</t>
        </is>
      </c>
      <c r="K1150" t="inlineStr">
        <is>
          <t>Collection</t>
        </is>
      </c>
      <c r="L1150" t="n">
        <v>60</v>
      </c>
      <c r="M1150" t="n">
        <v>69</v>
      </c>
      <c r="N1150" t="n">
        <v>77</v>
      </c>
      <c r="O1150" t="inlineStr">
        <is>
          <t>2026-10-05 UTC (WFM pull 02:52-04:00)</t>
        </is>
      </c>
      <c r="P1150" t="inlineStr">
        <is>
          <t>OK</t>
        </is>
      </c>
      <c r="R1150" t="inlineStr">
        <is>
          <t>Every current tradeable mod at MAX RANK (WFM catalogue, rivens/locators excluded)</t>
        </is>
      </c>
      <c r="S1150" t="inlineStr">
        <is>
          <t>primary_acuity</t>
        </is>
      </c>
      <c r="T1150" t="n">
        <v>10</v>
      </c>
      <c r="U1150" t="n">
        <v>10</v>
      </c>
      <c r="V1150" t="n">
        <v>54</v>
      </c>
      <c r="W1150" t="n">
        <v>55</v>
      </c>
      <c r="X1150" t="n">
        <v>52.6</v>
      </c>
      <c r="Y1150" t="n">
        <v>2056</v>
      </c>
      <c r="Z1150" t="n">
        <v>43</v>
      </c>
      <c r="AA1150" t="n">
        <v>40</v>
      </c>
      <c r="AB1150" t="n">
        <v>20</v>
      </c>
      <c r="AN1150" t="inlineStr">
        <is>
          <t>Rifle</t>
        </is>
      </c>
      <c r="AO1150" t="n">
        <v>30690</v>
      </c>
      <c r="AP1150" t="n">
        <v>1482327</v>
      </c>
      <c r="AQ1150" t="n">
        <v>4</v>
      </c>
      <c r="AS1150" t="inlineStr">
        <is>
          <t>Yes</t>
        </is>
      </c>
    </row>
    <row r="1151">
      <c r="A1151" t="inlineStr">
        <is>
          <t>Mod</t>
        </is>
      </c>
      <c r="B1151" t="inlineStr">
        <is>
          <t>Primed Ammo Chain</t>
        </is>
      </c>
      <c r="E1151" t="inlineStr">
        <is>
          <t>Primed Archgun</t>
        </is>
      </c>
      <c r="F1151" t="n">
        <v>10</v>
      </c>
      <c r="G1151" t="n">
        <v>1</v>
      </c>
      <c r="H1151" t="inlineStr">
        <is>
          <t>Player trade (max rank)</t>
        </is>
      </c>
      <c r="I1151" t="inlineStr">
        <is>
          <t>Yes</t>
        </is>
      </c>
      <c r="K1151" t="inlineStr">
        <is>
          <t>Collection</t>
        </is>
      </c>
      <c r="L1151" t="n">
        <v>119</v>
      </c>
      <c r="M1151" t="n">
        <v>120</v>
      </c>
      <c r="N1151" t="n">
        <v>132</v>
      </c>
      <c r="O1151" t="inlineStr">
        <is>
          <t>2026-10-05 UTC (WFM pull 02:52-04:00)</t>
        </is>
      </c>
      <c r="P1151" t="inlineStr">
        <is>
          <t>OK</t>
        </is>
      </c>
      <c r="R1151" t="inlineStr">
        <is>
          <t>Every current tradeable mod at MAX RANK (WFM catalogue, rivens/locators excluded)</t>
        </is>
      </c>
      <c r="S1151" t="inlineStr">
        <is>
          <t>primed_ammo_chain</t>
        </is>
      </c>
      <c r="T1151" t="n">
        <v>21</v>
      </c>
      <c r="U1151" t="n">
        <v>21</v>
      </c>
      <c r="V1151" t="n">
        <v>117.5</v>
      </c>
      <c r="W1151" t="n">
        <v>114.5</v>
      </c>
      <c r="X1151" t="n">
        <v>113.6</v>
      </c>
      <c r="Y1151" t="n">
        <v>356</v>
      </c>
      <c r="Z1151" t="n">
        <v>6</v>
      </c>
      <c r="AA1151" t="n">
        <v>70</v>
      </c>
      <c r="AB1151" t="n">
        <v>49</v>
      </c>
      <c r="AN1151" t="inlineStr">
        <is>
          <t>Primed Archgun</t>
        </is>
      </c>
      <c r="AO1151" t="n">
        <v>40920</v>
      </c>
      <c r="AP1151" t="n">
        <v>1976436</v>
      </c>
      <c r="AQ1151" t="n">
        <v>65</v>
      </c>
      <c r="AS1151" t="inlineStr">
        <is>
          <t>Yes</t>
        </is>
      </c>
    </row>
    <row r="1152">
      <c r="A1152" t="inlineStr">
        <is>
          <t>Mod</t>
        </is>
      </c>
      <c r="B1152" t="inlineStr">
        <is>
          <t>Primed Ammo Stock</t>
        </is>
      </c>
      <c r="E1152" t="inlineStr">
        <is>
          <t>Primed Shotgun</t>
        </is>
      </c>
      <c r="F1152" t="n">
        <v>10</v>
      </c>
      <c r="G1152" t="n">
        <v>1</v>
      </c>
      <c r="H1152" t="inlineStr">
        <is>
          <t>Player trade (max rank)</t>
        </is>
      </c>
      <c r="I1152" t="inlineStr">
        <is>
          <t>Yes</t>
        </is>
      </c>
      <c r="K1152" t="inlineStr">
        <is>
          <t>Collection</t>
        </is>
      </c>
      <c r="L1152" t="n">
        <v>110</v>
      </c>
      <c r="M1152" t="n">
        <v>120</v>
      </c>
      <c r="N1152" t="n">
        <v>132</v>
      </c>
      <c r="O1152" t="inlineStr">
        <is>
          <t>2026-10-05 UTC (WFM pull 02:52-04:00)</t>
        </is>
      </c>
      <c r="P1152" t="inlineStr">
        <is>
          <t>OK</t>
        </is>
      </c>
      <c r="R1152" t="inlineStr">
        <is>
          <t>Every current tradeable mod at MAX RANK (WFM catalogue, rivens/locators excluded)</t>
        </is>
      </c>
      <c r="S1152" t="inlineStr">
        <is>
          <t>primed_ammo_stock</t>
        </is>
      </c>
      <c r="T1152" t="n">
        <v>22</v>
      </c>
      <c r="U1152" t="n">
        <v>22</v>
      </c>
      <c r="V1152" t="n">
        <v>119</v>
      </c>
      <c r="W1152" t="n">
        <v>140</v>
      </c>
      <c r="X1152" t="n">
        <v>134</v>
      </c>
      <c r="Y1152" t="n">
        <v>518</v>
      </c>
      <c r="Z1152" t="n">
        <v>14</v>
      </c>
      <c r="AA1152" t="n">
        <v>75</v>
      </c>
      <c r="AB1152" t="n">
        <v>35</v>
      </c>
      <c r="AN1152" t="inlineStr">
        <is>
          <t>Primed Shotgun</t>
        </is>
      </c>
      <c r="AO1152" t="n">
        <v>40920</v>
      </c>
      <c r="AP1152" t="n">
        <v>1976436</v>
      </c>
      <c r="AQ1152" t="n">
        <v>45</v>
      </c>
      <c r="AS1152" t="inlineStr">
        <is>
          <t>Yes</t>
        </is>
      </c>
    </row>
    <row r="1153">
      <c r="A1153" t="inlineStr">
        <is>
          <t>Mod</t>
        </is>
      </c>
      <c r="B1153" t="inlineStr">
        <is>
          <t>Primed Animal Instinct</t>
        </is>
      </c>
      <c r="E1153" t="inlineStr">
        <is>
          <t>Primed Companion</t>
        </is>
      </c>
      <c r="F1153" t="n">
        <v>10</v>
      </c>
      <c r="G1153" t="n">
        <v>1</v>
      </c>
      <c r="H1153" t="inlineStr">
        <is>
          <t>Player trade (max rank)</t>
        </is>
      </c>
      <c r="I1153" t="inlineStr">
        <is>
          <t>Yes</t>
        </is>
      </c>
      <c r="K1153" t="inlineStr">
        <is>
          <t>Collection</t>
        </is>
      </c>
      <c r="L1153" t="n">
        <v>100</v>
      </c>
      <c r="M1153" t="n">
        <v>119</v>
      </c>
      <c r="N1153" t="n">
        <v>132</v>
      </c>
      <c r="O1153" t="inlineStr">
        <is>
          <t>2026-10-05 UTC (WFM pull 02:52-04:00)</t>
        </is>
      </c>
      <c r="P1153" t="inlineStr">
        <is>
          <t>OK</t>
        </is>
      </c>
      <c r="R1153" t="inlineStr">
        <is>
          <t>Every current tradeable mod at MAX RANK (WFM catalogue, rivens/locators excluded)</t>
        </is>
      </c>
      <c r="S1153" t="inlineStr">
        <is>
          <t>primed_animal_instinct</t>
        </is>
      </c>
      <c r="T1153" t="n">
        <v>34</v>
      </c>
      <c r="U1153" t="n">
        <v>34</v>
      </c>
      <c r="V1153" t="n">
        <v>120</v>
      </c>
      <c r="W1153" t="n">
        <v>118</v>
      </c>
      <c r="X1153" t="n">
        <v>114.1</v>
      </c>
      <c r="Y1153" t="n">
        <v>1647</v>
      </c>
      <c r="Z1153" t="n">
        <v>45</v>
      </c>
      <c r="AA1153" t="n">
        <v>76</v>
      </c>
      <c r="AB1153" t="n">
        <v>24</v>
      </c>
      <c r="AN1153" t="inlineStr">
        <is>
          <t>Primed Companion</t>
        </is>
      </c>
      <c r="AO1153" t="n">
        <v>40920</v>
      </c>
      <c r="AP1153" t="n">
        <v>1976436</v>
      </c>
      <c r="AQ1153" t="n">
        <v>49</v>
      </c>
      <c r="AS1153" t="inlineStr">
        <is>
          <t>Yes</t>
        </is>
      </c>
    </row>
    <row r="1154">
      <c r="A1154" t="inlineStr">
        <is>
          <t>Mod</t>
        </is>
      </c>
      <c r="B1154" t="inlineStr">
        <is>
          <t>Primed Bane Of Corpus</t>
        </is>
      </c>
      <c r="E1154" t="inlineStr">
        <is>
          <t>Primed Rifle</t>
        </is>
      </c>
      <c r="F1154" t="n">
        <v>10</v>
      </c>
      <c r="G1154" t="n">
        <v>1</v>
      </c>
      <c r="H1154" t="inlineStr">
        <is>
          <t>Player trade (max rank)</t>
        </is>
      </c>
      <c r="I1154" t="inlineStr">
        <is>
          <t>Yes</t>
        </is>
      </c>
      <c r="K1154" t="inlineStr">
        <is>
          <t>Collection</t>
        </is>
      </c>
      <c r="L1154" t="n">
        <v>87</v>
      </c>
      <c r="M1154" t="n">
        <v>110</v>
      </c>
      <c r="N1154" t="n">
        <v>132</v>
      </c>
      <c r="O1154" t="inlineStr">
        <is>
          <t>2026-10-05 UTC (WFM pull 02:52-04:00)</t>
        </is>
      </c>
      <c r="P1154" t="inlineStr">
        <is>
          <t>OK</t>
        </is>
      </c>
      <c r="R1154" t="inlineStr">
        <is>
          <t>Every current tradeable mod at MAX RANK (WFM catalogue, rivens/locators excluded)</t>
        </is>
      </c>
      <c r="S1154" t="inlineStr">
        <is>
          <t>primed_bane_of_corpus</t>
        </is>
      </c>
      <c r="T1154" t="n">
        <v>18</v>
      </c>
      <c r="U1154" t="n">
        <v>18</v>
      </c>
      <c r="V1154" t="n">
        <v>100</v>
      </c>
      <c r="W1154" t="n">
        <v>97.5</v>
      </c>
      <c r="X1154" t="n">
        <v>94.40000000000001</v>
      </c>
      <c r="Y1154" t="n">
        <v>261</v>
      </c>
      <c r="Z1154" t="n">
        <v>5</v>
      </c>
      <c r="AA1154" t="n">
        <v>40</v>
      </c>
      <c r="AB1154" t="n">
        <v>47</v>
      </c>
      <c r="AN1154" t="inlineStr">
        <is>
          <t>Primed Rifle</t>
        </is>
      </c>
      <c r="AO1154" t="n">
        <v>40920</v>
      </c>
      <c r="AP1154" t="n">
        <v>1976436</v>
      </c>
      <c r="AQ1154" t="n">
        <v>33</v>
      </c>
      <c r="AS1154" t="inlineStr">
        <is>
          <t>Yes</t>
        </is>
      </c>
    </row>
    <row r="1155">
      <c r="A1155" t="inlineStr">
        <is>
          <t>Mod</t>
        </is>
      </c>
      <c r="B1155" t="inlineStr">
        <is>
          <t>Primed Bane Of Grineer</t>
        </is>
      </c>
      <c r="E1155" t="inlineStr">
        <is>
          <t>Primed Rifle</t>
        </is>
      </c>
      <c r="F1155" t="n">
        <v>10</v>
      </c>
      <c r="G1155" t="n">
        <v>1</v>
      </c>
      <c r="H1155" t="inlineStr">
        <is>
          <t>Player trade (max rank)</t>
        </is>
      </c>
      <c r="I1155" t="inlineStr">
        <is>
          <t>Yes</t>
        </is>
      </c>
      <c r="K1155" t="inlineStr">
        <is>
          <t>Collection</t>
        </is>
      </c>
      <c r="L1155" t="n">
        <v>130</v>
      </c>
      <c r="M1155" t="n">
        <v>135</v>
      </c>
      <c r="N1155" t="n">
        <v>154</v>
      </c>
      <c r="O1155" t="inlineStr">
        <is>
          <t>2026-10-05 UTC (WFM pull 02:52-04:00)</t>
        </is>
      </c>
      <c r="P1155" t="inlineStr">
        <is>
          <t>OK</t>
        </is>
      </c>
      <c r="R1155" t="inlineStr">
        <is>
          <t>Every current tradeable mod at MAX RANK (WFM catalogue, rivens/locators excluded)</t>
        </is>
      </c>
      <c r="S1155" t="inlineStr">
        <is>
          <t>primed_bane_of_grineer</t>
        </is>
      </c>
      <c r="T1155" t="n">
        <v>16</v>
      </c>
      <c r="U1155" t="n">
        <v>16</v>
      </c>
      <c r="V1155" t="n">
        <v>130</v>
      </c>
      <c r="W1155" t="n">
        <v>125</v>
      </c>
      <c r="X1155" t="n">
        <v>125.8</v>
      </c>
      <c r="Y1155" t="n">
        <v>267</v>
      </c>
      <c r="Z1155" t="n">
        <v>6</v>
      </c>
      <c r="AA1155" t="n">
        <v>60</v>
      </c>
      <c r="AB1155" t="n">
        <v>70</v>
      </c>
      <c r="AN1155" t="inlineStr">
        <is>
          <t>Primed Rifle</t>
        </is>
      </c>
      <c r="AO1155" t="n">
        <v>40920</v>
      </c>
      <c r="AP1155" t="n">
        <v>1976436</v>
      </c>
      <c r="AQ1155" t="n">
        <v>65</v>
      </c>
      <c r="AS1155" t="inlineStr">
        <is>
          <t>Yes</t>
        </is>
      </c>
    </row>
    <row r="1156">
      <c r="A1156" t="inlineStr">
        <is>
          <t>Mod</t>
        </is>
      </c>
      <c r="B1156" t="inlineStr">
        <is>
          <t>Primed Bane Of Infested</t>
        </is>
      </c>
      <c r="E1156" t="inlineStr">
        <is>
          <t>Primed Rifle</t>
        </is>
      </c>
      <c r="F1156" t="n">
        <v>10</v>
      </c>
      <c r="G1156" t="n">
        <v>1</v>
      </c>
      <c r="H1156" t="inlineStr">
        <is>
          <t>Player trade (max rank)</t>
        </is>
      </c>
      <c r="I1156" t="inlineStr">
        <is>
          <t>Yes</t>
        </is>
      </c>
      <c r="K1156" t="inlineStr">
        <is>
          <t>Collection</t>
        </is>
      </c>
      <c r="L1156" t="n">
        <v>90</v>
      </c>
      <c r="M1156" t="n">
        <v>125</v>
      </c>
      <c r="N1156" t="n">
        <v>143</v>
      </c>
      <c r="O1156" t="inlineStr">
        <is>
          <t>2026-10-05 UTC (WFM pull 02:52-04:00)</t>
        </is>
      </c>
      <c r="P1156" t="inlineStr">
        <is>
          <t>OK</t>
        </is>
      </c>
      <c r="R1156" t="inlineStr">
        <is>
          <t>Every current tradeable mod at MAX RANK (WFM catalogue, rivens/locators excluded)</t>
        </is>
      </c>
      <c r="S1156" t="inlineStr">
        <is>
          <t>primed_bane_of_infested</t>
        </is>
      </c>
      <c r="T1156" t="n">
        <v>14</v>
      </c>
      <c r="U1156" t="n">
        <v>14</v>
      </c>
      <c r="V1156" t="n">
        <v>120</v>
      </c>
      <c r="W1156" t="n">
        <v>120</v>
      </c>
      <c r="X1156" t="n">
        <v>113</v>
      </c>
      <c r="Y1156" t="n">
        <v>348</v>
      </c>
      <c r="Z1156" t="n">
        <v>5</v>
      </c>
      <c r="AA1156" t="n">
        <v>45</v>
      </c>
      <c r="AB1156" t="n">
        <v>45</v>
      </c>
      <c r="AN1156" t="inlineStr">
        <is>
          <t>Primed Rifle</t>
        </is>
      </c>
      <c r="AO1156" t="n">
        <v>40920</v>
      </c>
      <c r="AP1156" t="n">
        <v>1976436</v>
      </c>
      <c r="AQ1156" t="n">
        <v>50</v>
      </c>
      <c r="AS1156" t="inlineStr">
        <is>
          <t>Yes</t>
        </is>
      </c>
    </row>
    <row r="1157">
      <c r="A1157" t="inlineStr">
        <is>
          <t>Mod</t>
        </is>
      </c>
      <c r="B1157" t="inlineStr">
        <is>
          <t>Primed Bane Of Orokin</t>
        </is>
      </c>
      <c r="E1157" t="inlineStr">
        <is>
          <t>Primed Rifle</t>
        </is>
      </c>
      <c r="F1157" t="n">
        <v>10</v>
      </c>
      <c r="G1157" t="n">
        <v>1</v>
      </c>
      <c r="H1157" t="inlineStr">
        <is>
          <t>Player trade (max rank)</t>
        </is>
      </c>
      <c r="I1157" t="inlineStr">
        <is>
          <t>Yes</t>
        </is>
      </c>
      <c r="K1157" t="inlineStr">
        <is>
          <t>Collection</t>
        </is>
      </c>
      <c r="L1157" t="n">
        <v>80</v>
      </c>
      <c r="M1157" t="n">
        <v>130</v>
      </c>
      <c r="N1157" t="n">
        <v>152</v>
      </c>
      <c r="O1157" t="inlineStr">
        <is>
          <t>2026-10-05 UTC (WFM pull 02:52-04:00)</t>
        </is>
      </c>
      <c r="P1157" t="inlineStr">
        <is>
          <t>OK</t>
        </is>
      </c>
      <c r="R1157" t="inlineStr">
        <is>
          <t>Every current tradeable mod at MAX RANK (WFM catalogue, rivens/locators excluded)</t>
        </is>
      </c>
      <c r="S1157" t="inlineStr">
        <is>
          <t>primed_bane_of_orokin</t>
        </is>
      </c>
      <c r="T1157" t="n">
        <v>16</v>
      </c>
      <c r="U1157" t="n">
        <v>16</v>
      </c>
      <c r="V1157" t="n">
        <v>130</v>
      </c>
      <c r="W1157" t="n">
        <v>130</v>
      </c>
      <c r="X1157" t="n">
        <v>127.7</v>
      </c>
      <c r="Y1157" t="n">
        <v>404</v>
      </c>
      <c r="Z1157" t="n">
        <v>6</v>
      </c>
      <c r="AA1157" t="n">
        <v>55</v>
      </c>
      <c r="AB1157" t="n">
        <v>25</v>
      </c>
      <c r="AN1157" t="inlineStr">
        <is>
          <t>Primed Rifle</t>
        </is>
      </c>
      <c r="AO1157" t="n">
        <v>40920</v>
      </c>
      <c r="AP1157" t="n">
        <v>1976436</v>
      </c>
      <c r="AQ1157" t="n">
        <v>65</v>
      </c>
      <c r="AS1157" t="inlineStr">
        <is>
          <t>Yes</t>
        </is>
      </c>
    </row>
    <row r="1158">
      <c r="A1158" t="inlineStr">
        <is>
          <t>Mod</t>
        </is>
      </c>
      <c r="B1158" t="inlineStr">
        <is>
          <t>Primed Bane Of The Murmur</t>
        </is>
      </c>
      <c r="E1158" t="inlineStr">
        <is>
          <t>Primed Rifle</t>
        </is>
      </c>
      <c r="F1158" t="n">
        <v>10</v>
      </c>
      <c r="G1158" t="n">
        <v>1</v>
      </c>
      <c r="H1158" t="inlineStr">
        <is>
          <t>Player trade (max rank)</t>
        </is>
      </c>
      <c r="I1158" t="inlineStr">
        <is>
          <t>Yes</t>
        </is>
      </c>
      <c r="K1158" t="inlineStr">
        <is>
          <t>Collection</t>
        </is>
      </c>
      <c r="L1158" t="n">
        <v>108</v>
      </c>
      <c r="M1158" t="n">
        <v>115</v>
      </c>
      <c r="N1158" t="n">
        <v>143</v>
      </c>
      <c r="O1158" t="inlineStr">
        <is>
          <t>2026-10-05 UTC (WFM pull 02:52-04:00)</t>
        </is>
      </c>
      <c r="P1158" t="inlineStr">
        <is>
          <t>OK</t>
        </is>
      </c>
      <c r="R1158" t="inlineStr">
        <is>
          <t>Every current tradeable mod at MAX RANK (WFM catalogue, rivens/locators excluded)</t>
        </is>
      </c>
      <c r="S1158" t="inlineStr">
        <is>
          <t>primed_bane_of_the_murmur</t>
        </is>
      </c>
      <c r="T1158" t="n">
        <v>19</v>
      </c>
      <c r="U1158" t="n">
        <v>19</v>
      </c>
      <c r="V1158" t="n">
        <v>90</v>
      </c>
      <c r="W1158" t="n">
        <v>90</v>
      </c>
      <c r="X1158" t="n">
        <v>91.40000000000001</v>
      </c>
      <c r="Y1158" t="n">
        <v>214</v>
      </c>
      <c r="Z1158" t="n">
        <v>5</v>
      </c>
      <c r="AA1158" t="n">
        <v>30</v>
      </c>
      <c r="AB1158" t="n">
        <v>78</v>
      </c>
      <c r="AN1158" t="inlineStr">
        <is>
          <t>Primed Rifle</t>
        </is>
      </c>
      <c r="AO1158" t="n">
        <v>40920</v>
      </c>
      <c r="AP1158" t="n">
        <v>1976436</v>
      </c>
      <c r="AQ1158" t="n">
        <v>22.5</v>
      </c>
      <c r="AS1158" t="inlineStr">
        <is>
          <t>Yes</t>
        </is>
      </c>
    </row>
    <row r="1159">
      <c r="A1159" t="inlineStr">
        <is>
          <t>Mod</t>
        </is>
      </c>
      <c r="B1159" t="inlineStr">
        <is>
          <t>Primed Chamber</t>
        </is>
      </c>
      <c r="E1159" t="inlineStr">
        <is>
          <t>Primed Sniper</t>
        </is>
      </c>
      <c r="F1159" t="n">
        <v>3</v>
      </c>
      <c r="G1159" t="n">
        <v>1</v>
      </c>
      <c r="H1159" t="inlineStr">
        <is>
          <t>Player trade (max rank)</t>
        </is>
      </c>
      <c r="I1159" t="inlineStr">
        <is>
          <t>Yes</t>
        </is>
      </c>
      <c r="K1159" t="inlineStr">
        <is>
          <t>Collection</t>
        </is>
      </c>
      <c r="L1159" t="n">
        <v>270</v>
      </c>
      <c r="M1159" t="n">
        <v>280</v>
      </c>
      <c r="N1159" t="n">
        <v>308</v>
      </c>
      <c r="O1159" t="inlineStr">
        <is>
          <t>2026-10-05 UTC (WFM pull 02:52-04:00)</t>
        </is>
      </c>
      <c r="P1159" t="inlineStr">
        <is>
          <t>OK</t>
        </is>
      </c>
      <c r="R1159" t="inlineStr">
        <is>
          <t>Every current tradeable mod at MAX RANK (WFM catalogue, rivens/locators excluded)</t>
        </is>
      </c>
      <c r="S1159" t="inlineStr">
        <is>
          <t>primed_chamber</t>
        </is>
      </c>
      <c r="T1159" t="n">
        <v>19</v>
      </c>
      <c r="U1159" t="n">
        <v>19</v>
      </c>
      <c r="V1159" t="n">
        <v>277.5</v>
      </c>
      <c r="W1159" t="n">
        <v>269</v>
      </c>
      <c r="X1159" t="n">
        <v>267.6</v>
      </c>
      <c r="Y1159" t="n">
        <v>2274</v>
      </c>
      <c r="Z1159" t="n">
        <v>12</v>
      </c>
      <c r="AA1159" t="n">
        <v>200</v>
      </c>
      <c r="AB1159" t="n">
        <v>70</v>
      </c>
      <c r="AN1159" t="inlineStr">
        <is>
          <t>Primed Sniper</t>
        </is>
      </c>
      <c r="AO1159" t="n">
        <v>210</v>
      </c>
      <c r="AP1159" t="n">
        <v>10143</v>
      </c>
      <c r="AQ1159" t="n">
        <v>340</v>
      </c>
      <c r="AS1159" t="inlineStr">
        <is>
          <t>Yes</t>
        </is>
      </c>
    </row>
    <row r="1160">
      <c r="A1160" t="inlineStr">
        <is>
          <t>Mod</t>
        </is>
      </c>
      <c r="B1160" t="inlineStr">
        <is>
          <t>Primed Charged Shell</t>
        </is>
      </c>
      <c r="E1160" t="inlineStr">
        <is>
          <t>Primed Shotgun</t>
        </is>
      </c>
      <c r="F1160" t="n">
        <v>10</v>
      </c>
      <c r="G1160" t="n">
        <v>1</v>
      </c>
      <c r="H1160" t="inlineStr">
        <is>
          <t>Player trade (max rank)</t>
        </is>
      </c>
      <c r="I1160" t="inlineStr">
        <is>
          <t>Yes</t>
        </is>
      </c>
      <c r="K1160" t="inlineStr">
        <is>
          <t>Collection</t>
        </is>
      </c>
      <c r="L1160" t="n">
        <v>120</v>
      </c>
      <c r="M1160" t="n">
        <v>128</v>
      </c>
      <c r="N1160" t="n">
        <v>143</v>
      </c>
      <c r="O1160" t="inlineStr">
        <is>
          <t>2026-10-05 UTC (WFM pull 02:52-04:00)</t>
        </is>
      </c>
      <c r="P1160" t="inlineStr">
        <is>
          <t>OK</t>
        </is>
      </c>
      <c r="R1160" t="inlineStr">
        <is>
          <t>Every current tradeable mod at MAX RANK (WFM catalogue, rivens/locators excluded)</t>
        </is>
      </c>
      <c r="S1160" t="inlineStr">
        <is>
          <t>primed_charged_shell</t>
        </is>
      </c>
      <c r="T1160" t="n">
        <v>34</v>
      </c>
      <c r="U1160" t="n">
        <v>34</v>
      </c>
      <c r="V1160" t="n">
        <v>120</v>
      </c>
      <c r="W1160" t="n">
        <v>120</v>
      </c>
      <c r="X1160" t="n">
        <v>114</v>
      </c>
      <c r="Y1160" t="n">
        <v>2333</v>
      </c>
      <c r="Z1160" t="n">
        <v>57</v>
      </c>
      <c r="AA1160" t="n">
        <v>80</v>
      </c>
      <c r="AB1160" t="n">
        <v>40</v>
      </c>
      <c r="AN1160" t="inlineStr">
        <is>
          <t>Primed Shotgun</t>
        </is>
      </c>
      <c r="AO1160" t="n">
        <v>40920</v>
      </c>
      <c r="AP1160" t="n">
        <v>1976436</v>
      </c>
      <c r="AQ1160" t="n">
        <v>50</v>
      </c>
      <c r="AS1160" t="inlineStr">
        <is>
          <t>Yes</t>
        </is>
      </c>
    </row>
    <row r="1161">
      <c r="A1161" t="inlineStr">
        <is>
          <t>Mod</t>
        </is>
      </c>
      <c r="B1161" t="inlineStr">
        <is>
          <t>Primed Chilling Grasp</t>
        </is>
      </c>
      <c r="E1161" t="inlineStr">
        <is>
          <t>Primed Shotgun</t>
        </is>
      </c>
      <c r="F1161" t="n">
        <v>10</v>
      </c>
      <c r="G1161" t="n">
        <v>1</v>
      </c>
      <c r="H1161" t="inlineStr">
        <is>
          <t>Player trade (max rank)</t>
        </is>
      </c>
      <c r="I1161" t="inlineStr">
        <is>
          <t>Yes</t>
        </is>
      </c>
      <c r="K1161" t="inlineStr">
        <is>
          <t>Collection</t>
        </is>
      </c>
      <c r="L1161" t="n">
        <v>95</v>
      </c>
      <c r="M1161" t="n">
        <v>100</v>
      </c>
      <c r="N1161" t="n">
        <v>111</v>
      </c>
      <c r="O1161" t="inlineStr">
        <is>
          <t>2026-10-05 UTC (WFM pull 02:52-04:00)</t>
        </is>
      </c>
      <c r="P1161" t="inlineStr">
        <is>
          <t>OK</t>
        </is>
      </c>
      <c r="R1161" t="inlineStr">
        <is>
          <t>Every current tradeable mod at MAX RANK (WFM catalogue, rivens/locators excluded)</t>
        </is>
      </c>
      <c r="S1161" t="inlineStr">
        <is>
          <t>primed_chilling_grasp</t>
        </is>
      </c>
      <c r="T1161" t="n">
        <v>40</v>
      </c>
      <c r="U1161" t="n">
        <v>40</v>
      </c>
      <c r="V1161" t="n">
        <v>100</v>
      </c>
      <c r="W1161" t="n">
        <v>100</v>
      </c>
      <c r="X1161" t="n">
        <v>99.7</v>
      </c>
      <c r="Y1161" t="n">
        <v>2380</v>
      </c>
      <c r="Z1161" t="n">
        <v>56</v>
      </c>
      <c r="AA1161" t="n">
        <v>60</v>
      </c>
      <c r="AB1161" t="n">
        <v>35</v>
      </c>
      <c r="AN1161" t="inlineStr">
        <is>
          <t>Primed Shotgun</t>
        </is>
      </c>
      <c r="AO1161" t="n">
        <v>40920</v>
      </c>
      <c r="AP1161" t="n">
        <v>1976436</v>
      </c>
      <c r="AQ1161" t="n">
        <v>29</v>
      </c>
      <c r="AS1161" t="inlineStr">
        <is>
          <t>Yes</t>
        </is>
      </c>
    </row>
    <row r="1162">
      <c r="A1162" t="inlineStr">
        <is>
          <t>Mod</t>
        </is>
      </c>
      <c r="B1162" t="inlineStr">
        <is>
          <t>Primed Cleanse Corpus</t>
        </is>
      </c>
      <c r="E1162" t="inlineStr">
        <is>
          <t>Primed Shotgun</t>
        </is>
      </c>
      <c r="F1162" t="n">
        <v>10</v>
      </c>
      <c r="G1162" t="n">
        <v>1</v>
      </c>
      <c r="H1162" t="inlineStr">
        <is>
          <t>Player trade (max rank)</t>
        </is>
      </c>
      <c r="I1162" t="inlineStr">
        <is>
          <t>Yes</t>
        </is>
      </c>
      <c r="K1162" t="inlineStr">
        <is>
          <t>Collection</t>
        </is>
      </c>
      <c r="L1162" t="n">
        <v>95</v>
      </c>
      <c r="M1162" t="n">
        <v>140</v>
      </c>
      <c r="N1162" t="n">
        <v>164</v>
      </c>
      <c r="O1162" t="inlineStr">
        <is>
          <t>2026-10-05 UTC (WFM pull 02:52-04:00)</t>
        </is>
      </c>
      <c r="P1162" t="inlineStr">
        <is>
          <t>OK</t>
        </is>
      </c>
      <c r="R1162" t="inlineStr">
        <is>
          <t>Every current tradeable mod at MAX RANK (WFM catalogue, rivens/locators excluded)</t>
        </is>
      </c>
      <c r="S1162" t="inlineStr">
        <is>
          <t>primed_cleanse_corpus</t>
        </is>
      </c>
      <c r="T1162" t="n">
        <v>15</v>
      </c>
      <c r="U1162" t="n">
        <v>15</v>
      </c>
      <c r="V1162" t="n">
        <v>120</v>
      </c>
      <c r="W1162" t="n">
        <v>120</v>
      </c>
      <c r="X1162" t="n">
        <v>118.4</v>
      </c>
      <c r="Y1162" t="n">
        <v>149</v>
      </c>
      <c r="Z1162" t="n">
        <v>1</v>
      </c>
      <c r="AA1162" t="n">
        <v>60</v>
      </c>
      <c r="AB1162" t="n">
        <v>35</v>
      </c>
      <c r="AN1162" t="inlineStr">
        <is>
          <t>Primed Shotgun</t>
        </is>
      </c>
      <c r="AO1162" t="n">
        <v>40920</v>
      </c>
      <c r="AP1162" t="n">
        <v>1976436</v>
      </c>
      <c r="AQ1162" t="n">
        <v>60</v>
      </c>
      <c r="AS1162" t="inlineStr">
        <is>
          <t>Yes</t>
        </is>
      </c>
    </row>
    <row r="1163">
      <c r="A1163" t="inlineStr">
        <is>
          <t>Mod</t>
        </is>
      </c>
      <c r="B1163" t="inlineStr">
        <is>
          <t>Primed Cleanse Grineer</t>
        </is>
      </c>
      <c r="E1163" t="inlineStr">
        <is>
          <t>Primed Shotgun</t>
        </is>
      </c>
      <c r="F1163" t="n">
        <v>10</v>
      </c>
      <c r="G1163" t="n">
        <v>1</v>
      </c>
      <c r="H1163" t="inlineStr">
        <is>
          <t>Player trade (max rank)</t>
        </is>
      </c>
      <c r="I1163" t="inlineStr">
        <is>
          <t>Yes</t>
        </is>
      </c>
      <c r="K1163" t="inlineStr">
        <is>
          <t>Collection</t>
        </is>
      </c>
      <c r="L1163" t="n">
        <v>120</v>
      </c>
      <c r="M1163" t="n">
        <v>125</v>
      </c>
      <c r="N1163" t="n">
        <v>154</v>
      </c>
      <c r="O1163" t="inlineStr">
        <is>
          <t>2026-10-05 UTC (WFM pull 02:52-04:00)</t>
        </is>
      </c>
      <c r="P1163" t="inlineStr">
        <is>
          <t>OK</t>
        </is>
      </c>
      <c r="R1163" t="inlineStr">
        <is>
          <t>Every current tradeable mod at MAX RANK (WFM catalogue, rivens/locators excluded)</t>
        </is>
      </c>
      <c r="S1163" t="inlineStr">
        <is>
          <t>primed_cleanse_grineer</t>
        </is>
      </c>
      <c r="T1163" t="n">
        <v>18</v>
      </c>
      <c r="U1163" t="n">
        <v>18</v>
      </c>
      <c r="V1163" t="n">
        <v>132</v>
      </c>
      <c r="W1163" t="n">
        <v>132</v>
      </c>
      <c r="X1163" t="n">
        <v>131.5</v>
      </c>
      <c r="Y1163" t="n">
        <v>222</v>
      </c>
      <c r="Z1163" t="n">
        <v>4</v>
      </c>
      <c r="AA1163" t="n">
        <v>70</v>
      </c>
      <c r="AB1163" t="n">
        <v>50</v>
      </c>
      <c r="AN1163" t="inlineStr">
        <is>
          <t>Primed Shotgun</t>
        </is>
      </c>
      <c r="AO1163" t="n">
        <v>40920</v>
      </c>
      <c r="AP1163" t="n">
        <v>1976436</v>
      </c>
      <c r="AQ1163" t="n">
        <v>75</v>
      </c>
      <c r="AS1163" t="inlineStr">
        <is>
          <t>Yes</t>
        </is>
      </c>
    </row>
    <row r="1164">
      <c r="A1164" t="inlineStr">
        <is>
          <t>Mod</t>
        </is>
      </c>
      <c r="B1164" t="inlineStr">
        <is>
          <t>Primed Cleanse Infested</t>
        </is>
      </c>
      <c r="E1164" t="inlineStr">
        <is>
          <t>Primed Shotgun</t>
        </is>
      </c>
      <c r="F1164" t="n">
        <v>10</v>
      </c>
      <c r="G1164" t="n">
        <v>1</v>
      </c>
      <c r="H1164" t="inlineStr">
        <is>
          <t>Player trade (max rank)</t>
        </is>
      </c>
      <c r="I1164" t="inlineStr">
        <is>
          <t>Yes</t>
        </is>
      </c>
      <c r="K1164" t="inlineStr">
        <is>
          <t>Collection</t>
        </is>
      </c>
      <c r="L1164" t="n">
        <v>85</v>
      </c>
      <c r="M1164" t="n">
        <v>115</v>
      </c>
      <c r="N1164" t="n">
        <v>176</v>
      </c>
      <c r="O1164" t="inlineStr">
        <is>
          <t>2026-10-05 UTC (WFM pull 02:52-04:00)</t>
        </is>
      </c>
      <c r="P1164" t="inlineStr">
        <is>
          <t>OK</t>
        </is>
      </c>
      <c r="R1164" t="inlineStr">
        <is>
          <t>Every current tradeable mod at MAX RANK (WFM catalogue, rivens/locators excluded)</t>
        </is>
      </c>
      <c r="S1164" t="inlineStr">
        <is>
          <t>primed_cleanse_infested</t>
        </is>
      </c>
      <c r="T1164" t="n">
        <v>23</v>
      </c>
      <c r="U1164" t="n">
        <v>23</v>
      </c>
      <c r="V1164" t="n">
        <v>160</v>
      </c>
      <c r="W1164" t="n">
        <v>150</v>
      </c>
      <c r="X1164" t="n">
        <v>150.6</v>
      </c>
      <c r="Y1164" t="n">
        <v>198</v>
      </c>
      <c r="Z1164" t="n">
        <v>10</v>
      </c>
      <c r="AA1164" t="n">
        <v>60</v>
      </c>
      <c r="AB1164" t="n">
        <v>25</v>
      </c>
      <c r="AN1164" t="inlineStr">
        <is>
          <t>Primed Shotgun</t>
        </is>
      </c>
      <c r="AO1164" t="n">
        <v>40920</v>
      </c>
      <c r="AP1164" t="n">
        <v>1976436</v>
      </c>
      <c r="AQ1164" t="n">
        <v>35</v>
      </c>
      <c r="AS1164" t="inlineStr">
        <is>
          <t>Yes</t>
        </is>
      </c>
    </row>
    <row r="1165">
      <c r="A1165" t="inlineStr">
        <is>
          <t>Mod</t>
        </is>
      </c>
      <c r="B1165" t="inlineStr">
        <is>
          <t>Primed Cleanse Orokin</t>
        </is>
      </c>
      <c r="E1165" t="inlineStr">
        <is>
          <t>Primed Shotgun</t>
        </is>
      </c>
      <c r="F1165" t="n">
        <v>10</v>
      </c>
      <c r="G1165" t="n">
        <v>1</v>
      </c>
      <c r="H1165" t="inlineStr">
        <is>
          <t>Player trade (max rank)</t>
        </is>
      </c>
      <c r="I1165" t="inlineStr">
        <is>
          <t>Yes</t>
        </is>
      </c>
      <c r="K1165" t="inlineStr">
        <is>
          <t>Collection</t>
        </is>
      </c>
      <c r="L1165" t="n">
        <v>132</v>
      </c>
      <c r="M1165" t="n">
        <v>140</v>
      </c>
      <c r="N1165" t="n">
        <v>175</v>
      </c>
      <c r="O1165" t="inlineStr">
        <is>
          <t>2026-10-05 UTC (WFM pull 02:52-04:00)</t>
        </is>
      </c>
      <c r="P1165" t="inlineStr">
        <is>
          <t>OK</t>
        </is>
      </c>
      <c r="R1165" t="inlineStr">
        <is>
          <t>Every current tradeable mod at MAX RANK (WFM catalogue, rivens/locators excluded)</t>
        </is>
      </c>
      <c r="S1165" t="inlineStr">
        <is>
          <t>primed_cleanse_orokin</t>
        </is>
      </c>
      <c r="T1165" t="n">
        <v>10</v>
      </c>
      <c r="U1165" t="n">
        <v>10</v>
      </c>
      <c r="V1165" t="n">
        <v>130</v>
      </c>
      <c r="W1165" t="n">
        <v>130</v>
      </c>
      <c r="X1165" t="n">
        <v>130.6</v>
      </c>
      <c r="Y1165" t="n">
        <v>264</v>
      </c>
      <c r="Z1165" t="n">
        <v>8</v>
      </c>
      <c r="AA1165" t="n">
        <v>55</v>
      </c>
      <c r="AB1165" t="n">
        <v>77</v>
      </c>
      <c r="AN1165" t="inlineStr">
        <is>
          <t>Primed Shotgun</t>
        </is>
      </c>
      <c r="AO1165" t="n">
        <v>40920</v>
      </c>
      <c r="AP1165" t="n">
        <v>1976436</v>
      </c>
      <c r="AQ1165" t="n">
        <v>60</v>
      </c>
      <c r="AS1165" t="inlineStr">
        <is>
          <t>Yes</t>
        </is>
      </c>
    </row>
    <row r="1166">
      <c r="A1166" t="inlineStr">
        <is>
          <t>Mod</t>
        </is>
      </c>
      <c r="B1166" t="inlineStr">
        <is>
          <t>Primed Cleanse The Murmur</t>
        </is>
      </c>
      <c r="E1166" t="inlineStr">
        <is>
          <t>Primed Shotgun</t>
        </is>
      </c>
      <c r="F1166" t="n">
        <v>10</v>
      </c>
      <c r="G1166" t="n">
        <v>1</v>
      </c>
      <c r="H1166" t="inlineStr">
        <is>
          <t>Player trade (max rank)</t>
        </is>
      </c>
      <c r="I1166" t="inlineStr">
        <is>
          <t>Yes</t>
        </is>
      </c>
      <c r="K1166" t="inlineStr">
        <is>
          <t>Collection</t>
        </is>
      </c>
      <c r="L1166" t="n">
        <v>135</v>
      </c>
      <c r="M1166" t="n">
        <v>140</v>
      </c>
      <c r="N1166" t="n">
        <v>164</v>
      </c>
      <c r="O1166" t="inlineStr">
        <is>
          <t>2026-10-05 UTC (WFM pull 02:52-04:00)</t>
        </is>
      </c>
      <c r="P1166" t="inlineStr">
        <is>
          <t>OK</t>
        </is>
      </c>
      <c r="R1166" t="inlineStr">
        <is>
          <t>Every current tradeable mod at MAX RANK (WFM catalogue, rivens/locators excluded)</t>
        </is>
      </c>
      <c r="S1166" t="inlineStr">
        <is>
          <t>primed_cleanse_the_murmur</t>
        </is>
      </c>
      <c r="T1166" t="n">
        <v>12</v>
      </c>
      <c r="U1166" t="n">
        <v>12</v>
      </c>
      <c r="V1166" t="n">
        <v>129</v>
      </c>
      <c r="W1166" t="n">
        <v>129.5</v>
      </c>
      <c r="X1166" t="n">
        <v>124.9</v>
      </c>
      <c r="Y1166" t="n">
        <v>146</v>
      </c>
      <c r="Z1166" t="n">
        <v>5</v>
      </c>
      <c r="AN1166" t="inlineStr">
        <is>
          <t>Primed Shotgun</t>
        </is>
      </c>
      <c r="AO1166" t="n">
        <v>40920</v>
      </c>
      <c r="AP1166" t="n">
        <v>1976436</v>
      </c>
      <c r="AQ1166" t="n">
        <v>52.5</v>
      </c>
      <c r="AS1166" t="inlineStr">
        <is>
          <t>Yes</t>
        </is>
      </c>
    </row>
    <row r="1167">
      <c r="A1167" t="inlineStr">
        <is>
          <t>Mod</t>
        </is>
      </c>
      <c r="B1167" t="inlineStr">
        <is>
          <t>Primed Combustion Rounds</t>
        </is>
      </c>
      <c r="E1167" t="inlineStr">
        <is>
          <t>Primed Archgun</t>
        </is>
      </c>
      <c r="F1167" t="n">
        <v>10</v>
      </c>
      <c r="G1167" t="n">
        <v>1</v>
      </c>
      <c r="H1167" t="inlineStr">
        <is>
          <t>Player trade (max rank)</t>
        </is>
      </c>
      <c r="I1167" t="inlineStr">
        <is>
          <t>Yes</t>
        </is>
      </c>
      <c r="K1167" t="inlineStr">
        <is>
          <t>Collection</t>
        </is>
      </c>
      <c r="L1167" t="n">
        <v>135</v>
      </c>
      <c r="M1167" t="n">
        <v>140</v>
      </c>
      <c r="N1167" t="n">
        <v>154</v>
      </c>
      <c r="O1167" t="inlineStr">
        <is>
          <t>2026-10-05 UTC (WFM pull 02:52-04:00)</t>
        </is>
      </c>
      <c r="P1167" t="inlineStr">
        <is>
          <t>OK</t>
        </is>
      </c>
      <c r="R1167" t="inlineStr">
        <is>
          <t>Every current tradeable mod at MAX RANK (WFM catalogue, rivens/locators excluded)</t>
        </is>
      </c>
      <c r="S1167" t="inlineStr">
        <is>
          <t>primed_combustion_rounds</t>
        </is>
      </c>
      <c r="T1167" t="n">
        <v>13</v>
      </c>
      <c r="U1167" t="n">
        <v>13</v>
      </c>
      <c r="V1167" t="n">
        <v>135</v>
      </c>
      <c r="W1167" t="n">
        <v>127.5</v>
      </c>
      <c r="X1167" t="n">
        <v>122.2</v>
      </c>
      <c r="Y1167" t="n">
        <v>772</v>
      </c>
      <c r="Z1167" t="n">
        <v>22</v>
      </c>
      <c r="AA1167" t="n">
        <v>101</v>
      </c>
      <c r="AB1167" t="n">
        <v>34</v>
      </c>
      <c r="AN1167" t="inlineStr">
        <is>
          <t>Primed Archgun</t>
        </is>
      </c>
      <c r="AO1167" t="n">
        <v>40920</v>
      </c>
      <c r="AP1167" t="n">
        <v>1976436</v>
      </c>
      <c r="AQ1167" t="n">
        <v>70</v>
      </c>
      <c r="AS1167" t="inlineStr">
        <is>
          <t>Yes</t>
        </is>
      </c>
    </row>
    <row r="1168">
      <c r="A1168" t="inlineStr">
        <is>
          <t>Mod</t>
        </is>
      </c>
      <c r="B1168" t="inlineStr">
        <is>
          <t>Primed Continuity</t>
        </is>
      </c>
      <c r="E1168" t="inlineStr">
        <is>
          <t>Primed Warframe</t>
        </is>
      </c>
      <c r="F1168" t="n">
        <v>10</v>
      </c>
      <c r="G1168" t="n">
        <v>1</v>
      </c>
      <c r="H1168" t="inlineStr">
        <is>
          <t>Player trade (max rank)</t>
        </is>
      </c>
      <c r="I1168" t="inlineStr">
        <is>
          <t>Yes</t>
        </is>
      </c>
      <c r="K1168" t="inlineStr">
        <is>
          <t>Collection</t>
        </is>
      </c>
      <c r="L1168" t="n">
        <v>100</v>
      </c>
      <c r="M1168" t="n">
        <v>115</v>
      </c>
      <c r="N1168" t="n">
        <v>132</v>
      </c>
      <c r="O1168" t="inlineStr">
        <is>
          <t>2026-10-05 UTC (WFM pull 02:52-04:00)</t>
        </is>
      </c>
      <c r="P1168" t="inlineStr">
        <is>
          <t>OK</t>
        </is>
      </c>
      <c r="R1168" t="inlineStr">
        <is>
          <t>Every current tradeable mod at MAX RANK (WFM catalogue, rivens/locators excluded)</t>
        </is>
      </c>
      <c r="S1168" t="inlineStr">
        <is>
          <t>primed_continuity</t>
        </is>
      </c>
      <c r="T1168" t="n">
        <v>35</v>
      </c>
      <c r="U1168" t="n">
        <v>35</v>
      </c>
      <c r="V1168" t="n">
        <v>112</v>
      </c>
      <c r="W1168" t="n">
        <v>100</v>
      </c>
      <c r="X1168" t="n">
        <v>100.2</v>
      </c>
      <c r="Y1168" t="n">
        <v>5600</v>
      </c>
      <c r="Z1168" t="n">
        <v>116</v>
      </c>
      <c r="AA1168" t="n">
        <v>65</v>
      </c>
      <c r="AB1168" t="n">
        <v>35</v>
      </c>
      <c r="AN1168" t="inlineStr">
        <is>
          <t>Primed Warframe</t>
        </is>
      </c>
      <c r="AO1168" t="n">
        <v>40920</v>
      </c>
      <c r="AP1168" t="n">
        <v>1976436</v>
      </c>
      <c r="AQ1168" t="n">
        <v>50</v>
      </c>
      <c r="AS1168" t="inlineStr">
        <is>
          <t>Yes</t>
        </is>
      </c>
    </row>
    <row r="1169">
      <c r="A1169" t="inlineStr">
        <is>
          <t>Mod</t>
        </is>
      </c>
      <c r="B1169" t="inlineStr">
        <is>
          <t>Primed Convulsion</t>
        </is>
      </c>
      <c r="E1169" t="inlineStr">
        <is>
          <t>Primed Pistol</t>
        </is>
      </c>
      <c r="F1169" t="n">
        <v>10</v>
      </c>
      <c r="G1169" t="n">
        <v>1</v>
      </c>
      <c r="H1169" t="inlineStr">
        <is>
          <t>Player trade (max rank)</t>
        </is>
      </c>
      <c r="I1169" t="inlineStr">
        <is>
          <t>Yes</t>
        </is>
      </c>
      <c r="K1169" t="inlineStr">
        <is>
          <t>Collection</t>
        </is>
      </c>
      <c r="L1169" t="n">
        <v>100</v>
      </c>
      <c r="M1169" t="n">
        <v>110</v>
      </c>
      <c r="N1169" t="n">
        <v>131</v>
      </c>
      <c r="O1169" t="inlineStr">
        <is>
          <t>2026-10-05 UTC (WFM pull 02:52-04:00)</t>
        </is>
      </c>
      <c r="P1169" t="inlineStr">
        <is>
          <t>OK</t>
        </is>
      </c>
      <c r="R1169" t="inlineStr">
        <is>
          <t>Every current tradeable mod at MAX RANK (WFM catalogue, rivens/locators excluded)</t>
        </is>
      </c>
      <c r="S1169" t="inlineStr">
        <is>
          <t>primed_convulsion</t>
        </is>
      </c>
      <c r="T1169" t="n">
        <v>54</v>
      </c>
      <c r="U1169" t="n">
        <v>54</v>
      </c>
      <c r="V1169" t="n">
        <v>99</v>
      </c>
      <c r="W1169" t="n">
        <v>127</v>
      </c>
      <c r="X1169" t="n">
        <v>118.6</v>
      </c>
      <c r="Y1169" t="n">
        <v>3124</v>
      </c>
      <c r="Z1169" t="n">
        <v>71</v>
      </c>
      <c r="AA1169" t="n">
        <v>70</v>
      </c>
      <c r="AB1169" t="n">
        <v>30</v>
      </c>
      <c r="AN1169" t="inlineStr">
        <is>
          <t>Primed Pistol</t>
        </is>
      </c>
      <c r="AO1169" t="n">
        <v>40920</v>
      </c>
      <c r="AP1169" t="n">
        <v>1976436</v>
      </c>
      <c r="AQ1169" t="n">
        <v>35</v>
      </c>
      <c r="AS1169" t="inlineStr">
        <is>
          <t>Yes</t>
        </is>
      </c>
    </row>
    <row r="1170">
      <c r="A1170" t="inlineStr">
        <is>
          <t>Mod</t>
        </is>
      </c>
      <c r="B1170" t="inlineStr">
        <is>
          <t>Primed Counterbalance</t>
        </is>
      </c>
      <c r="E1170" t="inlineStr">
        <is>
          <t>Primed Shotgun</t>
        </is>
      </c>
      <c r="F1170" t="n">
        <v>10</v>
      </c>
      <c r="G1170" t="n">
        <v>1</v>
      </c>
      <c r="H1170" t="inlineStr">
        <is>
          <t>Player trade (max rank)</t>
        </is>
      </c>
      <c r="I1170" t="inlineStr">
        <is>
          <t>Yes</t>
        </is>
      </c>
      <c r="K1170" t="inlineStr">
        <is>
          <t>Collection</t>
        </is>
      </c>
      <c r="L1170" t="n">
        <v>105</v>
      </c>
      <c r="M1170" t="n">
        <v>117</v>
      </c>
      <c r="N1170" t="n">
        <v>130</v>
      </c>
      <c r="O1170" t="inlineStr">
        <is>
          <t>2026-10-05 UTC (WFM pull 02:52-04:00)</t>
        </is>
      </c>
      <c r="P1170" t="inlineStr">
        <is>
          <t>OK</t>
        </is>
      </c>
      <c r="R1170" t="inlineStr">
        <is>
          <t>Every current tradeable mod at MAX RANK (WFM catalogue, rivens/locators excluded)</t>
        </is>
      </c>
      <c r="S1170" t="inlineStr">
        <is>
          <t>primed_counterbalance</t>
        </is>
      </c>
      <c r="T1170" t="n">
        <v>27</v>
      </c>
      <c r="U1170" t="n">
        <v>27</v>
      </c>
      <c r="V1170" t="n">
        <v>110</v>
      </c>
      <c r="W1170" t="n">
        <v>115</v>
      </c>
      <c r="X1170" t="n">
        <v>118.6</v>
      </c>
      <c r="Y1170" t="n">
        <v>517</v>
      </c>
      <c r="Z1170" t="n">
        <v>23</v>
      </c>
      <c r="AA1170" t="n">
        <v>86</v>
      </c>
      <c r="AB1170" t="n">
        <v>19</v>
      </c>
      <c r="AN1170" t="inlineStr">
        <is>
          <t>Primed Shotgun</t>
        </is>
      </c>
      <c r="AO1170" t="n">
        <v>40920</v>
      </c>
      <c r="AP1170" t="n">
        <v>1976436</v>
      </c>
      <c r="AQ1170" t="n">
        <v>54</v>
      </c>
      <c r="AS1170" t="inlineStr">
        <is>
          <t>Yes</t>
        </is>
      </c>
    </row>
    <row r="1171">
      <c r="A1171" t="inlineStr">
        <is>
          <t>Mod</t>
        </is>
      </c>
      <c r="B1171" t="inlineStr">
        <is>
          <t>Primed Cryo Rounds</t>
        </is>
      </c>
      <c r="E1171" t="inlineStr">
        <is>
          <t>Primed Rifle</t>
        </is>
      </c>
      <c r="F1171" t="n">
        <v>10</v>
      </c>
      <c r="G1171" t="n">
        <v>1</v>
      </c>
      <c r="H1171" t="inlineStr">
        <is>
          <t>Player trade (max rank)</t>
        </is>
      </c>
      <c r="I1171" t="inlineStr">
        <is>
          <t>Yes</t>
        </is>
      </c>
      <c r="K1171" t="inlineStr">
        <is>
          <t>Collection</t>
        </is>
      </c>
      <c r="L1171" t="n">
        <v>85</v>
      </c>
      <c r="M1171" t="n">
        <v>95</v>
      </c>
      <c r="N1171" t="n">
        <v>143</v>
      </c>
      <c r="O1171" t="inlineStr">
        <is>
          <t>2026-10-05 UTC (WFM pull 02:52-04:00)</t>
        </is>
      </c>
      <c r="P1171" t="inlineStr">
        <is>
          <t>OK</t>
        </is>
      </c>
      <c r="R1171" t="inlineStr">
        <is>
          <t>Every current tradeable mod at MAX RANK (WFM catalogue, rivens/locators excluded)</t>
        </is>
      </c>
      <c r="S1171" t="inlineStr">
        <is>
          <t>primed_cryo_rounds</t>
        </is>
      </c>
      <c r="T1171" t="n">
        <v>46</v>
      </c>
      <c r="U1171" t="n">
        <v>46</v>
      </c>
      <c r="V1171" t="n">
        <v>130</v>
      </c>
      <c r="W1171" t="n">
        <v>129</v>
      </c>
      <c r="X1171" t="n">
        <v>124.2</v>
      </c>
      <c r="Y1171" t="n">
        <v>3437</v>
      </c>
      <c r="Z1171" t="n">
        <v>34</v>
      </c>
      <c r="AA1171" t="n">
        <v>60</v>
      </c>
      <c r="AB1171" t="n">
        <v>25</v>
      </c>
      <c r="AN1171" t="inlineStr">
        <is>
          <t>Primed Rifle</t>
        </is>
      </c>
      <c r="AO1171" t="n">
        <v>40920</v>
      </c>
      <c r="AP1171" t="n">
        <v>1976436</v>
      </c>
      <c r="AQ1171" t="n">
        <v>24</v>
      </c>
      <c r="AS1171" t="inlineStr">
        <is>
          <t>Yes</t>
        </is>
      </c>
    </row>
    <row r="1172">
      <c r="A1172" t="inlineStr">
        <is>
          <t>Mod</t>
        </is>
      </c>
      <c r="B1172" t="inlineStr">
        <is>
          <t>Primed Deadly Efficiency</t>
        </is>
      </c>
      <c r="E1172" t="inlineStr">
        <is>
          <t>Primed Archgun</t>
        </is>
      </c>
      <c r="F1172" t="n">
        <v>10</v>
      </c>
      <c r="G1172" t="n">
        <v>1</v>
      </c>
      <c r="H1172" t="inlineStr">
        <is>
          <t>Player trade (max rank)</t>
        </is>
      </c>
      <c r="I1172" t="inlineStr">
        <is>
          <t>Yes</t>
        </is>
      </c>
      <c r="K1172" t="inlineStr">
        <is>
          <t>Collection</t>
        </is>
      </c>
      <c r="L1172" t="n">
        <v>120</v>
      </c>
      <c r="M1172" t="n">
        <v>140</v>
      </c>
      <c r="N1172" t="n">
        <v>164</v>
      </c>
      <c r="O1172" t="inlineStr">
        <is>
          <t>2026-10-05 UTC (WFM pull 02:52-04:00)</t>
        </is>
      </c>
      <c r="P1172" t="inlineStr">
        <is>
          <t>OK</t>
        </is>
      </c>
      <c r="R1172" t="inlineStr">
        <is>
          <t>Every current tradeable mod at MAX RANK (WFM catalogue, rivens/locators excluded)</t>
        </is>
      </c>
      <c r="S1172" t="inlineStr">
        <is>
          <t>primed_deadly_efficiency</t>
        </is>
      </c>
      <c r="T1172" t="n">
        <v>14</v>
      </c>
      <c r="U1172" t="n">
        <v>14</v>
      </c>
      <c r="V1172" t="n">
        <v>135</v>
      </c>
      <c r="W1172" t="n">
        <v>135</v>
      </c>
      <c r="X1172" t="n">
        <v>131.5</v>
      </c>
      <c r="Y1172" t="n">
        <v>191</v>
      </c>
      <c r="Z1172" t="n">
        <v>15</v>
      </c>
      <c r="AA1172" t="n">
        <v>60</v>
      </c>
      <c r="AB1172" t="n">
        <v>60</v>
      </c>
      <c r="AN1172" t="inlineStr">
        <is>
          <t>Primed Archgun</t>
        </is>
      </c>
      <c r="AO1172" t="n">
        <v>40920</v>
      </c>
      <c r="AP1172" t="n">
        <v>1976436</v>
      </c>
      <c r="AQ1172" t="n">
        <v>46.5</v>
      </c>
      <c r="AS1172" t="inlineStr">
        <is>
          <t>Yes</t>
        </is>
      </c>
    </row>
    <row r="1173">
      <c r="A1173" t="inlineStr">
        <is>
          <t>Mod</t>
        </is>
      </c>
      <c r="B1173" t="inlineStr">
        <is>
          <t>Primed Dual Rounds</t>
        </is>
      </c>
      <c r="E1173" t="inlineStr">
        <is>
          <t>Primed Archgun</t>
        </is>
      </c>
      <c r="F1173" t="n">
        <v>10</v>
      </c>
      <c r="G1173" t="n">
        <v>1</v>
      </c>
      <c r="H1173" t="inlineStr">
        <is>
          <t>Player trade (max rank)</t>
        </is>
      </c>
      <c r="I1173" t="inlineStr">
        <is>
          <t>Yes</t>
        </is>
      </c>
      <c r="K1173" t="inlineStr">
        <is>
          <t>Collection</t>
        </is>
      </c>
      <c r="L1173" t="n">
        <v>109</v>
      </c>
      <c r="M1173" t="n">
        <v>118</v>
      </c>
      <c r="N1173" t="n">
        <v>149</v>
      </c>
      <c r="O1173" t="inlineStr">
        <is>
          <t>2026-10-05 UTC (WFM pull 02:52-04:00)</t>
        </is>
      </c>
      <c r="P1173" t="inlineStr">
        <is>
          <t>OK</t>
        </is>
      </c>
      <c r="R1173" t="inlineStr">
        <is>
          <t>Every current tradeable mod at MAX RANK (WFM catalogue, rivens/locators excluded)</t>
        </is>
      </c>
      <c r="S1173" t="inlineStr">
        <is>
          <t>primed_dual_rounds</t>
        </is>
      </c>
      <c r="T1173" t="n">
        <v>44</v>
      </c>
      <c r="U1173" t="n">
        <v>44</v>
      </c>
      <c r="V1173" t="n">
        <v>135</v>
      </c>
      <c r="W1173" t="n">
        <v>130</v>
      </c>
      <c r="X1173" t="n">
        <v>127.5</v>
      </c>
      <c r="Y1173" t="n">
        <v>1387</v>
      </c>
      <c r="Z1173" t="n">
        <v>35</v>
      </c>
      <c r="AA1173" t="n">
        <v>91</v>
      </c>
      <c r="AB1173" t="n">
        <v>18</v>
      </c>
      <c r="AN1173" t="inlineStr">
        <is>
          <t>Primed Archgun</t>
        </is>
      </c>
      <c r="AO1173" t="n">
        <v>40920</v>
      </c>
      <c r="AP1173" t="n">
        <v>1976436</v>
      </c>
      <c r="AQ1173" t="n">
        <v>45</v>
      </c>
      <c r="AS1173" t="inlineStr">
        <is>
          <t>Yes</t>
        </is>
      </c>
    </row>
    <row r="1174">
      <c r="A1174" t="inlineStr">
        <is>
          <t>Mod</t>
        </is>
      </c>
      <c r="B1174" t="inlineStr">
        <is>
          <t>Primed Expel Corpus</t>
        </is>
      </c>
      <c r="E1174" t="inlineStr">
        <is>
          <t>Primed Pistol</t>
        </is>
      </c>
      <c r="F1174" t="n">
        <v>10</v>
      </c>
      <c r="G1174" t="n">
        <v>1</v>
      </c>
      <c r="H1174" t="inlineStr">
        <is>
          <t>Player trade (max rank)</t>
        </is>
      </c>
      <c r="I1174" t="inlineStr">
        <is>
          <t>Yes</t>
        </is>
      </c>
      <c r="K1174" t="inlineStr">
        <is>
          <t>Collection</t>
        </is>
      </c>
      <c r="L1174" t="n">
        <v>110</v>
      </c>
      <c r="M1174" t="n">
        <v>130</v>
      </c>
      <c r="N1174" t="n">
        <v>143</v>
      </c>
      <c r="O1174" t="inlineStr">
        <is>
          <t>2026-10-05 UTC (WFM pull 02:52-04:00)</t>
        </is>
      </c>
      <c r="P1174" t="inlineStr">
        <is>
          <t>OK</t>
        </is>
      </c>
      <c r="R1174" t="inlineStr">
        <is>
          <t>Every current tradeable mod at MAX RANK (WFM catalogue, rivens/locators excluded)</t>
        </is>
      </c>
      <c r="S1174" t="inlineStr">
        <is>
          <t>primed_expel_corpus</t>
        </is>
      </c>
      <c r="T1174" t="n">
        <v>14</v>
      </c>
      <c r="U1174" t="n">
        <v>14</v>
      </c>
      <c r="V1174" t="n">
        <v>109</v>
      </c>
      <c r="W1174" t="n">
        <v>125</v>
      </c>
      <c r="X1174" t="n">
        <v>121.6</v>
      </c>
      <c r="Y1174" t="n">
        <v>165</v>
      </c>
      <c r="Z1174" t="n">
        <v>8</v>
      </c>
      <c r="AA1174" t="n">
        <v>50</v>
      </c>
      <c r="AB1174" t="n">
        <v>60</v>
      </c>
      <c r="AN1174" t="inlineStr">
        <is>
          <t>Primed Pistol</t>
        </is>
      </c>
      <c r="AO1174" t="n">
        <v>40920</v>
      </c>
      <c r="AP1174" t="n">
        <v>1976436</v>
      </c>
      <c r="AQ1174" t="n">
        <v>44.2</v>
      </c>
      <c r="AS1174" t="inlineStr">
        <is>
          <t>Yes</t>
        </is>
      </c>
    </row>
    <row r="1175">
      <c r="A1175" t="inlineStr">
        <is>
          <t>Mod</t>
        </is>
      </c>
      <c r="B1175" t="inlineStr">
        <is>
          <t>Primed Expel Grineer</t>
        </is>
      </c>
      <c r="E1175" t="inlineStr">
        <is>
          <t>Primed Pistol</t>
        </is>
      </c>
      <c r="F1175" t="n">
        <v>10</v>
      </c>
      <c r="G1175" t="n">
        <v>1</v>
      </c>
      <c r="H1175" t="inlineStr">
        <is>
          <t>Player trade (max rank)</t>
        </is>
      </c>
      <c r="I1175" t="inlineStr">
        <is>
          <t>Yes</t>
        </is>
      </c>
      <c r="K1175" t="inlineStr">
        <is>
          <t>Collection</t>
        </is>
      </c>
      <c r="L1175" t="n">
        <v>100</v>
      </c>
      <c r="M1175" t="n">
        <v>130</v>
      </c>
      <c r="N1175" t="n">
        <v>160</v>
      </c>
      <c r="O1175" t="inlineStr">
        <is>
          <t>2026-10-05 UTC (WFM pull 02:52-04:00)</t>
        </is>
      </c>
      <c r="P1175" t="inlineStr">
        <is>
          <t>OK</t>
        </is>
      </c>
      <c r="R1175" t="inlineStr">
        <is>
          <t>Every current tradeable mod at MAX RANK (WFM catalogue, rivens/locators excluded)</t>
        </is>
      </c>
      <c r="S1175" t="inlineStr">
        <is>
          <t>primed_expel_grineer</t>
        </is>
      </c>
      <c r="T1175" t="n">
        <v>13</v>
      </c>
      <c r="U1175" t="n">
        <v>13</v>
      </c>
      <c r="V1175" t="n">
        <v>109</v>
      </c>
      <c r="W1175" t="n">
        <v>122.5</v>
      </c>
      <c r="X1175" t="n">
        <v>119.6</v>
      </c>
      <c r="Y1175" t="n">
        <v>177</v>
      </c>
      <c r="Z1175" t="n">
        <v>4</v>
      </c>
      <c r="AA1175" t="n">
        <v>40</v>
      </c>
      <c r="AB1175" t="n">
        <v>60</v>
      </c>
      <c r="AN1175" t="inlineStr">
        <is>
          <t>Primed Pistol</t>
        </is>
      </c>
      <c r="AO1175" t="n">
        <v>40920</v>
      </c>
      <c r="AP1175" t="n">
        <v>1976436</v>
      </c>
      <c r="AQ1175" t="n">
        <v>43.5</v>
      </c>
      <c r="AS1175" t="inlineStr">
        <is>
          <t>Yes</t>
        </is>
      </c>
    </row>
    <row r="1176">
      <c r="A1176" t="inlineStr">
        <is>
          <t>Mod</t>
        </is>
      </c>
      <c r="B1176" t="inlineStr">
        <is>
          <t>Primed Expel Infested</t>
        </is>
      </c>
      <c r="E1176" t="inlineStr">
        <is>
          <t>Primed Pistol</t>
        </is>
      </c>
      <c r="F1176" t="n">
        <v>10</v>
      </c>
      <c r="G1176" t="n">
        <v>1</v>
      </c>
      <c r="H1176" t="inlineStr">
        <is>
          <t>Player trade (max rank)</t>
        </is>
      </c>
      <c r="I1176" t="inlineStr">
        <is>
          <t>Yes</t>
        </is>
      </c>
      <c r="K1176" t="inlineStr">
        <is>
          <t>Collection</t>
        </is>
      </c>
      <c r="L1176" t="n">
        <v>149</v>
      </c>
      <c r="M1176" t="n">
        <v>165</v>
      </c>
      <c r="N1176" t="n">
        <v>199</v>
      </c>
      <c r="O1176" t="inlineStr">
        <is>
          <t>2026-10-05 UTC (WFM pull 02:52-04:00)</t>
        </is>
      </c>
      <c r="P1176" t="inlineStr">
        <is>
          <t>OK</t>
        </is>
      </c>
      <c r="R1176" t="inlineStr">
        <is>
          <t>Every current tradeable mod at MAX RANK (WFM catalogue, rivens/locators excluded)</t>
        </is>
      </c>
      <c r="S1176" t="inlineStr">
        <is>
          <t>primed_expel_infested</t>
        </is>
      </c>
      <c r="T1176" t="n">
        <v>10</v>
      </c>
      <c r="U1176" t="n">
        <v>10</v>
      </c>
      <c r="V1176" t="n">
        <v>160</v>
      </c>
      <c r="W1176" t="n">
        <v>135</v>
      </c>
      <c r="X1176" t="n">
        <v>140</v>
      </c>
      <c r="Y1176" t="n">
        <v>143</v>
      </c>
      <c r="Z1176" t="n">
        <v>1</v>
      </c>
      <c r="AA1176" t="n">
        <v>65</v>
      </c>
      <c r="AB1176" t="n">
        <v>84</v>
      </c>
      <c r="AN1176" t="inlineStr">
        <is>
          <t>Primed Pistol</t>
        </is>
      </c>
      <c r="AO1176" t="n">
        <v>40920</v>
      </c>
      <c r="AP1176" t="n">
        <v>1976436</v>
      </c>
      <c r="AQ1176" t="n">
        <v>95</v>
      </c>
      <c r="AS1176" t="inlineStr">
        <is>
          <t>Yes</t>
        </is>
      </c>
    </row>
    <row r="1177">
      <c r="A1177" t="inlineStr">
        <is>
          <t>Mod</t>
        </is>
      </c>
      <c r="B1177" t="inlineStr">
        <is>
          <t>Primed Expel Orokin</t>
        </is>
      </c>
      <c r="E1177" t="inlineStr">
        <is>
          <t>Primed Pistol</t>
        </is>
      </c>
      <c r="F1177" t="n">
        <v>10</v>
      </c>
      <c r="G1177" t="n">
        <v>1</v>
      </c>
      <c r="H1177" t="inlineStr">
        <is>
          <t>Player trade (max rank)</t>
        </is>
      </c>
      <c r="I1177" t="inlineStr">
        <is>
          <t>Yes</t>
        </is>
      </c>
      <c r="K1177" t="inlineStr">
        <is>
          <t>Collection</t>
        </is>
      </c>
      <c r="L1177" t="n">
        <v>145</v>
      </c>
      <c r="M1177" t="n">
        <v>150</v>
      </c>
      <c r="N1177" t="n">
        <v>199</v>
      </c>
      <c r="O1177" t="inlineStr">
        <is>
          <t>2026-10-05 UTC (WFM pull 02:52-04:00)</t>
        </is>
      </c>
      <c r="P1177" t="inlineStr">
        <is>
          <t>OK</t>
        </is>
      </c>
      <c r="R1177" t="inlineStr">
        <is>
          <t>Every current tradeable mod at MAX RANK (WFM catalogue, rivens/locators excluded)</t>
        </is>
      </c>
      <c r="S1177" t="inlineStr">
        <is>
          <t>primed_expel_orokin</t>
        </is>
      </c>
      <c r="T1177" t="n">
        <v>8</v>
      </c>
      <c r="U1177" t="n">
        <v>8</v>
      </c>
      <c r="V1177" t="n">
        <v>130</v>
      </c>
      <c r="W1177" t="n">
        <v>130</v>
      </c>
      <c r="X1177" t="n">
        <v>125</v>
      </c>
      <c r="Y1177" t="n">
        <v>203</v>
      </c>
      <c r="Z1177" t="n">
        <v>9</v>
      </c>
      <c r="AA1177" t="n">
        <v>45</v>
      </c>
      <c r="AB1177" t="n">
        <v>100</v>
      </c>
      <c r="AN1177" t="inlineStr">
        <is>
          <t>Primed Pistol</t>
        </is>
      </c>
      <c r="AO1177" t="n">
        <v>40920</v>
      </c>
      <c r="AP1177" t="n">
        <v>1976436</v>
      </c>
      <c r="AQ1177" t="n">
        <v>45</v>
      </c>
      <c r="AS1177" t="inlineStr">
        <is>
          <t>Yes</t>
        </is>
      </c>
    </row>
    <row r="1178">
      <c r="A1178" t="inlineStr">
        <is>
          <t>Mod</t>
        </is>
      </c>
      <c r="B1178" t="inlineStr">
        <is>
          <t>Primed Expel The Murmur</t>
        </is>
      </c>
      <c r="E1178" t="inlineStr">
        <is>
          <t>Primed Pistol</t>
        </is>
      </c>
      <c r="F1178" t="n">
        <v>10</v>
      </c>
      <c r="G1178" t="n">
        <v>1</v>
      </c>
      <c r="H1178" t="inlineStr">
        <is>
          <t>Player trade (max rank)</t>
        </is>
      </c>
      <c r="I1178" t="inlineStr">
        <is>
          <t>Yes</t>
        </is>
      </c>
      <c r="K1178" t="inlineStr">
        <is>
          <t>Collection</t>
        </is>
      </c>
      <c r="L1178" t="n">
        <v>95</v>
      </c>
      <c r="M1178" t="n">
        <v>120</v>
      </c>
      <c r="N1178" t="n">
        <v>160</v>
      </c>
      <c r="O1178" t="inlineStr">
        <is>
          <t>2026-10-05 UTC (WFM pull 02:52-04:00)</t>
        </is>
      </c>
      <c r="P1178" t="inlineStr">
        <is>
          <t>OK</t>
        </is>
      </c>
      <c r="R1178" t="inlineStr">
        <is>
          <t>Every current tradeable mod at MAX RANK (WFM catalogue, rivens/locators excluded)</t>
        </is>
      </c>
      <c r="S1178" t="inlineStr">
        <is>
          <t>primed_expel_the_murmur</t>
        </is>
      </c>
      <c r="T1178" t="n">
        <v>13</v>
      </c>
      <c r="U1178" t="n">
        <v>13</v>
      </c>
      <c r="V1178" t="n">
        <v>100</v>
      </c>
      <c r="W1178" t="n">
        <v>115</v>
      </c>
      <c r="X1178" t="n">
        <v>106.5</v>
      </c>
      <c r="Y1178" t="n">
        <v>133</v>
      </c>
      <c r="Z1178" t="n">
        <v>5</v>
      </c>
      <c r="AA1178" t="n">
        <v>30</v>
      </c>
      <c r="AB1178" t="n">
        <v>65</v>
      </c>
      <c r="AN1178" t="inlineStr">
        <is>
          <t>Primed Pistol</t>
        </is>
      </c>
      <c r="AO1178" t="n">
        <v>40920</v>
      </c>
      <c r="AP1178" t="n">
        <v>1976436</v>
      </c>
      <c r="AQ1178" t="n">
        <v>55</v>
      </c>
      <c r="AS1178" t="inlineStr">
        <is>
          <t>Yes</t>
        </is>
      </c>
    </row>
    <row r="1179">
      <c r="A1179" t="inlineStr">
        <is>
          <t>Mod</t>
        </is>
      </c>
      <c r="B1179" t="inlineStr">
        <is>
          <t>Primed Fast Hands</t>
        </is>
      </c>
      <c r="E1179" t="inlineStr">
        <is>
          <t>Primed Rifle</t>
        </is>
      </c>
      <c r="F1179" t="n">
        <v>10</v>
      </c>
      <c r="G1179" t="n">
        <v>1</v>
      </c>
      <c r="H1179" t="inlineStr">
        <is>
          <t>Player trade (max rank)</t>
        </is>
      </c>
      <c r="I1179" t="inlineStr">
        <is>
          <t>Yes</t>
        </is>
      </c>
      <c r="K1179" t="inlineStr">
        <is>
          <t>Collection</t>
        </is>
      </c>
      <c r="L1179" t="n">
        <v>130</v>
      </c>
      <c r="M1179" t="n">
        <v>135</v>
      </c>
      <c r="N1179" t="n">
        <v>154</v>
      </c>
      <c r="O1179" t="inlineStr">
        <is>
          <t>2026-10-05 UTC (WFM pull 02:52-04:00)</t>
        </is>
      </c>
      <c r="P1179" t="inlineStr">
        <is>
          <t>OK</t>
        </is>
      </c>
      <c r="R1179" t="inlineStr">
        <is>
          <t>Every current tradeable mod at MAX RANK (WFM catalogue, rivens/locators excluded)</t>
        </is>
      </c>
      <c r="S1179" t="inlineStr">
        <is>
          <t>primed_fast_hands</t>
        </is>
      </c>
      <c r="T1179" t="n">
        <v>16</v>
      </c>
      <c r="U1179" t="n">
        <v>16</v>
      </c>
      <c r="V1179" t="n">
        <v>130</v>
      </c>
      <c r="W1179" t="n">
        <v>130</v>
      </c>
      <c r="X1179" t="n">
        <v>128.8</v>
      </c>
      <c r="Y1179" t="n">
        <v>279</v>
      </c>
      <c r="Z1179" t="n">
        <v>3</v>
      </c>
      <c r="AA1179" t="n">
        <v>70</v>
      </c>
      <c r="AB1179" t="n">
        <v>60</v>
      </c>
      <c r="AN1179" t="inlineStr">
        <is>
          <t>Primed Rifle</t>
        </is>
      </c>
      <c r="AO1179" t="n">
        <v>40920</v>
      </c>
      <c r="AP1179" t="n">
        <v>1976436</v>
      </c>
      <c r="AQ1179" t="n">
        <v>60</v>
      </c>
      <c r="AS1179" t="inlineStr">
        <is>
          <t>Yes</t>
        </is>
      </c>
    </row>
    <row r="1180">
      <c r="A1180" t="inlineStr">
        <is>
          <t>Mod</t>
        </is>
      </c>
      <c r="B1180" t="inlineStr">
        <is>
          <t>Primed Fever Strike</t>
        </is>
      </c>
      <c r="E1180" t="inlineStr">
        <is>
          <t>Primed Melee</t>
        </is>
      </c>
      <c r="F1180" t="n">
        <v>10</v>
      </c>
      <c r="G1180" t="n">
        <v>1</v>
      </c>
      <c r="H1180" t="inlineStr">
        <is>
          <t>Player trade (max rank)</t>
        </is>
      </c>
      <c r="I1180" t="inlineStr">
        <is>
          <t>Yes</t>
        </is>
      </c>
      <c r="K1180" t="inlineStr">
        <is>
          <t>Collection</t>
        </is>
      </c>
      <c r="L1180" t="n">
        <v>119</v>
      </c>
      <c r="M1180" t="n">
        <v>120</v>
      </c>
      <c r="N1180" t="n">
        <v>132</v>
      </c>
      <c r="O1180" t="inlineStr">
        <is>
          <t>2026-10-05 UTC (WFM pull 02:52-04:00)</t>
        </is>
      </c>
      <c r="P1180" t="inlineStr">
        <is>
          <t>OK</t>
        </is>
      </c>
      <c r="R1180" t="inlineStr">
        <is>
          <t>Every current tradeable mod at MAX RANK (WFM catalogue, rivens/locators excluded)</t>
        </is>
      </c>
      <c r="S1180" t="inlineStr">
        <is>
          <t>primed_fever_strike</t>
        </is>
      </c>
      <c r="T1180" t="n">
        <v>31</v>
      </c>
      <c r="U1180" t="n">
        <v>31</v>
      </c>
      <c r="V1180" t="n">
        <v>120</v>
      </c>
      <c r="W1180" t="n">
        <v>118</v>
      </c>
      <c r="X1180" t="n">
        <v>114.3</v>
      </c>
      <c r="Y1180" t="n">
        <v>2558</v>
      </c>
      <c r="Z1180" t="n">
        <v>53</v>
      </c>
      <c r="AA1180" t="n">
        <v>75</v>
      </c>
      <c r="AB1180" t="n">
        <v>44</v>
      </c>
      <c r="AN1180" t="inlineStr">
        <is>
          <t>Primed Melee</t>
        </is>
      </c>
      <c r="AO1180" t="n">
        <v>40920</v>
      </c>
      <c r="AP1180" t="n">
        <v>1976436</v>
      </c>
      <c r="AQ1180" t="n">
        <v>50</v>
      </c>
      <c r="AS1180" t="inlineStr">
        <is>
          <t>Yes</t>
        </is>
      </c>
    </row>
    <row r="1181">
      <c r="A1181" t="inlineStr">
        <is>
          <t>Mod</t>
        </is>
      </c>
      <c r="B1181" t="inlineStr">
        <is>
          <t>Primed Firestorm</t>
        </is>
      </c>
      <c r="E1181" t="inlineStr">
        <is>
          <t>Primed Rifle</t>
        </is>
      </c>
      <c r="F1181" t="n">
        <v>10</v>
      </c>
      <c r="G1181" t="n">
        <v>1</v>
      </c>
      <c r="H1181" t="inlineStr">
        <is>
          <t>Player trade (max rank)</t>
        </is>
      </c>
      <c r="I1181" t="inlineStr">
        <is>
          <t>Yes</t>
        </is>
      </c>
      <c r="K1181" t="inlineStr">
        <is>
          <t>Collection</t>
        </is>
      </c>
      <c r="L1181" t="n">
        <v>120</v>
      </c>
      <c r="M1181" t="n">
        <v>125</v>
      </c>
      <c r="N1181" t="n">
        <v>143</v>
      </c>
      <c r="O1181" t="inlineStr">
        <is>
          <t>2026-10-05 UTC (WFM pull 02:52-04:00)</t>
        </is>
      </c>
      <c r="P1181" t="inlineStr">
        <is>
          <t>OK</t>
        </is>
      </c>
      <c r="R1181" t="inlineStr">
        <is>
          <t>Every current tradeable mod at MAX RANK (WFM catalogue, rivens/locators excluded)</t>
        </is>
      </c>
      <c r="S1181" t="inlineStr">
        <is>
          <t>primed_firestorm</t>
        </is>
      </c>
      <c r="T1181" t="n">
        <v>29</v>
      </c>
      <c r="U1181" t="n">
        <v>29</v>
      </c>
      <c r="V1181" t="n">
        <v>124</v>
      </c>
      <c r="W1181" t="n">
        <v>120</v>
      </c>
      <c r="X1181" t="n">
        <v>118.6</v>
      </c>
      <c r="Y1181" t="n">
        <v>2372</v>
      </c>
      <c r="Z1181" t="n">
        <v>46</v>
      </c>
      <c r="AA1181" t="n">
        <v>100</v>
      </c>
      <c r="AB1181" t="n">
        <v>20</v>
      </c>
      <c r="AN1181" t="inlineStr">
        <is>
          <t>Primed Rifle</t>
        </is>
      </c>
      <c r="AO1181" t="n">
        <v>40920</v>
      </c>
      <c r="AP1181" t="n">
        <v>1976436</v>
      </c>
      <c r="AQ1181" t="n">
        <v>58</v>
      </c>
      <c r="AS1181" t="inlineStr">
        <is>
          <t>Yes</t>
        </is>
      </c>
    </row>
    <row r="1182">
      <c r="A1182" t="inlineStr">
        <is>
          <t>Mod</t>
        </is>
      </c>
      <c r="B1182" t="inlineStr">
        <is>
          <t>Primed Flow</t>
        </is>
      </c>
      <c r="E1182" t="inlineStr">
        <is>
          <t>Primed Warframe</t>
        </is>
      </c>
      <c r="F1182" t="n">
        <v>10</v>
      </c>
      <c r="G1182" t="n">
        <v>1</v>
      </c>
      <c r="H1182" t="inlineStr">
        <is>
          <t>Player trade (max rank)</t>
        </is>
      </c>
      <c r="I1182" t="inlineStr">
        <is>
          <t>Yes</t>
        </is>
      </c>
      <c r="K1182" t="inlineStr">
        <is>
          <t>Collection</t>
        </is>
      </c>
      <c r="L1182" t="n">
        <v>80</v>
      </c>
      <c r="M1182" t="n">
        <v>90</v>
      </c>
      <c r="N1182" t="n">
        <v>111</v>
      </c>
      <c r="O1182" t="inlineStr">
        <is>
          <t>2026-10-05 UTC (WFM pull 02:52-04:00)</t>
        </is>
      </c>
      <c r="P1182" t="inlineStr">
        <is>
          <t>OK</t>
        </is>
      </c>
      <c r="R1182" t="inlineStr">
        <is>
          <t>Every current tradeable mod at MAX RANK (WFM catalogue, rivens/locators excluded)</t>
        </is>
      </c>
      <c r="S1182" t="inlineStr">
        <is>
          <t>primed_flow</t>
        </is>
      </c>
      <c r="T1182" t="n">
        <v>58</v>
      </c>
      <c r="U1182" t="n">
        <v>58</v>
      </c>
      <c r="V1182" t="n">
        <v>80</v>
      </c>
      <c r="W1182" t="n">
        <v>89</v>
      </c>
      <c r="X1182" t="n">
        <v>93</v>
      </c>
      <c r="Y1182" t="n">
        <v>5358</v>
      </c>
      <c r="Z1182" t="n">
        <v>109</v>
      </c>
      <c r="AA1182" t="n">
        <v>65</v>
      </c>
      <c r="AB1182" t="n">
        <v>15</v>
      </c>
      <c r="AN1182" t="inlineStr">
        <is>
          <t>Primed Warframe</t>
        </is>
      </c>
      <c r="AO1182" t="n">
        <v>40920</v>
      </c>
      <c r="AP1182" t="n">
        <v>1976436</v>
      </c>
      <c r="AQ1182" t="n">
        <v>30</v>
      </c>
      <c r="AS1182" t="inlineStr">
        <is>
          <t>Yes</t>
        </is>
      </c>
    </row>
    <row r="1183">
      <c r="A1183" t="inlineStr">
        <is>
          <t>Mod</t>
        </is>
      </c>
      <c r="B1183" t="inlineStr">
        <is>
          <t>Primed Fulmination</t>
        </is>
      </c>
      <c r="E1183" t="inlineStr">
        <is>
          <t>Primed Pistol</t>
        </is>
      </c>
      <c r="F1183" t="n">
        <v>10</v>
      </c>
      <c r="G1183" t="n">
        <v>1</v>
      </c>
      <c r="H1183" t="inlineStr">
        <is>
          <t>Player trade (max rank)</t>
        </is>
      </c>
      <c r="I1183" t="inlineStr">
        <is>
          <t>Yes</t>
        </is>
      </c>
      <c r="K1183" t="inlineStr">
        <is>
          <t>Collection</t>
        </is>
      </c>
      <c r="L1183" t="n">
        <v>120</v>
      </c>
      <c r="M1183" t="n">
        <v>129</v>
      </c>
      <c r="N1183" t="n">
        <v>143</v>
      </c>
      <c r="O1183" t="inlineStr">
        <is>
          <t>2026-10-05 UTC (WFM pull 02:52-04:00)</t>
        </is>
      </c>
      <c r="P1183" t="inlineStr">
        <is>
          <t>OK</t>
        </is>
      </c>
      <c r="R1183" t="inlineStr">
        <is>
          <t>Every current tradeable mod at MAX RANK (WFM catalogue, rivens/locators excluded)</t>
        </is>
      </c>
      <c r="S1183" t="inlineStr">
        <is>
          <t>primed_fulmination</t>
        </is>
      </c>
      <c r="T1183" t="n">
        <v>48</v>
      </c>
      <c r="U1183" t="n">
        <v>48</v>
      </c>
      <c r="V1183" t="n">
        <v>125</v>
      </c>
      <c r="W1183" t="n">
        <v>120</v>
      </c>
      <c r="X1183" t="n">
        <v>119.4</v>
      </c>
      <c r="Y1183" t="n">
        <v>2898</v>
      </c>
      <c r="Z1183" t="n">
        <v>43</v>
      </c>
      <c r="AA1183" t="n">
        <v>90</v>
      </c>
      <c r="AB1183" t="n">
        <v>30</v>
      </c>
      <c r="AN1183" t="inlineStr">
        <is>
          <t>Primed Pistol</t>
        </is>
      </c>
      <c r="AO1183" t="n">
        <v>40920</v>
      </c>
      <c r="AP1183" t="n">
        <v>1976436</v>
      </c>
      <c r="AQ1183" t="n">
        <v>55</v>
      </c>
      <c r="AS1183" t="inlineStr">
        <is>
          <t>Yes</t>
        </is>
      </c>
    </row>
    <row r="1184">
      <c r="A1184" t="inlineStr">
        <is>
          <t>Mod</t>
        </is>
      </c>
      <c r="B1184" t="inlineStr">
        <is>
          <t>Primed Heated Charge</t>
        </is>
      </c>
      <c r="E1184" t="inlineStr">
        <is>
          <t>Primed Pistol</t>
        </is>
      </c>
      <c r="F1184" t="n">
        <v>10</v>
      </c>
      <c r="G1184" t="n">
        <v>1</v>
      </c>
      <c r="H1184" t="inlineStr">
        <is>
          <t>Player trade (max rank)</t>
        </is>
      </c>
      <c r="I1184" t="inlineStr">
        <is>
          <t>Yes</t>
        </is>
      </c>
      <c r="K1184" t="inlineStr">
        <is>
          <t>Collection</t>
        </is>
      </c>
      <c r="L1184" t="n">
        <v>99</v>
      </c>
      <c r="M1184" t="n">
        <v>110</v>
      </c>
      <c r="N1184" t="n">
        <v>122</v>
      </c>
      <c r="O1184" t="inlineStr">
        <is>
          <t>2026-10-05 UTC (WFM pull 02:52-04:00)</t>
        </is>
      </c>
      <c r="P1184" t="inlineStr">
        <is>
          <t>OK</t>
        </is>
      </c>
      <c r="R1184" t="inlineStr">
        <is>
          <t>Every current tradeable mod at MAX RANK (WFM catalogue, rivens/locators excluded)</t>
        </is>
      </c>
      <c r="S1184" t="inlineStr">
        <is>
          <t>primed_heated_charge</t>
        </is>
      </c>
      <c r="T1184" t="n">
        <v>51</v>
      </c>
      <c r="U1184" t="n">
        <v>51</v>
      </c>
      <c r="V1184" t="n">
        <v>100</v>
      </c>
      <c r="W1184" t="n">
        <v>120</v>
      </c>
      <c r="X1184" t="n">
        <v>115.4</v>
      </c>
      <c r="Y1184" t="n">
        <v>3570</v>
      </c>
      <c r="Z1184" t="n">
        <v>73</v>
      </c>
      <c r="AA1184" t="n">
        <v>55</v>
      </c>
      <c r="AB1184" t="n">
        <v>44</v>
      </c>
      <c r="AN1184" t="inlineStr">
        <is>
          <t>Primed Pistol</t>
        </is>
      </c>
      <c r="AO1184" t="n">
        <v>40920</v>
      </c>
      <c r="AP1184" t="n">
        <v>1976436</v>
      </c>
      <c r="AQ1184" t="n">
        <v>40</v>
      </c>
      <c r="AS1184" t="inlineStr">
        <is>
          <t>Yes</t>
        </is>
      </c>
    </row>
    <row r="1185">
      <c r="A1185" t="inlineStr">
        <is>
          <t>Mod</t>
        </is>
      </c>
      <c r="B1185" t="inlineStr">
        <is>
          <t>Primed Heavy Trauma</t>
        </is>
      </c>
      <c r="E1185" t="inlineStr">
        <is>
          <t>Primed Melee</t>
        </is>
      </c>
      <c r="F1185" t="n">
        <v>10</v>
      </c>
      <c r="G1185" t="n">
        <v>1</v>
      </c>
      <c r="H1185" t="inlineStr">
        <is>
          <t>Player trade (max rank)</t>
        </is>
      </c>
      <c r="I1185" t="inlineStr">
        <is>
          <t>Yes</t>
        </is>
      </c>
      <c r="K1185" t="inlineStr">
        <is>
          <t>Collection</t>
        </is>
      </c>
      <c r="L1185" t="n">
        <v>129</v>
      </c>
      <c r="M1185" t="n">
        <v>149</v>
      </c>
      <c r="N1185" t="n">
        <v>176</v>
      </c>
      <c r="O1185" t="inlineStr">
        <is>
          <t>2026-10-05 UTC (WFM pull 02:52-04:00)</t>
        </is>
      </c>
      <c r="P1185" t="inlineStr">
        <is>
          <t>OK</t>
        </is>
      </c>
      <c r="R1185" t="inlineStr">
        <is>
          <t>Every current tradeable mod at MAX RANK (WFM catalogue, rivens/locators excluded)</t>
        </is>
      </c>
      <c r="S1185" t="inlineStr">
        <is>
          <t>primed_heavy_trauma</t>
        </is>
      </c>
      <c r="T1185" t="n">
        <v>9</v>
      </c>
      <c r="U1185" t="n">
        <v>9</v>
      </c>
      <c r="V1185" t="n">
        <v>125</v>
      </c>
      <c r="W1185" t="n">
        <v>117.5</v>
      </c>
      <c r="X1185" t="n">
        <v>113.1</v>
      </c>
      <c r="Y1185" t="n">
        <v>320</v>
      </c>
      <c r="Z1185" t="n">
        <v>5</v>
      </c>
      <c r="AA1185" t="n">
        <v>51</v>
      </c>
      <c r="AB1185" t="n">
        <v>78</v>
      </c>
      <c r="AN1185" t="inlineStr">
        <is>
          <t>Primed Melee</t>
        </is>
      </c>
      <c r="AO1185" t="n">
        <v>40920</v>
      </c>
      <c r="AP1185" t="n">
        <v>1976436</v>
      </c>
      <c r="AQ1185" t="n">
        <v>55</v>
      </c>
      <c r="AS1185" t="inlineStr">
        <is>
          <t>Yes</t>
        </is>
      </c>
    </row>
    <row r="1186">
      <c r="A1186" t="inlineStr">
        <is>
          <t>Mod</t>
        </is>
      </c>
      <c r="B1186" t="inlineStr">
        <is>
          <t>Primed Magazine Warp</t>
        </is>
      </c>
      <c r="E1186" t="inlineStr">
        <is>
          <t>Primed Rifle</t>
        </is>
      </c>
      <c r="F1186" t="n">
        <v>10</v>
      </c>
      <c r="G1186" t="n">
        <v>1</v>
      </c>
      <c r="H1186" t="inlineStr">
        <is>
          <t>Player trade (max rank)</t>
        </is>
      </c>
      <c r="I1186" t="inlineStr">
        <is>
          <t>Yes</t>
        </is>
      </c>
      <c r="K1186" t="inlineStr">
        <is>
          <t>Collection</t>
        </is>
      </c>
      <c r="L1186" t="n">
        <v>115</v>
      </c>
      <c r="M1186" t="n">
        <v>130</v>
      </c>
      <c r="N1186" t="n">
        <v>143</v>
      </c>
      <c r="O1186" t="inlineStr">
        <is>
          <t>2026-10-05 UTC (WFM pull 02:52-04:00)</t>
        </is>
      </c>
      <c r="P1186" t="inlineStr">
        <is>
          <t>OK</t>
        </is>
      </c>
      <c r="R1186" t="inlineStr">
        <is>
          <t>Every current tradeable mod at MAX RANK (WFM catalogue, rivens/locators excluded)</t>
        </is>
      </c>
      <c r="S1186" t="inlineStr">
        <is>
          <t>primed_magazine_warp</t>
        </is>
      </c>
      <c r="T1186" t="n">
        <v>18</v>
      </c>
      <c r="U1186" t="n">
        <v>18</v>
      </c>
      <c r="V1186" t="n">
        <v>110</v>
      </c>
      <c r="W1186" t="n">
        <v>130</v>
      </c>
      <c r="X1186" t="n">
        <v>123</v>
      </c>
      <c r="Y1186" t="n">
        <v>372</v>
      </c>
      <c r="Z1186" t="n">
        <v>6</v>
      </c>
      <c r="AA1186" t="n">
        <v>60</v>
      </c>
      <c r="AB1186" t="n">
        <v>55</v>
      </c>
      <c r="AN1186" t="inlineStr">
        <is>
          <t>Primed Rifle</t>
        </is>
      </c>
      <c r="AO1186" t="n">
        <v>40920</v>
      </c>
      <c r="AP1186" t="n">
        <v>1976436</v>
      </c>
      <c r="AQ1186" t="n">
        <v>42</v>
      </c>
      <c r="AS1186" t="inlineStr">
        <is>
          <t>Yes</t>
        </is>
      </c>
    </row>
    <row r="1187">
      <c r="A1187" t="inlineStr">
        <is>
          <t>Mod</t>
        </is>
      </c>
      <c r="B1187" t="inlineStr">
        <is>
          <t>Primed Morphic Transformer</t>
        </is>
      </c>
      <c r="E1187" t="inlineStr">
        <is>
          <t>Primed Archwing</t>
        </is>
      </c>
      <c r="F1187" t="n">
        <v>10</v>
      </c>
      <c r="G1187" t="n">
        <v>1</v>
      </c>
      <c r="H1187" t="inlineStr">
        <is>
          <t>Player trade (max rank)</t>
        </is>
      </c>
      <c r="I1187" t="inlineStr">
        <is>
          <t>Yes</t>
        </is>
      </c>
      <c r="K1187" t="inlineStr">
        <is>
          <t>Collection</t>
        </is>
      </c>
      <c r="L1187" t="n">
        <v>110</v>
      </c>
      <c r="M1187" t="n">
        <v>125</v>
      </c>
      <c r="N1187" t="n">
        <v>149</v>
      </c>
      <c r="O1187" t="inlineStr">
        <is>
          <t>2026-10-05 UTC (WFM pull 02:52-04:00)</t>
        </is>
      </c>
      <c r="P1187" t="inlineStr">
        <is>
          <t>OK</t>
        </is>
      </c>
      <c r="R1187" t="inlineStr">
        <is>
          <t>Every current tradeable mod at MAX RANK (WFM catalogue, rivens/locators excluded)</t>
        </is>
      </c>
      <c r="S1187" t="inlineStr">
        <is>
          <t>primed_morphic_transformer</t>
        </is>
      </c>
      <c r="T1187" t="n">
        <v>14</v>
      </c>
      <c r="U1187" t="n">
        <v>14</v>
      </c>
      <c r="V1187" t="n">
        <v>110</v>
      </c>
      <c r="W1187" t="n">
        <v>134</v>
      </c>
      <c r="X1187" t="n">
        <v>127.4</v>
      </c>
      <c r="Y1187" t="n">
        <v>298</v>
      </c>
      <c r="Z1187" t="n">
        <v>10</v>
      </c>
      <c r="AA1187" t="n">
        <v>60</v>
      </c>
      <c r="AB1187" t="n">
        <v>50</v>
      </c>
      <c r="AN1187" t="inlineStr">
        <is>
          <t>Primed Archwing</t>
        </is>
      </c>
      <c r="AO1187" t="n">
        <v>40920</v>
      </c>
      <c r="AP1187" t="n">
        <v>1976436</v>
      </c>
      <c r="AQ1187" t="n">
        <v>25</v>
      </c>
      <c r="AS1187" t="inlineStr">
        <is>
          <t>Yes</t>
        </is>
      </c>
    </row>
    <row r="1188">
      <c r="A1188" t="inlineStr">
        <is>
          <t>Mod</t>
        </is>
      </c>
      <c r="B1188" t="inlineStr">
        <is>
          <t>Primed Pack Leader</t>
        </is>
      </c>
      <c r="E1188" t="inlineStr">
        <is>
          <t>Primed Companion</t>
        </is>
      </c>
      <c r="F1188" t="n">
        <v>10</v>
      </c>
      <c r="G1188" t="n">
        <v>1</v>
      </c>
      <c r="H1188" t="inlineStr">
        <is>
          <t>Player trade (max rank)</t>
        </is>
      </c>
      <c r="I1188" t="inlineStr">
        <is>
          <t>Yes</t>
        </is>
      </c>
      <c r="K1188" t="inlineStr">
        <is>
          <t>Collection</t>
        </is>
      </c>
      <c r="L1188" t="n">
        <v>135</v>
      </c>
      <c r="M1188" t="n">
        <v>140</v>
      </c>
      <c r="N1188" t="n">
        <v>165</v>
      </c>
      <c r="O1188" t="inlineStr">
        <is>
          <t>2026-10-05 UTC (WFM pull 02:52-04:00)</t>
        </is>
      </c>
      <c r="P1188" t="inlineStr">
        <is>
          <t>OK</t>
        </is>
      </c>
      <c r="R1188" t="inlineStr">
        <is>
          <t>Every current tradeable mod at MAX RANK (WFM catalogue, rivens/locators excluded)</t>
        </is>
      </c>
      <c r="S1188" t="inlineStr">
        <is>
          <t>primed_pack_leader</t>
        </is>
      </c>
      <c r="T1188" t="n">
        <v>15</v>
      </c>
      <c r="U1188" t="n">
        <v>15</v>
      </c>
      <c r="V1188" t="n">
        <v>130</v>
      </c>
      <c r="W1188" t="n">
        <v>130</v>
      </c>
      <c r="X1188" t="n">
        <v>127.8</v>
      </c>
      <c r="Y1188" t="n">
        <v>650</v>
      </c>
      <c r="Z1188" t="n">
        <v>28</v>
      </c>
      <c r="AA1188" t="n">
        <v>64</v>
      </c>
      <c r="AB1188" t="n">
        <v>71</v>
      </c>
      <c r="AN1188" t="inlineStr">
        <is>
          <t>Primed Companion</t>
        </is>
      </c>
      <c r="AO1188" t="n">
        <v>40920</v>
      </c>
      <c r="AP1188" t="n">
        <v>1976436</v>
      </c>
      <c r="AQ1188" t="n">
        <v>65</v>
      </c>
      <c r="AS1188" t="inlineStr">
        <is>
          <t>Yes</t>
        </is>
      </c>
    </row>
    <row r="1189">
      <c r="A1189" t="inlineStr">
        <is>
          <t>Mod</t>
        </is>
      </c>
      <c r="B1189" t="inlineStr">
        <is>
          <t>Primed Pistol Ammo Mutation</t>
        </is>
      </c>
      <c r="E1189" t="inlineStr">
        <is>
          <t>Primed Pistol</t>
        </is>
      </c>
      <c r="F1189" t="n">
        <v>10</v>
      </c>
      <c r="G1189" t="n">
        <v>1</v>
      </c>
      <c r="H1189" t="inlineStr">
        <is>
          <t>Player trade (max rank)</t>
        </is>
      </c>
      <c r="I1189" t="inlineStr">
        <is>
          <t>Yes</t>
        </is>
      </c>
      <c r="K1189" t="inlineStr">
        <is>
          <t>Collection</t>
        </is>
      </c>
      <c r="L1189" t="n">
        <v>125</v>
      </c>
      <c r="M1189" t="n">
        <v>129</v>
      </c>
      <c r="N1189" t="n">
        <v>143</v>
      </c>
      <c r="O1189" t="inlineStr">
        <is>
          <t>2026-10-05 UTC (WFM pull 02:52-04:00)</t>
        </is>
      </c>
      <c r="P1189" t="inlineStr">
        <is>
          <t>OK</t>
        </is>
      </c>
      <c r="R1189" t="inlineStr">
        <is>
          <t>Every current tradeable mod at MAX RANK (WFM catalogue, rivens/locators excluded)</t>
        </is>
      </c>
      <c r="S1189" t="inlineStr">
        <is>
          <t>primed_pistol_ammo_mutation</t>
        </is>
      </c>
      <c r="T1189" t="n">
        <v>24</v>
      </c>
      <c r="U1189" t="n">
        <v>24</v>
      </c>
      <c r="V1189" t="n">
        <v>125</v>
      </c>
      <c r="W1189" t="n">
        <v>125</v>
      </c>
      <c r="X1189" t="n">
        <v>120.5</v>
      </c>
      <c r="Y1189" t="n">
        <v>671</v>
      </c>
      <c r="Z1189" t="n">
        <v>16</v>
      </c>
      <c r="AA1189" t="n">
        <v>90</v>
      </c>
      <c r="AB1189" t="n">
        <v>35</v>
      </c>
      <c r="AN1189" t="inlineStr">
        <is>
          <t>Primed Pistol</t>
        </is>
      </c>
      <c r="AO1189" t="n">
        <v>40920</v>
      </c>
      <c r="AP1189" t="n">
        <v>1976436</v>
      </c>
      <c r="AQ1189" t="n">
        <v>55</v>
      </c>
      <c r="AS1189" t="inlineStr">
        <is>
          <t>Yes</t>
        </is>
      </c>
    </row>
    <row r="1190">
      <c r="A1190" t="inlineStr">
        <is>
          <t>Mod</t>
        </is>
      </c>
      <c r="B1190" t="inlineStr">
        <is>
          <t>Primed Pistol Gambit</t>
        </is>
      </c>
      <c r="E1190" t="inlineStr">
        <is>
          <t>Primed Pistol</t>
        </is>
      </c>
      <c r="F1190" t="n">
        <v>10</v>
      </c>
      <c r="G1190" t="n">
        <v>1</v>
      </c>
      <c r="H1190" t="inlineStr">
        <is>
          <t>Player trade (max rank)</t>
        </is>
      </c>
      <c r="I1190" t="inlineStr">
        <is>
          <t>Yes</t>
        </is>
      </c>
      <c r="K1190" t="inlineStr">
        <is>
          <t>Collection</t>
        </is>
      </c>
      <c r="L1190" t="n">
        <v>130</v>
      </c>
      <c r="M1190" t="n">
        <v>134</v>
      </c>
      <c r="N1190" t="n">
        <v>149</v>
      </c>
      <c r="O1190" t="inlineStr">
        <is>
          <t>2026-10-05 UTC (WFM pull 02:52-04:00)</t>
        </is>
      </c>
      <c r="P1190" t="inlineStr">
        <is>
          <t>OK</t>
        </is>
      </c>
      <c r="R1190" t="inlineStr">
        <is>
          <t>Every current tradeable mod at MAX RANK (WFM catalogue, rivens/locators excluded)</t>
        </is>
      </c>
      <c r="S1190" t="inlineStr">
        <is>
          <t>primed_pistol_gambit</t>
        </is>
      </c>
      <c r="T1190" t="n">
        <v>20</v>
      </c>
      <c r="U1190" t="n">
        <v>20</v>
      </c>
      <c r="V1190" t="n">
        <v>120</v>
      </c>
      <c r="W1190" t="n">
        <v>120</v>
      </c>
      <c r="X1190" t="n">
        <v>120.8</v>
      </c>
      <c r="Y1190" t="n">
        <v>2953</v>
      </c>
      <c r="Z1190" t="n">
        <v>53</v>
      </c>
      <c r="AA1190" t="n">
        <v>101</v>
      </c>
      <c r="AB1190" t="n">
        <v>29</v>
      </c>
      <c r="AN1190" t="inlineStr">
        <is>
          <t>Primed Pistol</t>
        </is>
      </c>
      <c r="AO1190" t="n">
        <v>40920</v>
      </c>
      <c r="AP1190" t="n">
        <v>1976436</v>
      </c>
      <c r="AQ1190" t="n">
        <v>60</v>
      </c>
      <c r="AS1190" t="inlineStr">
        <is>
          <t>Yes</t>
        </is>
      </c>
    </row>
    <row r="1191">
      <c r="A1191" t="inlineStr">
        <is>
          <t>Mod</t>
        </is>
      </c>
      <c r="B1191" t="inlineStr">
        <is>
          <t>Primed Point Blank</t>
        </is>
      </c>
      <c r="E1191" t="inlineStr">
        <is>
          <t>Primed Shotgun</t>
        </is>
      </c>
      <c r="F1191" t="n">
        <v>10</v>
      </c>
      <c r="G1191" t="n">
        <v>1</v>
      </c>
      <c r="H1191" t="inlineStr">
        <is>
          <t>Player trade (max rank)</t>
        </is>
      </c>
      <c r="I1191" t="inlineStr">
        <is>
          <t>Yes</t>
        </is>
      </c>
      <c r="K1191" t="inlineStr">
        <is>
          <t>Collection</t>
        </is>
      </c>
      <c r="L1191" t="n">
        <v>100</v>
      </c>
      <c r="M1191" t="n">
        <v>125</v>
      </c>
      <c r="N1191" t="n">
        <v>143</v>
      </c>
      <c r="O1191" t="inlineStr">
        <is>
          <t>2026-10-05 UTC (WFM pull 02:52-04:00)</t>
        </is>
      </c>
      <c r="P1191" t="inlineStr">
        <is>
          <t>OK</t>
        </is>
      </c>
      <c r="R1191" t="inlineStr">
        <is>
          <t>Every current tradeable mod at MAX RANK (WFM catalogue, rivens/locators excluded)</t>
        </is>
      </c>
      <c r="S1191" t="inlineStr">
        <is>
          <t>primed_point_blank</t>
        </is>
      </c>
      <c r="T1191" t="n">
        <v>25</v>
      </c>
      <c r="U1191" t="n">
        <v>25</v>
      </c>
      <c r="V1191" t="n">
        <v>120</v>
      </c>
      <c r="W1191" t="n">
        <v>110</v>
      </c>
      <c r="X1191" t="n">
        <v>107.2</v>
      </c>
      <c r="Y1191" t="n">
        <v>2396</v>
      </c>
      <c r="Z1191" t="n">
        <v>51</v>
      </c>
      <c r="AA1191" t="n">
        <v>100</v>
      </c>
      <c r="AB1191" t="n">
        <v>0</v>
      </c>
      <c r="AN1191" t="inlineStr">
        <is>
          <t>Primed Shotgun</t>
        </is>
      </c>
      <c r="AO1191" t="n">
        <v>40920</v>
      </c>
      <c r="AP1191" t="n">
        <v>1976436</v>
      </c>
      <c r="AQ1191" t="n">
        <v>50</v>
      </c>
      <c r="AS1191" t="inlineStr">
        <is>
          <t>Yes</t>
        </is>
      </c>
    </row>
    <row r="1192">
      <c r="A1192" t="inlineStr">
        <is>
          <t>Mod</t>
        </is>
      </c>
      <c r="B1192" t="inlineStr">
        <is>
          <t>Primed Polar Magazine</t>
        </is>
      </c>
      <c r="E1192" t="inlineStr">
        <is>
          <t>Primed Archgun</t>
        </is>
      </c>
      <c r="F1192" t="n">
        <v>10</v>
      </c>
      <c r="G1192" t="n">
        <v>1</v>
      </c>
      <c r="H1192" t="inlineStr">
        <is>
          <t>Player trade (max rank)</t>
        </is>
      </c>
      <c r="I1192" t="inlineStr">
        <is>
          <t>Yes</t>
        </is>
      </c>
      <c r="K1192" t="inlineStr">
        <is>
          <t>Collection</t>
        </is>
      </c>
      <c r="L1192" t="n">
        <v>110</v>
      </c>
      <c r="M1192" t="n">
        <v>110</v>
      </c>
      <c r="N1192" t="n">
        <v>132</v>
      </c>
      <c r="O1192" t="inlineStr">
        <is>
          <t>2026-10-05 UTC (WFM pull 02:52-04:00)</t>
        </is>
      </c>
      <c r="P1192" t="inlineStr">
        <is>
          <t>OK</t>
        </is>
      </c>
      <c r="R1192" t="inlineStr">
        <is>
          <t>Every current tradeable mod at MAX RANK (WFM catalogue, rivens/locators excluded)</t>
        </is>
      </c>
      <c r="S1192" t="inlineStr">
        <is>
          <t>primed_polar_magazine</t>
        </is>
      </c>
      <c r="T1192" t="n">
        <v>19</v>
      </c>
      <c r="U1192" t="n">
        <v>19</v>
      </c>
      <c r="V1192" t="n">
        <v>100</v>
      </c>
      <c r="W1192" t="n">
        <v>100</v>
      </c>
      <c r="X1192" t="n">
        <v>97.40000000000001</v>
      </c>
      <c r="Y1192" t="n">
        <v>528</v>
      </c>
      <c r="Z1192" t="n">
        <v>15</v>
      </c>
      <c r="AA1192" t="n">
        <v>70</v>
      </c>
      <c r="AB1192" t="n">
        <v>40</v>
      </c>
      <c r="AN1192" t="inlineStr">
        <is>
          <t>Primed Archgun</t>
        </is>
      </c>
      <c r="AO1192" t="n">
        <v>40920</v>
      </c>
      <c r="AP1192" t="n">
        <v>1976436</v>
      </c>
      <c r="AQ1192" t="n">
        <v>50</v>
      </c>
      <c r="AS1192" t="inlineStr">
        <is>
          <t>Yes</t>
        </is>
      </c>
    </row>
    <row r="1193">
      <c r="A1193" t="inlineStr">
        <is>
          <t>Mod</t>
        </is>
      </c>
      <c r="B1193" t="inlineStr">
        <is>
          <t>Primed Pressure Point</t>
        </is>
      </c>
      <c r="E1193" t="inlineStr">
        <is>
          <t>Primed Melee</t>
        </is>
      </c>
      <c r="F1193" t="n">
        <v>10</v>
      </c>
      <c r="G1193" t="n">
        <v>1</v>
      </c>
      <c r="H1193" t="inlineStr">
        <is>
          <t>Player trade (max rank)</t>
        </is>
      </c>
      <c r="I1193" t="inlineStr">
        <is>
          <t>Yes</t>
        </is>
      </c>
      <c r="K1193" t="inlineStr">
        <is>
          <t>Collection</t>
        </is>
      </c>
      <c r="L1193" t="n">
        <v>90</v>
      </c>
      <c r="M1193" t="n">
        <v>100</v>
      </c>
      <c r="N1193" t="n">
        <v>111</v>
      </c>
      <c r="O1193" t="inlineStr">
        <is>
          <t>2026-10-05 UTC (WFM pull 02:52-04:00)</t>
        </is>
      </c>
      <c r="P1193" t="inlineStr">
        <is>
          <t>OK</t>
        </is>
      </c>
      <c r="R1193" t="inlineStr">
        <is>
          <t>Every current tradeable mod at MAX RANK (WFM catalogue, rivens/locators excluded)</t>
        </is>
      </c>
      <c r="S1193" t="inlineStr">
        <is>
          <t>primed_pressure_point</t>
        </is>
      </c>
      <c r="T1193" t="n">
        <v>49</v>
      </c>
      <c r="U1193" t="n">
        <v>49</v>
      </c>
      <c r="V1193" t="n">
        <v>90</v>
      </c>
      <c r="W1193" t="n">
        <v>90</v>
      </c>
      <c r="X1193" t="n">
        <v>96.2</v>
      </c>
      <c r="Y1193" t="n">
        <v>3249</v>
      </c>
      <c r="Z1193" t="n">
        <v>77</v>
      </c>
      <c r="AA1193" t="n">
        <v>56</v>
      </c>
      <c r="AB1193" t="n">
        <v>34</v>
      </c>
      <c r="AN1193" t="inlineStr">
        <is>
          <t>Primed Melee</t>
        </is>
      </c>
      <c r="AO1193" t="n">
        <v>40920</v>
      </c>
      <c r="AP1193" t="n">
        <v>1976436</v>
      </c>
      <c r="AQ1193" t="n">
        <v>34</v>
      </c>
      <c r="AS1193" t="inlineStr">
        <is>
          <t>Yes</t>
        </is>
      </c>
    </row>
    <row r="1194">
      <c r="A1194" t="inlineStr">
        <is>
          <t>Mod</t>
        </is>
      </c>
      <c r="B1194" t="inlineStr">
        <is>
          <t>Primed Quickdraw</t>
        </is>
      </c>
      <c r="E1194" t="inlineStr">
        <is>
          <t>Primed Pistol</t>
        </is>
      </c>
      <c r="F1194" t="n">
        <v>10</v>
      </c>
      <c r="G1194" t="n">
        <v>1</v>
      </c>
      <c r="H1194" t="inlineStr">
        <is>
          <t>Player trade (max rank)</t>
        </is>
      </c>
      <c r="I1194" t="inlineStr">
        <is>
          <t>Yes</t>
        </is>
      </c>
      <c r="K1194" t="inlineStr">
        <is>
          <t>Collection</t>
        </is>
      </c>
      <c r="L1194" t="n">
        <v>100</v>
      </c>
      <c r="M1194" t="n">
        <v>120</v>
      </c>
      <c r="N1194" t="n">
        <v>138</v>
      </c>
      <c r="O1194" t="inlineStr">
        <is>
          <t>2026-10-05 UTC (WFM pull 02:52-04:00)</t>
        </is>
      </c>
      <c r="P1194" t="inlineStr">
        <is>
          <t>OK</t>
        </is>
      </c>
      <c r="R1194" t="inlineStr">
        <is>
          <t>Every current tradeable mod at MAX RANK (WFM catalogue, rivens/locators excluded)</t>
        </is>
      </c>
      <c r="S1194" t="inlineStr">
        <is>
          <t>primed_quickdraw</t>
        </is>
      </c>
      <c r="T1194" t="n">
        <v>20</v>
      </c>
      <c r="U1194" t="n">
        <v>20</v>
      </c>
      <c r="V1194" t="n">
        <v>109</v>
      </c>
      <c r="W1194" t="n">
        <v>107.5</v>
      </c>
      <c r="X1194" t="n">
        <v>106.6</v>
      </c>
      <c r="Y1194" t="n">
        <v>286</v>
      </c>
      <c r="Z1194" t="n">
        <v>17</v>
      </c>
      <c r="AA1194" t="n">
        <v>68</v>
      </c>
      <c r="AB1194" t="n">
        <v>32</v>
      </c>
      <c r="AN1194" t="inlineStr">
        <is>
          <t>Primed Pistol</t>
        </is>
      </c>
      <c r="AO1194" t="n">
        <v>40920</v>
      </c>
      <c r="AP1194" t="n">
        <v>1976436</v>
      </c>
      <c r="AQ1194" t="n">
        <v>50</v>
      </c>
      <c r="AS1194" t="inlineStr">
        <is>
          <t>Yes</t>
        </is>
      </c>
    </row>
    <row r="1195">
      <c r="A1195" t="inlineStr">
        <is>
          <t>Mod</t>
        </is>
      </c>
      <c r="B1195" t="inlineStr">
        <is>
          <t>Primed Ravage</t>
        </is>
      </c>
      <c r="E1195" t="inlineStr">
        <is>
          <t>Primed Shotgun</t>
        </is>
      </c>
      <c r="F1195" t="n">
        <v>10</v>
      </c>
      <c r="G1195" t="n">
        <v>1</v>
      </c>
      <c r="H1195" t="inlineStr">
        <is>
          <t>Player trade (max rank)</t>
        </is>
      </c>
      <c r="I1195" t="inlineStr">
        <is>
          <t>Yes</t>
        </is>
      </c>
      <c r="K1195" t="inlineStr">
        <is>
          <t>Collection</t>
        </is>
      </c>
      <c r="L1195" t="n">
        <v>85</v>
      </c>
      <c r="M1195" t="n">
        <v>90</v>
      </c>
      <c r="N1195" t="n">
        <v>153</v>
      </c>
      <c r="O1195" t="inlineStr">
        <is>
          <t>2026-10-05 UTC (WFM pull 02:52-04:00)</t>
        </is>
      </c>
      <c r="P1195" t="inlineStr">
        <is>
          <t>OK</t>
        </is>
      </c>
      <c r="R1195" t="inlineStr">
        <is>
          <t>Every current tradeable mod at MAX RANK (WFM catalogue, rivens/locators excluded)</t>
        </is>
      </c>
      <c r="S1195" t="inlineStr">
        <is>
          <t>primed_ravage</t>
        </is>
      </c>
      <c r="T1195" t="n">
        <v>45</v>
      </c>
      <c r="U1195" t="n">
        <v>45</v>
      </c>
      <c r="V1195" t="n">
        <v>139</v>
      </c>
      <c r="W1195" t="n">
        <v>129</v>
      </c>
      <c r="X1195" t="n">
        <v>126</v>
      </c>
      <c r="Y1195" t="n">
        <v>2281</v>
      </c>
      <c r="Z1195" t="n">
        <v>9</v>
      </c>
      <c r="AA1195" t="n">
        <v>80</v>
      </c>
      <c r="AB1195" t="n">
        <v>5</v>
      </c>
      <c r="AN1195" t="inlineStr">
        <is>
          <t>Primed Shotgun</t>
        </is>
      </c>
      <c r="AO1195" t="n">
        <v>40920</v>
      </c>
      <c r="AP1195" t="n">
        <v>1976436</v>
      </c>
      <c r="AQ1195" t="n">
        <v>25</v>
      </c>
      <c r="AS1195" t="inlineStr">
        <is>
          <t>Yes</t>
        </is>
      </c>
    </row>
    <row r="1196">
      <c r="A1196" t="inlineStr">
        <is>
          <t>Mod</t>
        </is>
      </c>
      <c r="B1196" t="inlineStr">
        <is>
          <t>Primed Reach</t>
        </is>
      </c>
      <c r="E1196" t="inlineStr">
        <is>
          <t>Primed Melee</t>
        </is>
      </c>
      <c r="F1196" t="n">
        <v>10</v>
      </c>
      <c r="G1196" t="n">
        <v>1</v>
      </c>
      <c r="H1196" t="inlineStr">
        <is>
          <t>Player trade (max rank)</t>
        </is>
      </c>
      <c r="I1196" t="inlineStr">
        <is>
          <t>Yes</t>
        </is>
      </c>
      <c r="K1196" t="inlineStr">
        <is>
          <t>Collection</t>
        </is>
      </c>
      <c r="L1196" t="n">
        <v>119</v>
      </c>
      <c r="M1196" t="n">
        <v>120</v>
      </c>
      <c r="N1196" t="n">
        <v>132</v>
      </c>
      <c r="O1196" t="inlineStr">
        <is>
          <t>2026-10-05 UTC (WFM pull 02:52-04:00)</t>
        </is>
      </c>
      <c r="P1196" t="inlineStr">
        <is>
          <t>OK</t>
        </is>
      </c>
      <c r="R1196" t="inlineStr">
        <is>
          <t>Every current tradeable mod at MAX RANK (WFM catalogue, rivens/locators excluded)</t>
        </is>
      </c>
      <c r="S1196" t="inlineStr">
        <is>
          <t>primed_reach</t>
        </is>
      </c>
      <c r="T1196" t="n">
        <v>26</v>
      </c>
      <c r="U1196" t="n">
        <v>26</v>
      </c>
      <c r="V1196" t="n">
        <v>120</v>
      </c>
      <c r="W1196" t="n">
        <v>119.5</v>
      </c>
      <c r="X1196" t="n">
        <v>114.7</v>
      </c>
      <c r="Y1196" t="n">
        <v>2528</v>
      </c>
      <c r="Z1196" t="n">
        <v>63</v>
      </c>
      <c r="AA1196" t="n">
        <v>80</v>
      </c>
      <c r="AB1196" t="n">
        <v>39</v>
      </c>
      <c r="AN1196" t="inlineStr">
        <is>
          <t>Primed Melee</t>
        </is>
      </c>
      <c r="AO1196" t="n">
        <v>40920</v>
      </c>
      <c r="AP1196" t="n">
        <v>1976436</v>
      </c>
      <c r="AQ1196" t="n">
        <v>50</v>
      </c>
      <c r="AS1196" t="inlineStr">
        <is>
          <t>Yes</t>
        </is>
      </c>
    </row>
    <row r="1197">
      <c r="A1197" t="inlineStr">
        <is>
          <t>Mod</t>
        </is>
      </c>
      <c r="B1197" t="inlineStr">
        <is>
          <t>Primed Redirection</t>
        </is>
      </c>
      <c r="E1197" t="inlineStr">
        <is>
          <t>Primed Warframe</t>
        </is>
      </c>
      <c r="F1197" t="n">
        <v>10</v>
      </c>
      <c r="G1197" t="n">
        <v>1</v>
      </c>
      <c r="H1197" t="inlineStr">
        <is>
          <t>Player trade (max rank)</t>
        </is>
      </c>
      <c r="I1197" t="inlineStr">
        <is>
          <t>Yes</t>
        </is>
      </c>
      <c r="K1197" t="inlineStr">
        <is>
          <t>Collection</t>
        </is>
      </c>
      <c r="L1197" t="n">
        <v>110</v>
      </c>
      <c r="M1197" t="n">
        <v>110</v>
      </c>
      <c r="N1197" t="n">
        <v>127</v>
      </c>
      <c r="O1197" t="inlineStr">
        <is>
          <t>2026-10-05 UTC (WFM pull 02:52-04:00)</t>
        </is>
      </c>
      <c r="P1197" t="inlineStr">
        <is>
          <t>OK</t>
        </is>
      </c>
      <c r="R1197" t="inlineStr">
        <is>
          <t>Every current tradeable mod at MAX RANK (WFM catalogue, rivens/locators excluded)</t>
        </is>
      </c>
      <c r="S1197" t="inlineStr">
        <is>
          <t>primed_redirection</t>
        </is>
      </c>
      <c r="T1197" t="n">
        <v>55</v>
      </c>
      <c r="U1197" t="n">
        <v>55</v>
      </c>
      <c r="V1197" t="n">
        <v>100</v>
      </c>
      <c r="W1197" t="n">
        <v>120</v>
      </c>
      <c r="X1197" t="n">
        <v>115.7</v>
      </c>
      <c r="Y1197" t="n">
        <v>3338</v>
      </c>
      <c r="Z1197" t="n">
        <v>82</v>
      </c>
      <c r="AA1197" t="n">
        <v>72</v>
      </c>
      <c r="AB1197" t="n">
        <v>38</v>
      </c>
      <c r="AN1197" t="inlineStr">
        <is>
          <t>Primed Warframe</t>
        </is>
      </c>
      <c r="AO1197" t="n">
        <v>40920</v>
      </c>
      <c r="AP1197" t="n">
        <v>1976436</v>
      </c>
      <c r="AQ1197" t="n">
        <v>45</v>
      </c>
      <c r="AS1197" t="inlineStr">
        <is>
          <t>Yes</t>
        </is>
      </c>
    </row>
    <row r="1198">
      <c r="A1198" t="inlineStr">
        <is>
          <t>Mod</t>
        </is>
      </c>
      <c r="B1198" t="inlineStr">
        <is>
          <t>Primed Regen</t>
        </is>
      </c>
      <c r="E1198" t="inlineStr">
        <is>
          <t>Primed Sentinel</t>
        </is>
      </c>
      <c r="F1198" t="n">
        <v>10</v>
      </c>
      <c r="G1198" t="n">
        <v>1</v>
      </c>
      <c r="H1198" t="inlineStr">
        <is>
          <t>Player trade (max rank)</t>
        </is>
      </c>
      <c r="I1198" t="inlineStr">
        <is>
          <t>Yes</t>
        </is>
      </c>
      <c r="K1198" t="inlineStr">
        <is>
          <t>Collection</t>
        </is>
      </c>
      <c r="L1198" t="n">
        <v>129</v>
      </c>
      <c r="M1198" t="n">
        <v>132</v>
      </c>
      <c r="N1198" t="n">
        <v>149</v>
      </c>
      <c r="O1198" t="inlineStr">
        <is>
          <t>2026-10-05 UTC (WFM pull 02:52-04:00)</t>
        </is>
      </c>
      <c r="P1198" t="inlineStr">
        <is>
          <t>OK</t>
        </is>
      </c>
      <c r="R1198" t="inlineStr">
        <is>
          <t>Every current tradeable mod at MAX RANK (WFM catalogue, rivens/locators excluded)</t>
        </is>
      </c>
      <c r="S1198" t="inlineStr">
        <is>
          <t>primed_regen</t>
        </is>
      </c>
      <c r="T1198" t="n">
        <v>24</v>
      </c>
      <c r="U1198" t="n">
        <v>24</v>
      </c>
      <c r="V1198" t="n">
        <v>130</v>
      </c>
      <c r="W1198" t="n">
        <v>130</v>
      </c>
      <c r="X1198" t="n">
        <v>130.4</v>
      </c>
      <c r="Y1198" t="n">
        <v>823</v>
      </c>
      <c r="Z1198" t="n">
        <v>36</v>
      </c>
      <c r="AA1198" t="n">
        <v>82</v>
      </c>
      <c r="AB1198" t="n">
        <v>47</v>
      </c>
      <c r="AN1198" t="inlineStr">
        <is>
          <t>Primed Sentinel</t>
        </is>
      </c>
      <c r="AO1198" t="n">
        <v>40920</v>
      </c>
      <c r="AP1198" t="n">
        <v>1976436</v>
      </c>
      <c r="AQ1198" t="n">
        <v>59</v>
      </c>
      <c r="AS1198" t="inlineStr">
        <is>
          <t>Yes</t>
        </is>
      </c>
    </row>
    <row r="1199">
      <c r="A1199" t="inlineStr">
        <is>
          <t>Mod</t>
        </is>
      </c>
      <c r="B1199" t="inlineStr">
        <is>
          <t>Primed Rifle Ammo Mutation</t>
        </is>
      </c>
      <c r="E1199" t="inlineStr">
        <is>
          <t>Primed Assault Rifle</t>
        </is>
      </c>
      <c r="F1199" t="n">
        <v>10</v>
      </c>
      <c r="G1199" t="n">
        <v>1</v>
      </c>
      <c r="H1199" t="inlineStr">
        <is>
          <t>Player trade (max rank)</t>
        </is>
      </c>
      <c r="I1199" t="inlineStr">
        <is>
          <t>Yes</t>
        </is>
      </c>
      <c r="K1199" t="inlineStr">
        <is>
          <t>Collection</t>
        </is>
      </c>
      <c r="L1199" t="n">
        <v>144</v>
      </c>
      <c r="M1199" t="n">
        <v>145</v>
      </c>
      <c r="N1199" t="n">
        <v>176</v>
      </c>
      <c r="O1199" t="inlineStr">
        <is>
          <t>2026-10-05 UTC (WFM pull 02:52-04:00)</t>
        </is>
      </c>
      <c r="P1199" t="inlineStr">
        <is>
          <t>OK</t>
        </is>
      </c>
      <c r="R1199" t="inlineStr">
        <is>
          <t>Every current tradeable mod at MAX RANK (WFM catalogue, rivens/locators excluded)</t>
        </is>
      </c>
      <c r="S1199" t="inlineStr">
        <is>
          <t>primed_rifle_ammo_mutation</t>
        </is>
      </c>
      <c r="T1199" t="n">
        <v>11</v>
      </c>
      <c r="U1199" t="n">
        <v>11</v>
      </c>
      <c r="V1199" t="n">
        <v>140</v>
      </c>
      <c r="W1199" t="n">
        <v>132.5</v>
      </c>
      <c r="X1199" t="n">
        <v>128.5</v>
      </c>
      <c r="Y1199" t="n">
        <v>181</v>
      </c>
      <c r="Z1199" t="n">
        <v>2</v>
      </c>
      <c r="AA1199" t="n">
        <v>61</v>
      </c>
      <c r="AB1199" t="n">
        <v>83</v>
      </c>
      <c r="AN1199" t="inlineStr">
        <is>
          <t>Primed Assault Rifle</t>
        </is>
      </c>
      <c r="AO1199" t="n">
        <v>40920</v>
      </c>
      <c r="AP1199" t="n">
        <v>1976436</v>
      </c>
      <c r="AQ1199" t="n">
        <v>75</v>
      </c>
      <c r="AS1199" t="inlineStr">
        <is>
          <t>Yes</t>
        </is>
      </c>
    </row>
    <row r="1200">
      <c r="A1200" t="inlineStr">
        <is>
          <t>Mod</t>
        </is>
      </c>
      <c r="B1200" t="inlineStr">
        <is>
          <t>Primed Rubedo-Lined Barrel</t>
        </is>
      </c>
      <c r="E1200" t="inlineStr">
        <is>
          <t>Primed Archgun</t>
        </is>
      </c>
      <c r="F1200" t="n">
        <v>10</v>
      </c>
      <c r="G1200" t="n">
        <v>1</v>
      </c>
      <c r="H1200" t="inlineStr">
        <is>
          <t>Player trade (max rank)</t>
        </is>
      </c>
      <c r="I1200" t="inlineStr">
        <is>
          <t>Yes</t>
        </is>
      </c>
      <c r="K1200" t="inlineStr">
        <is>
          <t>Collection</t>
        </is>
      </c>
      <c r="L1200" t="n">
        <v>110</v>
      </c>
      <c r="M1200" t="n">
        <v>120</v>
      </c>
      <c r="N1200" t="n">
        <v>132</v>
      </c>
      <c r="O1200" t="inlineStr">
        <is>
          <t>2026-10-05 UTC (WFM pull 02:52-04:00)</t>
        </is>
      </c>
      <c r="P1200" t="inlineStr">
        <is>
          <t>OK</t>
        </is>
      </c>
      <c r="R1200" t="inlineStr">
        <is>
          <t>Every current tradeable mod at MAX RANK (WFM catalogue, rivens/locators excluded)</t>
        </is>
      </c>
      <c r="S1200" t="inlineStr">
        <is>
          <t>primed_rubedo_lined_barrel</t>
        </is>
      </c>
      <c r="T1200" t="n">
        <v>35</v>
      </c>
      <c r="U1200" t="n">
        <v>35</v>
      </c>
      <c r="V1200" t="n">
        <v>100</v>
      </c>
      <c r="W1200" t="n">
        <v>100</v>
      </c>
      <c r="X1200" t="n">
        <v>103.1</v>
      </c>
      <c r="Y1200" t="n">
        <v>1165</v>
      </c>
      <c r="Z1200" t="n">
        <v>35</v>
      </c>
      <c r="AA1200" t="n">
        <v>90</v>
      </c>
      <c r="AB1200" t="n">
        <v>20</v>
      </c>
      <c r="AN1200" t="inlineStr">
        <is>
          <t>Primed Archgun</t>
        </is>
      </c>
      <c r="AO1200" t="n">
        <v>40920</v>
      </c>
      <c r="AP1200" t="n">
        <v>1976436</v>
      </c>
      <c r="AQ1200" t="n">
        <v>45</v>
      </c>
      <c r="AS1200" t="inlineStr">
        <is>
          <t>Yes</t>
        </is>
      </c>
    </row>
    <row r="1201">
      <c r="A1201" t="inlineStr">
        <is>
          <t>Mod</t>
        </is>
      </c>
      <c r="B1201" t="inlineStr">
        <is>
          <t>Primed Shotgun Ammo Mutation</t>
        </is>
      </c>
      <c r="E1201" t="inlineStr">
        <is>
          <t>Primed Shotgun</t>
        </is>
      </c>
      <c r="F1201" t="n">
        <v>10</v>
      </c>
      <c r="G1201" t="n">
        <v>1</v>
      </c>
      <c r="H1201" t="inlineStr">
        <is>
          <t>Player trade (max rank)</t>
        </is>
      </c>
      <c r="I1201" t="inlineStr">
        <is>
          <t>Yes</t>
        </is>
      </c>
      <c r="K1201" t="inlineStr">
        <is>
          <t>Collection</t>
        </is>
      </c>
      <c r="L1201" t="n">
        <v>140</v>
      </c>
      <c r="M1201" t="n">
        <v>149</v>
      </c>
      <c r="N1201" t="n">
        <v>176</v>
      </c>
      <c r="O1201" t="inlineStr">
        <is>
          <t>2026-10-05 UTC (WFM pull 02:52-04:00)</t>
        </is>
      </c>
      <c r="P1201" t="inlineStr">
        <is>
          <t>OK</t>
        </is>
      </c>
      <c r="R1201" t="inlineStr">
        <is>
          <t>Every current tradeable mod at MAX RANK (WFM catalogue, rivens/locators excluded)</t>
        </is>
      </c>
      <c r="S1201" t="inlineStr">
        <is>
          <t>primed_shotgun_ammo_mutation</t>
        </is>
      </c>
      <c r="T1201" t="n">
        <v>12</v>
      </c>
      <c r="U1201" t="n">
        <v>12</v>
      </c>
      <c r="V1201" t="n">
        <v>114.5</v>
      </c>
      <c r="W1201" t="n">
        <v>114.5</v>
      </c>
      <c r="X1201" t="n">
        <v>118.6</v>
      </c>
      <c r="Y1201" t="n">
        <v>194</v>
      </c>
      <c r="Z1201" t="n">
        <v>4</v>
      </c>
      <c r="AA1201" t="n">
        <v>45</v>
      </c>
      <c r="AB1201" t="n">
        <v>95</v>
      </c>
      <c r="AN1201" t="inlineStr">
        <is>
          <t>Primed Shotgun</t>
        </is>
      </c>
      <c r="AO1201" t="n">
        <v>40920</v>
      </c>
      <c r="AP1201" t="n">
        <v>1976436</v>
      </c>
      <c r="AQ1201" t="n">
        <v>45</v>
      </c>
      <c r="AS1201" t="inlineStr">
        <is>
          <t>Yes</t>
        </is>
      </c>
    </row>
    <row r="1202">
      <c r="A1202" t="inlineStr">
        <is>
          <t>Mod</t>
        </is>
      </c>
      <c r="B1202" t="inlineStr">
        <is>
          <t>Primed Slip Magazine</t>
        </is>
      </c>
      <c r="E1202" t="inlineStr">
        <is>
          <t>Primed Pistol</t>
        </is>
      </c>
      <c r="F1202" t="n">
        <v>10</v>
      </c>
      <c r="G1202" t="n">
        <v>1</v>
      </c>
      <c r="H1202" t="inlineStr">
        <is>
          <t>Player trade (max rank)</t>
        </is>
      </c>
      <c r="I1202" t="inlineStr">
        <is>
          <t>Yes</t>
        </is>
      </c>
      <c r="K1202" t="inlineStr">
        <is>
          <t>Collection</t>
        </is>
      </c>
      <c r="L1202" t="n">
        <v>90</v>
      </c>
      <c r="M1202" t="n">
        <v>118</v>
      </c>
      <c r="N1202" t="n">
        <v>132</v>
      </c>
      <c r="O1202" t="inlineStr">
        <is>
          <t>2026-10-05 UTC (WFM pull 02:52-04:00)</t>
        </is>
      </c>
      <c r="P1202" t="inlineStr">
        <is>
          <t>OK</t>
        </is>
      </c>
      <c r="R1202" t="inlineStr">
        <is>
          <t>Every current tradeable mod at MAX RANK (WFM catalogue, rivens/locators excluded)</t>
        </is>
      </c>
      <c r="S1202" t="inlineStr">
        <is>
          <t>primed_slip_magazine</t>
        </is>
      </c>
      <c r="T1202" t="n">
        <v>19</v>
      </c>
      <c r="U1202" t="n">
        <v>19</v>
      </c>
      <c r="V1202" t="n">
        <v>105</v>
      </c>
      <c r="W1202" t="n">
        <v>100</v>
      </c>
      <c r="X1202" t="n">
        <v>100.1</v>
      </c>
      <c r="Y1202" t="n">
        <v>227</v>
      </c>
      <c r="Z1202" t="n">
        <v>14</v>
      </c>
      <c r="AA1202" t="n">
        <v>50</v>
      </c>
      <c r="AB1202" t="n">
        <v>40</v>
      </c>
      <c r="AN1202" t="inlineStr">
        <is>
          <t>Primed Pistol</t>
        </is>
      </c>
      <c r="AO1202" t="n">
        <v>40920</v>
      </c>
      <c r="AP1202" t="n">
        <v>1976436</v>
      </c>
      <c r="AQ1202" t="n">
        <v>30</v>
      </c>
      <c r="AS1202" t="inlineStr">
        <is>
          <t>Yes</t>
        </is>
      </c>
    </row>
    <row r="1203">
      <c r="A1203" t="inlineStr">
        <is>
          <t>Mod</t>
        </is>
      </c>
      <c r="B1203" t="inlineStr">
        <is>
          <t>Primed Smite Corpus</t>
        </is>
      </c>
      <c r="E1203" t="inlineStr">
        <is>
          <t>Primed Melee</t>
        </is>
      </c>
      <c r="F1203" t="n">
        <v>10</v>
      </c>
      <c r="G1203" t="n">
        <v>1</v>
      </c>
      <c r="H1203" t="inlineStr">
        <is>
          <t>Player trade (max rank)</t>
        </is>
      </c>
      <c r="I1203" t="inlineStr">
        <is>
          <t>Yes</t>
        </is>
      </c>
      <c r="K1203" t="inlineStr">
        <is>
          <t>Collection</t>
        </is>
      </c>
      <c r="L1203" t="n">
        <v>110</v>
      </c>
      <c r="M1203" t="n">
        <v>139</v>
      </c>
      <c r="N1203" t="n">
        <v>154</v>
      </c>
      <c r="O1203" t="inlineStr">
        <is>
          <t>2026-10-05 UTC (WFM pull 02:52-04:00)</t>
        </is>
      </c>
      <c r="P1203" t="inlineStr">
        <is>
          <t>OK</t>
        </is>
      </c>
      <c r="R1203" t="inlineStr">
        <is>
          <t>Every current tradeable mod at MAX RANK (WFM catalogue, rivens/locators excluded)</t>
        </is>
      </c>
      <c r="S1203" t="inlineStr">
        <is>
          <t>primed_smite_corpus</t>
        </is>
      </c>
      <c r="T1203" t="n">
        <v>16</v>
      </c>
      <c r="U1203" t="n">
        <v>16</v>
      </c>
      <c r="V1203" t="n">
        <v>130</v>
      </c>
      <c r="W1203" t="n">
        <v>127.5</v>
      </c>
      <c r="X1203" t="n">
        <v>124</v>
      </c>
      <c r="Y1203" t="n">
        <v>214</v>
      </c>
      <c r="Z1203" t="n">
        <v>5</v>
      </c>
      <c r="AA1203" t="n">
        <v>80</v>
      </c>
      <c r="AB1203" t="n">
        <v>30</v>
      </c>
      <c r="AN1203" t="inlineStr">
        <is>
          <t>Primed Melee</t>
        </is>
      </c>
      <c r="AO1203" t="n">
        <v>40920</v>
      </c>
      <c r="AP1203" t="n">
        <v>1976436</v>
      </c>
      <c r="AQ1203" t="n">
        <v>50</v>
      </c>
      <c r="AS1203" t="inlineStr">
        <is>
          <t>Yes</t>
        </is>
      </c>
    </row>
    <row r="1204">
      <c r="A1204" t="inlineStr">
        <is>
          <t>Mod</t>
        </is>
      </c>
      <c r="B1204" t="inlineStr">
        <is>
          <t>Primed Smite Grineer</t>
        </is>
      </c>
      <c r="E1204" t="inlineStr">
        <is>
          <t>Primed Melee</t>
        </is>
      </c>
      <c r="F1204" t="n">
        <v>10</v>
      </c>
      <c r="G1204" t="n">
        <v>1</v>
      </c>
      <c r="H1204" t="inlineStr">
        <is>
          <t>Player trade (max rank)</t>
        </is>
      </c>
      <c r="I1204" t="inlineStr">
        <is>
          <t>Yes</t>
        </is>
      </c>
      <c r="K1204" t="inlineStr">
        <is>
          <t>Collection</t>
        </is>
      </c>
      <c r="L1204" t="n">
        <v>100</v>
      </c>
      <c r="M1204" t="n">
        <v>130</v>
      </c>
      <c r="N1204" t="n">
        <v>154</v>
      </c>
      <c r="O1204" t="inlineStr">
        <is>
          <t>2026-10-05 UTC (WFM pull 02:52-04:00)</t>
        </is>
      </c>
      <c r="P1204" t="inlineStr">
        <is>
          <t>OK</t>
        </is>
      </c>
      <c r="R1204" t="inlineStr">
        <is>
          <t>Every current tradeable mod at MAX RANK (WFM catalogue, rivens/locators excluded)</t>
        </is>
      </c>
      <c r="S1204" t="inlineStr">
        <is>
          <t>primed_smite_grineer</t>
        </is>
      </c>
      <c r="T1204" t="n">
        <v>22</v>
      </c>
      <c r="U1204" t="n">
        <v>22</v>
      </c>
      <c r="V1204" t="n">
        <v>107.5</v>
      </c>
      <c r="W1204" t="n">
        <v>120</v>
      </c>
      <c r="X1204" t="n">
        <v>116.5</v>
      </c>
      <c r="Y1204" t="n">
        <v>282</v>
      </c>
      <c r="Z1204" t="n">
        <v>4</v>
      </c>
      <c r="AA1204" t="n">
        <v>52</v>
      </c>
      <c r="AB1204" t="n">
        <v>48</v>
      </c>
      <c r="AN1204" t="inlineStr">
        <is>
          <t>Primed Melee</t>
        </is>
      </c>
      <c r="AO1204" t="n">
        <v>40920</v>
      </c>
      <c r="AP1204" t="n">
        <v>1976436</v>
      </c>
      <c r="AQ1204" t="n">
        <v>40</v>
      </c>
      <c r="AS1204" t="inlineStr">
        <is>
          <t>Yes</t>
        </is>
      </c>
    </row>
    <row r="1205">
      <c r="A1205" t="inlineStr">
        <is>
          <t>Mod</t>
        </is>
      </c>
      <c r="B1205" t="inlineStr">
        <is>
          <t>Primed Smite Infested</t>
        </is>
      </c>
      <c r="E1205" t="inlineStr">
        <is>
          <t>Primed Melee</t>
        </is>
      </c>
      <c r="F1205" t="n">
        <v>10</v>
      </c>
      <c r="G1205" t="n">
        <v>1</v>
      </c>
      <c r="H1205" t="inlineStr">
        <is>
          <t>Player trade (max rank)</t>
        </is>
      </c>
      <c r="I1205" t="inlineStr">
        <is>
          <t>Yes</t>
        </is>
      </c>
      <c r="K1205" t="inlineStr">
        <is>
          <t>Collection</t>
        </is>
      </c>
      <c r="L1205" t="n">
        <v>88</v>
      </c>
      <c r="M1205" t="n">
        <v>95</v>
      </c>
      <c r="N1205" t="n">
        <v>143</v>
      </c>
      <c r="O1205" t="inlineStr">
        <is>
          <t>2026-10-05 UTC (WFM pull 02:52-04:00)</t>
        </is>
      </c>
      <c r="P1205" t="inlineStr">
        <is>
          <t>OK</t>
        </is>
      </c>
      <c r="R1205" t="inlineStr">
        <is>
          <t>Every current tradeable mod at MAX RANK (WFM catalogue, rivens/locators excluded)</t>
        </is>
      </c>
      <c r="S1205" t="inlineStr">
        <is>
          <t>primed_smite_infested</t>
        </is>
      </c>
      <c r="T1205" t="n">
        <v>13</v>
      </c>
      <c r="U1205" t="n">
        <v>13</v>
      </c>
      <c r="V1205" t="n">
        <v>97.5</v>
      </c>
      <c r="W1205" t="n">
        <v>110</v>
      </c>
      <c r="X1205" t="n">
        <v>107.4</v>
      </c>
      <c r="Y1205" t="n">
        <v>102</v>
      </c>
      <c r="Z1205" t="n">
        <v>1</v>
      </c>
      <c r="AA1205" t="n">
        <v>55</v>
      </c>
      <c r="AB1205" t="n">
        <v>33</v>
      </c>
      <c r="AN1205" t="inlineStr">
        <is>
          <t>Primed Melee</t>
        </is>
      </c>
      <c r="AO1205" t="n">
        <v>40920</v>
      </c>
      <c r="AP1205" t="n">
        <v>1976436</v>
      </c>
      <c r="AQ1205" t="n">
        <v>28</v>
      </c>
      <c r="AS1205" t="inlineStr">
        <is>
          <t>Yes</t>
        </is>
      </c>
    </row>
    <row r="1206">
      <c r="A1206" t="inlineStr">
        <is>
          <t>Mod</t>
        </is>
      </c>
      <c r="B1206" t="inlineStr">
        <is>
          <t>Primed Smite Orokin</t>
        </is>
      </c>
      <c r="E1206" t="inlineStr">
        <is>
          <t>Primed Melee</t>
        </is>
      </c>
      <c r="F1206" t="n">
        <v>10</v>
      </c>
      <c r="G1206" t="n">
        <v>1</v>
      </c>
      <c r="H1206" t="inlineStr">
        <is>
          <t>Player trade (max rank)</t>
        </is>
      </c>
      <c r="I1206" t="inlineStr">
        <is>
          <t>Yes</t>
        </is>
      </c>
      <c r="K1206" t="inlineStr">
        <is>
          <t>Collection</t>
        </is>
      </c>
      <c r="L1206" t="n">
        <v>110</v>
      </c>
      <c r="M1206" t="n">
        <v>130</v>
      </c>
      <c r="N1206" t="n">
        <v>143</v>
      </c>
      <c r="O1206" t="inlineStr">
        <is>
          <t>2026-10-05 UTC (WFM pull 02:52-04:00)</t>
        </is>
      </c>
      <c r="P1206" t="inlineStr">
        <is>
          <t>OK</t>
        </is>
      </c>
      <c r="R1206" t="inlineStr">
        <is>
          <t>Every current tradeable mod at MAX RANK (WFM catalogue, rivens/locators excluded)</t>
        </is>
      </c>
      <c r="S1206" t="inlineStr">
        <is>
          <t>primed_smite_orokin</t>
        </is>
      </c>
      <c r="T1206" t="n">
        <v>9</v>
      </c>
      <c r="U1206" t="n">
        <v>9</v>
      </c>
      <c r="V1206" t="n">
        <v>105</v>
      </c>
      <c r="W1206" t="n">
        <v>115</v>
      </c>
      <c r="X1206" t="n">
        <v>114.8</v>
      </c>
      <c r="Y1206" t="n">
        <v>392</v>
      </c>
      <c r="Z1206" t="n">
        <v>5</v>
      </c>
      <c r="AA1206" t="n">
        <v>45</v>
      </c>
      <c r="AB1206" t="n">
        <v>65</v>
      </c>
      <c r="AN1206" t="inlineStr">
        <is>
          <t>Primed Melee</t>
        </is>
      </c>
      <c r="AO1206" t="n">
        <v>40920</v>
      </c>
      <c r="AP1206" t="n">
        <v>1976436</v>
      </c>
      <c r="AQ1206" t="n">
        <v>49</v>
      </c>
      <c r="AS1206" t="inlineStr">
        <is>
          <t>Yes</t>
        </is>
      </c>
    </row>
    <row r="1207">
      <c r="A1207" t="inlineStr">
        <is>
          <t>Mod</t>
        </is>
      </c>
      <c r="B1207" t="inlineStr">
        <is>
          <t>Primed Smite The Murmur</t>
        </is>
      </c>
      <c r="E1207" t="inlineStr">
        <is>
          <t>Primed Melee</t>
        </is>
      </c>
      <c r="F1207" t="n">
        <v>10</v>
      </c>
      <c r="G1207" t="n">
        <v>1</v>
      </c>
      <c r="H1207" t="inlineStr">
        <is>
          <t>Player trade (max rank)</t>
        </is>
      </c>
      <c r="I1207" t="inlineStr">
        <is>
          <t>Yes</t>
        </is>
      </c>
      <c r="K1207" t="inlineStr">
        <is>
          <t>Collection</t>
        </is>
      </c>
      <c r="L1207" t="n">
        <v>120</v>
      </c>
      <c r="M1207" t="n">
        <v>120</v>
      </c>
      <c r="N1207" t="n">
        <v>154</v>
      </c>
      <c r="O1207" t="inlineStr">
        <is>
          <t>2026-10-05 UTC (WFM pull 02:52-04:00)</t>
        </is>
      </c>
      <c r="P1207" t="inlineStr">
        <is>
          <t>OK</t>
        </is>
      </c>
      <c r="R1207" t="inlineStr">
        <is>
          <t>Every current tradeable mod at MAX RANK (WFM catalogue, rivens/locators excluded)</t>
        </is>
      </c>
      <c r="S1207" t="inlineStr">
        <is>
          <t>primed_smite_the_murmur</t>
        </is>
      </c>
      <c r="T1207" t="n">
        <v>14</v>
      </c>
      <c r="U1207" t="n">
        <v>14</v>
      </c>
      <c r="V1207" t="n">
        <v>98</v>
      </c>
      <c r="W1207" t="n">
        <v>102.5</v>
      </c>
      <c r="X1207" t="n">
        <v>104.5</v>
      </c>
      <c r="Y1207" t="n">
        <v>135</v>
      </c>
      <c r="Z1207" t="n">
        <v>7</v>
      </c>
      <c r="AA1207" t="n">
        <v>57</v>
      </c>
      <c r="AB1207" t="n">
        <v>63</v>
      </c>
      <c r="AN1207" t="inlineStr">
        <is>
          <t>Primed Melee</t>
        </is>
      </c>
      <c r="AO1207" t="n">
        <v>40920</v>
      </c>
      <c r="AP1207" t="n">
        <v>1976436</v>
      </c>
      <c r="AQ1207" t="n">
        <v>45</v>
      </c>
      <c r="AS1207" t="inlineStr">
        <is>
          <t>Yes</t>
        </is>
      </c>
    </row>
    <row r="1208">
      <c r="A1208" t="inlineStr">
        <is>
          <t>Mod</t>
        </is>
      </c>
      <c r="B1208" t="inlineStr">
        <is>
          <t>Primed Sniper Ammo Mutation</t>
        </is>
      </c>
      <c r="E1208" t="inlineStr">
        <is>
          <t>Primed Sniper</t>
        </is>
      </c>
      <c r="F1208" t="n">
        <v>10</v>
      </c>
      <c r="G1208" t="n">
        <v>1</v>
      </c>
      <c r="H1208" t="inlineStr">
        <is>
          <t>Player trade (max rank)</t>
        </is>
      </c>
      <c r="I1208" t="inlineStr">
        <is>
          <t>Yes</t>
        </is>
      </c>
      <c r="K1208" t="inlineStr">
        <is>
          <t>Collection</t>
        </is>
      </c>
      <c r="L1208" t="n">
        <v>136</v>
      </c>
      <c r="M1208" t="n">
        <v>160</v>
      </c>
      <c r="N1208" t="n">
        <v>199</v>
      </c>
      <c r="O1208" t="inlineStr">
        <is>
          <t>2026-10-05 UTC (WFM pull 02:52-04:00)</t>
        </is>
      </c>
      <c r="P1208" t="inlineStr">
        <is>
          <t>OK</t>
        </is>
      </c>
      <c r="R1208" t="inlineStr">
        <is>
          <t>Every current tradeable mod at MAX RANK (WFM catalogue, rivens/locators excluded)</t>
        </is>
      </c>
      <c r="S1208" t="inlineStr">
        <is>
          <t>primed_sniper_ammo_mutation</t>
        </is>
      </c>
      <c r="T1208" t="n">
        <v>8</v>
      </c>
      <c r="U1208" t="n">
        <v>8</v>
      </c>
      <c r="V1208" t="n">
        <v>120</v>
      </c>
      <c r="W1208" t="n">
        <v>109</v>
      </c>
      <c r="X1208" t="n">
        <v>111.2</v>
      </c>
      <c r="Y1208" t="n">
        <v>168</v>
      </c>
      <c r="Z1208" t="n">
        <v>0</v>
      </c>
      <c r="AA1208" t="n">
        <v>60</v>
      </c>
      <c r="AB1208" t="n">
        <v>76</v>
      </c>
      <c r="AN1208" t="inlineStr">
        <is>
          <t>Primed Sniper</t>
        </is>
      </c>
      <c r="AO1208" t="n">
        <v>40920</v>
      </c>
      <c r="AP1208" t="n">
        <v>1976436</v>
      </c>
      <c r="AQ1208" t="n">
        <v>60</v>
      </c>
      <c r="AS1208" t="inlineStr">
        <is>
          <t>Yes</t>
        </is>
      </c>
    </row>
    <row r="1209">
      <c r="A1209" t="inlineStr">
        <is>
          <t>Mod</t>
        </is>
      </c>
      <c r="B1209" t="inlineStr">
        <is>
          <t>Primed Stabilizer</t>
        </is>
      </c>
      <c r="E1209" t="inlineStr">
        <is>
          <t>Primed Rifle</t>
        </is>
      </c>
      <c r="F1209" t="n">
        <v>10</v>
      </c>
      <c r="G1209" t="n">
        <v>1</v>
      </c>
      <c r="H1209" t="inlineStr">
        <is>
          <t>Player trade (max rank)</t>
        </is>
      </c>
      <c r="I1209" t="inlineStr">
        <is>
          <t>Yes</t>
        </is>
      </c>
      <c r="K1209" t="inlineStr">
        <is>
          <t>Collection</t>
        </is>
      </c>
      <c r="L1209" t="n">
        <v>125</v>
      </c>
      <c r="M1209" t="n">
        <v>130</v>
      </c>
      <c r="N1209" t="n">
        <v>165</v>
      </c>
      <c r="O1209" t="inlineStr">
        <is>
          <t>2026-10-05 UTC (WFM pull 02:52-04:00)</t>
        </is>
      </c>
      <c r="P1209" t="inlineStr">
        <is>
          <t>OK</t>
        </is>
      </c>
      <c r="R1209" t="inlineStr">
        <is>
          <t>Every current tradeable mod at MAX RANK (WFM catalogue, rivens/locators excluded)</t>
        </is>
      </c>
      <c r="S1209" t="inlineStr">
        <is>
          <t>primed_stabilizer</t>
        </is>
      </c>
      <c r="T1209" t="n">
        <v>12</v>
      </c>
      <c r="U1209" t="n">
        <v>12</v>
      </c>
      <c r="V1209" t="n">
        <v>120</v>
      </c>
      <c r="W1209" t="n">
        <v>110</v>
      </c>
      <c r="X1209" t="n">
        <v>108.5</v>
      </c>
      <c r="Y1209" t="n">
        <v>293</v>
      </c>
      <c r="Z1209" t="n">
        <v>9</v>
      </c>
      <c r="AA1209" t="n">
        <v>100</v>
      </c>
      <c r="AB1209" t="n">
        <v>25</v>
      </c>
      <c r="AN1209" t="inlineStr">
        <is>
          <t>Primed Rifle</t>
        </is>
      </c>
      <c r="AO1209" t="n">
        <v>40920</v>
      </c>
      <c r="AP1209" t="n">
        <v>1976436</v>
      </c>
      <c r="AQ1209" t="n">
        <v>56</v>
      </c>
      <c r="AS1209" t="inlineStr">
        <is>
          <t>Yes</t>
        </is>
      </c>
    </row>
    <row r="1210">
      <c r="A1210" t="inlineStr">
        <is>
          <t>Mod</t>
        </is>
      </c>
      <c r="B1210" t="inlineStr">
        <is>
          <t>Primed Steady Hands</t>
        </is>
      </c>
      <c r="E1210" t="inlineStr">
        <is>
          <t>Primed Pistol</t>
        </is>
      </c>
      <c r="F1210" t="n">
        <v>10</v>
      </c>
      <c r="G1210" t="n">
        <v>1</v>
      </c>
      <c r="H1210" t="inlineStr">
        <is>
          <t>Player trade (max rank)</t>
        </is>
      </c>
      <c r="I1210" t="inlineStr">
        <is>
          <t>Yes</t>
        </is>
      </c>
      <c r="K1210" t="inlineStr">
        <is>
          <t>Collection</t>
        </is>
      </c>
      <c r="L1210" t="n">
        <v>134</v>
      </c>
      <c r="M1210" t="n">
        <v>135</v>
      </c>
      <c r="N1210" t="n">
        <v>154</v>
      </c>
      <c r="O1210" t="inlineStr">
        <is>
          <t>2026-10-05 UTC (WFM pull 02:52-04:00)</t>
        </is>
      </c>
      <c r="P1210" t="inlineStr">
        <is>
          <t>OK</t>
        </is>
      </c>
      <c r="R1210" t="inlineStr">
        <is>
          <t>Every current tradeable mod at MAX RANK (WFM catalogue, rivens/locators excluded)</t>
        </is>
      </c>
      <c r="S1210" t="inlineStr">
        <is>
          <t>primed_steady_hands</t>
        </is>
      </c>
      <c r="T1210" t="n">
        <v>12</v>
      </c>
      <c r="U1210" t="n">
        <v>12</v>
      </c>
      <c r="V1210" t="n">
        <v>135</v>
      </c>
      <c r="W1210" t="n">
        <v>120</v>
      </c>
      <c r="X1210" t="n">
        <v>116.2</v>
      </c>
      <c r="Y1210" t="n">
        <v>355</v>
      </c>
      <c r="Z1210" t="n">
        <v>9</v>
      </c>
      <c r="AA1210" t="n">
        <v>71</v>
      </c>
      <c r="AB1210" t="n">
        <v>63</v>
      </c>
      <c r="AN1210" t="inlineStr">
        <is>
          <t>Primed Pistol</t>
        </is>
      </c>
      <c r="AO1210" t="n">
        <v>40920</v>
      </c>
      <c r="AP1210" t="n">
        <v>1976436</v>
      </c>
      <c r="AQ1210" t="n">
        <v>59</v>
      </c>
      <c r="AS1210" t="inlineStr">
        <is>
          <t>Yes</t>
        </is>
      </c>
    </row>
    <row r="1211">
      <c r="A1211" t="inlineStr">
        <is>
          <t>Mod</t>
        </is>
      </c>
      <c r="B1211" t="inlineStr">
        <is>
          <t>Primed Tactical Pump</t>
        </is>
      </c>
      <c r="E1211" t="inlineStr">
        <is>
          <t>Primed Shotgun</t>
        </is>
      </c>
      <c r="F1211" t="n">
        <v>10</v>
      </c>
      <c r="G1211" t="n">
        <v>1</v>
      </c>
      <c r="H1211" t="inlineStr">
        <is>
          <t>Player trade (max rank)</t>
        </is>
      </c>
      <c r="I1211" t="inlineStr">
        <is>
          <t>Yes</t>
        </is>
      </c>
      <c r="K1211" t="inlineStr">
        <is>
          <t>Collection</t>
        </is>
      </c>
      <c r="L1211" t="n">
        <v>128</v>
      </c>
      <c r="M1211" t="n">
        <v>130</v>
      </c>
      <c r="N1211" t="n">
        <v>143</v>
      </c>
      <c r="O1211" t="inlineStr">
        <is>
          <t>2026-10-05 UTC (WFM pull 02:52-04:00)</t>
        </is>
      </c>
      <c r="P1211" t="inlineStr">
        <is>
          <t>OK</t>
        </is>
      </c>
      <c r="R1211" t="inlineStr">
        <is>
          <t>Every current tradeable mod at MAX RANK (WFM catalogue, rivens/locators excluded)</t>
        </is>
      </c>
      <c r="S1211" t="inlineStr">
        <is>
          <t>primed_tactical_pump</t>
        </is>
      </c>
      <c r="T1211" t="n">
        <v>14</v>
      </c>
      <c r="U1211" t="n">
        <v>14</v>
      </c>
      <c r="V1211" t="n">
        <v>120</v>
      </c>
      <c r="W1211" t="n">
        <v>120</v>
      </c>
      <c r="X1211" t="n">
        <v>116.1</v>
      </c>
      <c r="Y1211" t="n">
        <v>311</v>
      </c>
      <c r="Z1211" t="n">
        <v>11</v>
      </c>
      <c r="AA1211" t="n">
        <v>50</v>
      </c>
      <c r="AB1211" t="n">
        <v>78</v>
      </c>
      <c r="AN1211" t="inlineStr">
        <is>
          <t>Primed Shotgun</t>
        </is>
      </c>
      <c r="AO1211" t="n">
        <v>40920</v>
      </c>
      <c r="AP1211" t="n">
        <v>1976436</v>
      </c>
      <c r="AQ1211" t="n">
        <v>58.5</v>
      </c>
      <c r="AS1211" t="inlineStr">
        <is>
          <t>Yes</t>
        </is>
      </c>
    </row>
    <row r="1212">
      <c r="A1212" t="inlineStr">
        <is>
          <t>Mod</t>
        </is>
      </c>
      <c r="B1212" t="inlineStr">
        <is>
          <t>Primed Target Cracker</t>
        </is>
      </c>
      <c r="E1212" t="inlineStr">
        <is>
          <t>Primed Pistol</t>
        </is>
      </c>
      <c r="F1212" t="n">
        <v>10</v>
      </c>
      <c r="G1212" t="n">
        <v>1</v>
      </c>
      <c r="H1212" t="inlineStr">
        <is>
          <t>Player trade (max rank)</t>
        </is>
      </c>
      <c r="I1212" t="inlineStr">
        <is>
          <t>Yes</t>
        </is>
      </c>
      <c r="K1212" t="inlineStr">
        <is>
          <t>Collection</t>
        </is>
      </c>
      <c r="L1212" t="n">
        <v>100</v>
      </c>
      <c r="M1212" t="n">
        <v>110</v>
      </c>
      <c r="N1212" t="n">
        <v>122</v>
      </c>
      <c r="O1212" t="inlineStr">
        <is>
          <t>2026-10-05 UTC (WFM pull 02:52-04:00)</t>
        </is>
      </c>
      <c r="P1212" t="inlineStr">
        <is>
          <t>OK</t>
        </is>
      </c>
      <c r="R1212" t="inlineStr">
        <is>
          <t>Every current tradeable mod at MAX RANK (WFM catalogue, rivens/locators excluded)</t>
        </is>
      </c>
      <c r="S1212" t="inlineStr">
        <is>
          <t>primed_target_cracker</t>
        </is>
      </c>
      <c r="T1212" t="n">
        <v>52</v>
      </c>
      <c r="U1212" t="n">
        <v>52</v>
      </c>
      <c r="V1212" t="n">
        <v>100</v>
      </c>
      <c r="W1212" t="n">
        <v>125</v>
      </c>
      <c r="X1212" t="n">
        <v>117.6</v>
      </c>
      <c r="Y1212" t="n">
        <v>3865</v>
      </c>
      <c r="Z1212" t="n">
        <v>87</v>
      </c>
      <c r="AA1212" t="n">
        <v>65</v>
      </c>
      <c r="AB1212" t="n">
        <v>35</v>
      </c>
      <c r="AN1212" t="inlineStr">
        <is>
          <t>Primed Pistol</t>
        </is>
      </c>
      <c r="AO1212" t="n">
        <v>40920</v>
      </c>
      <c r="AP1212" t="n">
        <v>1976436</v>
      </c>
      <c r="AQ1212" t="n">
        <v>35</v>
      </c>
      <c r="AS1212" t="inlineStr">
        <is>
          <t>Yes</t>
        </is>
      </c>
    </row>
    <row r="1213">
      <c r="A1213" t="inlineStr">
        <is>
          <t>Mod</t>
        </is>
      </c>
      <c r="B1213" t="inlineStr">
        <is>
          <t>Primed Venomous Clip</t>
        </is>
      </c>
      <c r="E1213" t="inlineStr">
        <is>
          <t>Primed Archgun</t>
        </is>
      </c>
      <c r="F1213" t="n">
        <v>10</v>
      </c>
      <c r="G1213" t="n">
        <v>1</v>
      </c>
      <c r="H1213" t="inlineStr">
        <is>
          <t>Player trade (max rank)</t>
        </is>
      </c>
      <c r="I1213" t="inlineStr">
        <is>
          <t>Yes</t>
        </is>
      </c>
      <c r="K1213" t="inlineStr">
        <is>
          <t>Collection</t>
        </is>
      </c>
      <c r="L1213" t="n">
        <v>110</v>
      </c>
      <c r="M1213" t="n">
        <v>130</v>
      </c>
      <c r="N1213" t="n">
        <v>143</v>
      </c>
      <c r="O1213" t="inlineStr">
        <is>
          <t>2026-10-05 UTC (WFM pull 02:52-04:00)</t>
        </is>
      </c>
      <c r="P1213" t="inlineStr">
        <is>
          <t>OK</t>
        </is>
      </c>
      <c r="R1213" t="inlineStr">
        <is>
          <t>Every current tradeable mod at MAX RANK (WFM catalogue, rivens/locators excluded)</t>
        </is>
      </c>
      <c r="S1213" t="inlineStr">
        <is>
          <t>primed_venomous_clip</t>
        </is>
      </c>
      <c r="T1213" t="n">
        <v>21</v>
      </c>
      <c r="U1213" t="n">
        <v>21</v>
      </c>
      <c r="V1213" t="n">
        <v>125</v>
      </c>
      <c r="W1213" t="n">
        <v>120</v>
      </c>
      <c r="X1213" t="n">
        <v>116</v>
      </c>
      <c r="Y1213" t="n">
        <v>781</v>
      </c>
      <c r="Z1213" t="n">
        <v>18</v>
      </c>
      <c r="AA1213" t="n">
        <v>66</v>
      </c>
      <c r="AB1213" t="n">
        <v>44</v>
      </c>
      <c r="AN1213" t="inlineStr">
        <is>
          <t>Primed Archgun</t>
        </is>
      </c>
      <c r="AO1213" t="n">
        <v>40920</v>
      </c>
      <c r="AP1213" t="n">
        <v>1976436</v>
      </c>
      <c r="AQ1213" t="n">
        <v>50</v>
      </c>
      <c r="AS1213" t="inlineStr">
        <is>
          <t>Yes</t>
        </is>
      </c>
    </row>
    <row r="1214">
      <c r="A1214" t="inlineStr">
        <is>
          <t>Mod</t>
        </is>
      </c>
      <c r="B1214" t="inlineStr">
        <is>
          <t>Primo Flair</t>
        </is>
      </c>
      <c r="E1214" t="inlineStr">
        <is>
          <t>K-Drive</t>
        </is>
      </c>
      <c r="F1214" t="n">
        <v>5</v>
      </c>
      <c r="G1214" t="n">
        <v>1</v>
      </c>
      <c r="H1214" t="inlineStr">
        <is>
          <t>Player trade (max rank)</t>
        </is>
      </c>
      <c r="I1214" t="inlineStr">
        <is>
          <t>Yes</t>
        </is>
      </c>
      <c r="K1214" t="inlineStr">
        <is>
          <t>Collection</t>
        </is>
      </c>
      <c r="L1214" t="n">
        <v>27</v>
      </c>
      <c r="M1214" t="n">
        <v>35</v>
      </c>
      <c r="N1214" t="n">
        <v>56</v>
      </c>
      <c r="O1214" t="inlineStr">
        <is>
          <t>2026-10-05 UTC (WFM pull 02:52-04:00)</t>
        </is>
      </c>
      <c r="P1214" t="inlineStr">
        <is>
          <t>OK</t>
        </is>
      </c>
      <c r="R1214" t="inlineStr">
        <is>
          <t>Every current tradeable mod at MAX RANK (WFM catalogue, rivens/locators excluded)</t>
        </is>
      </c>
      <c r="S1214" t="inlineStr">
        <is>
          <t>primo_flair</t>
        </is>
      </c>
      <c r="T1214" t="n">
        <v>4</v>
      </c>
      <c r="U1214" t="n">
        <v>4</v>
      </c>
      <c r="V1214" t="n">
        <v>25</v>
      </c>
      <c r="W1214" t="n">
        <v>23</v>
      </c>
      <c r="X1214" t="n">
        <v>22.7</v>
      </c>
      <c r="Y1214" t="n">
        <v>29</v>
      </c>
      <c r="Z1214" t="n">
        <v>1</v>
      </c>
      <c r="AN1214" t="inlineStr">
        <is>
          <t>K-Drive</t>
        </is>
      </c>
      <c r="AO1214" t="n">
        <v>930</v>
      </c>
      <c r="AP1214" t="n">
        <v>44919</v>
      </c>
      <c r="AQ1214" t="n">
        <v>27.8</v>
      </c>
      <c r="AS1214" t="inlineStr">
        <is>
          <t>Yes</t>
        </is>
      </c>
    </row>
    <row r="1215">
      <c r="A1215" t="inlineStr">
        <is>
          <t>Mod</t>
        </is>
      </c>
      <c r="B1215" t="inlineStr">
        <is>
          <t>Prism Guard</t>
        </is>
      </c>
      <c r="E1215" t="inlineStr">
        <is>
          <t>Augment Mirage</t>
        </is>
      </c>
      <c r="F1215" t="n">
        <v>3</v>
      </c>
      <c r="G1215" t="n">
        <v>1</v>
      </c>
      <c r="H1215" t="inlineStr">
        <is>
          <t>Player trade (max rank)</t>
        </is>
      </c>
      <c r="I1215" t="inlineStr">
        <is>
          <t>Yes</t>
        </is>
      </c>
      <c r="K1215" t="inlineStr">
        <is>
          <t>Collection</t>
        </is>
      </c>
      <c r="L1215" t="n">
        <v>14</v>
      </c>
      <c r="M1215" t="n">
        <v>15</v>
      </c>
      <c r="N1215" t="n">
        <v>22</v>
      </c>
      <c r="O1215" t="inlineStr">
        <is>
          <t>2026-10-05 UTC (WFM pull 02:52-04:00)</t>
        </is>
      </c>
      <c r="P1215" t="inlineStr">
        <is>
          <t>OK</t>
        </is>
      </c>
      <c r="R1215" t="inlineStr">
        <is>
          <t>Every current tradeable mod at MAX RANK (WFM catalogue, rivens/locators excluded)</t>
        </is>
      </c>
      <c r="S1215" t="inlineStr">
        <is>
          <t>prism_guard</t>
        </is>
      </c>
      <c r="T1215" t="n">
        <v>12</v>
      </c>
      <c r="U1215" t="n">
        <v>12</v>
      </c>
      <c r="V1215" t="n">
        <v>15</v>
      </c>
      <c r="W1215" t="n">
        <v>17</v>
      </c>
      <c r="X1215" t="n">
        <v>16.6</v>
      </c>
      <c r="Y1215" t="n">
        <v>473</v>
      </c>
      <c r="Z1215" t="n">
        <v>6</v>
      </c>
      <c r="AN1215" t="inlineStr">
        <is>
          <t>Augment Mirage</t>
        </is>
      </c>
      <c r="AO1215" t="n">
        <v>210</v>
      </c>
      <c r="AP1215" t="n">
        <v>10143</v>
      </c>
      <c r="AQ1215" t="n">
        <v>21</v>
      </c>
      <c r="AS1215" t="inlineStr">
        <is>
          <t>Yes</t>
        </is>
      </c>
    </row>
    <row r="1216">
      <c r="A1216" t="inlineStr">
        <is>
          <t>Mod</t>
        </is>
      </c>
      <c r="B1216" t="inlineStr">
        <is>
          <t>Prismatic Companion</t>
        </is>
      </c>
      <c r="E1216" t="inlineStr">
        <is>
          <t>Augment Citrine</t>
        </is>
      </c>
      <c r="F1216" t="n">
        <v>3</v>
      </c>
      <c r="G1216" t="n">
        <v>1</v>
      </c>
      <c r="H1216" t="inlineStr">
        <is>
          <t>Player trade (max rank)</t>
        </is>
      </c>
      <c r="I1216" t="inlineStr">
        <is>
          <t>Yes</t>
        </is>
      </c>
      <c r="K1216" t="inlineStr">
        <is>
          <t>Collection</t>
        </is>
      </c>
      <c r="L1216" t="n">
        <v>15</v>
      </c>
      <c r="M1216" t="n">
        <v>18</v>
      </c>
      <c r="N1216" t="n">
        <v>21</v>
      </c>
      <c r="O1216" t="inlineStr">
        <is>
          <t>2026-10-05 UTC (WFM pull 02:52-04:00)</t>
        </is>
      </c>
      <c r="P1216" t="inlineStr">
        <is>
          <t>OK</t>
        </is>
      </c>
      <c r="R1216" t="inlineStr">
        <is>
          <t>Every current tradeable mod at MAX RANK (WFM catalogue, rivens/locators excluded)</t>
        </is>
      </c>
      <c r="S1216" t="inlineStr">
        <is>
          <t>prismatic_companion</t>
        </is>
      </c>
      <c r="T1216" t="n">
        <v>10</v>
      </c>
      <c r="U1216" t="n">
        <v>10</v>
      </c>
      <c r="V1216" t="n">
        <v>15</v>
      </c>
      <c r="W1216" t="n">
        <v>15</v>
      </c>
      <c r="X1216" t="n">
        <v>15.2</v>
      </c>
      <c r="Y1216" t="n">
        <v>478</v>
      </c>
      <c r="Z1216" t="n">
        <v>39</v>
      </c>
      <c r="AN1216" t="inlineStr">
        <is>
          <t>Augment Citrine</t>
        </is>
      </c>
      <c r="AO1216" t="n">
        <v>210</v>
      </c>
      <c r="AP1216" t="n">
        <v>10143</v>
      </c>
      <c r="AQ1216" t="n">
        <v>12</v>
      </c>
      <c r="AS1216" t="inlineStr">
        <is>
          <t>Yes</t>
        </is>
      </c>
    </row>
    <row r="1217">
      <c r="A1217" t="inlineStr">
        <is>
          <t>Mod</t>
        </is>
      </c>
      <c r="B1217" t="inlineStr">
        <is>
          <t>Prize Kill</t>
        </is>
      </c>
      <c r="E1217" t="inlineStr">
        <is>
          <t>Conclave (PvP)</t>
        </is>
      </c>
      <c r="F1217" t="n">
        <v>3</v>
      </c>
      <c r="G1217" t="n">
        <v>1</v>
      </c>
      <c r="H1217" t="inlineStr">
        <is>
          <t>Player trade (max rank)</t>
        </is>
      </c>
      <c r="I1217" t="inlineStr">
        <is>
          <t>Yes</t>
        </is>
      </c>
      <c r="K1217" t="inlineStr">
        <is>
          <t>Collection (PvP)</t>
        </is>
      </c>
      <c r="L1217" t="n">
        <v>350</v>
      </c>
      <c r="M1217" t="n">
        <v>350</v>
      </c>
      <c r="N1217" t="n">
        <v>386</v>
      </c>
      <c r="O1217" t="inlineStr">
        <is>
          <t>2026-10-05 UTC (WFM pull 02:52-04:00)</t>
        </is>
      </c>
      <c r="P1217" t="inlineStr">
        <is>
          <t>THIN</t>
        </is>
      </c>
      <c r="R1217" t="inlineStr">
        <is>
          <t>Every current tradeable mod at MAX RANK (WFM catalogue, rivens/locators excluded)</t>
        </is>
      </c>
      <c r="S1217" t="inlineStr">
        <is>
          <t>prize_kill</t>
        </is>
      </c>
      <c r="T1217" t="n">
        <v>1</v>
      </c>
      <c r="U1217" t="n">
        <v>0</v>
      </c>
      <c r="V1217" t="n">
        <v>50</v>
      </c>
      <c r="W1217" t="n">
        <v>50</v>
      </c>
      <c r="X1217" t="n">
        <v>141.7</v>
      </c>
      <c r="Y1217" t="n">
        <v>3</v>
      </c>
      <c r="Z1217" t="n">
        <v>0</v>
      </c>
      <c r="AN1217" t="inlineStr">
        <is>
          <t>Conclave (PvP)</t>
        </is>
      </c>
      <c r="AO1217" t="n">
        <v>210</v>
      </c>
      <c r="AP1217" t="n">
        <v>10143</v>
      </c>
      <c r="AQ1217" t="n">
        <v>90</v>
      </c>
      <c r="AS1217" t="inlineStr">
        <is>
          <t>PvP subtotal</t>
        </is>
      </c>
    </row>
    <row r="1218">
      <c r="A1218" t="inlineStr">
        <is>
          <t>Mod</t>
        </is>
      </c>
      <c r="B1218" t="inlineStr">
        <is>
          <t>Proboscis</t>
        </is>
      </c>
      <c r="E1218" t="inlineStr">
        <is>
          <t>Helminth Charger</t>
        </is>
      </c>
      <c r="F1218" t="n">
        <v>3</v>
      </c>
      <c r="G1218" t="n">
        <v>1</v>
      </c>
      <c r="H1218" t="inlineStr">
        <is>
          <t>Player trade (max rank)</t>
        </is>
      </c>
      <c r="I1218" t="inlineStr">
        <is>
          <t>Yes</t>
        </is>
      </c>
      <c r="K1218" t="inlineStr">
        <is>
          <t>Collection</t>
        </is>
      </c>
      <c r="L1218" t="n">
        <v>7</v>
      </c>
      <c r="M1218" t="n">
        <v>15</v>
      </c>
      <c r="N1218" t="n">
        <v>33</v>
      </c>
      <c r="O1218" t="inlineStr">
        <is>
          <t>2026-10-05 UTC (WFM pull 02:52-04:00)</t>
        </is>
      </c>
      <c r="P1218" t="inlineStr">
        <is>
          <t>OK</t>
        </is>
      </c>
      <c r="R1218" t="inlineStr">
        <is>
          <t>Every current tradeable mod at MAX RANK (WFM catalogue, rivens/locators excluded)</t>
        </is>
      </c>
      <c r="S1218" t="inlineStr">
        <is>
          <t>proboscis</t>
        </is>
      </c>
      <c r="T1218" t="n">
        <v>6</v>
      </c>
      <c r="U1218" t="n">
        <v>6</v>
      </c>
      <c r="V1218" t="n">
        <v>15</v>
      </c>
      <c r="W1218" t="n">
        <v>12</v>
      </c>
      <c r="X1218" t="n">
        <v>12.7</v>
      </c>
      <c r="Y1218" t="n">
        <v>6</v>
      </c>
      <c r="Z1218" t="n">
        <v>0</v>
      </c>
      <c r="AN1218" t="inlineStr">
        <is>
          <t>Helminth Charger</t>
        </is>
      </c>
      <c r="AO1218" t="n">
        <v>210</v>
      </c>
      <c r="AP1218" t="n">
        <v>10143</v>
      </c>
      <c r="AQ1218" t="n">
        <v>5</v>
      </c>
      <c r="AS1218" t="inlineStr">
        <is>
          <t>Yes</t>
        </is>
      </c>
    </row>
    <row r="1219">
      <c r="A1219" t="inlineStr">
        <is>
          <t>Mod</t>
        </is>
      </c>
      <c r="B1219" t="inlineStr">
        <is>
          <t>Prolonged Paralysis</t>
        </is>
      </c>
      <c r="E1219" t="inlineStr">
        <is>
          <t>Augment Valkyr</t>
        </is>
      </c>
      <c r="F1219" t="n">
        <v>3</v>
      </c>
      <c r="G1219" t="n">
        <v>1</v>
      </c>
      <c r="H1219" t="inlineStr">
        <is>
          <t>Player trade (max rank)</t>
        </is>
      </c>
      <c r="I1219" t="inlineStr">
        <is>
          <t>Yes</t>
        </is>
      </c>
      <c r="K1219" t="inlineStr">
        <is>
          <t>Collection</t>
        </is>
      </c>
      <c r="L1219" t="n">
        <v>10</v>
      </c>
      <c r="M1219" t="n">
        <v>13</v>
      </c>
      <c r="N1219" t="n">
        <v>22</v>
      </c>
      <c r="O1219" t="inlineStr">
        <is>
          <t>2026-10-05 UTC (WFM pull 02:52-04:00)</t>
        </is>
      </c>
      <c r="P1219" t="inlineStr">
        <is>
          <t>OK</t>
        </is>
      </c>
      <c r="R1219" t="inlineStr">
        <is>
          <t>Every current tradeable mod at MAX RANK (WFM catalogue, rivens/locators excluded)</t>
        </is>
      </c>
      <c r="S1219" t="inlineStr">
        <is>
          <t>prolonged_paralysis</t>
        </is>
      </c>
      <c r="T1219" t="n">
        <v>49</v>
      </c>
      <c r="U1219" t="n">
        <v>2</v>
      </c>
      <c r="V1219" t="n">
        <v>15</v>
      </c>
      <c r="W1219" t="n">
        <v>17.5</v>
      </c>
      <c r="X1219" t="n">
        <v>17.5</v>
      </c>
      <c r="Y1219" t="n">
        <v>65</v>
      </c>
      <c r="Z1219" t="n">
        <v>1</v>
      </c>
      <c r="AN1219" t="inlineStr">
        <is>
          <t>Augment Valkyr</t>
        </is>
      </c>
      <c r="AO1219" t="n">
        <v>210</v>
      </c>
      <c r="AP1219" t="n">
        <v>10143</v>
      </c>
      <c r="AQ1219" t="n">
        <v>22.5</v>
      </c>
      <c r="AS1219" t="inlineStr">
        <is>
          <t>Yes</t>
        </is>
      </c>
    </row>
    <row r="1220">
      <c r="A1220" t="inlineStr">
        <is>
          <t>Mod</t>
        </is>
      </c>
      <c r="B1220" t="inlineStr">
        <is>
          <t>Prosperous Retriever</t>
        </is>
      </c>
      <c r="E1220" t="inlineStr">
        <is>
          <t>Beast</t>
        </is>
      </c>
      <c r="F1220" t="n">
        <v>5</v>
      </c>
      <c r="G1220" t="n">
        <v>1</v>
      </c>
      <c r="H1220" t="inlineStr">
        <is>
          <t>Player trade (max rank)</t>
        </is>
      </c>
      <c r="I1220" t="inlineStr">
        <is>
          <t>Yes</t>
        </is>
      </c>
      <c r="K1220" t="inlineStr">
        <is>
          <t>Collection</t>
        </is>
      </c>
      <c r="L1220" t="n">
        <v>11</v>
      </c>
      <c r="M1220" t="n">
        <v>14</v>
      </c>
      <c r="N1220" t="n">
        <v>17</v>
      </c>
      <c r="O1220" t="inlineStr">
        <is>
          <t>2026-10-05 UTC (WFM pull 02:52-04:00)</t>
        </is>
      </c>
      <c r="P1220" t="inlineStr">
        <is>
          <t>OK</t>
        </is>
      </c>
      <c r="R1220" t="inlineStr">
        <is>
          <t>Every current tradeable mod at MAX RANK (WFM catalogue, rivens/locators excluded)</t>
        </is>
      </c>
      <c r="S1220" t="inlineStr">
        <is>
          <t>prosperous_retriever</t>
        </is>
      </c>
      <c r="T1220" t="n">
        <v>13</v>
      </c>
      <c r="U1220" t="n">
        <v>13</v>
      </c>
      <c r="V1220" t="n">
        <v>10</v>
      </c>
      <c r="W1220" t="n">
        <v>10</v>
      </c>
      <c r="X1220" t="n">
        <v>10.4</v>
      </c>
      <c r="Y1220" t="n">
        <v>644</v>
      </c>
      <c r="Z1220" t="n">
        <v>9</v>
      </c>
      <c r="AN1220" t="inlineStr">
        <is>
          <t>Beast</t>
        </is>
      </c>
      <c r="AO1220" t="n">
        <v>930</v>
      </c>
      <c r="AP1220" t="n">
        <v>44919</v>
      </c>
      <c r="AQ1220" t="n">
        <v>7</v>
      </c>
      <c r="AS1220" t="inlineStr">
        <is>
          <t>Yes</t>
        </is>
      </c>
    </row>
    <row r="1221">
      <c r="A1221" t="inlineStr">
        <is>
          <t>Mod</t>
        </is>
      </c>
      <c r="B1221" t="inlineStr">
        <is>
          <t>Protect</t>
        </is>
      </c>
      <c r="E1221" t="inlineStr">
        <is>
          <t>Raksa Kubrow</t>
        </is>
      </c>
      <c r="F1221" t="n">
        <v>5</v>
      </c>
      <c r="G1221" t="n">
        <v>1</v>
      </c>
      <c r="H1221" t="inlineStr">
        <is>
          <t>Player trade (max rank)</t>
        </is>
      </c>
      <c r="I1221" t="inlineStr">
        <is>
          <t>Yes</t>
        </is>
      </c>
      <c r="K1221" t="inlineStr">
        <is>
          <t>Collection</t>
        </is>
      </c>
      <c r="L1221" t="n">
        <v>15</v>
      </c>
      <c r="M1221" t="n">
        <v>22.5</v>
      </c>
      <c r="N1221" t="n">
        <v>50</v>
      </c>
      <c r="O1221" t="inlineStr">
        <is>
          <t>2026-10-05 UTC (WFM pull 02:52-04:00)</t>
        </is>
      </c>
      <c r="P1221" t="inlineStr">
        <is>
          <t>OK</t>
        </is>
      </c>
      <c r="R1221" t="inlineStr">
        <is>
          <t>Every current tradeable mod at MAX RANK (WFM catalogue, rivens/locators excluded)</t>
        </is>
      </c>
      <c r="S1221" t="inlineStr">
        <is>
          <t>protect</t>
        </is>
      </c>
      <c r="T1221" t="n">
        <v>6</v>
      </c>
      <c r="U1221" t="n">
        <v>6</v>
      </c>
      <c r="V1221" t="n">
        <v>15</v>
      </c>
      <c r="W1221" t="n">
        <v>15</v>
      </c>
      <c r="X1221" t="n">
        <v>15.2</v>
      </c>
      <c r="Y1221" t="n">
        <v>71</v>
      </c>
      <c r="Z1221" t="n">
        <v>0</v>
      </c>
      <c r="AN1221" t="inlineStr">
        <is>
          <t>Raksa Kubrow</t>
        </is>
      </c>
      <c r="AO1221" t="n">
        <v>930</v>
      </c>
      <c r="AP1221" t="n">
        <v>44919</v>
      </c>
      <c r="AQ1221" t="n">
        <v>8</v>
      </c>
      <c r="AS1221" t="inlineStr">
        <is>
          <t>Yes</t>
        </is>
      </c>
    </row>
    <row r="1222">
      <c r="A1222" t="inlineStr">
        <is>
          <t>Mod</t>
        </is>
      </c>
      <c r="B1222" t="inlineStr">
        <is>
          <t>Protective Shots</t>
        </is>
      </c>
      <c r="E1222" t="inlineStr">
        <is>
          <t>Plexus</t>
        </is>
      </c>
      <c r="F1222" t="n">
        <v>5</v>
      </c>
      <c r="G1222" t="n">
        <v>1</v>
      </c>
      <c r="H1222" t="inlineStr">
        <is>
          <t>Player trade (max rank)</t>
        </is>
      </c>
      <c r="I1222" t="inlineStr">
        <is>
          <t>Yes</t>
        </is>
      </c>
      <c r="K1222" t="inlineStr">
        <is>
          <t>Collection</t>
        </is>
      </c>
      <c r="L1222" t="n">
        <v>12</v>
      </c>
      <c r="M1222" t="n">
        <v>14</v>
      </c>
      <c r="N1222" t="n">
        <v>22</v>
      </c>
      <c r="O1222" t="inlineStr">
        <is>
          <t>2026-10-05 UTC (WFM pull 02:52-04:00)</t>
        </is>
      </c>
      <c r="P1222" t="inlineStr">
        <is>
          <t>OK</t>
        </is>
      </c>
      <c r="R1222" t="inlineStr">
        <is>
          <t>Every current tradeable mod at MAX RANK (WFM catalogue, rivens/locators excluded)</t>
        </is>
      </c>
      <c r="S1222" t="inlineStr">
        <is>
          <t>protective_shots</t>
        </is>
      </c>
      <c r="T1222" t="n">
        <v>53</v>
      </c>
      <c r="U1222" t="n">
        <v>1</v>
      </c>
      <c r="V1222" t="n">
        <v>20</v>
      </c>
      <c r="W1222" t="n">
        <v>20</v>
      </c>
      <c r="X1222" t="n">
        <v>19.3</v>
      </c>
      <c r="Y1222" t="n">
        <v>6</v>
      </c>
      <c r="Z1222" t="n">
        <v>0</v>
      </c>
      <c r="AN1222" t="inlineStr">
        <is>
          <t>Plexus</t>
        </is>
      </c>
      <c r="AO1222" t="n">
        <v>620</v>
      </c>
      <c r="AP1222" t="n">
        <v>29946</v>
      </c>
      <c r="AQ1222" t="n">
        <v>7</v>
      </c>
      <c r="AS1222" t="inlineStr">
        <is>
          <t>Yes</t>
        </is>
      </c>
    </row>
    <row r="1223">
      <c r="A1223" t="inlineStr">
        <is>
          <t>Mod</t>
        </is>
      </c>
      <c r="B1223" t="inlineStr">
        <is>
          <t>Protector Posture</t>
        </is>
      </c>
      <c r="E1223" t="inlineStr">
        <is>
          <t>Stance</t>
        </is>
      </c>
      <c r="F1223" t="n">
        <v>3</v>
      </c>
      <c r="G1223" t="n">
        <v>1</v>
      </c>
      <c r="H1223" t="inlineStr">
        <is>
          <t>Player trade (max rank)</t>
        </is>
      </c>
      <c r="I1223" t="inlineStr">
        <is>
          <t>Yes</t>
        </is>
      </c>
      <c r="K1223" t="inlineStr">
        <is>
          <t>Collection</t>
        </is>
      </c>
      <c r="L1223" t="n">
        <v>20</v>
      </c>
      <c r="M1223" t="n">
        <v>30</v>
      </c>
      <c r="N1223" t="n">
        <v>66</v>
      </c>
      <c r="O1223" t="inlineStr">
        <is>
          <t>2026-10-05 UTC (WFM pull 02:52-04:00)</t>
        </is>
      </c>
      <c r="P1223" t="inlineStr">
        <is>
          <t>OK</t>
        </is>
      </c>
      <c r="R1223" t="inlineStr">
        <is>
          <t>Every current tradeable mod at MAX RANK (WFM catalogue, rivens/locators excluded)</t>
        </is>
      </c>
      <c r="S1223" t="inlineStr">
        <is>
          <t>protector_posture</t>
        </is>
      </c>
      <c r="T1223" t="n">
        <v>3</v>
      </c>
      <c r="U1223" t="n">
        <v>3</v>
      </c>
      <c r="V1223" t="n">
        <v>27.5</v>
      </c>
      <c r="W1223" t="n">
        <v>20</v>
      </c>
      <c r="X1223" t="n">
        <v>21.7</v>
      </c>
      <c r="Y1223" t="n">
        <v>128</v>
      </c>
      <c r="Z1223" t="n">
        <v>2</v>
      </c>
      <c r="AA1223" t="n">
        <v>8</v>
      </c>
      <c r="AB1223" t="n">
        <v>12</v>
      </c>
      <c r="AN1223" t="inlineStr">
        <is>
          <t>Stance</t>
        </is>
      </c>
      <c r="AO1223" t="n">
        <v>70</v>
      </c>
      <c r="AP1223" t="n">
        <v>3381</v>
      </c>
      <c r="AQ1223" t="n">
        <v>16.5</v>
      </c>
      <c r="AS1223" t="inlineStr">
        <is>
          <t>Yes</t>
        </is>
      </c>
    </row>
    <row r="1224">
      <c r="A1224" t="inlineStr">
        <is>
          <t>Mod</t>
        </is>
      </c>
      <c r="B1224" t="inlineStr">
        <is>
          <t>Proton Jet</t>
        </is>
      </c>
      <c r="E1224" t="inlineStr">
        <is>
          <t>Rifle</t>
        </is>
      </c>
      <c r="F1224" t="n">
        <v>3</v>
      </c>
      <c r="G1224" t="n">
        <v>1</v>
      </c>
      <c r="H1224" t="inlineStr">
        <is>
          <t>Player trade (max rank)</t>
        </is>
      </c>
      <c r="I1224" t="inlineStr">
        <is>
          <t>Yes</t>
        </is>
      </c>
      <c r="K1224" t="inlineStr">
        <is>
          <t>Collection</t>
        </is>
      </c>
      <c r="L1224" t="n">
        <v>8</v>
      </c>
      <c r="M1224" t="n">
        <v>9</v>
      </c>
      <c r="N1224" t="n">
        <v>20</v>
      </c>
      <c r="O1224" t="inlineStr">
        <is>
          <t>2026-10-05 UTC (WFM pull 02:52-04:00)</t>
        </is>
      </c>
      <c r="P1224" t="inlineStr">
        <is>
          <t>OK</t>
        </is>
      </c>
      <c r="R1224" t="inlineStr">
        <is>
          <t>Every current tradeable mod at MAX RANK (WFM catalogue, rivens/locators excluded)</t>
        </is>
      </c>
      <c r="S1224" t="inlineStr">
        <is>
          <t>proton_jet</t>
        </is>
      </c>
      <c r="T1224" t="n">
        <v>4</v>
      </c>
      <c r="U1224" t="n">
        <v>4</v>
      </c>
      <c r="V1224" t="n">
        <v>19</v>
      </c>
      <c r="W1224" t="n">
        <v>19</v>
      </c>
      <c r="X1224" t="n">
        <v>16.3</v>
      </c>
      <c r="Y1224" t="n">
        <v>7</v>
      </c>
      <c r="Z1224" t="n">
        <v>0</v>
      </c>
      <c r="AN1224" t="inlineStr">
        <is>
          <t>Rifle</t>
        </is>
      </c>
      <c r="AO1224" t="n">
        <v>140</v>
      </c>
      <c r="AP1224" t="n">
        <v>6762</v>
      </c>
      <c r="AQ1224" t="n">
        <v>4</v>
      </c>
      <c r="AS1224" t="inlineStr">
        <is>
          <t>Yes</t>
        </is>
      </c>
    </row>
    <row r="1225">
      <c r="A1225" t="inlineStr">
        <is>
          <t>Mod</t>
        </is>
      </c>
      <c r="B1225" t="inlineStr">
        <is>
          <t>Proton Pulse</t>
        </is>
      </c>
      <c r="E1225" t="inlineStr">
        <is>
          <t>Warframe</t>
        </is>
      </c>
      <c r="F1225" t="n">
        <v>3</v>
      </c>
      <c r="G1225" t="n">
        <v>1</v>
      </c>
      <c r="H1225" t="inlineStr">
        <is>
          <t>Player trade (max rank)</t>
        </is>
      </c>
      <c r="I1225" t="inlineStr">
        <is>
          <t>Yes</t>
        </is>
      </c>
      <c r="K1225" t="inlineStr">
        <is>
          <t>Collection</t>
        </is>
      </c>
      <c r="L1225" t="n">
        <v>10</v>
      </c>
      <c r="M1225" t="n">
        <v>19</v>
      </c>
      <c r="N1225" t="n">
        <v>42</v>
      </c>
      <c r="O1225" t="inlineStr">
        <is>
          <t>2026-10-05 UTC (WFM pull 02:52-04:00)</t>
        </is>
      </c>
      <c r="P1225" t="inlineStr">
        <is>
          <t>OK</t>
        </is>
      </c>
      <c r="R1225" t="inlineStr">
        <is>
          <t>Every current tradeable mod at MAX RANK (WFM catalogue, rivens/locators excluded)</t>
        </is>
      </c>
      <c r="S1225" t="inlineStr">
        <is>
          <t>proton_pulse</t>
        </is>
      </c>
      <c r="T1225" t="n">
        <v>4</v>
      </c>
      <c r="U1225" t="n">
        <v>4</v>
      </c>
      <c r="V1225" t="n">
        <v>14</v>
      </c>
      <c r="W1225" t="n">
        <v>14</v>
      </c>
      <c r="X1225" t="n">
        <v>338387.7</v>
      </c>
      <c r="Y1225" t="n">
        <v>14</v>
      </c>
      <c r="Z1225" t="n">
        <v>0</v>
      </c>
      <c r="AN1225" t="inlineStr">
        <is>
          <t>Warframe</t>
        </is>
      </c>
      <c r="AO1225" t="n">
        <v>70</v>
      </c>
      <c r="AP1225" t="n">
        <v>3381</v>
      </c>
      <c r="AQ1225" t="n">
        <v>4.5</v>
      </c>
      <c r="AS1225" t="inlineStr">
        <is>
          <t>Yes</t>
        </is>
      </c>
    </row>
    <row r="1226">
      <c r="A1226" t="inlineStr">
        <is>
          <t>Mod</t>
        </is>
      </c>
      <c r="B1226" t="inlineStr">
        <is>
          <t>Proton Snap</t>
        </is>
      </c>
      <c r="E1226" t="inlineStr">
        <is>
          <t>Melee</t>
        </is>
      </c>
      <c r="F1226" t="n">
        <v>3</v>
      </c>
      <c r="G1226" t="n">
        <v>1</v>
      </c>
      <c r="H1226" t="inlineStr">
        <is>
          <t>Player trade (max rank)</t>
        </is>
      </c>
      <c r="I1226" t="inlineStr">
        <is>
          <t>Yes</t>
        </is>
      </c>
      <c r="K1226" t="inlineStr">
        <is>
          <t>Collection</t>
        </is>
      </c>
      <c r="L1226" t="n">
        <v>10</v>
      </c>
      <c r="M1226" t="n">
        <v>10</v>
      </c>
      <c r="N1226" t="n">
        <v>22</v>
      </c>
      <c r="O1226" t="inlineStr">
        <is>
          <t>2026-10-05 UTC (WFM pull 02:52-04:00)</t>
        </is>
      </c>
      <c r="P1226" t="inlineStr">
        <is>
          <t>OK</t>
        </is>
      </c>
      <c r="R1226" t="inlineStr">
        <is>
          <t>Every current tradeable mod at MAX RANK (WFM catalogue, rivens/locators excluded)</t>
        </is>
      </c>
      <c r="S1226" t="inlineStr">
        <is>
          <t>proton_snap</t>
        </is>
      </c>
      <c r="T1226" t="n">
        <v>3</v>
      </c>
      <c r="U1226" t="n">
        <v>3</v>
      </c>
      <c r="V1226" t="n">
        <v>6.5</v>
      </c>
      <c r="W1226" t="n">
        <v>8</v>
      </c>
      <c r="X1226" t="n">
        <v>8.199999999999999</v>
      </c>
      <c r="Y1226" t="n">
        <v>22</v>
      </c>
      <c r="Z1226" t="n">
        <v>0</v>
      </c>
      <c r="AN1226" t="inlineStr">
        <is>
          <t>Melee</t>
        </is>
      </c>
      <c r="AO1226" t="n">
        <v>210</v>
      </c>
      <c r="AP1226" t="n">
        <v>10143</v>
      </c>
      <c r="AQ1226" t="n">
        <v>5</v>
      </c>
      <c r="AS1226" t="inlineStr">
        <is>
          <t>Yes</t>
        </is>
      </c>
    </row>
    <row r="1227">
      <c r="A1227" t="inlineStr">
        <is>
          <t>Mod</t>
        </is>
      </c>
      <c r="B1227" t="inlineStr">
        <is>
          <t>Prototype Shock Coils</t>
        </is>
      </c>
      <c r="E1227" t="inlineStr">
        <is>
          <t>EFV-8 Mars</t>
        </is>
      </c>
      <c r="F1227" t="n">
        <v>5</v>
      </c>
      <c r="G1227" t="n">
        <v>1</v>
      </c>
      <c r="H1227" t="inlineStr">
        <is>
          <t>Player trade (max rank)</t>
        </is>
      </c>
      <c r="I1227" t="inlineStr">
        <is>
          <t>Yes</t>
        </is>
      </c>
      <c r="K1227" t="inlineStr">
        <is>
          <t>Collection</t>
        </is>
      </c>
      <c r="L1227" t="n">
        <v>100</v>
      </c>
      <c r="M1227" t="n">
        <v>100</v>
      </c>
      <c r="N1227" t="n">
        <v>221</v>
      </c>
      <c r="O1227" t="inlineStr">
        <is>
          <t>2026-10-05 UTC (WFM pull 02:52-04:00)</t>
        </is>
      </c>
      <c r="P1227" t="inlineStr">
        <is>
          <t>OK</t>
        </is>
      </c>
      <c r="R1227" t="inlineStr">
        <is>
          <t>Every current tradeable mod at MAX RANK (WFM catalogue, rivens/locators excluded)</t>
        </is>
      </c>
      <c r="S1227" t="inlineStr">
        <is>
          <t>prototype_shock_coils</t>
        </is>
      </c>
      <c r="T1227" t="n">
        <v>3</v>
      </c>
      <c r="U1227" t="n">
        <v>3</v>
      </c>
      <c r="V1227" t="n">
        <v>16</v>
      </c>
      <c r="W1227" t="n">
        <v>20</v>
      </c>
      <c r="X1227" t="n">
        <v>28.6</v>
      </c>
      <c r="Y1227" t="n">
        <v>25</v>
      </c>
      <c r="Z1227" t="n">
        <v>2</v>
      </c>
      <c r="AN1227" t="inlineStr">
        <is>
          <t>EFV-8 Mars</t>
        </is>
      </c>
      <c r="AO1227" t="n">
        <v>930</v>
      </c>
      <c r="AP1227" t="n">
        <v>44919</v>
      </c>
      <c r="AQ1227" t="n">
        <v>10</v>
      </c>
      <c r="AS1227" t="inlineStr">
        <is>
          <t>Yes</t>
        </is>
      </c>
    </row>
    <row r="1228">
      <c r="A1228" t="inlineStr">
        <is>
          <t>Mod</t>
        </is>
      </c>
      <c r="B1228" t="inlineStr">
        <is>
          <t>Provoked</t>
        </is>
      </c>
      <c r="E1228" t="inlineStr">
        <is>
          <t>Warframe</t>
        </is>
      </c>
      <c r="F1228" t="n">
        <v>10</v>
      </c>
      <c r="G1228" t="n">
        <v>1</v>
      </c>
      <c r="H1228" t="inlineStr">
        <is>
          <t>Player trade (max rank)</t>
        </is>
      </c>
      <c r="I1228" t="inlineStr">
        <is>
          <t>Yes</t>
        </is>
      </c>
      <c r="K1228" t="inlineStr">
        <is>
          <t>Collection</t>
        </is>
      </c>
      <c r="L1228" t="n">
        <v>50</v>
      </c>
      <c r="M1228" t="n">
        <v>75</v>
      </c>
      <c r="N1228" t="n">
        <v>165</v>
      </c>
      <c r="O1228" t="inlineStr">
        <is>
          <t>2026-10-05 UTC (WFM pull 02:52-04:00)</t>
        </is>
      </c>
      <c r="P1228" t="inlineStr">
        <is>
          <t>OK</t>
        </is>
      </c>
      <c r="R1228" t="inlineStr">
        <is>
          <t>Every current tradeable mod at MAX RANK (WFM catalogue, rivens/locators excluded)</t>
        </is>
      </c>
      <c r="S1228" t="inlineStr">
        <is>
          <t>provoked</t>
        </is>
      </c>
      <c r="T1228" t="n">
        <v>5</v>
      </c>
      <c r="U1228" t="n">
        <v>5</v>
      </c>
      <c r="V1228" t="n">
        <v>50</v>
      </c>
      <c r="W1228" t="n">
        <v>50</v>
      </c>
      <c r="X1228" t="n">
        <v>52.5</v>
      </c>
      <c r="Y1228" t="n">
        <v>6</v>
      </c>
      <c r="Z1228" t="n">
        <v>0</v>
      </c>
      <c r="AN1228" t="inlineStr">
        <is>
          <t>Warframe</t>
        </is>
      </c>
      <c r="AO1228" t="n">
        <v>20460</v>
      </c>
      <c r="AP1228" t="n">
        <v>988218</v>
      </c>
      <c r="AQ1228" t="n">
        <v>6</v>
      </c>
      <c r="AS1228" t="inlineStr">
        <is>
          <t>Yes</t>
        </is>
      </c>
    </row>
    <row r="1229">
      <c r="A1229" t="inlineStr">
        <is>
          <t>Mod</t>
        </is>
      </c>
      <c r="B1229" t="inlineStr">
        <is>
          <t>Pummel</t>
        </is>
      </c>
      <c r="E1229" t="inlineStr">
        <is>
          <t>Pistol</t>
        </is>
      </c>
      <c r="F1229" t="n">
        <v>5</v>
      </c>
      <c r="G1229" t="n">
        <v>1</v>
      </c>
      <c r="H1229" t="inlineStr">
        <is>
          <t>Player trade (max rank)</t>
        </is>
      </c>
      <c r="I1229" t="inlineStr">
        <is>
          <t>Yes</t>
        </is>
      </c>
      <c r="K1229" t="inlineStr">
        <is>
          <t>Collection</t>
        </is>
      </c>
      <c r="L1229" t="n">
        <v>14</v>
      </c>
      <c r="M1229" t="n">
        <v>22.5</v>
      </c>
      <c r="N1229" t="n">
        <v>50</v>
      </c>
      <c r="O1229" t="inlineStr">
        <is>
          <t>2026-10-05 UTC (WFM pull 02:52-04:00)</t>
        </is>
      </c>
      <c r="P1229" t="inlineStr">
        <is>
          <t>OK</t>
        </is>
      </c>
      <c r="R1229" t="inlineStr">
        <is>
          <t>Every current tradeable mod at MAX RANK (WFM catalogue, rivens/locators excluded)</t>
        </is>
      </c>
      <c r="S1229" t="inlineStr">
        <is>
          <t>pummel</t>
        </is>
      </c>
      <c r="T1229" t="n">
        <v>7</v>
      </c>
      <c r="U1229" t="n">
        <v>7</v>
      </c>
      <c r="V1229" t="n">
        <v>15</v>
      </c>
      <c r="W1229" t="n">
        <v>10</v>
      </c>
      <c r="X1229" t="n">
        <v>12.2</v>
      </c>
      <c r="Y1229" t="n">
        <v>22</v>
      </c>
      <c r="Z1229" t="n">
        <v>0</v>
      </c>
      <c r="AN1229" t="inlineStr">
        <is>
          <t>Pistol</t>
        </is>
      </c>
      <c r="AO1229" t="n">
        <v>930</v>
      </c>
      <c r="AP1229" t="n">
        <v>44919</v>
      </c>
      <c r="AQ1229" t="n">
        <v>4.5</v>
      </c>
      <c r="AS1229" t="inlineStr">
        <is>
          <t>Yes</t>
        </is>
      </c>
    </row>
    <row r="1230">
      <c r="A1230" t="inlineStr">
        <is>
          <t>Mod</t>
        </is>
      </c>
      <c r="B1230" t="inlineStr">
        <is>
          <t>Purging Slash</t>
        </is>
      </c>
      <c r="E1230" t="inlineStr">
        <is>
          <t>Augment Excalibur</t>
        </is>
      </c>
      <c r="F1230" t="n">
        <v>3</v>
      </c>
      <c r="G1230" t="n">
        <v>1</v>
      </c>
      <c r="H1230" t="inlineStr">
        <is>
          <t>Player trade (max rank)</t>
        </is>
      </c>
      <c r="I1230" t="inlineStr">
        <is>
          <t>Yes</t>
        </is>
      </c>
      <c r="K1230" t="inlineStr">
        <is>
          <t>Collection</t>
        </is>
      </c>
      <c r="L1230" t="n">
        <v>15</v>
      </c>
      <c r="M1230" t="n">
        <v>15</v>
      </c>
      <c r="N1230" t="n">
        <v>33</v>
      </c>
      <c r="O1230" t="inlineStr">
        <is>
          <t>2026-10-05 UTC (WFM pull 02:52-04:00)</t>
        </is>
      </c>
      <c r="P1230" t="inlineStr">
        <is>
          <t>OK</t>
        </is>
      </c>
      <c r="R1230" t="inlineStr">
        <is>
          <t>Every current tradeable mod at MAX RANK (WFM catalogue, rivens/locators excluded)</t>
        </is>
      </c>
      <c r="S1230" t="inlineStr">
        <is>
          <t>purging_slash</t>
        </is>
      </c>
      <c r="T1230" t="n">
        <v>4</v>
      </c>
      <c r="U1230" t="n">
        <v>4</v>
      </c>
      <c r="V1230" t="n">
        <v>9</v>
      </c>
      <c r="W1230" t="n">
        <v>9</v>
      </c>
      <c r="X1230" t="n">
        <v>9</v>
      </c>
      <c r="Y1230" t="n">
        <v>19</v>
      </c>
      <c r="Z1230" t="n">
        <v>1</v>
      </c>
      <c r="AN1230" t="inlineStr">
        <is>
          <t>Augment Excalibur</t>
        </is>
      </c>
      <c r="AO1230" t="n">
        <v>210</v>
      </c>
      <c r="AP1230" t="n">
        <v>10143</v>
      </c>
      <c r="AQ1230" t="n">
        <v>8</v>
      </c>
      <c r="AS1230" t="inlineStr">
        <is>
          <t>Yes</t>
        </is>
      </c>
    </row>
    <row r="1231">
      <c r="A1231" t="inlineStr">
        <is>
          <t>Mod</t>
        </is>
      </c>
      <c r="B1231" t="inlineStr">
        <is>
          <t>Purifying Flames</t>
        </is>
      </c>
      <c r="E1231" t="inlineStr">
        <is>
          <t>Augment Ember</t>
        </is>
      </c>
      <c r="F1231" t="n">
        <v>3</v>
      </c>
      <c r="G1231" t="n">
        <v>1</v>
      </c>
      <c r="H1231" t="inlineStr">
        <is>
          <t>Player trade (max rank)</t>
        </is>
      </c>
      <c r="I1231" t="inlineStr">
        <is>
          <t>Yes</t>
        </is>
      </c>
      <c r="K1231" t="inlineStr">
        <is>
          <t>Collection</t>
        </is>
      </c>
      <c r="L1231" t="n">
        <v>6</v>
      </c>
      <c r="M1231" t="n">
        <v>13.5</v>
      </c>
      <c r="N1231" t="n">
        <v>22</v>
      </c>
      <c r="O1231" t="inlineStr">
        <is>
          <t>2026-10-05 UTC (WFM pull 02:52-04:00)</t>
        </is>
      </c>
      <c r="P1231" t="inlineStr">
        <is>
          <t>OK</t>
        </is>
      </c>
      <c r="R1231" t="inlineStr">
        <is>
          <t>Every current tradeable mod at MAX RANK (WFM catalogue, rivens/locators excluded)</t>
        </is>
      </c>
      <c r="S1231" t="inlineStr">
        <is>
          <t>purifying_flames</t>
        </is>
      </c>
      <c r="T1231" t="n">
        <v>9</v>
      </c>
      <c r="U1231" t="n">
        <v>9</v>
      </c>
      <c r="V1231" t="n">
        <v>9</v>
      </c>
      <c r="W1231" t="n">
        <v>10</v>
      </c>
      <c r="X1231" t="n">
        <v>10.6</v>
      </c>
      <c r="Y1231" t="n">
        <v>34</v>
      </c>
      <c r="Z1231" t="n">
        <v>0</v>
      </c>
      <c r="AN1231" t="inlineStr">
        <is>
          <t>Augment Ember</t>
        </is>
      </c>
      <c r="AO1231" t="n">
        <v>210</v>
      </c>
      <c r="AP1231" t="n">
        <v>10143</v>
      </c>
      <c r="AQ1231" t="n">
        <v>15</v>
      </c>
      <c r="AS1231" t="inlineStr">
        <is>
          <t>Yes</t>
        </is>
      </c>
    </row>
    <row r="1232">
      <c r="A1232" t="inlineStr">
        <is>
          <t>Mod</t>
        </is>
      </c>
      <c r="B1232" t="inlineStr">
        <is>
          <t>Push &amp; Pull</t>
        </is>
      </c>
      <c r="E1232" t="inlineStr">
        <is>
          <t>Augment Equinox</t>
        </is>
      </c>
      <c r="F1232" t="n">
        <v>3</v>
      </c>
      <c r="G1232" t="n">
        <v>1</v>
      </c>
      <c r="H1232" t="inlineStr">
        <is>
          <t>Player trade (max rank)</t>
        </is>
      </c>
      <c r="I1232" t="inlineStr">
        <is>
          <t>Yes</t>
        </is>
      </c>
      <c r="K1232" t="inlineStr">
        <is>
          <t>Collection</t>
        </is>
      </c>
      <c r="L1232" t="n">
        <v>50</v>
      </c>
      <c r="M1232" t="n">
        <v>75</v>
      </c>
      <c r="N1232" t="n">
        <v>165</v>
      </c>
      <c r="O1232" t="inlineStr">
        <is>
          <t>2026-10-05 UTC (WFM pull 02:52-04:00)</t>
        </is>
      </c>
      <c r="P1232" t="inlineStr">
        <is>
          <t>OK</t>
        </is>
      </c>
      <c r="R1232" t="inlineStr">
        <is>
          <t>Every current tradeable mod at MAX RANK (WFM catalogue, rivens/locators excluded)</t>
        </is>
      </c>
      <c r="S1232" t="inlineStr">
        <is>
          <t>push_and_pull</t>
        </is>
      </c>
      <c r="T1232" t="n">
        <v>3</v>
      </c>
      <c r="U1232" t="n">
        <v>0</v>
      </c>
      <c r="W1232" t="n">
        <v>50</v>
      </c>
      <c r="X1232" t="n">
        <v>50</v>
      </c>
      <c r="Y1232" t="n">
        <v>2</v>
      </c>
      <c r="Z1232" t="n">
        <v>0</v>
      </c>
      <c r="AA1232" t="n">
        <v>25</v>
      </c>
      <c r="AB1232" t="n">
        <v>25</v>
      </c>
      <c r="AN1232" t="inlineStr">
        <is>
          <t>Augment Equinox</t>
        </is>
      </c>
      <c r="AO1232" t="n">
        <v>210</v>
      </c>
      <c r="AP1232" t="n">
        <v>10143</v>
      </c>
      <c r="AQ1232" t="n">
        <v>90</v>
      </c>
      <c r="AS1232" t="inlineStr">
        <is>
          <t>Yes</t>
        </is>
      </c>
    </row>
    <row r="1233">
      <c r="A1233" t="inlineStr">
        <is>
          <t>Mod</t>
        </is>
      </c>
      <c r="B1233" t="inlineStr">
        <is>
          <t>Pyroclastic Flow</t>
        </is>
      </c>
      <c r="E1233" t="inlineStr">
        <is>
          <t>Augment Nezha</t>
        </is>
      </c>
      <c r="F1233" t="n">
        <v>3</v>
      </c>
      <c r="G1233" t="n">
        <v>1</v>
      </c>
      <c r="H1233" t="inlineStr">
        <is>
          <t>Player trade (max rank)</t>
        </is>
      </c>
      <c r="I1233" t="inlineStr">
        <is>
          <t>Yes</t>
        </is>
      </c>
      <c r="K1233" t="inlineStr">
        <is>
          <t>Collection</t>
        </is>
      </c>
      <c r="L1233" t="n">
        <v>25</v>
      </c>
      <c r="M1233" t="n">
        <v>25</v>
      </c>
      <c r="N1233" t="n">
        <v>56</v>
      </c>
      <c r="O1233" t="inlineStr">
        <is>
          <t>2026-10-05 UTC (WFM pull 02:52-04:00)</t>
        </is>
      </c>
      <c r="P1233" t="inlineStr">
        <is>
          <t>OK</t>
        </is>
      </c>
      <c r="R1233" t="inlineStr">
        <is>
          <t>Every current tradeable mod at MAX RANK (WFM catalogue, rivens/locators excluded)</t>
        </is>
      </c>
      <c r="S1233" t="inlineStr">
        <is>
          <t>pyroclastic_flow</t>
        </is>
      </c>
      <c r="T1233" t="n">
        <v>3</v>
      </c>
      <c r="U1233" t="n">
        <v>3</v>
      </c>
      <c r="V1233" t="n">
        <v>12.5</v>
      </c>
      <c r="W1233" t="n">
        <v>15</v>
      </c>
      <c r="X1233" t="n">
        <v>15.8</v>
      </c>
      <c r="Y1233" t="n">
        <v>24</v>
      </c>
      <c r="Z1233" t="n">
        <v>0</v>
      </c>
      <c r="AN1233" t="inlineStr">
        <is>
          <t>Augment Nezha</t>
        </is>
      </c>
      <c r="AO1233" t="n">
        <v>210</v>
      </c>
      <c r="AP1233" t="n">
        <v>10143</v>
      </c>
      <c r="AQ1233" t="n">
        <v>9</v>
      </c>
      <c r="AS1233" t="inlineStr">
        <is>
          <t>Yes</t>
        </is>
      </c>
    </row>
    <row r="1234">
      <c r="A1234" t="inlineStr">
        <is>
          <t>Mod</t>
        </is>
      </c>
      <c r="B1234" t="inlineStr">
        <is>
          <t>Quaking Hand</t>
        </is>
      </c>
      <c r="E1234" t="inlineStr">
        <is>
          <t>Conclave (PvP)</t>
        </is>
      </c>
      <c r="F1234" t="n">
        <v>3</v>
      </c>
      <c r="G1234" t="n">
        <v>1</v>
      </c>
      <c r="H1234" t="inlineStr">
        <is>
          <t>Player trade (max rank)</t>
        </is>
      </c>
      <c r="I1234" t="inlineStr">
        <is>
          <t>Yes</t>
        </is>
      </c>
      <c r="K1234" t="inlineStr">
        <is>
          <t>Collection (PvP)</t>
        </is>
      </c>
      <c r="L1234" t="n">
        <v>100</v>
      </c>
      <c r="M1234" t="n">
        <v>100</v>
      </c>
      <c r="N1234" t="n">
        <v>221</v>
      </c>
      <c r="O1234" t="inlineStr">
        <is>
          <t>2026-10-05 UTC (WFM pull 02:52-04:00)</t>
        </is>
      </c>
      <c r="P1234" t="inlineStr">
        <is>
          <t>OK</t>
        </is>
      </c>
      <c r="R1234" t="inlineStr">
        <is>
          <t>Every current tradeable mod at MAX RANK (WFM catalogue, rivens/locators excluded)</t>
        </is>
      </c>
      <c r="S1234" t="inlineStr">
        <is>
          <t>quaking_hand</t>
        </is>
      </c>
      <c r="T1234" t="n">
        <v>4</v>
      </c>
      <c r="U1234" t="n">
        <v>0</v>
      </c>
      <c r="V1234" t="n">
        <v>25</v>
      </c>
      <c r="W1234" t="n">
        <v>25</v>
      </c>
      <c r="X1234" t="n">
        <v>25</v>
      </c>
      <c r="Y1234" t="n">
        <v>1</v>
      </c>
      <c r="Z1234" t="n">
        <v>0</v>
      </c>
      <c r="AN1234" t="inlineStr">
        <is>
          <t>Conclave (PvP)</t>
        </is>
      </c>
      <c r="AO1234" t="n">
        <v>140</v>
      </c>
      <c r="AP1234" t="n">
        <v>6762</v>
      </c>
      <c r="AQ1234" t="n">
        <v>20</v>
      </c>
      <c r="AS1234" t="inlineStr">
        <is>
          <t>PvP subtotal</t>
        </is>
      </c>
    </row>
    <row r="1235">
      <c r="A1235" t="inlineStr">
        <is>
          <t>Mod</t>
        </is>
      </c>
      <c r="B1235" t="inlineStr">
        <is>
          <t>Quasar Drill</t>
        </is>
      </c>
      <c r="E1235" t="inlineStr">
        <is>
          <t>Archgun</t>
        </is>
      </c>
      <c r="F1235" t="n">
        <v>5</v>
      </c>
      <c r="G1235" t="n">
        <v>1</v>
      </c>
      <c r="H1235" t="inlineStr">
        <is>
          <t>Player trade (max rank)</t>
        </is>
      </c>
      <c r="I1235" t="inlineStr">
        <is>
          <t>Yes</t>
        </is>
      </c>
      <c r="K1235" t="inlineStr">
        <is>
          <t>Collection</t>
        </is>
      </c>
      <c r="L1235" t="n">
        <v>20</v>
      </c>
      <c r="M1235" t="n">
        <v>20</v>
      </c>
      <c r="N1235" t="n">
        <v>44</v>
      </c>
      <c r="O1235" t="inlineStr">
        <is>
          <t>2026-10-05 UTC (WFM pull 02:52-04:00)</t>
        </is>
      </c>
      <c r="P1235" t="inlineStr">
        <is>
          <t>OK</t>
        </is>
      </c>
      <c r="R1235" t="inlineStr">
        <is>
          <t>Every current tradeable mod at MAX RANK (WFM catalogue, rivens/locators excluded)</t>
        </is>
      </c>
      <c r="S1235" t="inlineStr">
        <is>
          <t>quasar_drill</t>
        </is>
      </c>
      <c r="T1235" t="n">
        <v>5</v>
      </c>
      <c r="U1235" t="n">
        <v>5</v>
      </c>
      <c r="V1235" t="n">
        <v>10</v>
      </c>
      <c r="W1235" t="n">
        <v>15</v>
      </c>
      <c r="X1235" t="n">
        <v>14.3</v>
      </c>
      <c r="Y1235" t="n">
        <v>15</v>
      </c>
      <c r="Z1235" t="n">
        <v>1</v>
      </c>
      <c r="AN1235" t="inlineStr">
        <is>
          <t>Archgun</t>
        </is>
      </c>
      <c r="AO1235" t="n">
        <v>930</v>
      </c>
      <c r="AP1235" t="n">
        <v>44919</v>
      </c>
      <c r="AQ1235" t="n">
        <v>7</v>
      </c>
      <c r="AS1235" t="inlineStr">
        <is>
          <t>Yes</t>
        </is>
      </c>
    </row>
    <row r="1236">
      <c r="A1236" t="inlineStr">
        <is>
          <t>Mod</t>
        </is>
      </c>
      <c r="B1236" t="inlineStr">
        <is>
          <t>Quick Charge</t>
        </is>
      </c>
      <c r="E1236" t="inlineStr">
        <is>
          <t>Conclave (PvP)</t>
        </is>
      </c>
      <c r="F1236" t="n">
        <v>3</v>
      </c>
      <c r="G1236" t="n">
        <v>1</v>
      </c>
      <c r="H1236" t="inlineStr">
        <is>
          <t>Player trade (max rank)</t>
        </is>
      </c>
      <c r="I1236" t="inlineStr">
        <is>
          <t>Yes</t>
        </is>
      </c>
      <c r="K1236" t="inlineStr">
        <is>
          <t>Collection (PvP)</t>
        </is>
      </c>
      <c r="L1236" t="n">
        <v>350</v>
      </c>
      <c r="M1236" t="n">
        <v>350</v>
      </c>
      <c r="N1236" t="n">
        <v>386</v>
      </c>
      <c r="O1236" t="inlineStr">
        <is>
          <t>2026-10-05 UTC (WFM pull 02:52-04:00)</t>
        </is>
      </c>
      <c r="P1236" t="inlineStr">
        <is>
          <t>THIN</t>
        </is>
      </c>
      <c r="R1236" t="inlineStr">
        <is>
          <t>Every current tradeable mod at MAX RANK (WFM catalogue, rivens/locators excluded)</t>
        </is>
      </c>
      <c r="S1236" t="inlineStr">
        <is>
          <t>quick_charge</t>
        </is>
      </c>
      <c r="T1236" t="n">
        <v>1</v>
      </c>
      <c r="U1236" t="n">
        <v>0</v>
      </c>
      <c r="V1236" t="n">
        <v>50</v>
      </c>
      <c r="W1236" t="n">
        <v>50</v>
      </c>
      <c r="X1236" t="n">
        <v>50</v>
      </c>
      <c r="Y1236" t="n">
        <v>1</v>
      </c>
      <c r="Z1236" t="n">
        <v>0</v>
      </c>
      <c r="AN1236" t="inlineStr">
        <is>
          <t>Conclave (PvP)</t>
        </is>
      </c>
      <c r="AO1236" t="n">
        <v>210</v>
      </c>
      <c r="AP1236" t="n">
        <v>10143</v>
      </c>
      <c r="AQ1236" t="n">
        <v>90</v>
      </c>
      <c r="AS1236" t="inlineStr">
        <is>
          <t>PvP subtotal</t>
        </is>
      </c>
    </row>
    <row r="1237">
      <c r="A1237" t="inlineStr">
        <is>
          <t>Mod</t>
        </is>
      </c>
      <c r="B1237" t="inlineStr">
        <is>
          <t>Quick Correct</t>
        </is>
      </c>
      <c r="E1237" t="inlineStr">
        <is>
          <t>Parazon</t>
        </is>
      </c>
      <c r="F1237" t="n">
        <v>3</v>
      </c>
      <c r="G1237" t="n">
        <v>1</v>
      </c>
      <c r="H1237" t="inlineStr">
        <is>
          <t>Player trade (max rank)</t>
        </is>
      </c>
      <c r="I1237" t="inlineStr">
        <is>
          <t>Yes</t>
        </is>
      </c>
      <c r="K1237" t="inlineStr">
        <is>
          <t>Collection</t>
        </is>
      </c>
      <c r="L1237" t="n">
        <v>3</v>
      </c>
      <c r="M1237" t="n">
        <v>3</v>
      </c>
      <c r="N1237" t="n">
        <v>7</v>
      </c>
      <c r="O1237" t="inlineStr">
        <is>
          <t>2026-10-05 UTC (WFM pull 02:52-04:00)</t>
        </is>
      </c>
      <c r="P1237" t="inlineStr">
        <is>
          <t>OK</t>
        </is>
      </c>
      <c r="R1237" t="inlineStr">
        <is>
          <t>Every current tradeable mod at MAX RANK (WFM catalogue, rivens/locators excluded)</t>
        </is>
      </c>
      <c r="S1237" t="inlineStr">
        <is>
          <t>quick_correct</t>
        </is>
      </c>
      <c r="T1237" t="n">
        <v>6</v>
      </c>
      <c r="U1237" t="n">
        <v>6</v>
      </c>
      <c r="V1237" t="n">
        <v>2</v>
      </c>
      <c r="W1237" t="n">
        <v>3</v>
      </c>
      <c r="X1237" t="n">
        <v>3.4</v>
      </c>
      <c r="Y1237" t="n">
        <v>27</v>
      </c>
      <c r="Z1237" t="n">
        <v>3</v>
      </c>
      <c r="AN1237" t="inlineStr">
        <is>
          <t>Parazon</t>
        </is>
      </c>
      <c r="AO1237" t="n">
        <v>210</v>
      </c>
      <c r="AP1237" t="n">
        <v>10143</v>
      </c>
      <c r="AQ1237" t="n">
        <v>2</v>
      </c>
      <c r="AS1237" t="inlineStr">
        <is>
          <t>Yes</t>
        </is>
      </c>
    </row>
    <row r="1238">
      <c r="A1238" t="inlineStr">
        <is>
          <t>Mod</t>
        </is>
      </c>
      <c r="B1238" t="inlineStr">
        <is>
          <t>Quick Escape</t>
        </is>
      </c>
      <c r="E1238" t="inlineStr">
        <is>
          <t>K-Drive</t>
        </is>
      </c>
      <c r="F1238" t="n">
        <v>3</v>
      </c>
      <c r="G1238" t="n">
        <v>1</v>
      </c>
      <c r="H1238" t="inlineStr">
        <is>
          <t>Player trade (max rank)</t>
        </is>
      </c>
      <c r="I1238" t="inlineStr">
        <is>
          <t>Yes</t>
        </is>
      </c>
      <c r="K1238" t="inlineStr">
        <is>
          <t>Collection</t>
        </is>
      </c>
      <c r="L1238" t="n">
        <v>17</v>
      </c>
      <c r="M1238" t="n">
        <v>20</v>
      </c>
      <c r="N1238" t="n">
        <v>44</v>
      </c>
      <c r="O1238" t="inlineStr">
        <is>
          <t>2026-10-05 UTC (WFM pull 02:52-04:00)</t>
        </is>
      </c>
      <c r="P1238" t="inlineStr">
        <is>
          <t>OK</t>
        </is>
      </c>
      <c r="R1238" t="inlineStr">
        <is>
          <t>Every current tradeable mod at MAX RANK (WFM catalogue, rivens/locators excluded)</t>
        </is>
      </c>
      <c r="S1238" t="inlineStr">
        <is>
          <t>quick_escape</t>
        </is>
      </c>
      <c r="T1238" t="n">
        <v>25</v>
      </c>
      <c r="U1238" t="n">
        <v>1</v>
      </c>
      <c r="V1238" t="n">
        <v>40</v>
      </c>
      <c r="W1238" t="n">
        <v>20</v>
      </c>
      <c r="X1238" t="n">
        <v>30</v>
      </c>
      <c r="Y1238" t="n">
        <v>2</v>
      </c>
      <c r="Z1238" t="n">
        <v>0</v>
      </c>
      <c r="AN1238" t="inlineStr">
        <is>
          <t>K-Drive</t>
        </is>
      </c>
      <c r="AO1238" t="n">
        <v>210</v>
      </c>
      <c r="AP1238" t="n">
        <v>10143</v>
      </c>
      <c r="AQ1238" t="n">
        <v>15</v>
      </c>
      <c r="AS1238" t="inlineStr">
        <is>
          <t>Yes</t>
        </is>
      </c>
    </row>
    <row r="1239">
      <c r="A1239" t="inlineStr">
        <is>
          <t>Mod</t>
        </is>
      </c>
      <c r="B1239" t="inlineStr">
        <is>
          <t>Quick Reload</t>
        </is>
      </c>
      <c r="E1239" t="inlineStr">
        <is>
          <t>Archgun</t>
        </is>
      </c>
      <c r="F1239" t="n">
        <v>3</v>
      </c>
      <c r="G1239" t="n">
        <v>1</v>
      </c>
      <c r="H1239" t="inlineStr">
        <is>
          <t>Player trade (max rank)</t>
        </is>
      </c>
      <c r="I1239" t="inlineStr">
        <is>
          <t>Yes</t>
        </is>
      </c>
      <c r="K1239" t="inlineStr">
        <is>
          <t>Collection</t>
        </is>
      </c>
      <c r="L1239" t="n">
        <v>20</v>
      </c>
      <c r="M1239" t="n">
        <v>20</v>
      </c>
      <c r="N1239" t="n">
        <v>44</v>
      </c>
      <c r="O1239" t="inlineStr">
        <is>
          <t>2026-10-05 UTC (WFM pull 02:52-04:00)</t>
        </is>
      </c>
      <c r="P1239" t="inlineStr">
        <is>
          <t>OK</t>
        </is>
      </c>
      <c r="R1239" t="inlineStr">
        <is>
          <t>Every current tradeable mod at MAX RANK (WFM catalogue, rivens/locators excluded)</t>
        </is>
      </c>
      <c r="S1239" t="inlineStr">
        <is>
          <t>quick_reload</t>
        </is>
      </c>
      <c r="T1239" t="n">
        <v>5</v>
      </c>
      <c r="U1239" t="n">
        <v>5</v>
      </c>
      <c r="V1239" t="n">
        <v>10</v>
      </c>
      <c r="W1239" t="n">
        <v>15</v>
      </c>
      <c r="X1239" t="n">
        <v>21.2</v>
      </c>
      <c r="Y1239" t="n">
        <v>12</v>
      </c>
      <c r="Z1239" t="n">
        <v>0</v>
      </c>
      <c r="AN1239" t="inlineStr">
        <is>
          <t>Archgun</t>
        </is>
      </c>
      <c r="AO1239" t="n">
        <v>140</v>
      </c>
      <c r="AP1239" t="n">
        <v>6762</v>
      </c>
      <c r="AQ1239" t="n">
        <v>9.5</v>
      </c>
      <c r="AS1239" t="inlineStr">
        <is>
          <t>Yes</t>
        </is>
      </c>
    </row>
    <row r="1240">
      <c r="A1240" t="inlineStr">
        <is>
          <t>Mod</t>
        </is>
      </c>
      <c r="B1240" t="inlineStr">
        <is>
          <t>Quick Return</t>
        </is>
      </c>
      <c r="E1240" t="inlineStr">
        <is>
          <t>Thrown Melee</t>
        </is>
      </c>
      <c r="F1240" t="n">
        <v>3</v>
      </c>
      <c r="G1240" t="n">
        <v>1</v>
      </c>
      <c r="H1240" t="inlineStr">
        <is>
          <t>Player trade (max rank)</t>
        </is>
      </c>
      <c r="I1240" t="inlineStr">
        <is>
          <t>Yes</t>
        </is>
      </c>
      <c r="K1240" t="inlineStr">
        <is>
          <t>Collection</t>
        </is>
      </c>
      <c r="L1240" t="n">
        <v>15</v>
      </c>
      <c r="M1240" t="n">
        <v>15</v>
      </c>
      <c r="N1240" t="n">
        <v>33</v>
      </c>
      <c r="O1240" t="inlineStr">
        <is>
          <t>2026-10-05 UTC (WFM pull 02:52-04:00)</t>
        </is>
      </c>
      <c r="P1240" t="inlineStr">
        <is>
          <t>OK</t>
        </is>
      </c>
      <c r="R1240" t="inlineStr">
        <is>
          <t>Every current tradeable mod at MAX RANK (WFM catalogue, rivens/locators excluded)</t>
        </is>
      </c>
      <c r="S1240" t="inlineStr">
        <is>
          <t>quick_return</t>
        </is>
      </c>
      <c r="T1240" t="n">
        <v>4</v>
      </c>
      <c r="U1240" t="n">
        <v>4</v>
      </c>
      <c r="W1240" t="n">
        <v>7</v>
      </c>
      <c r="X1240" t="n">
        <v>7.3</v>
      </c>
      <c r="Y1240" t="n">
        <v>3</v>
      </c>
      <c r="Z1240" t="n">
        <v>0</v>
      </c>
      <c r="AN1240" t="inlineStr">
        <is>
          <t>Thrown Melee</t>
        </is>
      </c>
      <c r="AO1240" t="n">
        <v>70</v>
      </c>
      <c r="AP1240" t="n">
        <v>3381</v>
      </c>
      <c r="AQ1240" t="n">
        <v>10</v>
      </c>
      <c r="AS1240" t="inlineStr">
        <is>
          <t>Yes</t>
        </is>
      </c>
    </row>
    <row r="1241">
      <c r="A1241" t="inlineStr">
        <is>
          <t>Mod</t>
        </is>
      </c>
      <c r="B1241" t="inlineStr">
        <is>
          <t>Quick Thinking</t>
        </is>
      </c>
      <c r="E1241" t="inlineStr">
        <is>
          <t>Warframe</t>
        </is>
      </c>
      <c r="F1241" t="n">
        <v>5</v>
      </c>
      <c r="G1241" t="n">
        <v>1</v>
      </c>
      <c r="H1241" t="inlineStr">
        <is>
          <t>Player trade (max rank)</t>
        </is>
      </c>
      <c r="I1241" t="inlineStr">
        <is>
          <t>Yes</t>
        </is>
      </c>
      <c r="K1241" t="inlineStr">
        <is>
          <t>Collection</t>
        </is>
      </c>
      <c r="L1241" t="n">
        <v>10</v>
      </c>
      <c r="M1241" t="n">
        <v>15</v>
      </c>
      <c r="N1241" t="n">
        <v>22</v>
      </c>
      <c r="O1241" t="inlineStr">
        <is>
          <t>2026-10-05 UTC (WFM pull 02:52-04:00)</t>
        </is>
      </c>
      <c r="P1241" t="inlineStr">
        <is>
          <t>OK</t>
        </is>
      </c>
      <c r="R1241" t="inlineStr">
        <is>
          <t>Every current tradeable mod at MAX RANK (WFM catalogue, rivens/locators excluded)</t>
        </is>
      </c>
      <c r="S1241" t="inlineStr">
        <is>
          <t>quick_thinking</t>
        </is>
      </c>
      <c r="T1241" t="n">
        <v>11</v>
      </c>
      <c r="U1241" t="n">
        <v>11</v>
      </c>
      <c r="V1241" t="n">
        <v>10</v>
      </c>
      <c r="W1241" t="n">
        <v>10</v>
      </c>
      <c r="X1241" t="n">
        <v>9.6</v>
      </c>
      <c r="Y1241" t="n">
        <v>117</v>
      </c>
      <c r="Z1241" t="n">
        <v>2</v>
      </c>
      <c r="AN1241" t="inlineStr">
        <is>
          <t>Warframe</t>
        </is>
      </c>
      <c r="AO1241" t="n">
        <v>930</v>
      </c>
      <c r="AP1241" t="n">
        <v>44919</v>
      </c>
      <c r="AQ1241" t="n">
        <v>5</v>
      </c>
      <c r="AS1241" t="inlineStr">
        <is>
          <t>Yes</t>
        </is>
      </c>
    </row>
    <row r="1242">
      <c r="A1242" t="inlineStr">
        <is>
          <t>Mod</t>
        </is>
      </c>
      <c r="B1242" t="inlineStr">
        <is>
          <t>Quickdraw</t>
        </is>
      </c>
      <c r="E1242" t="inlineStr">
        <is>
          <t>Pistol</t>
        </is>
      </c>
      <c r="F1242" t="n">
        <v>5</v>
      </c>
      <c r="G1242" t="n">
        <v>1</v>
      </c>
      <c r="H1242" t="inlineStr">
        <is>
          <t>Player trade (max rank)</t>
        </is>
      </c>
      <c r="I1242" t="inlineStr">
        <is>
          <t>Yes</t>
        </is>
      </c>
      <c r="K1242" t="inlineStr">
        <is>
          <t>Collection</t>
        </is>
      </c>
      <c r="L1242" t="n">
        <v>6</v>
      </c>
      <c r="M1242" t="n">
        <v>8</v>
      </c>
      <c r="N1242" t="n">
        <v>9</v>
      </c>
      <c r="O1242" t="inlineStr">
        <is>
          <t>2026-10-05 UTC (WFM pull 02:52-04:00)</t>
        </is>
      </c>
      <c r="P1242" t="inlineStr">
        <is>
          <t>OK</t>
        </is>
      </c>
      <c r="R1242" t="inlineStr">
        <is>
          <t>Every current tradeable mod at MAX RANK (WFM catalogue, rivens/locators excluded)</t>
        </is>
      </c>
      <c r="S1242" t="inlineStr">
        <is>
          <t>quickdraw</t>
        </is>
      </c>
      <c r="T1242" t="n">
        <v>52</v>
      </c>
      <c r="U1242" t="n">
        <v>2</v>
      </c>
      <c r="W1242" t="n">
        <v>10</v>
      </c>
      <c r="X1242" t="n">
        <v>10</v>
      </c>
      <c r="Y1242" t="n">
        <v>1</v>
      </c>
      <c r="Z1242" t="n">
        <v>0</v>
      </c>
      <c r="AN1242" t="inlineStr">
        <is>
          <t>Pistol</t>
        </is>
      </c>
      <c r="AO1242" t="n">
        <v>310</v>
      </c>
      <c r="AP1242" t="n">
        <v>14973</v>
      </c>
      <c r="AQ1242" t="n">
        <v>1</v>
      </c>
      <c r="AS1242" t="inlineStr">
        <is>
          <t>Yes</t>
        </is>
      </c>
    </row>
    <row r="1243">
      <c r="A1243" t="inlineStr">
        <is>
          <t>Mod</t>
        </is>
      </c>
      <c r="B1243" t="inlineStr">
        <is>
          <t>Quickening</t>
        </is>
      </c>
      <c r="E1243" t="inlineStr">
        <is>
          <t>Melee</t>
        </is>
      </c>
      <c r="F1243" t="n">
        <v>3</v>
      </c>
      <c r="G1243" t="n">
        <v>1</v>
      </c>
      <c r="H1243" t="inlineStr">
        <is>
          <t>Player trade (max rank)</t>
        </is>
      </c>
      <c r="I1243" t="inlineStr">
        <is>
          <t>Yes</t>
        </is>
      </c>
      <c r="K1243" t="inlineStr">
        <is>
          <t>Collection</t>
        </is>
      </c>
      <c r="L1243" t="n">
        <v>15</v>
      </c>
      <c r="M1243" t="n">
        <v>20</v>
      </c>
      <c r="N1243" t="n">
        <v>33</v>
      </c>
      <c r="O1243" t="inlineStr">
        <is>
          <t>2026-10-05 UTC (WFM pull 02:52-04:00)</t>
        </is>
      </c>
      <c r="P1243" t="inlineStr">
        <is>
          <t>OK</t>
        </is>
      </c>
      <c r="R1243" t="inlineStr">
        <is>
          <t>Every current tradeable mod at MAX RANK (WFM catalogue, rivens/locators excluded)</t>
        </is>
      </c>
      <c r="S1243" t="inlineStr">
        <is>
          <t>quickening</t>
        </is>
      </c>
      <c r="T1243" t="n">
        <v>7</v>
      </c>
      <c r="U1243" t="n">
        <v>7</v>
      </c>
      <c r="V1243" t="n">
        <v>17</v>
      </c>
      <c r="W1243" t="n">
        <v>15</v>
      </c>
      <c r="X1243" t="n">
        <v>16.1</v>
      </c>
      <c r="Y1243" t="n">
        <v>495</v>
      </c>
      <c r="Z1243" t="n">
        <v>5</v>
      </c>
      <c r="AN1243" t="inlineStr">
        <is>
          <t>Melee</t>
        </is>
      </c>
      <c r="AO1243" t="n">
        <v>210</v>
      </c>
      <c r="AP1243" t="n">
        <v>10143</v>
      </c>
      <c r="AQ1243" t="n">
        <v>14</v>
      </c>
      <c r="AS1243" t="inlineStr">
        <is>
          <t>Yes</t>
        </is>
      </c>
    </row>
    <row r="1244">
      <c r="A1244" t="inlineStr">
        <is>
          <t>Mod</t>
        </is>
      </c>
      <c r="B1244" t="inlineStr">
        <is>
          <t>Quicklock</t>
        </is>
      </c>
      <c r="E1244" t="inlineStr">
        <is>
          <t>Plexus</t>
        </is>
      </c>
      <c r="F1244" t="n">
        <v>5</v>
      </c>
      <c r="G1244" t="n">
        <v>1</v>
      </c>
      <c r="H1244" t="inlineStr">
        <is>
          <t>Player trade (max rank)</t>
        </is>
      </c>
      <c r="I1244" t="inlineStr">
        <is>
          <t>Yes</t>
        </is>
      </c>
      <c r="K1244" t="inlineStr">
        <is>
          <t>Collection</t>
        </is>
      </c>
      <c r="L1244" t="n">
        <v>4</v>
      </c>
      <c r="M1244" t="n">
        <v>10</v>
      </c>
      <c r="N1244" t="n">
        <v>22</v>
      </c>
      <c r="O1244" t="inlineStr">
        <is>
          <t>2026-10-05 UTC (WFM pull 02:52-04:00)</t>
        </is>
      </c>
      <c r="P1244" t="inlineStr">
        <is>
          <t>OK</t>
        </is>
      </c>
      <c r="R1244" t="inlineStr">
        <is>
          <t>Every current tradeable mod at MAX RANK (WFM catalogue, rivens/locators excluded)</t>
        </is>
      </c>
      <c r="S1244" t="inlineStr">
        <is>
          <t>quicklock</t>
        </is>
      </c>
      <c r="T1244" t="n">
        <v>59</v>
      </c>
      <c r="U1244" t="n">
        <v>2</v>
      </c>
      <c r="V1244" t="n">
        <v>30</v>
      </c>
      <c r="W1244" t="n">
        <v>19</v>
      </c>
      <c r="X1244" t="n">
        <v>24.5</v>
      </c>
      <c r="Y1244" t="n">
        <v>2</v>
      </c>
      <c r="Z1244" t="n">
        <v>0</v>
      </c>
      <c r="AN1244" t="inlineStr">
        <is>
          <t>Plexus</t>
        </is>
      </c>
      <c r="AO1244" t="n">
        <v>310</v>
      </c>
      <c r="AP1244" t="n">
        <v>14973</v>
      </c>
      <c r="AQ1244" t="n">
        <v>2</v>
      </c>
      <c r="AS1244" t="inlineStr">
        <is>
          <t>Yes</t>
        </is>
      </c>
    </row>
    <row r="1245">
      <c r="A1245" t="inlineStr">
        <is>
          <t>Mod</t>
        </is>
      </c>
      <c r="B1245" t="inlineStr">
        <is>
          <t>Radiant Finish</t>
        </is>
      </c>
      <c r="E1245" t="inlineStr">
        <is>
          <t>Augment Excalibur</t>
        </is>
      </c>
      <c r="F1245" t="n">
        <v>3</v>
      </c>
      <c r="G1245" t="n">
        <v>1</v>
      </c>
      <c r="H1245" t="inlineStr">
        <is>
          <t>Player trade (max rank)</t>
        </is>
      </c>
      <c r="I1245" t="inlineStr">
        <is>
          <t>Yes</t>
        </is>
      </c>
      <c r="K1245" t="inlineStr">
        <is>
          <t>Collection</t>
        </is>
      </c>
      <c r="L1245" t="n">
        <v>25</v>
      </c>
      <c r="M1245" t="n">
        <v>25</v>
      </c>
      <c r="N1245" t="n">
        <v>56</v>
      </c>
      <c r="O1245" t="inlineStr">
        <is>
          <t>2026-10-05 UTC (WFM pull 02:52-04:00)</t>
        </is>
      </c>
      <c r="P1245" t="inlineStr">
        <is>
          <t>OK</t>
        </is>
      </c>
      <c r="R1245" t="inlineStr">
        <is>
          <t>Every current tradeable mod at MAX RANK (WFM catalogue, rivens/locators excluded)</t>
        </is>
      </c>
      <c r="S1245" t="inlineStr">
        <is>
          <t>radiant_finish</t>
        </is>
      </c>
      <c r="T1245" t="n">
        <v>3</v>
      </c>
      <c r="U1245" t="n">
        <v>3</v>
      </c>
      <c r="V1245" t="n">
        <v>10</v>
      </c>
      <c r="W1245" t="n">
        <v>10.5</v>
      </c>
      <c r="X1245" t="n">
        <v>13.1</v>
      </c>
      <c r="Y1245" t="n">
        <v>16</v>
      </c>
      <c r="Z1245" t="n">
        <v>0</v>
      </c>
      <c r="AN1245" t="inlineStr">
        <is>
          <t>Augment Excalibur</t>
        </is>
      </c>
      <c r="AO1245" t="n">
        <v>210</v>
      </c>
      <c r="AP1245" t="n">
        <v>10143</v>
      </c>
      <c r="AQ1245" t="n">
        <v>16</v>
      </c>
      <c r="AS1245" t="inlineStr">
        <is>
          <t>Yes</t>
        </is>
      </c>
    </row>
    <row r="1246">
      <c r="A1246" t="inlineStr">
        <is>
          <t>Mod</t>
        </is>
      </c>
      <c r="B1246" t="inlineStr">
        <is>
          <t>Radiated Reload</t>
        </is>
      </c>
      <c r="E1246" t="inlineStr">
        <is>
          <t>Rifle</t>
        </is>
      </c>
      <c r="F1246" t="n">
        <v>3</v>
      </c>
      <c r="G1246" t="n">
        <v>1</v>
      </c>
      <c r="H1246" t="inlineStr">
        <is>
          <t>Player trade (max rank)</t>
        </is>
      </c>
      <c r="I1246" t="inlineStr">
        <is>
          <t>Yes</t>
        </is>
      </c>
      <c r="K1246" t="inlineStr">
        <is>
          <t>Collection</t>
        </is>
      </c>
      <c r="L1246" t="n">
        <v>4</v>
      </c>
      <c r="M1246" t="n">
        <v>5</v>
      </c>
      <c r="N1246" t="n">
        <v>11</v>
      </c>
      <c r="O1246" t="inlineStr">
        <is>
          <t>2026-10-05 UTC (WFM pull 02:52-04:00)</t>
        </is>
      </c>
      <c r="P1246" t="inlineStr">
        <is>
          <t>OK</t>
        </is>
      </c>
      <c r="R1246" t="inlineStr">
        <is>
          <t>Every current tradeable mod at MAX RANK (WFM catalogue, rivens/locators excluded)</t>
        </is>
      </c>
      <c r="S1246" t="inlineStr">
        <is>
          <t>radiated_reload</t>
        </is>
      </c>
      <c r="T1246" t="n">
        <v>11</v>
      </c>
      <c r="U1246" t="n">
        <v>11</v>
      </c>
      <c r="V1246" t="n">
        <v>7</v>
      </c>
      <c r="W1246" t="n">
        <v>6</v>
      </c>
      <c r="X1246" t="n">
        <v>5.9</v>
      </c>
      <c r="Y1246" t="n">
        <v>216</v>
      </c>
      <c r="Z1246" t="n">
        <v>1</v>
      </c>
      <c r="AN1246" t="inlineStr">
        <is>
          <t>Rifle</t>
        </is>
      </c>
      <c r="AO1246" t="n">
        <v>210</v>
      </c>
      <c r="AP1246" t="n">
        <v>10143</v>
      </c>
      <c r="AQ1246" t="n">
        <v>2</v>
      </c>
      <c r="AS1246" t="inlineStr">
        <is>
          <t>Yes</t>
        </is>
      </c>
    </row>
    <row r="1247">
      <c r="A1247" t="inlineStr">
        <is>
          <t>Mod</t>
        </is>
      </c>
      <c r="B1247" t="inlineStr">
        <is>
          <t>Radon Claws</t>
        </is>
      </c>
      <c r="E1247" t="inlineStr">
        <is>
          <t>Claws</t>
        </is>
      </c>
      <c r="F1247" t="n">
        <v>3</v>
      </c>
      <c r="G1247" t="n">
        <v>1</v>
      </c>
      <c r="H1247" t="inlineStr">
        <is>
          <t>Player trade (max rank)</t>
        </is>
      </c>
      <c r="I1247" t="inlineStr">
        <is>
          <t>Yes</t>
        </is>
      </c>
      <c r="K1247" t="inlineStr">
        <is>
          <t>Collection</t>
        </is>
      </c>
      <c r="L1247" t="n">
        <v>6</v>
      </c>
      <c r="M1247" t="n">
        <v>9.800000000000001</v>
      </c>
      <c r="N1247" t="n">
        <v>22</v>
      </c>
      <c r="O1247" t="inlineStr">
        <is>
          <t>2026-10-05 UTC (WFM pull 02:52-04:00)</t>
        </is>
      </c>
      <c r="P1247" t="inlineStr">
        <is>
          <t>OK</t>
        </is>
      </c>
      <c r="R1247" t="inlineStr">
        <is>
          <t>Every current tradeable mod at MAX RANK (WFM catalogue, rivens/locators excluded)</t>
        </is>
      </c>
      <c r="S1247" t="inlineStr">
        <is>
          <t>radon_claws</t>
        </is>
      </c>
      <c r="T1247" t="n">
        <v>8</v>
      </c>
      <c r="U1247" t="n">
        <v>8</v>
      </c>
      <c r="V1247" t="n">
        <v>6.5</v>
      </c>
      <c r="W1247" t="n">
        <v>6</v>
      </c>
      <c r="X1247" t="n">
        <v>6.2</v>
      </c>
      <c r="Y1247" t="n">
        <v>240</v>
      </c>
      <c r="Z1247" t="n">
        <v>3</v>
      </c>
      <c r="AN1247" t="inlineStr">
        <is>
          <t>Claws</t>
        </is>
      </c>
      <c r="AO1247" t="n">
        <v>210</v>
      </c>
      <c r="AP1247" t="n">
        <v>10143</v>
      </c>
      <c r="AQ1247" t="n">
        <v>3</v>
      </c>
      <c r="AS1247" t="inlineStr">
        <is>
          <t>Yes</t>
        </is>
      </c>
    </row>
    <row r="1248">
      <c r="A1248" t="inlineStr">
        <is>
          <t>Mod</t>
        </is>
      </c>
      <c r="B1248" t="inlineStr">
        <is>
          <t>Rage</t>
        </is>
      </c>
      <c r="E1248" t="inlineStr">
        <is>
          <t>Warframe</t>
        </is>
      </c>
      <c r="F1248" t="n">
        <v>3</v>
      </c>
      <c r="G1248" t="n">
        <v>1</v>
      </c>
      <c r="H1248" t="inlineStr">
        <is>
          <t>Player trade (max rank)</t>
        </is>
      </c>
      <c r="I1248" t="inlineStr">
        <is>
          <t>Yes</t>
        </is>
      </c>
      <c r="K1248" t="inlineStr">
        <is>
          <t>Collection</t>
        </is>
      </c>
      <c r="L1248" t="n">
        <v>6</v>
      </c>
      <c r="M1248" t="n">
        <v>8</v>
      </c>
      <c r="N1248" t="n">
        <v>11</v>
      </c>
      <c r="O1248" t="inlineStr">
        <is>
          <t>2026-10-05 UTC (WFM pull 02:52-04:00)</t>
        </is>
      </c>
      <c r="P1248" t="inlineStr">
        <is>
          <t>OK</t>
        </is>
      </c>
      <c r="R1248" t="inlineStr">
        <is>
          <t>Every current tradeable mod at MAX RANK (WFM catalogue, rivens/locators excluded)</t>
        </is>
      </c>
      <c r="S1248" t="inlineStr">
        <is>
          <t>rage</t>
        </is>
      </c>
      <c r="T1248" t="n">
        <v>134</v>
      </c>
      <c r="U1248" t="n">
        <v>2</v>
      </c>
      <c r="V1248" t="n">
        <v>10</v>
      </c>
      <c r="W1248" t="n">
        <v>10</v>
      </c>
      <c r="X1248" t="n">
        <v>9.300000000000001</v>
      </c>
      <c r="Y1248" t="n">
        <v>119</v>
      </c>
      <c r="Z1248" t="n">
        <v>2</v>
      </c>
      <c r="AN1248" t="inlineStr">
        <is>
          <t>Warframe</t>
        </is>
      </c>
      <c r="AO1248" t="n">
        <v>210</v>
      </c>
      <c r="AP1248" t="n">
        <v>10143</v>
      </c>
      <c r="AQ1248" t="n">
        <v>7.5</v>
      </c>
      <c r="AS1248" t="inlineStr">
        <is>
          <t>Yes</t>
        </is>
      </c>
    </row>
    <row r="1249">
      <c r="A1249" t="inlineStr">
        <is>
          <t>Mod</t>
        </is>
      </c>
      <c r="B1249" t="inlineStr">
        <is>
          <t>Raider Matrix</t>
        </is>
      </c>
      <c r="E1249" t="inlineStr">
        <is>
          <t>Railjack Aura</t>
        </is>
      </c>
      <c r="F1249" t="n">
        <v>5</v>
      </c>
      <c r="G1249" t="n">
        <v>1</v>
      </c>
      <c r="H1249" t="inlineStr">
        <is>
          <t>Player trade (max rank)</t>
        </is>
      </c>
      <c r="I1249" t="inlineStr">
        <is>
          <t>Yes</t>
        </is>
      </c>
      <c r="K1249" t="inlineStr">
        <is>
          <t>Collection</t>
        </is>
      </c>
      <c r="L1249" t="n">
        <v>1</v>
      </c>
      <c r="M1249" t="n">
        <v>4</v>
      </c>
      <c r="N1249" t="n">
        <v>9</v>
      </c>
      <c r="O1249" t="inlineStr">
        <is>
          <t>2026-10-05 UTC (WFM pull 02:52-04:00)</t>
        </is>
      </c>
      <c r="P1249" t="inlineStr">
        <is>
          <t>OK</t>
        </is>
      </c>
      <c r="R1249" t="inlineStr">
        <is>
          <t>Every current tradeable mod at MAX RANK (WFM catalogue, rivens/locators excluded)</t>
        </is>
      </c>
      <c r="S1249" t="inlineStr">
        <is>
          <t>raider_matrix</t>
        </is>
      </c>
      <c r="T1249" t="n">
        <v>88</v>
      </c>
      <c r="U1249" t="n">
        <v>2</v>
      </c>
      <c r="V1249" t="n">
        <v>10</v>
      </c>
      <c r="W1249" t="n">
        <v>10</v>
      </c>
      <c r="X1249" t="n">
        <v>12.5</v>
      </c>
      <c r="Y1249" t="n">
        <v>4</v>
      </c>
      <c r="Z1249" t="n">
        <v>0</v>
      </c>
      <c r="AN1249" t="inlineStr">
        <is>
          <t>Railjack Aura</t>
        </is>
      </c>
      <c r="AO1249" t="n">
        <v>620</v>
      </c>
      <c r="AP1249" t="n">
        <v>29946</v>
      </c>
      <c r="AQ1249" t="n">
        <v>5</v>
      </c>
      <c r="AS1249" t="inlineStr">
        <is>
          <t>Yes</t>
        </is>
      </c>
    </row>
    <row r="1250">
      <c r="A1250" t="inlineStr">
        <is>
          <t>Mod</t>
        </is>
      </c>
      <c r="B1250" t="inlineStr">
        <is>
          <t>Rail Guards</t>
        </is>
      </c>
      <c r="E1250" t="inlineStr">
        <is>
          <t>K-Drive</t>
        </is>
      </c>
      <c r="F1250" t="n">
        <v>5</v>
      </c>
      <c r="G1250" t="n">
        <v>1</v>
      </c>
      <c r="H1250" t="inlineStr">
        <is>
          <t>Player trade (max rank)</t>
        </is>
      </c>
      <c r="I1250" t="inlineStr">
        <is>
          <t>Yes</t>
        </is>
      </c>
      <c r="K1250" t="inlineStr">
        <is>
          <t>Collection</t>
        </is>
      </c>
      <c r="L1250" t="n">
        <v>15</v>
      </c>
      <c r="M1250" t="n">
        <v>20</v>
      </c>
      <c r="N1250" t="n">
        <v>28</v>
      </c>
      <c r="O1250" t="inlineStr">
        <is>
          <t>2026-10-05 UTC (WFM pull 02:52-04:00)</t>
        </is>
      </c>
      <c r="P1250" t="inlineStr">
        <is>
          <t>OK</t>
        </is>
      </c>
      <c r="R1250" t="inlineStr">
        <is>
          <t>Every current tradeable mod at MAX RANK (WFM catalogue, rivens/locators excluded)</t>
        </is>
      </c>
      <c r="S1250" t="inlineStr">
        <is>
          <t>rail_guards</t>
        </is>
      </c>
      <c r="T1250" t="n">
        <v>28</v>
      </c>
      <c r="U1250" t="n">
        <v>1</v>
      </c>
      <c r="W1250" t="n">
        <v>40</v>
      </c>
      <c r="X1250" t="n">
        <v>40</v>
      </c>
      <c r="Y1250" t="n">
        <v>1</v>
      </c>
      <c r="Z1250" t="n">
        <v>0</v>
      </c>
      <c r="AN1250" t="inlineStr">
        <is>
          <t>K-Drive</t>
        </is>
      </c>
      <c r="AO1250" t="n">
        <v>310</v>
      </c>
      <c r="AP1250" t="n">
        <v>14973</v>
      </c>
      <c r="AQ1250" t="n">
        <v>14</v>
      </c>
      <c r="AS1250" t="inlineStr">
        <is>
          <t>Yes</t>
        </is>
      </c>
    </row>
    <row r="1251">
      <c r="A1251" t="inlineStr">
        <is>
          <t>Mod</t>
        </is>
      </c>
      <c r="B1251" t="inlineStr">
        <is>
          <t>Range Advantage</t>
        </is>
      </c>
      <c r="E1251" t="inlineStr">
        <is>
          <t>Augment Akjagara</t>
        </is>
      </c>
      <c r="F1251" t="n">
        <v>5</v>
      </c>
      <c r="G1251" t="n">
        <v>1</v>
      </c>
      <c r="H1251" t="inlineStr">
        <is>
          <t>Player trade (max rank)</t>
        </is>
      </c>
      <c r="I1251" t="inlineStr">
        <is>
          <t>Yes</t>
        </is>
      </c>
      <c r="K1251" t="inlineStr">
        <is>
          <t>Collection</t>
        </is>
      </c>
      <c r="L1251" t="n">
        <v>15</v>
      </c>
      <c r="M1251" t="n">
        <v>15</v>
      </c>
      <c r="N1251" t="n">
        <v>28</v>
      </c>
      <c r="O1251" t="inlineStr">
        <is>
          <t>2026-10-05 UTC (WFM pull 02:52-04:00)</t>
        </is>
      </c>
      <c r="P1251" t="inlineStr">
        <is>
          <t>OK</t>
        </is>
      </c>
      <c r="R1251" t="inlineStr">
        <is>
          <t>Every current tradeable mod at MAX RANK (WFM catalogue, rivens/locators excluded)</t>
        </is>
      </c>
      <c r="S1251" t="inlineStr">
        <is>
          <t>range_advantage</t>
        </is>
      </c>
      <c r="T1251" t="n">
        <v>49</v>
      </c>
      <c r="U1251" t="n">
        <v>2</v>
      </c>
      <c r="V1251" t="n">
        <v>13</v>
      </c>
      <c r="W1251" t="n">
        <v>13</v>
      </c>
      <c r="X1251" t="n">
        <v>14.7</v>
      </c>
      <c r="Y1251" t="n">
        <v>26</v>
      </c>
      <c r="Z1251" t="n">
        <v>0</v>
      </c>
      <c r="AN1251" t="inlineStr">
        <is>
          <t>Augment Akjagara</t>
        </is>
      </c>
      <c r="AO1251" t="n">
        <v>930</v>
      </c>
      <c r="AP1251" t="n">
        <v>44919</v>
      </c>
      <c r="AQ1251" t="n">
        <v>10</v>
      </c>
      <c r="AS1251" t="inlineStr">
        <is>
          <t>Yes</t>
        </is>
      </c>
    </row>
    <row r="1252">
      <c r="A1252" t="inlineStr">
        <is>
          <t>Mod</t>
        </is>
      </c>
      <c r="B1252" t="inlineStr">
        <is>
          <t>Rapid Resilience</t>
        </is>
      </c>
      <c r="E1252" t="inlineStr">
        <is>
          <t>Warframe</t>
        </is>
      </c>
      <c r="F1252" t="n">
        <v>5</v>
      </c>
      <c r="G1252" t="n">
        <v>1</v>
      </c>
      <c r="H1252" t="inlineStr">
        <is>
          <t>Player trade (max rank)</t>
        </is>
      </c>
      <c r="I1252" t="inlineStr">
        <is>
          <t>Yes</t>
        </is>
      </c>
      <c r="K1252" t="inlineStr">
        <is>
          <t>Collection</t>
        </is>
      </c>
      <c r="L1252" t="n">
        <v>8</v>
      </c>
      <c r="M1252" t="n">
        <v>14.2</v>
      </c>
      <c r="N1252" t="n">
        <v>32</v>
      </c>
      <c r="O1252" t="inlineStr">
        <is>
          <t>2026-10-05 UTC (WFM pull 02:52-04:00)</t>
        </is>
      </c>
      <c r="P1252" t="inlineStr">
        <is>
          <t>OK</t>
        </is>
      </c>
      <c r="R1252" t="inlineStr">
        <is>
          <t>Every current tradeable mod at MAX RANK (WFM catalogue, rivens/locators excluded)</t>
        </is>
      </c>
      <c r="S1252" t="inlineStr">
        <is>
          <t>rapid_resilience</t>
        </is>
      </c>
      <c r="T1252" t="n">
        <v>4</v>
      </c>
      <c r="U1252" t="n">
        <v>4</v>
      </c>
      <c r="V1252" t="n">
        <v>9.5</v>
      </c>
      <c r="W1252" t="n">
        <v>10</v>
      </c>
      <c r="X1252" t="n">
        <v>13.6</v>
      </c>
      <c r="Y1252" t="n">
        <v>28</v>
      </c>
      <c r="Z1252" t="n">
        <v>0</v>
      </c>
      <c r="AN1252" t="inlineStr">
        <is>
          <t>Warframe</t>
        </is>
      </c>
      <c r="AO1252" t="n">
        <v>930</v>
      </c>
      <c r="AP1252" t="n">
        <v>44919</v>
      </c>
      <c r="AQ1252" t="n">
        <v>4.5</v>
      </c>
      <c r="AS1252" t="inlineStr">
        <is>
          <t>Yes</t>
        </is>
      </c>
    </row>
    <row r="1253">
      <c r="A1253" t="inlineStr">
        <is>
          <t>Mod</t>
        </is>
      </c>
      <c r="B1253" t="inlineStr">
        <is>
          <t>Ravage</t>
        </is>
      </c>
      <c r="E1253" t="inlineStr">
        <is>
          <t>Shotgun</t>
        </is>
      </c>
      <c r="F1253" t="n">
        <v>5</v>
      </c>
      <c r="G1253" t="n">
        <v>1</v>
      </c>
      <c r="H1253" t="inlineStr">
        <is>
          <t>Player trade (max rank)</t>
        </is>
      </c>
      <c r="I1253" t="inlineStr">
        <is>
          <t>Yes</t>
        </is>
      </c>
      <c r="K1253" t="inlineStr">
        <is>
          <t>Collection</t>
        </is>
      </c>
      <c r="L1253" t="n">
        <v>10</v>
      </c>
      <c r="M1253" t="n">
        <v>10</v>
      </c>
      <c r="N1253" t="n">
        <v>22</v>
      </c>
      <c r="O1253" t="inlineStr">
        <is>
          <t>2026-10-05 UTC (WFM pull 02:52-04:00)</t>
        </is>
      </c>
      <c r="P1253" t="inlineStr">
        <is>
          <t>OK</t>
        </is>
      </c>
      <c r="R1253" t="inlineStr">
        <is>
          <t>Every current tradeable mod at MAX RANK (WFM catalogue, rivens/locators excluded)</t>
        </is>
      </c>
      <c r="S1253" t="inlineStr">
        <is>
          <t>ravage</t>
        </is>
      </c>
      <c r="T1253" t="n">
        <v>4</v>
      </c>
      <c r="U1253" t="n">
        <v>4</v>
      </c>
      <c r="V1253" t="n">
        <v>9.5</v>
      </c>
      <c r="W1253" t="n">
        <v>9</v>
      </c>
      <c r="X1253" t="n">
        <v>8.6</v>
      </c>
      <c r="Y1253" t="n">
        <v>128</v>
      </c>
      <c r="Z1253" t="n">
        <v>0</v>
      </c>
      <c r="AN1253" t="inlineStr">
        <is>
          <t>Shotgun</t>
        </is>
      </c>
      <c r="AO1253" t="n">
        <v>930</v>
      </c>
      <c r="AP1253" t="n">
        <v>44919</v>
      </c>
      <c r="AQ1253" t="n">
        <v>4</v>
      </c>
      <c r="AS1253" t="inlineStr">
        <is>
          <t>Yes</t>
        </is>
      </c>
    </row>
    <row r="1254">
      <c r="A1254" t="inlineStr">
        <is>
          <t>Mod</t>
        </is>
      </c>
      <c r="B1254" t="inlineStr">
        <is>
          <t>Razor Mortar</t>
        </is>
      </c>
      <c r="E1254" t="inlineStr">
        <is>
          <t>Augment Caliban</t>
        </is>
      </c>
      <c r="F1254" t="n">
        <v>3</v>
      </c>
      <c r="G1254" t="n">
        <v>1</v>
      </c>
      <c r="H1254" t="inlineStr">
        <is>
          <t>Player trade (max rank)</t>
        </is>
      </c>
      <c r="I1254" t="inlineStr">
        <is>
          <t>Yes</t>
        </is>
      </c>
      <c r="K1254" t="inlineStr">
        <is>
          <t>Collection</t>
        </is>
      </c>
      <c r="L1254" t="n">
        <v>15</v>
      </c>
      <c r="M1254" t="n">
        <v>19</v>
      </c>
      <c r="N1254" t="n">
        <v>22</v>
      </c>
      <c r="O1254" t="inlineStr">
        <is>
          <t>2026-10-05 UTC (WFM pull 02:52-04:00)</t>
        </is>
      </c>
      <c r="P1254" t="inlineStr">
        <is>
          <t>OK</t>
        </is>
      </c>
      <c r="R1254" t="inlineStr">
        <is>
          <t>Every current tradeable mod at MAX RANK (WFM catalogue, rivens/locators excluded)</t>
        </is>
      </c>
      <c r="S1254" t="inlineStr">
        <is>
          <t>razor_mortar</t>
        </is>
      </c>
      <c r="T1254" t="n">
        <v>11</v>
      </c>
      <c r="U1254" t="n">
        <v>11</v>
      </c>
      <c r="V1254" t="n">
        <v>15</v>
      </c>
      <c r="W1254" t="n">
        <v>15</v>
      </c>
      <c r="X1254" t="n">
        <v>14.5</v>
      </c>
      <c r="Y1254" t="n">
        <v>689</v>
      </c>
      <c r="Z1254" t="n">
        <v>13</v>
      </c>
      <c r="AN1254" t="inlineStr">
        <is>
          <t>Augment Caliban</t>
        </is>
      </c>
      <c r="AO1254" t="n">
        <v>210</v>
      </c>
      <c r="AP1254" t="n">
        <v>10143</v>
      </c>
      <c r="AQ1254" t="n">
        <v>15</v>
      </c>
      <c r="AS1254" t="inlineStr">
        <is>
          <t>Yes</t>
        </is>
      </c>
    </row>
    <row r="1255">
      <c r="A1255" t="inlineStr">
        <is>
          <t>Mod</t>
        </is>
      </c>
      <c r="B1255" t="inlineStr">
        <is>
          <t>Razor Munitions</t>
        </is>
      </c>
      <c r="E1255" t="inlineStr">
        <is>
          <t>Conclave (PvP)</t>
        </is>
      </c>
      <c r="F1255" t="n">
        <v>3</v>
      </c>
      <c r="G1255" t="n">
        <v>1</v>
      </c>
      <c r="H1255" t="inlineStr">
        <is>
          <t>Player trade (max rank)</t>
        </is>
      </c>
      <c r="I1255" t="inlineStr">
        <is>
          <t>Yes</t>
        </is>
      </c>
      <c r="K1255" t="inlineStr">
        <is>
          <t>Collection (PvP)</t>
        </is>
      </c>
      <c r="L1255" t="n">
        <v>200</v>
      </c>
      <c r="M1255" t="n">
        <v>200</v>
      </c>
      <c r="N1255" t="n">
        <v>330</v>
      </c>
      <c r="O1255" t="inlineStr">
        <is>
          <t>2026-10-05 UTC (WFM pull 02:52-04:00)</t>
        </is>
      </c>
      <c r="P1255" t="inlineStr">
        <is>
          <t>OK</t>
        </is>
      </c>
      <c r="R1255" t="inlineStr">
        <is>
          <t>Every current tradeable mod at MAX RANK (WFM catalogue, rivens/locators excluded)</t>
        </is>
      </c>
      <c r="S1255" t="inlineStr">
        <is>
          <t>razor_munitions</t>
        </is>
      </c>
      <c r="T1255" t="n">
        <v>4</v>
      </c>
      <c r="U1255" t="n">
        <v>0</v>
      </c>
      <c r="W1255" t="n">
        <v>20</v>
      </c>
      <c r="X1255" t="n">
        <v>20</v>
      </c>
      <c r="Y1255" t="n">
        <v>1</v>
      </c>
      <c r="Z1255" t="n">
        <v>0</v>
      </c>
      <c r="AN1255" t="inlineStr">
        <is>
          <t>Conclave (PvP)</t>
        </is>
      </c>
      <c r="AO1255" t="n">
        <v>140</v>
      </c>
      <c r="AP1255" t="n">
        <v>6762</v>
      </c>
      <c r="AQ1255" t="n">
        <v>45</v>
      </c>
      <c r="AS1255" t="inlineStr">
        <is>
          <t>PvP subtotal</t>
        </is>
      </c>
    </row>
    <row r="1256">
      <c r="A1256" t="inlineStr">
        <is>
          <t>Mod</t>
        </is>
      </c>
      <c r="B1256" t="inlineStr">
        <is>
          <t>Razor Shot</t>
        </is>
      </c>
      <c r="E1256" t="inlineStr">
        <is>
          <t>Pistol</t>
        </is>
      </c>
      <c r="F1256" t="n">
        <v>5</v>
      </c>
      <c r="G1256" t="n">
        <v>1</v>
      </c>
      <c r="H1256" t="inlineStr">
        <is>
          <t>Player trade (max rank)</t>
        </is>
      </c>
      <c r="I1256" t="inlineStr">
        <is>
          <t>Yes</t>
        </is>
      </c>
      <c r="K1256" t="inlineStr">
        <is>
          <t>Collection</t>
        </is>
      </c>
      <c r="L1256" t="n">
        <v>8</v>
      </c>
      <c r="M1256" t="n">
        <v>11.5</v>
      </c>
      <c r="N1256" t="n">
        <v>26</v>
      </c>
      <c r="O1256" t="inlineStr">
        <is>
          <t>2026-10-05 UTC (WFM pull 02:52-04:00)</t>
        </is>
      </c>
      <c r="P1256" t="inlineStr">
        <is>
          <t>OK</t>
        </is>
      </c>
      <c r="R1256" t="inlineStr">
        <is>
          <t>Every current tradeable mod at MAX RANK (WFM catalogue, rivens/locators excluded)</t>
        </is>
      </c>
      <c r="S1256" t="inlineStr">
        <is>
          <t>razor_shot</t>
        </is>
      </c>
      <c r="T1256" t="n">
        <v>4</v>
      </c>
      <c r="U1256" t="n">
        <v>4</v>
      </c>
      <c r="V1256" t="n">
        <v>9</v>
      </c>
      <c r="W1256" t="n">
        <v>9</v>
      </c>
      <c r="X1256" t="n">
        <v>65.8</v>
      </c>
      <c r="Y1256" t="n">
        <v>4</v>
      </c>
      <c r="Z1256" t="n">
        <v>0</v>
      </c>
      <c r="AN1256" t="inlineStr">
        <is>
          <t>Pistol</t>
        </is>
      </c>
      <c r="AO1256" t="n">
        <v>620</v>
      </c>
      <c r="AP1256" t="n">
        <v>29946</v>
      </c>
      <c r="AQ1256" t="n">
        <v>4</v>
      </c>
      <c r="AS1256" t="inlineStr">
        <is>
          <t>Yes</t>
        </is>
      </c>
    </row>
    <row r="1257">
      <c r="A1257" t="inlineStr">
        <is>
          <t>Mod</t>
        </is>
      </c>
      <c r="B1257" t="inlineStr">
        <is>
          <t>Razorwing Blitz</t>
        </is>
      </c>
      <c r="E1257" t="inlineStr">
        <is>
          <t>Augment Titania</t>
        </is>
      </c>
      <c r="F1257" t="n">
        <v>3</v>
      </c>
      <c r="G1257" t="n">
        <v>1</v>
      </c>
      <c r="H1257" t="inlineStr">
        <is>
          <t>Player trade (max rank)</t>
        </is>
      </c>
      <c r="I1257" t="inlineStr">
        <is>
          <t>Yes</t>
        </is>
      </c>
      <c r="K1257" t="inlineStr">
        <is>
          <t>Collection</t>
        </is>
      </c>
      <c r="L1257" t="n">
        <v>11</v>
      </c>
      <c r="M1257" t="n">
        <v>15</v>
      </c>
      <c r="N1257" t="n">
        <v>17</v>
      </c>
      <c r="O1257" t="inlineStr">
        <is>
          <t>2026-10-05 UTC (WFM pull 02:52-04:00)</t>
        </is>
      </c>
      <c r="P1257" t="inlineStr">
        <is>
          <t>OK</t>
        </is>
      </c>
      <c r="R1257" t="inlineStr">
        <is>
          <t>Every current tradeable mod at MAX RANK (WFM catalogue, rivens/locators excluded)</t>
        </is>
      </c>
      <c r="S1257" t="inlineStr">
        <is>
          <t>razorwing_blitz</t>
        </is>
      </c>
      <c r="T1257" t="n">
        <v>12</v>
      </c>
      <c r="U1257" t="n">
        <v>12</v>
      </c>
      <c r="V1257" t="n">
        <v>10</v>
      </c>
      <c r="W1257" t="n">
        <v>10</v>
      </c>
      <c r="X1257" t="n">
        <v>10.8</v>
      </c>
      <c r="Y1257" t="n">
        <v>1407</v>
      </c>
      <c r="Z1257" t="n">
        <v>20</v>
      </c>
      <c r="AN1257" t="inlineStr">
        <is>
          <t>Augment Titania</t>
        </is>
      </c>
      <c r="AO1257" t="n">
        <v>210</v>
      </c>
      <c r="AP1257" t="n">
        <v>10143</v>
      </c>
      <c r="AQ1257" t="n">
        <v>9</v>
      </c>
      <c r="AS1257" t="inlineStr">
        <is>
          <t>Yes</t>
        </is>
      </c>
    </row>
    <row r="1258">
      <c r="A1258" t="inlineStr">
        <is>
          <t>Mod</t>
        </is>
      </c>
      <c r="B1258" t="inlineStr">
        <is>
          <t>Reach</t>
        </is>
      </c>
      <c r="E1258" t="inlineStr">
        <is>
          <t>Melee</t>
        </is>
      </c>
      <c r="F1258" t="n">
        <v>3</v>
      </c>
      <c r="G1258" t="n">
        <v>1</v>
      </c>
      <c r="H1258" t="inlineStr">
        <is>
          <t>Player trade (max rank)</t>
        </is>
      </c>
      <c r="I1258" t="inlineStr">
        <is>
          <t>Yes</t>
        </is>
      </c>
      <c r="K1258" t="inlineStr">
        <is>
          <t>Collection</t>
        </is>
      </c>
      <c r="L1258" t="n">
        <v>4</v>
      </c>
      <c r="M1258" t="n">
        <v>4</v>
      </c>
      <c r="N1258" t="n">
        <v>9</v>
      </c>
      <c r="O1258" t="inlineStr">
        <is>
          <t>2026-10-05 UTC (WFM pull 02:52-04:00)</t>
        </is>
      </c>
      <c r="P1258" t="inlineStr">
        <is>
          <t>OK</t>
        </is>
      </c>
      <c r="R1258" t="inlineStr">
        <is>
          <t>Every current tradeable mod at MAX RANK (WFM catalogue, rivens/locators excluded)</t>
        </is>
      </c>
      <c r="S1258" t="inlineStr">
        <is>
          <t>reach</t>
        </is>
      </c>
      <c r="T1258" t="n">
        <v>3</v>
      </c>
      <c r="U1258" t="n">
        <v>3</v>
      </c>
      <c r="V1258" t="n">
        <v>4</v>
      </c>
      <c r="W1258" t="n">
        <v>7</v>
      </c>
      <c r="X1258" t="n">
        <v>7.1</v>
      </c>
      <c r="Y1258" t="n">
        <v>11</v>
      </c>
      <c r="Z1258" t="n">
        <v>0</v>
      </c>
      <c r="AN1258" t="inlineStr">
        <is>
          <t>Melee</t>
        </is>
      </c>
      <c r="AO1258" t="n">
        <v>70</v>
      </c>
      <c r="AP1258" t="n">
        <v>3381</v>
      </c>
      <c r="AQ1258" t="n">
        <v>4.5</v>
      </c>
      <c r="AS1258" t="inlineStr">
        <is>
          <t>Yes</t>
        </is>
      </c>
    </row>
    <row r="1259">
      <c r="A1259" t="inlineStr">
        <is>
          <t>Mod</t>
        </is>
      </c>
      <c r="B1259" t="inlineStr">
        <is>
          <t>Reactive Storm</t>
        </is>
      </c>
      <c r="E1259" t="inlineStr">
        <is>
          <t>Augment Baruuk</t>
        </is>
      </c>
      <c r="F1259" t="n">
        <v>3</v>
      </c>
      <c r="G1259" t="n">
        <v>1</v>
      </c>
      <c r="H1259" t="inlineStr">
        <is>
          <t>Player trade (max rank)</t>
        </is>
      </c>
      <c r="I1259" t="inlineStr">
        <is>
          <t>Yes</t>
        </is>
      </c>
      <c r="K1259" t="inlineStr">
        <is>
          <t>Collection</t>
        </is>
      </c>
      <c r="L1259" t="n">
        <v>11</v>
      </c>
      <c r="M1259" t="n">
        <v>15</v>
      </c>
      <c r="N1259" t="n">
        <v>26</v>
      </c>
      <c r="O1259" t="inlineStr">
        <is>
          <t>2026-10-05 UTC (WFM pull 02:52-04:00)</t>
        </is>
      </c>
      <c r="P1259" t="inlineStr">
        <is>
          <t>OK</t>
        </is>
      </c>
      <c r="R1259" t="inlineStr">
        <is>
          <t>Every current tradeable mod at MAX RANK (WFM catalogue, rivens/locators excluded)</t>
        </is>
      </c>
      <c r="S1259" t="inlineStr">
        <is>
          <t>reactive_storm</t>
        </is>
      </c>
      <c r="T1259" t="n">
        <v>9</v>
      </c>
      <c r="U1259" t="n">
        <v>9</v>
      </c>
      <c r="V1259" t="n">
        <v>13</v>
      </c>
      <c r="W1259" t="n">
        <v>15</v>
      </c>
      <c r="X1259" t="n">
        <v>14.3</v>
      </c>
      <c r="Y1259" t="n">
        <v>419</v>
      </c>
      <c r="Z1259" t="n">
        <v>7</v>
      </c>
      <c r="AN1259" t="inlineStr">
        <is>
          <t>Augment Baruuk</t>
        </is>
      </c>
      <c r="AO1259" t="n">
        <v>210</v>
      </c>
      <c r="AP1259" t="n">
        <v>10143</v>
      </c>
      <c r="AQ1259" t="n">
        <v>9</v>
      </c>
      <c r="AS1259" t="inlineStr">
        <is>
          <t>Yes</t>
        </is>
      </c>
    </row>
    <row r="1260">
      <c r="A1260" t="inlineStr">
        <is>
          <t>Mod</t>
        </is>
      </c>
      <c r="B1260" t="inlineStr">
        <is>
          <t>Ready Steel</t>
        </is>
      </c>
      <c r="E1260" t="inlineStr">
        <is>
          <t>Aura</t>
        </is>
      </c>
      <c r="F1260" t="n">
        <v>5</v>
      </c>
      <c r="G1260" t="n">
        <v>1</v>
      </c>
      <c r="H1260" t="inlineStr">
        <is>
          <t>Player trade (max rank)</t>
        </is>
      </c>
      <c r="I1260" t="inlineStr">
        <is>
          <t>Yes</t>
        </is>
      </c>
      <c r="K1260" t="inlineStr">
        <is>
          <t>Collection</t>
        </is>
      </c>
      <c r="L1260" t="n">
        <v>10</v>
      </c>
      <c r="M1260" t="n">
        <v>20</v>
      </c>
      <c r="N1260" t="n">
        <v>33</v>
      </c>
      <c r="O1260" t="inlineStr">
        <is>
          <t>2026-10-05 UTC (WFM pull 02:52-04:00)</t>
        </is>
      </c>
      <c r="P1260" t="inlineStr">
        <is>
          <t>OK</t>
        </is>
      </c>
      <c r="R1260" t="inlineStr">
        <is>
          <t>Every current tradeable mod at MAX RANK (WFM catalogue, rivens/locators excluded)</t>
        </is>
      </c>
      <c r="S1260" t="inlineStr">
        <is>
          <t>ready_steel</t>
        </is>
      </c>
      <c r="T1260" t="n">
        <v>8</v>
      </c>
      <c r="U1260" t="n">
        <v>8</v>
      </c>
      <c r="V1260" t="n">
        <v>14</v>
      </c>
      <c r="W1260" t="n">
        <v>15</v>
      </c>
      <c r="X1260" t="n">
        <v>14.1</v>
      </c>
      <c r="Y1260" t="n">
        <v>324</v>
      </c>
      <c r="Z1260" t="n">
        <v>9</v>
      </c>
      <c r="AN1260" t="inlineStr">
        <is>
          <t>Aura</t>
        </is>
      </c>
      <c r="AO1260" t="n">
        <v>620</v>
      </c>
      <c r="AP1260" t="n">
        <v>29946</v>
      </c>
      <c r="AQ1260" t="n">
        <v>9</v>
      </c>
      <c r="AS1260" t="inlineStr">
        <is>
          <t>Yes</t>
        </is>
      </c>
    </row>
    <row r="1261">
      <c r="A1261" t="inlineStr">
        <is>
          <t>Mod</t>
        </is>
      </c>
      <c r="B1261" t="inlineStr">
        <is>
          <t>Reaping Chakram</t>
        </is>
      </c>
      <c r="E1261" t="inlineStr">
        <is>
          <t>Augment Nezha</t>
        </is>
      </c>
      <c r="F1261" t="n">
        <v>3</v>
      </c>
      <c r="G1261" t="n">
        <v>1</v>
      </c>
      <c r="H1261" t="inlineStr">
        <is>
          <t>Player trade (max rank)</t>
        </is>
      </c>
      <c r="I1261" t="inlineStr">
        <is>
          <t>Yes</t>
        </is>
      </c>
      <c r="K1261" t="inlineStr">
        <is>
          <t>Collection</t>
        </is>
      </c>
      <c r="L1261" t="n">
        <v>14</v>
      </c>
      <c r="M1261" t="n">
        <v>18</v>
      </c>
      <c r="N1261" t="n">
        <v>40</v>
      </c>
      <c r="O1261" t="inlineStr">
        <is>
          <t>2026-10-05 UTC (WFM pull 02:52-04:00)</t>
        </is>
      </c>
      <c r="P1261" t="inlineStr">
        <is>
          <t>OK</t>
        </is>
      </c>
      <c r="R1261" t="inlineStr">
        <is>
          <t>Every current tradeable mod at MAX RANK (WFM catalogue, rivens/locators excluded)</t>
        </is>
      </c>
      <c r="S1261" t="inlineStr">
        <is>
          <t>reaping_chakram</t>
        </is>
      </c>
      <c r="T1261" t="n">
        <v>6</v>
      </c>
      <c r="U1261" t="n">
        <v>6</v>
      </c>
      <c r="V1261" t="n">
        <v>12</v>
      </c>
      <c r="W1261" t="n">
        <v>14</v>
      </c>
      <c r="X1261" t="n">
        <v>13.9</v>
      </c>
      <c r="Y1261" t="n">
        <v>51</v>
      </c>
      <c r="Z1261" t="n">
        <v>2</v>
      </c>
      <c r="AN1261" t="inlineStr">
        <is>
          <t>Augment Nezha</t>
        </is>
      </c>
      <c r="AO1261" t="n">
        <v>210</v>
      </c>
      <c r="AP1261" t="n">
        <v>10143</v>
      </c>
      <c r="AQ1261" t="n">
        <v>18</v>
      </c>
      <c r="AS1261" t="inlineStr">
        <is>
          <t>Yes</t>
        </is>
      </c>
    </row>
    <row r="1262">
      <c r="A1262" t="inlineStr">
        <is>
          <t>Mod</t>
        </is>
      </c>
      <c r="B1262" t="inlineStr">
        <is>
          <t>Reaping Spiral</t>
        </is>
      </c>
      <c r="E1262" t="inlineStr">
        <is>
          <t>Stance</t>
        </is>
      </c>
      <c r="F1262" t="n">
        <v>3</v>
      </c>
      <c r="G1262" t="n">
        <v>1</v>
      </c>
      <c r="H1262" t="inlineStr">
        <is>
          <t>Player trade (max rank)</t>
        </is>
      </c>
      <c r="I1262" t="inlineStr">
        <is>
          <t>Yes</t>
        </is>
      </c>
      <c r="K1262" t="inlineStr">
        <is>
          <t>Collection</t>
        </is>
      </c>
      <c r="L1262" t="n">
        <v>8</v>
      </c>
      <c r="M1262" t="n">
        <v>9</v>
      </c>
      <c r="N1262" t="n">
        <v>14</v>
      </c>
      <c r="O1262" t="inlineStr">
        <is>
          <t>2026-10-05 UTC (WFM pull 02:52-04:00)</t>
        </is>
      </c>
      <c r="P1262" t="inlineStr">
        <is>
          <t>OK</t>
        </is>
      </c>
      <c r="R1262" t="inlineStr">
        <is>
          <t>Every current tradeable mod at MAX RANK (WFM catalogue, rivens/locators excluded)</t>
        </is>
      </c>
      <c r="S1262" t="inlineStr">
        <is>
          <t>reaping_spiral</t>
        </is>
      </c>
      <c r="T1262" t="n">
        <v>7</v>
      </c>
      <c r="U1262" t="n">
        <v>7</v>
      </c>
      <c r="V1262" t="n">
        <v>7</v>
      </c>
      <c r="W1262" t="n">
        <v>7</v>
      </c>
      <c r="X1262" t="n">
        <v>7.2</v>
      </c>
      <c r="Y1262" t="n">
        <v>110</v>
      </c>
      <c r="Z1262" t="n">
        <v>1</v>
      </c>
      <c r="AN1262" t="inlineStr">
        <is>
          <t>Stance</t>
        </is>
      </c>
      <c r="AO1262" t="n">
        <v>210</v>
      </c>
      <c r="AP1262" t="n">
        <v>10143</v>
      </c>
      <c r="AQ1262" t="n">
        <v>4</v>
      </c>
      <c r="AS1262" t="inlineStr">
        <is>
          <t>Yes</t>
        </is>
      </c>
    </row>
    <row r="1263">
      <c r="A1263" t="inlineStr">
        <is>
          <t>Mod</t>
        </is>
      </c>
      <c r="B1263" t="inlineStr">
        <is>
          <t>Reawaken</t>
        </is>
      </c>
      <c r="E1263" t="inlineStr">
        <is>
          <t>Djinn</t>
        </is>
      </c>
      <c r="F1263" t="n">
        <v>5</v>
      </c>
      <c r="G1263" t="n">
        <v>1</v>
      </c>
      <c r="H1263" t="inlineStr">
        <is>
          <t>Player trade (max rank)</t>
        </is>
      </c>
      <c r="I1263" t="inlineStr">
        <is>
          <t>Yes</t>
        </is>
      </c>
      <c r="K1263" t="inlineStr">
        <is>
          <t>Collection</t>
        </is>
      </c>
      <c r="L1263" t="n">
        <v>60</v>
      </c>
      <c r="M1263" t="n">
        <v>74.5</v>
      </c>
      <c r="N1263" t="n">
        <v>143</v>
      </c>
      <c r="O1263" t="inlineStr">
        <is>
          <t>2026-10-05 UTC (WFM pull 02:52-04:00)</t>
        </is>
      </c>
      <c r="P1263" t="inlineStr">
        <is>
          <t>OK</t>
        </is>
      </c>
      <c r="R1263" t="inlineStr">
        <is>
          <t>Every current tradeable mod at MAX RANK (WFM catalogue, rivens/locators excluded)</t>
        </is>
      </c>
      <c r="S1263" t="inlineStr">
        <is>
          <t>reawaken</t>
        </is>
      </c>
      <c r="T1263" t="n">
        <v>4</v>
      </c>
      <c r="U1263" t="n">
        <v>4</v>
      </c>
      <c r="V1263" t="n">
        <v>59</v>
      </c>
      <c r="W1263" t="n">
        <v>52.5</v>
      </c>
      <c r="X1263" t="n">
        <v>52.4</v>
      </c>
      <c r="Y1263" t="n">
        <v>25</v>
      </c>
      <c r="Z1263" t="n">
        <v>1</v>
      </c>
      <c r="AN1263" t="inlineStr">
        <is>
          <t>Djinn</t>
        </is>
      </c>
      <c r="AO1263" t="n">
        <v>930</v>
      </c>
      <c r="AP1263" t="n">
        <v>44919</v>
      </c>
      <c r="AQ1263" t="n">
        <v>45</v>
      </c>
      <c r="AS1263" t="inlineStr">
        <is>
          <t>Yes</t>
        </is>
      </c>
    </row>
    <row r="1264">
      <c r="A1264" t="inlineStr">
        <is>
          <t>Mod</t>
        </is>
      </c>
      <c r="B1264" t="inlineStr">
        <is>
          <t>Rebound</t>
        </is>
      </c>
      <c r="E1264" t="inlineStr">
        <is>
          <t>Thrown Melee</t>
        </is>
      </c>
      <c r="F1264" t="n">
        <v>3</v>
      </c>
      <c r="G1264" t="n">
        <v>1</v>
      </c>
      <c r="H1264" t="inlineStr">
        <is>
          <t>Player trade (max rank)</t>
        </is>
      </c>
      <c r="I1264" t="inlineStr">
        <is>
          <t>Yes</t>
        </is>
      </c>
      <c r="K1264" t="inlineStr">
        <is>
          <t>Collection</t>
        </is>
      </c>
      <c r="L1264" t="n">
        <v>15</v>
      </c>
      <c r="M1264" t="n">
        <v>22.5</v>
      </c>
      <c r="N1264" t="n">
        <v>50</v>
      </c>
      <c r="O1264" t="inlineStr">
        <is>
          <t>2026-10-05 UTC (WFM pull 02:52-04:00)</t>
        </is>
      </c>
      <c r="P1264" t="inlineStr">
        <is>
          <t>OK</t>
        </is>
      </c>
      <c r="R1264" t="inlineStr">
        <is>
          <t>Every current tradeable mod at MAX RANK (WFM catalogue, rivens/locators excluded)</t>
        </is>
      </c>
      <c r="S1264" t="inlineStr">
        <is>
          <t>rebound</t>
        </is>
      </c>
      <c r="T1264" t="n">
        <v>4</v>
      </c>
      <c r="U1264" t="n">
        <v>4</v>
      </c>
      <c r="W1264" t="n">
        <v>15</v>
      </c>
      <c r="X1264" t="n">
        <v>15</v>
      </c>
      <c r="Y1264" t="n">
        <v>1</v>
      </c>
      <c r="Z1264" t="n">
        <v>0</v>
      </c>
      <c r="AN1264" t="inlineStr">
        <is>
          <t>Thrown Melee</t>
        </is>
      </c>
      <c r="AO1264" t="n">
        <v>70</v>
      </c>
      <c r="AP1264" t="n">
        <v>3381</v>
      </c>
      <c r="AQ1264" t="n">
        <v>3</v>
      </c>
      <c r="AS1264" t="inlineStr">
        <is>
          <t>Yes</t>
        </is>
      </c>
    </row>
    <row r="1265">
      <c r="A1265" t="inlineStr">
        <is>
          <t>Mod</t>
        </is>
      </c>
      <c r="B1265" t="inlineStr">
        <is>
          <t>Recharge Barrier</t>
        </is>
      </c>
      <c r="E1265" t="inlineStr">
        <is>
          <t>Augment Volt</t>
        </is>
      </c>
      <c r="F1265" t="n">
        <v>3</v>
      </c>
      <c r="G1265" t="n">
        <v>1</v>
      </c>
      <c r="H1265" t="inlineStr">
        <is>
          <t>Player trade (max rank)</t>
        </is>
      </c>
      <c r="I1265" t="inlineStr">
        <is>
          <t>Yes</t>
        </is>
      </c>
      <c r="K1265" t="inlineStr">
        <is>
          <t>Collection</t>
        </is>
      </c>
      <c r="L1265" t="n">
        <v>15</v>
      </c>
      <c r="M1265" t="n">
        <v>27</v>
      </c>
      <c r="N1265" t="n">
        <v>60</v>
      </c>
      <c r="O1265" t="inlineStr">
        <is>
          <t>2026-10-05 UTC (WFM pull 02:52-04:00)</t>
        </is>
      </c>
      <c r="P1265" t="inlineStr">
        <is>
          <t>OK</t>
        </is>
      </c>
      <c r="R1265" t="inlineStr">
        <is>
          <t>Every current tradeable mod at MAX RANK (WFM catalogue, rivens/locators excluded)</t>
        </is>
      </c>
      <c r="S1265" t="inlineStr">
        <is>
          <t>recharge_barrier</t>
        </is>
      </c>
      <c r="T1265" t="n">
        <v>3</v>
      </c>
      <c r="U1265" t="n">
        <v>3</v>
      </c>
      <c r="V1265" t="n">
        <v>18</v>
      </c>
      <c r="W1265" t="n">
        <v>17.5</v>
      </c>
      <c r="X1265" t="n">
        <v>16.7</v>
      </c>
      <c r="Y1265" t="n">
        <v>163</v>
      </c>
      <c r="Z1265" t="n">
        <v>5</v>
      </c>
      <c r="AN1265" t="inlineStr">
        <is>
          <t>Augment Volt</t>
        </is>
      </c>
      <c r="AO1265" t="n">
        <v>210</v>
      </c>
      <c r="AP1265" t="n">
        <v>10143</v>
      </c>
      <c r="AQ1265" t="n">
        <v>25</v>
      </c>
      <c r="AS1265" t="inlineStr">
        <is>
          <t>Yes</t>
        </is>
      </c>
    </row>
    <row r="1266">
      <c r="A1266" t="inlineStr">
        <is>
          <t>Mod</t>
        </is>
      </c>
      <c r="B1266" t="inlineStr">
        <is>
          <t>Recover</t>
        </is>
      </c>
      <c r="E1266" t="inlineStr">
        <is>
          <t>Conclave (PvP)</t>
        </is>
      </c>
      <c r="F1266" t="n">
        <v>3</v>
      </c>
      <c r="G1266" t="n">
        <v>1</v>
      </c>
      <c r="H1266" t="inlineStr">
        <is>
          <t>Player trade (max rank)</t>
        </is>
      </c>
      <c r="I1266" t="inlineStr">
        <is>
          <t>Yes</t>
        </is>
      </c>
      <c r="K1266" t="inlineStr">
        <is>
          <t>Collection (PvP)</t>
        </is>
      </c>
      <c r="L1266" t="n">
        <v>350</v>
      </c>
      <c r="M1266" t="n">
        <v>350</v>
      </c>
      <c r="N1266" t="n">
        <v>386</v>
      </c>
      <c r="O1266" t="inlineStr">
        <is>
          <t>2026-10-05 UTC (WFM pull 02:52-04:00)</t>
        </is>
      </c>
      <c r="P1266" t="inlineStr">
        <is>
          <t>THIN</t>
        </is>
      </c>
      <c r="R1266" t="inlineStr">
        <is>
          <t>Every current tradeable mod at MAX RANK (WFM catalogue, rivens/locators excluded)</t>
        </is>
      </c>
      <c r="S1266" t="inlineStr">
        <is>
          <t>recover</t>
        </is>
      </c>
      <c r="T1266" t="n">
        <v>1</v>
      </c>
      <c r="U1266" t="n">
        <v>0</v>
      </c>
      <c r="V1266" t="n">
        <v>50</v>
      </c>
      <c r="W1266" t="n">
        <v>50</v>
      </c>
      <c r="X1266" t="n">
        <v>50</v>
      </c>
      <c r="Y1266" t="n">
        <v>1</v>
      </c>
      <c r="Z1266" t="n">
        <v>0</v>
      </c>
      <c r="AN1266" t="inlineStr">
        <is>
          <t>Conclave (PvP)</t>
        </is>
      </c>
      <c r="AO1266" t="n">
        <v>210</v>
      </c>
      <c r="AP1266" t="n">
        <v>10143</v>
      </c>
      <c r="AQ1266" t="n">
        <v>90</v>
      </c>
      <c r="AS1266" t="inlineStr">
        <is>
          <t>PvP subtotal</t>
        </is>
      </c>
    </row>
    <row r="1267">
      <c r="A1267" t="inlineStr">
        <is>
          <t>Mod</t>
        </is>
      </c>
      <c r="B1267" t="inlineStr">
        <is>
          <t>Recrystalize</t>
        </is>
      </c>
      <c r="E1267" t="inlineStr">
        <is>
          <t>Augment Citrine</t>
        </is>
      </c>
      <c r="F1267" t="n">
        <v>3</v>
      </c>
      <c r="G1267" t="n">
        <v>1</v>
      </c>
      <c r="H1267" t="inlineStr">
        <is>
          <t>Player trade (max rank)</t>
        </is>
      </c>
      <c r="I1267" t="inlineStr">
        <is>
          <t>Yes</t>
        </is>
      </c>
      <c r="K1267" t="inlineStr">
        <is>
          <t>Collection</t>
        </is>
      </c>
      <c r="L1267" t="n">
        <v>13</v>
      </c>
      <c r="M1267" t="n">
        <v>18</v>
      </c>
      <c r="N1267" t="n">
        <v>22</v>
      </c>
      <c r="O1267" t="inlineStr">
        <is>
          <t>2026-10-05 UTC (WFM pull 02:52-04:00)</t>
        </is>
      </c>
      <c r="P1267" t="inlineStr">
        <is>
          <t>OK</t>
        </is>
      </c>
      <c r="R1267" t="inlineStr">
        <is>
          <t>Every current tradeable mod at MAX RANK (WFM catalogue, rivens/locators excluded)</t>
        </is>
      </c>
      <c r="S1267" t="inlineStr">
        <is>
          <t>recrystalize</t>
        </is>
      </c>
      <c r="T1267" t="n">
        <v>7</v>
      </c>
      <c r="U1267" t="n">
        <v>7</v>
      </c>
      <c r="V1267" t="n">
        <v>15</v>
      </c>
      <c r="W1267" t="n">
        <v>15</v>
      </c>
      <c r="X1267" t="n">
        <v>14.6</v>
      </c>
      <c r="Y1267" t="n">
        <v>293</v>
      </c>
      <c r="Z1267" t="n">
        <v>27</v>
      </c>
      <c r="AN1267" t="inlineStr">
        <is>
          <t>Augment Citrine</t>
        </is>
      </c>
      <c r="AO1267" t="n">
        <v>210</v>
      </c>
      <c r="AP1267" t="n">
        <v>10143</v>
      </c>
      <c r="AQ1267" t="n">
        <v>12</v>
      </c>
      <c r="AS1267" t="inlineStr">
        <is>
          <t>Yes</t>
        </is>
      </c>
    </row>
    <row r="1268">
      <c r="A1268" t="inlineStr">
        <is>
          <t>Mod</t>
        </is>
      </c>
      <c r="B1268" t="inlineStr">
        <is>
          <t>Recuperate</t>
        </is>
      </c>
      <c r="E1268" t="inlineStr">
        <is>
          <t>Conclave (PvP)</t>
        </is>
      </c>
      <c r="F1268" t="n">
        <v>3</v>
      </c>
      <c r="G1268" t="n">
        <v>1</v>
      </c>
      <c r="H1268" t="inlineStr">
        <is>
          <t>Player trade (max rank)</t>
        </is>
      </c>
      <c r="I1268" t="inlineStr">
        <is>
          <t>Yes</t>
        </is>
      </c>
      <c r="K1268" t="inlineStr">
        <is>
          <t>Collection (PvP)</t>
        </is>
      </c>
      <c r="L1268" t="n">
        <v>350</v>
      </c>
      <c r="M1268" t="n">
        <v>350</v>
      </c>
      <c r="N1268" t="n">
        <v>386</v>
      </c>
      <c r="O1268" t="inlineStr">
        <is>
          <t>2026-10-05 UTC (WFM pull 02:52-04:00)</t>
        </is>
      </c>
      <c r="P1268" t="inlineStr">
        <is>
          <t>THIN</t>
        </is>
      </c>
      <c r="R1268" t="inlineStr">
        <is>
          <t>Every current tradeable mod at MAX RANK (WFM catalogue, rivens/locators excluded)</t>
        </is>
      </c>
      <c r="S1268" t="inlineStr">
        <is>
          <t>recuperate</t>
        </is>
      </c>
      <c r="T1268" t="n">
        <v>1</v>
      </c>
      <c r="U1268" t="n">
        <v>0</v>
      </c>
      <c r="V1268" t="n">
        <v>50</v>
      </c>
      <c r="W1268" t="n">
        <v>50</v>
      </c>
      <c r="X1268" t="n">
        <v>50</v>
      </c>
      <c r="Y1268" t="n">
        <v>1</v>
      </c>
      <c r="Z1268" t="n">
        <v>0</v>
      </c>
      <c r="AN1268" t="inlineStr">
        <is>
          <t>Conclave (PvP)</t>
        </is>
      </c>
      <c r="AO1268" t="n">
        <v>210</v>
      </c>
      <c r="AP1268" t="n">
        <v>10143</v>
      </c>
      <c r="AQ1268" t="n">
        <v>90</v>
      </c>
      <c r="AS1268" t="inlineStr">
        <is>
          <t>PvP subtotal</t>
        </is>
      </c>
    </row>
    <row r="1269">
      <c r="A1269" t="inlineStr">
        <is>
          <t>Mod</t>
        </is>
      </c>
      <c r="B1269" t="inlineStr">
        <is>
          <t>Redirection</t>
        </is>
      </c>
      <c r="E1269" t="inlineStr">
        <is>
          <t>Warframe</t>
        </is>
      </c>
      <c r="F1269" t="n">
        <v>10</v>
      </c>
      <c r="G1269" t="n">
        <v>1</v>
      </c>
      <c r="H1269" t="inlineStr">
        <is>
          <t>Player trade (max rank)</t>
        </is>
      </c>
      <c r="I1269" t="inlineStr">
        <is>
          <t>Yes</t>
        </is>
      </c>
      <c r="K1269" t="inlineStr">
        <is>
          <t>Collection</t>
        </is>
      </c>
      <c r="L1269" t="n">
        <v>10</v>
      </c>
      <c r="M1269" t="n">
        <v>20</v>
      </c>
      <c r="N1269" t="n">
        <v>31</v>
      </c>
      <c r="O1269" t="inlineStr">
        <is>
          <t>2026-10-05 UTC (WFM pull 02:52-04:00)</t>
        </is>
      </c>
      <c r="P1269" t="inlineStr">
        <is>
          <t>OK</t>
        </is>
      </c>
      <c r="R1269" t="inlineStr">
        <is>
          <t>Every current tradeable mod at MAX RANK (WFM catalogue, rivens/locators excluded)</t>
        </is>
      </c>
      <c r="S1269" t="inlineStr">
        <is>
          <t>redirection</t>
        </is>
      </c>
      <c r="T1269" t="n">
        <v>9</v>
      </c>
      <c r="U1269" t="n">
        <v>9</v>
      </c>
      <c r="V1269" t="n">
        <v>20</v>
      </c>
      <c r="W1269" t="n">
        <v>25</v>
      </c>
      <c r="X1269" t="n">
        <v>24</v>
      </c>
      <c r="Y1269" t="n">
        <v>125</v>
      </c>
      <c r="Z1269" t="n">
        <v>0</v>
      </c>
      <c r="AN1269" t="inlineStr">
        <is>
          <t>Warframe</t>
        </is>
      </c>
      <c r="AO1269" t="n">
        <v>10230</v>
      </c>
      <c r="AP1269" t="n">
        <v>494109</v>
      </c>
      <c r="AQ1269" t="n">
        <v>3</v>
      </c>
      <c r="AS1269" t="inlineStr">
        <is>
          <t>Yes</t>
        </is>
      </c>
    </row>
    <row r="1270">
      <c r="A1270" t="inlineStr">
        <is>
          <t>Mod</t>
        </is>
      </c>
      <c r="B1270" t="inlineStr">
        <is>
          <t>Reflect</t>
        </is>
      </c>
      <c r="E1270" t="inlineStr">
        <is>
          <t>Adarza Kavat</t>
        </is>
      </c>
      <c r="F1270" t="n">
        <v>3</v>
      </c>
      <c r="G1270" t="n">
        <v>1</v>
      </c>
      <c r="H1270" t="inlineStr">
        <is>
          <t>Player trade (max rank)</t>
        </is>
      </c>
      <c r="I1270" t="inlineStr">
        <is>
          <t>Yes</t>
        </is>
      </c>
      <c r="K1270" t="inlineStr">
        <is>
          <t>Collection</t>
        </is>
      </c>
      <c r="L1270" t="n">
        <v>10</v>
      </c>
      <c r="M1270" t="n">
        <v>10</v>
      </c>
      <c r="N1270" t="n">
        <v>22</v>
      </c>
      <c r="O1270" t="inlineStr">
        <is>
          <t>2026-10-05 UTC (WFM pull 02:52-04:00)</t>
        </is>
      </c>
      <c r="P1270" t="inlineStr">
        <is>
          <t>OK</t>
        </is>
      </c>
      <c r="R1270" t="inlineStr">
        <is>
          <t>Every current tradeable mod at MAX RANK (WFM catalogue, rivens/locators excluded)</t>
        </is>
      </c>
      <c r="S1270" t="inlineStr">
        <is>
          <t>reflect</t>
        </is>
      </c>
      <c r="T1270" t="n">
        <v>6</v>
      </c>
      <c r="U1270" t="n">
        <v>6</v>
      </c>
      <c r="V1270" t="n">
        <v>10</v>
      </c>
      <c r="W1270" t="n">
        <v>9.5</v>
      </c>
      <c r="X1270" t="n">
        <v>10.3</v>
      </c>
      <c r="Y1270" t="n">
        <v>9</v>
      </c>
      <c r="Z1270" t="n">
        <v>0</v>
      </c>
      <c r="AN1270" t="inlineStr">
        <is>
          <t>Adarza Kavat</t>
        </is>
      </c>
      <c r="AO1270" t="n">
        <v>210</v>
      </c>
      <c r="AP1270" t="n">
        <v>10143</v>
      </c>
      <c r="AQ1270" t="n">
        <v>6.8</v>
      </c>
      <c r="AS1270" t="inlineStr">
        <is>
          <t>Yes</t>
        </is>
      </c>
    </row>
    <row r="1271">
      <c r="A1271" t="inlineStr">
        <is>
          <t>Mod</t>
        </is>
      </c>
      <c r="B1271" t="inlineStr">
        <is>
          <t>Reflection</t>
        </is>
      </c>
      <c r="E1271" t="inlineStr">
        <is>
          <t>Warframe</t>
        </is>
      </c>
      <c r="F1271" t="n">
        <v>5</v>
      </c>
      <c r="G1271" t="n">
        <v>1</v>
      </c>
      <c r="H1271" t="inlineStr">
        <is>
          <t>Player trade (max rank)</t>
        </is>
      </c>
      <c r="I1271" t="inlineStr">
        <is>
          <t>Yes</t>
        </is>
      </c>
      <c r="K1271" t="inlineStr">
        <is>
          <t>Collection</t>
        </is>
      </c>
      <c r="L1271" t="n">
        <v>8</v>
      </c>
      <c r="M1271" t="n">
        <v>10</v>
      </c>
      <c r="N1271" t="n">
        <v>22</v>
      </c>
      <c r="O1271" t="inlineStr">
        <is>
          <t>2026-10-05 UTC (WFM pull 02:52-04:00)</t>
        </is>
      </c>
      <c r="P1271" t="inlineStr">
        <is>
          <t>OK</t>
        </is>
      </c>
      <c r="R1271" t="inlineStr">
        <is>
          <t>Every current tradeable mod at MAX RANK (WFM catalogue, rivens/locators excluded)</t>
        </is>
      </c>
      <c r="S1271" t="inlineStr">
        <is>
          <t>reflection</t>
        </is>
      </c>
      <c r="T1271" t="n">
        <v>5</v>
      </c>
      <c r="U1271" t="n">
        <v>5</v>
      </c>
      <c r="V1271" t="n">
        <v>12</v>
      </c>
      <c r="W1271" t="n">
        <v>12</v>
      </c>
      <c r="X1271" t="n">
        <v>12.5</v>
      </c>
      <c r="Y1271" t="n">
        <v>4</v>
      </c>
      <c r="Z1271" t="n">
        <v>0</v>
      </c>
      <c r="AN1271" t="inlineStr">
        <is>
          <t>Warframe</t>
        </is>
      </c>
      <c r="AO1271" t="n">
        <v>620</v>
      </c>
      <c r="AP1271" t="n">
        <v>29946</v>
      </c>
      <c r="AQ1271" t="n">
        <v>4.5</v>
      </c>
      <c r="AS1271" t="inlineStr">
        <is>
          <t>Yes</t>
        </is>
      </c>
    </row>
    <row r="1272">
      <c r="A1272" t="inlineStr">
        <is>
          <t>Mod</t>
        </is>
      </c>
      <c r="B1272" t="inlineStr">
        <is>
          <t>Reflex Coil</t>
        </is>
      </c>
      <c r="E1272" t="inlineStr">
        <is>
          <t>Melee</t>
        </is>
      </c>
      <c r="F1272" t="n">
        <v>5</v>
      </c>
      <c r="G1272" t="n">
        <v>1</v>
      </c>
      <c r="H1272" t="inlineStr">
        <is>
          <t>Player trade (max rank)</t>
        </is>
      </c>
      <c r="I1272" t="inlineStr">
        <is>
          <t>Yes</t>
        </is>
      </c>
      <c r="K1272" t="inlineStr">
        <is>
          <t>Collection</t>
        </is>
      </c>
      <c r="L1272" t="n">
        <v>5</v>
      </c>
      <c r="M1272" t="n">
        <v>10</v>
      </c>
      <c r="N1272" t="n">
        <v>15</v>
      </c>
      <c r="O1272" t="inlineStr">
        <is>
          <t>2026-10-05 UTC (WFM pull 02:52-04:00)</t>
        </is>
      </c>
      <c r="P1272" t="inlineStr">
        <is>
          <t>OK</t>
        </is>
      </c>
      <c r="R1272" t="inlineStr">
        <is>
          <t>Every current tradeable mod at MAX RANK (WFM catalogue, rivens/locators excluded)</t>
        </is>
      </c>
      <c r="S1272" t="inlineStr">
        <is>
          <t>reflex_coil</t>
        </is>
      </c>
      <c r="T1272" t="n">
        <v>7</v>
      </c>
      <c r="U1272" t="n">
        <v>7</v>
      </c>
      <c r="V1272" t="n">
        <v>9.5</v>
      </c>
      <c r="W1272" t="n">
        <v>10</v>
      </c>
      <c r="X1272" t="n">
        <v>13.2</v>
      </c>
      <c r="Y1272" t="n">
        <v>16</v>
      </c>
      <c r="Z1272" t="n">
        <v>2</v>
      </c>
      <c r="AN1272" t="inlineStr">
        <is>
          <t>Melee</t>
        </is>
      </c>
      <c r="AO1272" t="n">
        <v>620</v>
      </c>
      <c r="AP1272" t="n">
        <v>29946</v>
      </c>
      <c r="AQ1272" t="n">
        <v>3</v>
      </c>
      <c r="AS1272" t="inlineStr">
        <is>
          <t>Yes</t>
        </is>
      </c>
    </row>
    <row r="1273">
      <c r="A1273" t="inlineStr">
        <is>
          <t>Mod</t>
        </is>
      </c>
      <c r="B1273" t="inlineStr">
        <is>
          <t>Reflex Denial</t>
        </is>
      </c>
      <c r="E1273" t="inlineStr">
        <is>
          <t>Hound</t>
        </is>
      </c>
      <c r="F1273" t="n">
        <v>5</v>
      </c>
      <c r="G1273" t="n">
        <v>1</v>
      </c>
      <c r="H1273" t="inlineStr">
        <is>
          <t>Player trade (max rank)</t>
        </is>
      </c>
      <c r="I1273" t="inlineStr">
        <is>
          <t>Yes</t>
        </is>
      </c>
      <c r="K1273" t="inlineStr">
        <is>
          <t>Collection</t>
        </is>
      </c>
      <c r="L1273" t="n">
        <v>8</v>
      </c>
      <c r="M1273" t="n">
        <v>12</v>
      </c>
      <c r="N1273" t="n">
        <v>15</v>
      </c>
      <c r="O1273" t="inlineStr">
        <is>
          <t>2026-10-05 UTC (WFM pull 02:52-04:00)</t>
        </is>
      </c>
      <c r="P1273" t="inlineStr">
        <is>
          <t>OK</t>
        </is>
      </c>
      <c r="R1273" t="inlineStr">
        <is>
          <t>Every current tradeable mod at MAX RANK (WFM catalogue, rivens/locators excluded)</t>
        </is>
      </c>
      <c r="S1273" t="inlineStr">
        <is>
          <t>reflex_denial</t>
        </is>
      </c>
      <c r="T1273" t="n">
        <v>60</v>
      </c>
      <c r="U1273" t="n">
        <v>2</v>
      </c>
      <c r="V1273" t="n">
        <v>13</v>
      </c>
      <c r="W1273" t="n">
        <v>14</v>
      </c>
      <c r="X1273" t="n">
        <v>15.2</v>
      </c>
      <c r="Y1273" t="n">
        <v>40</v>
      </c>
      <c r="Z1273" t="n">
        <v>2</v>
      </c>
      <c r="AN1273" t="inlineStr">
        <is>
          <t>Hound</t>
        </is>
      </c>
      <c r="AO1273" t="n">
        <v>930</v>
      </c>
      <c r="AP1273" t="n">
        <v>44919</v>
      </c>
      <c r="AQ1273" t="n">
        <v>10</v>
      </c>
      <c r="AS1273" t="inlineStr">
        <is>
          <t>Yes</t>
        </is>
      </c>
    </row>
    <row r="1274">
      <c r="A1274" t="inlineStr">
        <is>
          <t>Mod</t>
        </is>
      </c>
      <c r="B1274" t="inlineStr">
        <is>
          <t>Reflex Draw</t>
        </is>
      </c>
      <c r="E1274" t="inlineStr">
        <is>
          <t>Conclave (PvP)</t>
        </is>
      </c>
      <c r="F1274" t="n">
        <v>3</v>
      </c>
      <c r="G1274" t="n">
        <v>1</v>
      </c>
      <c r="H1274" t="inlineStr">
        <is>
          <t>Player trade (max rank)</t>
        </is>
      </c>
      <c r="I1274" t="inlineStr">
        <is>
          <t>Yes</t>
        </is>
      </c>
      <c r="K1274" t="inlineStr">
        <is>
          <t>Collection (PvP)</t>
        </is>
      </c>
      <c r="L1274" t="n">
        <v>3</v>
      </c>
      <c r="M1274" t="n">
        <v>9</v>
      </c>
      <c r="N1274" t="n">
        <v>10</v>
      </c>
      <c r="O1274" t="inlineStr">
        <is>
          <t>2026-10-05 UTC (WFM pull 02:52-04:00)</t>
        </is>
      </c>
      <c r="P1274" t="inlineStr">
        <is>
          <t>OK</t>
        </is>
      </c>
      <c r="R1274" t="inlineStr">
        <is>
          <t>Every current tradeable mod at MAX RANK (WFM catalogue, rivens/locators excluded)</t>
        </is>
      </c>
      <c r="S1274" t="inlineStr">
        <is>
          <t>reflex_draw</t>
        </is>
      </c>
      <c r="T1274" t="n">
        <v>67</v>
      </c>
      <c r="U1274" t="n">
        <v>2</v>
      </c>
      <c r="V1274" t="n">
        <v>9</v>
      </c>
      <c r="W1274" t="n">
        <v>9</v>
      </c>
      <c r="X1274" t="n">
        <v>12.3</v>
      </c>
      <c r="Y1274" t="n">
        <v>10</v>
      </c>
      <c r="Z1274" t="n">
        <v>0</v>
      </c>
      <c r="AN1274" t="inlineStr">
        <is>
          <t>Conclave (PvP)</t>
        </is>
      </c>
      <c r="AO1274" t="n">
        <v>140</v>
      </c>
      <c r="AP1274" t="n">
        <v>6762</v>
      </c>
      <c r="AQ1274" t="n">
        <v>4</v>
      </c>
      <c r="AS1274" t="inlineStr">
        <is>
          <t>PvP subtotal</t>
        </is>
      </c>
    </row>
    <row r="1275">
      <c r="A1275" t="inlineStr">
        <is>
          <t>Mod</t>
        </is>
      </c>
      <c r="B1275" t="inlineStr">
        <is>
          <t>Reflex Guard</t>
        </is>
      </c>
      <c r="E1275" t="inlineStr">
        <is>
          <t>Warframe</t>
        </is>
      </c>
      <c r="F1275" t="n">
        <v>10</v>
      </c>
      <c r="G1275" t="n">
        <v>1</v>
      </c>
      <c r="H1275" t="inlineStr">
        <is>
          <t>Player trade (max rank)</t>
        </is>
      </c>
      <c r="I1275" t="inlineStr">
        <is>
          <t>Yes</t>
        </is>
      </c>
      <c r="K1275" t="inlineStr">
        <is>
          <t>Collection</t>
        </is>
      </c>
      <c r="L1275" t="n">
        <v>45</v>
      </c>
      <c r="M1275" t="n">
        <v>45</v>
      </c>
      <c r="N1275" t="n">
        <v>50</v>
      </c>
      <c r="O1275" t="inlineStr">
        <is>
          <t>2026-10-05 UTC (WFM pull 02:52-04:00)</t>
        </is>
      </c>
      <c r="P1275" t="inlineStr">
        <is>
          <t>OK</t>
        </is>
      </c>
      <c r="R1275" t="inlineStr">
        <is>
          <t>Every current tradeable mod at MAX RANK (WFM catalogue, rivens/locators excluded)</t>
        </is>
      </c>
      <c r="S1275" t="inlineStr">
        <is>
          <t>reflex_guard</t>
        </is>
      </c>
      <c r="T1275" t="n">
        <v>24</v>
      </c>
      <c r="U1275" t="n">
        <v>24</v>
      </c>
      <c r="V1275" t="n">
        <v>43</v>
      </c>
      <c r="W1275" t="n">
        <v>43</v>
      </c>
      <c r="X1275" t="n">
        <v>43</v>
      </c>
      <c r="Y1275" t="n">
        <v>9664</v>
      </c>
      <c r="Z1275" t="n">
        <v>317</v>
      </c>
      <c r="AA1275" t="n">
        <v>36</v>
      </c>
      <c r="AB1275" t="n">
        <v>9</v>
      </c>
      <c r="AN1275" t="inlineStr">
        <is>
          <t>Warframe</t>
        </is>
      </c>
      <c r="AO1275" t="n">
        <v>30690</v>
      </c>
      <c r="AP1275" t="n">
        <v>1482327</v>
      </c>
      <c r="AQ1275" t="n">
        <v>4.5</v>
      </c>
      <c r="AS1275" t="inlineStr">
        <is>
          <t>Yes</t>
        </is>
      </c>
    </row>
    <row r="1276">
      <c r="A1276" t="inlineStr">
        <is>
          <t>Mod</t>
        </is>
      </c>
      <c r="B1276" t="inlineStr">
        <is>
          <t>Regen</t>
        </is>
      </c>
      <c r="E1276" t="inlineStr">
        <is>
          <t>Sentinel</t>
        </is>
      </c>
      <c r="F1276" t="n">
        <v>5</v>
      </c>
      <c r="G1276" t="n">
        <v>1</v>
      </c>
      <c r="H1276" t="inlineStr">
        <is>
          <t>Player trade (max rank)</t>
        </is>
      </c>
      <c r="I1276" t="inlineStr">
        <is>
          <t>Yes</t>
        </is>
      </c>
      <c r="K1276" t="inlineStr">
        <is>
          <t>Collection</t>
        </is>
      </c>
      <c r="L1276" t="n">
        <v>9</v>
      </c>
      <c r="M1276" t="n">
        <v>15</v>
      </c>
      <c r="N1276" t="n">
        <v>33</v>
      </c>
      <c r="O1276" t="inlineStr">
        <is>
          <t>2026-10-05 UTC (WFM pull 02:52-04:00)</t>
        </is>
      </c>
      <c r="P1276" t="inlineStr">
        <is>
          <t>OK</t>
        </is>
      </c>
      <c r="R1276" t="inlineStr">
        <is>
          <t>Every current tradeable mod at MAX RANK (WFM catalogue, rivens/locators excluded)</t>
        </is>
      </c>
      <c r="S1276" t="inlineStr">
        <is>
          <t>regen</t>
        </is>
      </c>
      <c r="T1276" t="n">
        <v>3</v>
      </c>
      <c r="U1276" t="n">
        <v>3</v>
      </c>
      <c r="W1276" t="n">
        <v>10</v>
      </c>
      <c r="X1276" t="n">
        <v>15</v>
      </c>
      <c r="Y1276" t="n">
        <v>4</v>
      </c>
      <c r="Z1276" t="n">
        <v>0</v>
      </c>
      <c r="AN1276" t="inlineStr">
        <is>
          <t>Sentinel</t>
        </is>
      </c>
      <c r="AO1276" t="n">
        <v>310</v>
      </c>
      <c r="AP1276" t="n">
        <v>14973</v>
      </c>
      <c r="AQ1276" t="n">
        <v>2</v>
      </c>
      <c r="AS1276" t="inlineStr">
        <is>
          <t>Yes</t>
        </is>
      </c>
    </row>
    <row r="1277">
      <c r="A1277" t="inlineStr">
        <is>
          <t>Mod</t>
        </is>
      </c>
      <c r="B1277" t="inlineStr">
        <is>
          <t>Regenerative Molt</t>
        </is>
      </c>
      <c r="E1277" t="inlineStr">
        <is>
          <t>Augment Saryn</t>
        </is>
      </c>
      <c r="F1277" t="n">
        <v>3</v>
      </c>
      <c r="G1277" t="n">
        <v>1</v>
      </c>
      <c r="H1277" t="inlineStr">
        <is>
          <t>Player trade (max rank)</t>
        </is>
      </c>
      <c r="I1277" t="inlineStr">
        <is>
          <t>Yes</t>
        </is>
      </c>
      <c r="K1277" t="inlineStr">
        <is>
          <t>Collection</t>
        </is>
      </c>
      <c r="L1277" t="n">
        <v>20</v>
      </c>
      <c r="M1277" t="n">
        <v>20</v>
      </c>
      <c r="N1277" t="n">
        <v>44</v>
      </c>
      <c r="O1277" t="inlineStr">
        <is>
          <t>2026-10-05 UTC (WFM pull 02:52-04:00)</t>
        </is>
      </c>
      <c r="P1277" t="inlineStr">
        <is>
          <t>OK</t>
        </is>
      </c>
      <c r="R1277" t="inlineStr">
        <is>
          <t>Every current tradeable mod at MAX RANK (WFM catalogue, rivens/locators excluded)</t>
        </is>
      </c>
      <c r="S1277" t="inlineStr">
        <is>
          <t>regenerative_molt</t>
        </is>
      </c>
      <c r="T1277" t="n">
        <v>3</v>
      </c>
      <c r="U1277" t="n">
        <v>3</v>
      </c>
      <c r="V1277" t="n">
        <v>13</v>
      </c>
      <c r="W1277" t="n">
        <v>12</v>
      </c>
      <c r="X1277" t="n">
        <v>12.7</v>
      </c>
      <c r="Y1277" t="n">
        <v>108</v>
      </c>
      <c r="Z1277" t="n">
        <v>4</v>
      </c>
      <c r="AN1277" t="inlineStr">
        <is>
          <t>Augment Saryn</t>
        </is>
      </c>
      <c r="AO1277" t="n">
        <v>210</v>
      </c>
      <c r="AP1277" t="n">
        <v>10143</v>
      </c>
      <c r="AQ1277" t="n">
        <v>15</v>
      </c>
      <c r="AS1277" t="inlineStr">
        <is>
          <t>Yes</t>
        </is>
      </c>
    </row>
    <row r="1278">
      <c r="A1278" t="inlineStr">
        <is>
          <t>Mod</t>
        </is>
      </c>
      <c r="B1278" t="inlineStr">
        <is>
          <t>Reinforced Bond</t>
        </is>
      </c>
      <c r="E1278" t="inlineStr">
        <is>
          <t>Companion</t>
        </is>
      </c>
      <c r="F1278" t="n">
        <v>5</v>
      </c>
      <c r="G1278" t="n">
        <v>1</v>
      </c>
      <c r="H1278" t="inlineStr">
        <is>
          <t>Player trade (max rank)</t>
        </is>
      </c>
      <c r="I1278" t="inlineStr">
        <is>
          <t>Yes</t>
        </is>
      </c>
      <c r="K1278" t="inlineStr">
        <is>
          <t>Collection</t>
        </is>
      </c>
      <c r="L1278" t="n">
        <v>22</v>
      </c>
      <c r="M1278" t="n">
        <v>24</v>
      </c>
      <c r="N1278" t="n">
        <v>28</v>
      </c>
      <c r="O1278" t="inlineStr">
        <is>
          <t>2026-10-05 UTC (WFM pull 02:52-04:00)</t>
        </is>
      </c>
      <c r="P1278" t="inlineStr">
        <is>
          <t>OK</t>
        </is>
      </c>
      <c r="R1278" t="inlineStr">
        <is>
          <t>Every current tradeable mod at MAX RANK (WFM catalogue, rivens/locators excluded)</t>
        </is>
      </c>
      <c r="S1278" t="inlineStr">
        <is>
          <t>reinforced_bond</t>
        </is>
      </c>
      <c r="T1278" t="n">
        <v>15</v>
      </c>
      <c r="U1278" t="n">
        <v>15</v>
      </c>
      <c r="V1278" t="n">
        <v>20</v>
      </c>
      <c r="W1278" t="n">
        <v>20</v>
      </c>
      <c r="X1278" t="n">
        <v>20.4</v>
      </c>
      <c r="Y1278" t="n">
        <v>1488</v>
      </c>
      <c r="Z1278" t="n">
        <v>46</v>
      </c>
      <c r="AN1278" t="inlineStr">
        <is>
          <t>Companion</t>
        </is>
      </c>
      <c r="AO1278" t="n">
        <v>930</v>
      </c>
      <c r="AP1278" t="n">
        <v>44919</v>
      </c>
      <c r="AQ1278" t="n">
        <v>15</v>
      </c>
      <c r="AS1278" t="inlineStr">
        <is>
          <t>Yes</t>
        </is>
      </c>
    </row>
    <row r="1279">
      <c r="A1279" t="inlineStr">
        <is>
          <t>Mod</t>
        </is>
      </c>
      <c r="B1279" t="inlineStr">
        <is>
          <t>Reinforcing Stomp</t>
        </is>
      </c>
      <c r="E1279" t="inlineStr">
        <is>
          <t>Augment Rhino</t>
        </is>
      </c>
      <c r="F1279" t="n">
        <v>3</v>
      </c>
      <c r="G1279" t="n">
        <v>1</v>
      </c>
      <c r="H1279" t="inlineStr">
        <is>
          <t>Player trade (max rank)</t>
        </is>
      </c>
      <c r="I1279" t="inlineStr">
        <is>
          <t>Yes</t>
        </is>
      </c>
      <c r="K1279" t="inlineStr">
        <is>
          <t>Collection</t>
        </is>
      </c>
      <c r="L1279" t="n">
        <v>10</v>
      </c>
      <c r="M1279" t="n">
        <v>21</v>
      </c>
      <c r="N1279" t="n">
        <v>47</v>
      </c>
      <c r="O1279" t="inlineStr">
        <is>
          <t>2026-10-05 UTC (WFM pull 02:52-04:00)</t>
        </is>
      </c>
      <c r="P1279" t="inlineStr">
        <is>
          <t>OK</t>
        </is>
      </c>
      <c r="R1279" t="inlineStr">
        <is>
          <t>Every current tradeable mod at MAX RANK (WFM catalogue, rivens/locators excluded)</t>
        </is>
      </c>
      <c r="S1279" t="inlineStr">
        <is>
          <t>reinforcing_stomp</t>
        </is>
      </c>
      <c r="T1279" t="n">
        <v>4</v>
      </c>
      <c r="U1279" t="n">
        <v>4</v>
      </c>
      <c r="V1279" t="n">
        <v>14</v>
      </c>
      <c r="W1279" t="n">
        <v>15</v>
      </c>
      <c r="X1279" t="n">
        <v>14.8</v>
      </c>
      <c r="Y1279" t="n">
        <v>110</v>
      </c>
      <c r="Z1279" t="n">
        <v>0</v>
      </c>
      <c r="AN1279" t="inlineStr">
        <is>
          <t>Augment Rhino</t>
        </is>
      </c>
      <c r="AO1279" t="n">
        <v>210</v>
      </c>
      <c r="AP1279" t="n">
        <v>10143</v>
      </c>
      <c r="AQ1279" t="n">
        <v>16.5</v>
      </c>
      <c r="AS1279" t="inlineStr">
        <is>
          <t>Yes</t>
        </is>
      </c>
    </row>
    <row r="1280">
      <c r="A1280" t="inlineStr">
        <is>
          <t>Mod</t>
        </is>
      </c>
      <c r="B1280" t="inlineStr">
        <is>
          <t>Rejuvenation</t>
        </is>
      </c>
      <c r="E1280" t="inlineStr">
        <is>
          <t>Aura</t>
        </is>
      </c>
      <c r="F1280" t="n">
        <v>5</v>
      </c>
      <c r="G1280" t="n">
        <v>1</v>
      </c>
      <c r="H1280" t="inlineStr">
        <is>
          <t>Player trade (max rank)</t>
        </is>
      </c>
      <c r="I1280" t="inlineStr">
        <is>
          <t>Yes</t>
        </is>
      </c>
      <c r="K1280" t="inlineStr">
        <is>
          <t>Collection</t>
        </is>
      </c>
      <c r="L1280" t="n">
        <v>16</v>
      </c>
      <c r="M1280" t="n">
        <v>22.5</v>
      </c>
      <c r="N1280" t="n">
        <v>50</v>
      </c>
      <c r="O1280" t="inlineStr">
        <is>
          <t>2026-10-05 UTC (WFM pull 02:52-04:00)</t>
        </is>
      </c>
      <c r="P1280" t="inlineStr">
        <is>
          <t>OK</t>
        </is>
      </c>
      <c r="R1280" t="inlineStr">
        <is>
          <t>Every current tradeable mod at MAX RANK (WFM catalogue, rivens/locators excluded)</t>
        </is>
      </c>
      <c r="S1280" t="inlineStr">
        <is>
          <t>rejuvenation</t>
        </is>
      </c>
      <c r="T1280" t="n">
        <v>4</v>
      </c>
      <c r="U1280" t="n">
        <v>4</v>
      </c>
      <c r="V1280" t="n">
        <v>15</v>
      </c>
      <c r="W1280" t="n">
        <v>15</v>
      </c>
      <c r="X1280" t="n">
        <v>15.4</v>
      </c>
      <c r="Y1280" t="n">
        <v>67</v>
      </c>
      <c r="Z1280" t="n">
        <v>0</v>
      </c>
      <c r="AN1280" t="inlineStr">
        <is>
          <t>Aura</t>
        </is>
      </c>
      <c r="AO1280" t="n">
        <v>620</v>
      </c>
      <c r="AP1280" t="n">
        <v>29946</v>
      </c>
      <c r="AQ1280" t="n">
        <v>13.5</v>
      </c>
      <c r="AS1280" t="inlineStr">
        <is>
          <t>Yes</t>
        </is>
      </c>
    </row>
    <row r="1281">
      <c r="A1281" t="inlineStr">
        <is>
          <t>Mod</t>
        </is>
      </c>
      <c r="B1281" t="inlineStr">
        <is>
          <t>Relentless Assault</t>
        </is>
      </c>
      <c r="E1281" t="inlineStr">
        <is>
          <t>Conclave (PvP)</t>
        </is>
      </c>
      <c r="F1281" t="n">
        <v>3</v>
      </c>
      <c r="G1281" t="n">
        <v>1</v>
      </c>
      <c r="H1281" t="inlineStr">
        <is>
          <t>Player trade (max rank)</t>
        </is>
      </c>
      <c r="I1281" t="inlineStr">
        <is>
          <t>Yes</t>
        </is>
      </c>
      <c r="K1281" t="inlineStr">
        <is>
          <t>Collection (PvP)</t>
        </is>
      </c>
      <c r="L1281" t="n">
        <v>77</v>
      </c>
      <c r="M1281" t="n">
        <v>77</v>
      </c>
      <c r="N1281" t="n">
        <v>170</v>
      </c>
      <c r="O1281" t="inlineStr">
        <is>
          <t>2026-10-05 UTC (WFM pull 02:52-04:00)</t>
        </is>
      </c>
      <c r="P1281" t="inlineStr">
        <is>
          <t>OK</t>
        </is>
      </c>
      <c r="R1281" t="inlineStr">
        <is>
          <t>Every current tradeable mod at MAX RANK (WFM catalogue, rivens/locators excluded)</t>
        </is>
      </c>
      <c r="S1281" t="inlineStr">
        <is>
          <t>relentless_assault</t>
        </is>
      </c>
      <c r="T1281" t="n">
        <v>4</v>
      </c>
      <c r="U1281" t="n">
        <v>0</v>
      </c>
      <c r="V1281" t="n">
        <v>30</v>
      </c>
      <c r="W1281" t="n">
        <v>30</v>
      </c>
      <c r="X1281" t="n">
        <v>23.3</v>
      </c>
      <c r="Y1281" t="n">
        <v>3</v>
      </c>
      <c r="Z1281" t="n">
        <v>0</v>
      </c>
      <c r="AN1281" t="inlineStr">
        <is>
          <t>Conclave (PvP)</t>
        </is>
      </c>
      <c r="AO1281" t="n">
        <v>210</v>
      </c>
      <c r="AP1281" t="n">
        <v>10143</v>
      </c>
      <c r="AQ1281" t="n">
        <v>60</v>
      </c>
      <c r="AS1281" t="inlineStr">
        <is>
          <t>PvP subtotal</t>
        </is>
      </c>
    </row>
    <row r="1282">
      <c r="A1282" t="inlineStr">
        <is>
          <t>Mod</t>
        </is>
      </c>
      <c r="B1282" t="inlineStr">
        <is>
          <t>Relentless Combination</t>
        </is>
      </c>
      <c r="E1282" t="inlineStr">
        <is>
          <t>Melee</t>
        </is>
      </c>
      <c r="F1282" t="n">
        <v>3</v>
      </c>
      <c r="G1282" t="n">
        <v>1</v>
      </c>
      <c r="H1282" t="inlineStr">
        <is>
          <t>Player trade (max rank)</t>
        </is>
      </c>
      <c r="I1282" t="inlineStr">
        <is>
          <t>Yes</t>
        </is>
      </c>
      <c r="K1282" t="inlineStr">
        <is>
          <t>Collection</t>
        </is>
      </c>
      <c r="L1282" t="n">
        <v>5</v>
      </c>
      <c r="M1282" t="n">
        <v>10</v>
      </c>
      <c r="N1282" t="n">
        <v>22</v>
      </c>
      <c r="O1282" t="inlineStr">
        <is>
          <t>2026-10-05 UTC (WFM pull 02:52-04:00)</t>
        </is>
      </c>
      <c r="P1282" t="inlineStr">
        <is>
          <t>OK</t>
        </is>
      </c>
      <c r="R1282" t="inlineStr">
        <is>
          <t>Every current tradeable mod at MAX RANK (WFM catalogue, rivens/locators excluded)</t>
        </is>
      </c>
      <c r="S1282" t="inlineStr">
        <is>
          <t>relentless_combination</t>
        </is>
      </c>
      <c r="T1282" t="n">
        <v>5</v>
      </c>
      <c r="U1282" t="n">
        <v>5</v>
      </c>
      <c r="V1282" t="n">
        <v>8</v>
      </c>
      <c r="W1282" t="n">
        <v>10</v>
      </c>
      <c r="X1282" t="n">
        <v>9.300000000000001</v>
      </c>
      <c r="Y1282" t="n">
        <v>12</v>
      </c>
      <c r="Z1282" t="n">
        <v>0</v>
      </c>
      <c r="AN1282" t="inlineStr">
        <is>
          <t>Melee</t>
        </is>
      </c>
      <c r="AO1282" t="n">
        <v>140</v>
      </c>
      <c r="AP1282" t="n">
        <v>6762</v>
      </c>
      <c r="AQ1282" t="n">
        <v>5</v>
      </c>
      <c r="AS1282" t="inlineStr">
        <is>
          <t>Yes</t>
        </is>
      </c>
    </row>
    <row r="1283">
      <c r="A1283" t="inlineStr">
        <is>
          <t>Mod</t>
        </is>
      </c>
      <c r="B1283" t="inlineStr">
        <is>
          <t>Rending Crane</t>
        </is>
      </c>
      <c r="E1283" t="inlineStr">
        <is>
          <t>Stance</t>
        </is>
      </c>
      <c r="F1283" t="n">
        <v>3</v>
      </c>
      <c r="G1283" t="n">
        <v>1</v>
      </c>
      <c r="H1283" t="inlineStr">
        <is>
          <t>Player trade (max rank)</t>
        </is>
      </c>
      <c r="I1283" t="inlineStr">
        <is>
          <t>Yes</t>
        </is>
      </c>
      <c r="K1283" t="inlineStr">
        <is>
          <t>Collection</t>
        </is>
      </c>
      <c r="L1283" t="n">
        <v>15</v>
      </c>
      <c r="M1283" t="n">
        <v>15</v>
      </c>
      <c r="N1283" t="n">
        <v>33</v>
      </c>
      <c r="O1283" t="inlineStr">
        <is>
          <t>2026-10-05 UTC (WFM pull 02:52-04:00)</t>
        </is>
      </c>
      <c r="P1283" t="inlineStr">
        <is>
          <t>OK</t>
        </is>
      </c>
      <c r="R1283" t="inlineStr">
        <is>
          <t>Every current tradeable mod at MAX RANK (WFM catalogue, rivens/locators excluded)</t>
        </is>
      </c>
      <c r="S1283" t="inlineStr">
        <is>
          <t>rending_crane</t>
        </is>
      </c>
      <c r="T1283" t="n">
        <v>5</v>
      </c>
      <c r="U1283" t="n">
        <v>5</v>
      </c>
      <c r="V1283" t="n">
        <v>10</v>
      </c>
      <c r="W1283" t="n">
        <v>14</v>
      </c>
      <c r="X1283" t="n">
        <v>13.6</v>
      </c>
      <c r="Y1283" t="n">
        <v>73</v>
      </c>
      <c r="Z1283" t="n">
        <v>0</v>
      </c>
      <c r="AN1283" t="inlineStr">
        <is>
          <t>Stance</t>
        </is>
      </c>
      <c r="AO1283" t="n">
        <v>140</v>
      </c>
      <c r="AP1283" t="n">
        <v>6762</v>
      </c>
      <c r="AQ1283" t="n">
        <v>7</v>
      </c>
      <c r="AS1283" t="inlineStr">
        <is>
          <t>Yes</t>
        </is>
      </c>
    </row>
    <row r="1284">
      <c r="A1284" t="inlineStr">
        <is>
          <t>Mod</t>
        </is>
      </c>
      <c r="B1284" t="inlineStr">
        <is>
          <t>Rending Strike</t>
        </is>
      </c>
      <c r="E1284" t="inlineStr">
        <is>
          <t>Melee</t>
        </is>
      </c>
      <c r="F1284" t="n">
        <v>3</v>
      </c>
      <c r="G1284" t="n">
        <v>1</v>
      </c>
      <c r="H1284" t="inlineStr">
        <is>
          <t>Player trade (max rank)</t>
        </is>
      </c>
      <c r="I1284" t="inlineStr">
        <is>
          <t>Yes</t>
        </is>
      </c>
      <c r="K1284" t="inlineStr">
        <is>
          <t>Collection</t>
        </is>
      </c>
      <c r="L1284" t="n">
        <v>8</v>
      </c>
      <c r="M1284" t="n">
        <v>10</v>
      </c>
      <c r="N1284" t="n">
        <v>22</v>
      </c>
      <c r="O1284" t="inlineStr">
        <is>
          <t>2026-10-05 UTC (WFM pull 02:52-04:00)</t>
        </is>
      </c>
      <c r="P1284" t="inlineStr">
        <is>
          <t>OK</t>
        </is>
      </c>
      <c r="R1284" t="inlineStr">
        <is>
          <t>Every current tradeable mod at MAX RANK (WFM catalogue, rivens/locators excluded)</t>
        </is>
      </c>
      <c r="S1284" t="inlineStr">
        <is>
          <t>rending_strike</t>
        </is>
      </c>
      <c r="T1284" t="n">
        <v>5</v>
      </c>
      <c r="U1284" t="n">
        <v>5</v>
      </c>
      <c r="V1284" t="n">
        <v>7.5</v>
      </c>
      <c r="W1284" t="n">
        <v>6</v>
      </c>
      <c r="X1284" t="n">
        <v>6.9</v>
      </c>
      <c r="Y1284" t="n">
        <v>12</v>
      </c>
      <c r="Z1284" t="n">
        <v>0</v>
      </c>
      <c r="AN1284" t="inlineStr">
        <is>
          <t>Melee</t>
        </is>
      </c>
      <c r="AO1284" t="n">
        <v>210</v>
      </c>
      <c r="AP1284" t="n">
        <v>10143</v>
      </c>
      <c r="AQ1284" t="n">
        <v>3</v>
      </c>
      <c r="AS1284" t="inlineStr">
        <is>
          <t>Yes</t>
        </is>
      </c>
    </row>
    <row r="1285">
      <c r="A1285" t="inlineStr">
        <is>
          <t>Mod</t>
        </is>
      </c>
      <c r="B1285" t="inlineStr">
        <is>
          <t>Rending Turn</t>
        </is>
      </c>
      <c r="E1285" t="inlineStr">
        <is>
          <t>Warframe</t>
        </is>
      </c>
      <c r="F1285" t="n">
        <v>5</v>
      </c>
      <c r="G1285" t="n">
        <v>1</v>
      </c>
      <c r="H1285" t="inlineStr">
        <is>
          <t>Player trade (max rank)</t>
        </is>
      </c>
      <c r="I1285" t="inlineStr">
        <is>
          <t>Yes</t>
        </is>
      </c>
      <c r="K1285" t="inlineStr">
        <is>
          <t>Collection</t>
        </is>
      </c>
      <c r="L1285" t="n">
        <v>3</v>
      </c>
      <c r="M1285" t="n">
        <v>5</v>
      </c>
      <c r="N1285" t="n">
        <v>10</v>
      </c>
      <c r="O1285" t="inlineStr">
        <is>
          <t>2026-10-05 UTC (WFM pull 02:52-04:00)</t>
        </is>
      </c>
      <c r="P1285" t="inlineStr">
        <is>
          <t>OK</t>
        </is>
      </c>
      <c r="R1285" t="inlineStr">
        <is>
          <t>Every current tradeable mod at MAX RANK (WFM catalogue, rivens/locators excluded)</t>
        </is>
      </c>
      <c r="S1285" t="inlineStr">
        <is>
          <t>rending_turn</t>
        </is>
      </c>
      <c r="T1285" t="n">
        <v>59</v>
      </c>
      <c r="U1285" t="n">
        <v>2</v>
      </c>
      <c r="V1285" t="n">
        <v>5</v>
      </c>
      <c r="W1285" t="n">
        <v>5</v>
      </c>
      <c r="X1285" t="n">
        <v>7.5</v>
      </c>
      <c r="Y1285" t="n">
        <v>2</v>
      </c>
      <c r="Z1285" t="n">
        <v>0</v>
      </c>
      <c r="AN1285" t="inlineStr">
        <is>
          <t>Warframe</t>
        </is>
      </c>
      <c r="AO1285" t="n">
        <v>620</v>
      </c>
      <c r="AP1285" t="n">
        <v>29946</v>
      </c>
      <c r="AQ1285" t="n">
        <v>4</v>
      </c>
      <c r="AS1285" t="inlineStr">
        <is>
          <t>Yes</t>
        </is>
      </c>
    </row>
    <row r="1286">
      <c r="A1286" t="inlineStr">
        <is>
          <t>Mod</t>
        </is>
      </c>
      <c r="B1286" t="inlineStr">
        <is>
          <t>Rending Wind</t>
        </is>
      </c>
      <c r="E1286" t="inlineStr">
        <is>
          <t>Conclave (PvP)</t>
        </is>
      </c>
      <c r="F1286" t="n">
        <v>3</v>
      </c>
      <c r="G1286" t="n">
        <v>1</v>
      </c>
      <c r="H1286" t="inlineStr">
        <is>
          <t>Player trade (max rank)</t>
        </is>
      </c>
      <c r="I1286" t="inlineStr">
        <is>
          <t>Yes</t>
        </is>
      </c>
      <c r="K1286" t="inlineStr">
        <is>
          <t>Collection (PvP)</t>
        </is>
      </c>
      <c r="L1286" t="n">
        <v>100</v>
      </c>
      <c r="M1286" t="n">
        <v>100</v>
      </c>
      <c r="N1286" t="n">
        <v>221</v>
      </c>
      <c r="O1286" t="inlineStr">
        <is>
          <t>2026-10-05 UTC (WFM pull 02:52-04:00)</t>
        </is>
      </c>
      <c r="P1286" t="inlineStr">
        <is>
          <t>OK</t>
        </is>
      </c>
      <c r="R1286" t="inlineStr">
        <is>
          <t>Every current tradeable mod at MAX RANK (WFM catalogue, rivens/locators excluded)</t>
        </is>
      </c>
      <c r="S1286" t="inlineStr">
        <is>
          <t>rending_wind</t>
        </is>
      </c>
      <c r="T1286" t="n">
        <v>4</v>
      </c>
      <c r="U1286" t="n">
        <v>0</v>
      </c>
      <c r="V1286" t="n">
        <v>20</v>
      </c>
      <c r="W1286" t="n">
        <v>20</v>
      </c>
      <c r="X1286" t="n">
        <v>20</v>
      </c>
      <c r="Y1286" t="n">
        <v>1</v>
      </c>
      <c r="Z1286" t="n">
        <v>0</v>
      </c>
      <c r="AN1286" t="inlineStr">
        <is>
          <t>Conclave (PvP)</t>
        </is>
      </c>
      <c r="AO1286" t="n">
        <v>140</v>
      </c>
      <c r="AP1286" t="n">
        <v>6762</v>
      </c>
      <c r="AQ1286" t="n">
        <v>20</v>
      </c>
      <c r="AS1286" t="inlineStr">
        <is>
          <t>PvP subtotal</t>
        </is>
      </c>
    </row>
    <row r="1287">
      <c r="A1287" t="inlineStr">
        <is>
          <t>Mod</t>
        </is>
      </c>
      <c r="B1287" t="inlineStr">
        <is>
          <t>Repair Dispensary</t>
        </is>
      </c>
      <c r="E1287" t="inlineStr">
        <is>
          <t>Augment Protea</t>
        </is>
      </c>
      <c r="F1287" t="n">
        <v>3</v>
      </c>
      <c r="G1287" t="n">
        <v>1</v>
      </c>
      <c r="H1287" t="inlineStr">
        <is>
          <t>Player trade (max rank)</t>
        </is>
      </c>
      <c r="I1287" t="inlineStr">
        <is>
          <t>Yes</t>
        </is>
      </c>
      <c r="K1287" t="inlineStr">
        <is>
          <t>Collection</t>
        </is>
      </c>
      <c r="L1287" t="n">
        <v>15</v>
      </c>
      <c r="M1287" t="n">
        <v>30</v>
      </c>
      <c r="N1287" t="n">
        <v>66</v>
      </c>
      <c r="O1287" t="inlineStr">
        <is>
          <t>2026-10-05 UTC (WFM pull 02:52-04:00)</t>
        </is>
      </c>
      <c r="P1287" t="inlineStr">
        <is>
          <t>OK</t>
        </is>
      </c>
      <c r="R1287" t="inlineStr">
        <is>
          <t>Every current tradeable mod at MAX RANK (WFM catalogue, rivens/locators excluded)</t>
        </is>
      </c>
      <c r="S1287" t="inlineStr">
        <is>
          <t>repair_dispensary</t>
        </is>
      </c>
      <c r="T1287" t="n">
        <v>5</v>
      </c>
      <c r="U1287" t="n">
        <v>5</v>
      </c>
      <c r="V1287" t="n">
        <v>20</v>
      </c>
      <c r="W1287" t="n">
        <v>15</v>
      </c>
      <c r="X1287" t="n">
        <v>14.7</v>
      </c>
      <c r="Y1287" t="n">
        <v>9</v>
      </c>
      <c r="Z1287" t="n">
        <v>0</v>
      </c>
      <c r="AN1287" t="inlineStr">
        <is>
          <t>Augment Protea</t>
        </is>
      </c>
      <c r="AO1287" t="n">
        <v>210</v>
      </c>
      <c r="AP1287" t="n">
        <v>10143</v>
      </c>
      <c r="AQ1287" t="n">
        <v>15</v>
      </c>
      <c r="AS1287" t="inlineStr">
        <is>
          <t>Yes</t>
        </is>
      </c>
    </row>
    <row r="1288">
      <c r="A1288" t="inlineStr">
        <is>
          <t>Mod</t>
        </is>
      </c>
      <c r="B1288" t="inlineStr">
        <is>
          <t>Repair Kit</t>
        </is>
      </c>
      <c r="E1288" t="inlineStr">
        <is>
          <t>Sentinel</t>
        </is>
      </c>
      <c r="F1288" t="n">
        <v>5</v>
      </c>
      <c r="G1288" t="n">
        <v>1</v>
      </c>
      <c r="H1288" t="inlineStr">
        <is>
          <t>Player trade (max rank)</t>
        </is>
      </c>
      <c r="I1288" t="inlineStr">
        <is>
          <t>Yes</t>
        </is>
      </c>
      <c r="K1288" t="inlineStr">
        <is>
          <t>Collection</t>
        </is>
      </c>
      <c r="L1288" t="n">
        <v>15</v>
      </c>
      <c r="M1288" t="n">
        <v>15</v>
      </c>
      <c r="N1288" t="n">
        <v>33</v>
      </c>
      <c r="O1288" t="inlineStr">
        <is>
          <t>2026-10-05 UTC (WFM pull 02:52-04:00)</t>
        </is>
      </c>
      <c r="P1288" t="inlineStr">
        <is>
          <t>OK</t>
        </is>
      </c>
      <c r="R1288" t="inlineStr">
        <is>
          <t>Every current tradeable mod at MAX RANK (WFM catalogue, rivens/locators excluded)</t>
        </is>
      </c>
      <c r="S1288" t="inlineStr">
        <is>
          <t>repair_kit</t>
        </is>
      </c>
      <c r="T1288" t="n">
        <v>3</v>
      </c>
      <c r="U1288" t="n">
        <v>3</v>
      </c>
      <c r="V1288" t="n">
        <v>9</v>
      </c>
      <c r="W1288" t="n">
        <v>10</v>
      </c>
      <c r="X1288" t="n">
        <v>9.699999999999999</v>
      </c>
      <c r="Y1288" t="n">
        <v>3</v>
      </c>
      <c r="Z1288" t="n">
        <v>0</v>
      </c>
      <c r="AN1288" t="inlineStr">
        <is>
          <t>Sentinel</t>
        </is>
      </c>
      <c r="AO1288" t="n">
        <v>310</v>
      </c>
      <c r="AP1288" t="n">
        <v>14973</v>
      </c>
      <c r="AQ1288" t="n">
        <v>2</v>
      </c>
      <c r="AS1288" t="inlineStr">
        <is>
          <t>Yes</t>
        </is>
      </c>
    </row>
    <row r="1289">
      <c r="A1289" t="inlineStr">
        <is>
          <t>Mod</t>
        </is>
      </c>
      <c r="B1289" t="inlineStr">
        <is>
          <t>Repeater Clip</t>
        </is>
      </c>
      <c r="E1289" t="inlineStr">
        <is>
          <t>Shotgun</t>
        </is>
      </c>
      <c r="F1289" t="n">
        <v>5</v>
      </c>
      <c r="G1289" t="n">
        <v>1</v>
      </c>
      <c r="H1289" t="inlineStr">
        <is>
          <t>Player trade (max rank)</t>
        </is>
      </c>
      <c r="I1289" t="inlineStr">
        <is>
          <t>Yes</t>
        </is>
      </c>
      <c r="K1289" t="inlineStr">
        <is>
          <t>Collection</t>
        </is>
      </c>
      <c r="L1289" t="n">
        <v>10</v>
      </c>
      <c r="M1289" t="n">
        <v>14</v>
      </c>
      <c r="N1289" t="n">
        <v>22</v>
      </c>
      <c r="O1289" t="inlineStr">
        <is>
          <t>2026-10-05 UTC (WFM pull 02:52-04:00)</t>
        </is>
      </c>
      <c r="P1289" t="inlineStr">
        <is>
          <t>OK</t>
        </is>
      </c>
      <c r="R1289" t="inlineStr">
        <is>
          <t>Every current tradeable mod at MAX RANK (WFM catalogue, rivens/locators excluded)</t>
        </is>
      </c>
      <c r="S1289" t="inlineStr">
        <is>
          <t>repeater_clip</t>
        </is>
      </c>
      <c r="T1289" t="n">
        <v>32</v>
      </c>
      <c r="U1289" t="n">
        <v>1</v>
      </c>
      <c r="V1289" t="n">
        <v>20</v>
      </c>
      <c r="W1289" t="n">
        <v>20</v>
      </c>
      <c r="X1289" t="n">
        <v>22.1</v>
      </c>
      <c r="Y1289" t="n">
        <v>17</v>
      </c>
      <c r="Z1289" t="n">
        <v>0</v>
      </c>
      <c r="AN1289" t="inlineStr">
        <is>
          <t>Shotgun</t>
        </is>
      </c>
      <c r="AO1289" t="n">
        <v>620</v>
      </c>
      <c r="AP1289" t="n">
        <v>29946</v>
      </c>
      <c r="AQ1289" t="n">
        <v>5</v>
      </c>
      <c r="AS1289" t="inlineStr">
        <is>
          <t>Yes</t>
        </is>
      </c>
    </row>
    <row r="1290">
      <c r="A1290" t="inlineStr">
        <is>
          <t>Mod</t>
        </is>
      </c>
      <c r="B1290" t="inlineStr">
        <is>
          <t>Repo Audit</t>
        </is>
      </c>
      <c r="E1290" t="inlineStr">
        <is>
          <t>Hound</t>
        </is>
      </c>
      <c r="F1290" t="n">
        <v>5</v>
      </c>
      <c r="G1290" t="n">
        <v>1</v>
      </c>
      <c r="H1290" t="inlineStr">
        <is>
          <t>Player trade (max rank)</t>
        </is>
      </c>
      <c r="I1290" t="inlineStr">
        <is>
          <t>Yes</t>
        </is>
      </c>
      <c r="K1290" t="inlineStr">
        <is>
          <t>Collection</t>
        </is>
      </c>
      <c r="L1290" t="n">
        <v>15</v>
      </c>
      <c r="M1290" t="n">
        <v>19</v>
      </c>
      <c r="N1290" t="n">
        <v>42</v>
      </c>
      <c r="O1290" t="inlineStr">
        <is>
          <t>2026-10-05 UTC (WFM pull 02:52-04:00)</t>
        </is>
      </c>
      <c r="P1290" t="inlineStr">
        <is>
          <t>OK</t>
        </is>
      </c>
      <c r="R1290" t="inlineStr">
        <is>
          <t>Every current tradeable mod at MAX RANK (WFM catalogue, rivens/locators excluded)</t>
        </is>
      </c>
      <c r="S1290" t="inlineStr">
        <is>
          <t>repo_audit</t>
        </is>
      </c>
      <c r="T1290" t="n">
        <v>5</v>
      </c>
      <c r="U1290" t="n">
        <v>5</v>
      </c>
      <c r="V1290" t="n">
        <v>18</v>
      </c>
      <c r="W1290" t="n">
        <v>15</v>
      </c>
      <c r="X1290" t="n">
        <v>17.1</v>
      </c>
      <c r="Y1290" t="n">
        <v>35</v>
      </c>
      <c r="Z1290" t="n">
        <v>0</v>
      </c>
      <c r="AN1290" t="inlineStr">
        <is>
          <t>Hound</t>
        </is>
      </c>
      <c r="AO1290" t="n">
        <v>930</v>
      </c>
      <c r="AP1290" t="n">
        <v>44919</v>
      </c>
      <c r="AQ1290" t="n">
        <v>10</v>
      </c>
      <c r="AS1290" t="inlineStr">
        <is>
          <t>Yes</t>
        </is>
      </c>
    </row>
    <row r="1291">
      <c r="A1291" t="inlineStr">
        <is>
          <t>Mod</t>
        </is>
      </c>
      <c r="B1291" t="inlineStr">
        <is>
          <t>Reroot Rampage</t>
        </is>
      </c>
      <c r="E1291" t="inlineStr">
        <is>
          <t>Augment Nokko</t>
        </is>
      </c>
      <c r="F1291" t="n">
        <v>3</v>
      </c>
      <c r="G1291" t="n">
        <v>1</v>
      </c>
      <c r="H1291" t="inlineStr">
        <is>
          <t>Player trade (max rank)</t>
        </is>
      </c>
      <c r="I1291" t="inlineStr">
        <is>
          <t>Yes</t>
        </is>
      </c>
      <c r="K1291" t="inlineStr">
        <is>
          <t>Collection</t>
        </is>
      </c>
      <c r="L1291" t="n">
        <v>20</v>
      </c>
      <c r="M1291" t="n">
        <v>20</v>
      </c>
      <c r="N1291" t="n">
        <v>44</v>
      </c>
      <c r="O1291" t="inlineStr">
        <is>
          <t>2026-10-05 UTC (WFM pull 02:52-04:00)</t>
        </is>
      </c>
      <c r="P1291" t="inlineStr">
        <is>
          <t>OK</t>
        </is>
      </c>
      <c r="R1291" t="inlineStr">
        <is>
          <t>Every current tradeable mod at MAX RANK (WFM catalogue, rivens/locators excluded)</t>
        </is>
      </c>
      <c r="S1291" t="inlineStr">
        <is>
          <t>reroot_rampage</t>
        </is>
      </c>
      <c r="T1291" t="n">
        <v>5</v>
      </c>
      <c r="U1291" t="n">
        <v>5</v>
      </c>
      <c r="V1291" t="n">
        <v>12</v>
      </c>
      <c r="W1291" t="n">
        <v>12</v>
      </c>
      <c r="X1291" t="n">
        <v>12.6</v>
      </c>
      <c r="Y1291" t="n">
        <v>112</v>
      </c>
      <c r="Z1291" t="n">
        <v>4</v>
      </c>
      <c r="AN1291" t="inlineStr">
        <is>
          <t>Augment Nokko</t>
        </is>
      </c>
      <c r="AO1291" t="n">
        <v>210</v>
      </c>
      <c r="AP1291" t="n">
        <v>10143</v>
      </c>
      <c r="AQ1291" t="n">
        <v>13</v>
      </c>
      <c r="AS1291" t="inlineStr">
        <is>
          <t>Yes</t>
        </is>
      </c>
    </row>
    <row r="1292">
      <c r="A1292" t="inlineStr">
        <is>
          <t>Mod</t>
        </is>
      </c>
      <c r="B1292" t="inlineStr">
        <is>
          <t>Resolute Focus</t>
        </is>
      </c>
      <c r="E1292" t="inlineStr">
        <is>
          <t>Archgun</t>
        </is>
      </c>
      <c r="F1292" t="n">
        <v>5</v>
      </c>
      <c r="G1292" t="n">
        <v>1</v>
      </c>
      <c r="H1292" t="inlineStr">
        <is>
          <t>Player trade (max rank)</t>
        </is>
      </c>
      <c r="I1292" t="inlineStr">
        <is>
          <t>Yes</t>
        </is>
      </c>
      <c r="K1292" t="inlineStr">
        <is>
          <t>Collection</t>
        </is>
      </c>
      <c r="L1292" t="n">
        <v>10</v>
      </c>
      <c r="M1292" t="n">
        <v>10</v>
      </c>
      <c r="N1292" t="n">
        <v>22</v>
      </c>
      <c r="O1292" t="inlineStr">
        <is>
          <t>2026-10-05 UTC (WFM pull 02:52-04:00)</t>
        </is>
      </c>
      <c r="P1292" t="inlineStr">
        <is>
          <t>OK</t>
        </is>
      </c>
      <c r="R1292" t="inlineStr">
        <is>
          <t>Every current tradeable mod at MAX RANK (WFM catalogue, rivens/locators excluded)</t>
        </is>
      </c>
      <c r="S1292" t="inlineStr">
        <is>
          <t>resolute_focus</t>
        </is>
      </c>
      <c r="T1292" t="n">
        <v>5</v>
      </c>
      <c r="U1292" t="n">
        <v>5</v>
      </c>
      <c r="V1292" t="n">
        <v>11</v>
      </c>
      <c r="W1292" t="n">
        <v>13</v>
      </c>
      <c r="X1292" t="n">
        <v>12.7</v>
      </c>
      <c r="Y1292" t="n">
        <v>15</v>
      </c>
      <c r="Z1292" t="n">
        <v>0</v>
      </c>
      <c r="AN1292" t="inlineStr">
        <is>
          <t>Archgun</t>
        </is>
      </c>
      <c r="AO1292" t="n">
        <v>620</v>
      </c>
      <c r="AP1292" t="n">
        <v>29946</v>
      </c>
      <c r="AQ1292" t="n">
        <v>5</v>
      </c>
      <c r="AS1292" t="inlineStr">
        <is>
          <t>Yes</t>
        </is>
      </c>
    </row>
    <row r="1293">
      <c r="A1293" t="inlineStr">
        <is>
          <t>Mod</t>
        </is>
      </c>
      <c r="B1293" t="inlineStr">
        <is>
          <t>Resonance</t>
        </is>
      </c>
      <c r="E1293" t="inlineStr">
        <is>
          <t>Augment Banshee</t>
        </is>
      </c>
      <c r="F1293" t="n">
        <v>3</v>
      </c>
      <c r="G1293" t="n">
        <v>1</v>
      </c>
      <c r="H1293" t="inlineStr">
        <is>
          <t>Player trade (max rank)</t>
        </is>
      </c>
      <c r="I1293" t="inlineStr">
        <is>
          <t>Yes</t>
        </is>
      </c>
      <c r="K1293" t="inlineStr">
        <is>
          <t>Collection</t>
        </is>
      </c>
      <c r="L1293" t="n">
        <v>19</v>
      </c>
      <c r="M1293" t="n">
        <v>25</v>
      </c>
      <c r="N1293" t="n">
        <v>28</v>
      </c>
      <c r="O1293" t="inlineStr">
        <is>
          <t>2026-10-05 UTC (WFM pull 02:52-04:00)</t>
        </is>
      </c>
      <c r="P1293" t="inlineStr">
        <is>
          <t>OK</t>
        </is>
      </c>
      <c r="R1293" t="inlineStr">
        <is>
          <t>Every current tradeable mod at MAX RANK (WFM catalogue, rivens/locators excluded)</t>
        </is>
      </c>
      <c r="S1293" t="inlineStr">
        <is>
          <t>resonance</t>
        </is>
      </c>
      <c r="T1293" t="n">
        <v>14</v>
      </c>
      <c r="U1293" t="n">
        <v>14</v>
      </c>
      <c r="V1293" t="n">
        <v>20</v>
      </c>
      <c r="W1293" t="n">
        <v>20</v>
      </c>
      <c r="X1293" t="n">
        <v>19.9</v>
      </c>
      <c r="Y1293" t="n">
        <v>512</v>
      </c>
      <c r="Z1293" t="n">
        <v>58</v>
      </c>
      <c r="AN1293" t="inlineStr">
        <is>
          <t>Augment Banshee</t>
        </is>
      </c>
      <c r="AO1293" t="n">
        <v>210</v>
      </c>
      <c r="AP1293" t="n">
        <v>10143</v>
      </c>
      <c r="AQ1293" t="n">
        <v>17</v>
      </c>
      <c r="AS1293" t="inlineStr">
        <is>
          <t>Yes</t>
        </is>
      </c>
    </row>
    <row r="1294">
      <c r="A1294" t="inlineStr">
        <is>
          <t>Mod</t>
        </is>
      </c>
      <c r="B1294" t="inlineStr">
        <is>
          <t>Resourceful Retriever</t>
        </is>
      </c>
      <c r="E1294" t="inlineStr">
        <is>
          <t>Beast</t>
        </is>
      </c>
      <c r="F1294" t="n">
        <v>5</v>
      </c>
      <c r="G1294" t="n">
        <v>1</v>
      </c>
      <c r="H1294" t="inlineStr">
        <is>
          <t>Player trade (max rank)</t>
        </is>
      </c>
      <c r="I1294" t="inlineStr">
        <is>
          <t>Yes</t>
        </is>
      </c>
      <c r="K1294" t="inlineStr">
        <is>
          <t>Collection</t>
        </is>
      </c>
      <c r="L1294" t="n">
        <v>13</v>
      </c>
      <c r="M1294" t="n">
        <v>15</v>
      </c>
      <c r="N1294" t="n">
        <v>22</v>
      </c>
      <c r="O1294" t="inlineStr">
        <is>
          <t>2026-10-05 UTC (WFM pull 02:52-04:00)</t>
        </is>
      </c>
      <c r="P1294" t="inlineStr">
        <is>
          <t>OK</t>
        </is>
      </c>
      <c r="R1294" t="inlineStr">
        <is>
          <t>Every current tradeable mod at MAX RANK (WFM catalogue, rivens/locators excluded)</t>
        </is>
      </c>
      <c r="S1294" t="inlineStr">
        <is>
          <t>resourceful_retriever</t>
        </is>
      </c>
      <c r="T1294" t="n">
        <v>13</v>
      </c>
      <c r="U1294" t="n">
        <v>13</v>
      </c>
      <c r="V1294" t="n">
        <v>14</v>
      </c>
      <c r="W1294" t="n">
        <v>14</v>
      </c>
      <c r="X1294" t="n">
        <v>13.3</v>
      </c>
      <c r="Y1294" t="n">
        <v>1135</v>
      </c>
      <c r="Z1294" t="n">
        <v>7</v>
      </c>
      <c r="AA1294" t="n">
        <v>8</v>
      </c>
      <c r="AB1294" t="n">
        <v>5</v>
      </c>
      <c r="AN1294" t="inlineStr">
        <is>
          <t>Beast</t>
        </is>
      </c>
      <c r="AO1294" t="n">
        <v>930</v>
      </c>
      <c r="AP1294" t="n">
        <v>44919</v>
      </c>
      <c r="AQ1294" t="n">
        <v>10</v>
      </c>
      <c r="AS1294" t="inlineStr">
        <is>
          <t>Yes</t>
        </is>
      </c>
    </row>
    <row r="1295">
      <c r="A1295" t="inlineStr">
        <is>
          <t>Mod</t>
        </is>
      </c>
      <c r="B1295" t="inlineStr">
        <is>
          <t>Restorative Bond</t>
        </is>
      </c>
      <c r="E1295" t="inlineStr">
        <is>
          <t>Companion</t>
        </is>
      </c>
      <c r="F1295" t="n">
        <v>5</v>
      </c>
      <c r="G1295" t="n">
        <v>1</v>
      </c>
      <c r="H1295" t="inlineStr">
        <is>
          <t>Player trade (max rank)</t>
        </is>
      </c>
      <c r="I1295" t="inlineStr">
        <is>
          <t>Yes</t>
        </is>
      </c>
      <c r="K1295" t="inlineStr">
        <is>
          <t>Collection</t>
        </is>
      </c>
      <c r="L1295" t="n">
        <v>23</v>
      </c>
      <c r="M1295" t="n">
        <v>24</v>
      </c>
      <c r="N1295" t="n">
        <v>27</v>
      </c>
      <c r="O1295" t="inlineStr">
        <is>
          <t>2026-10-05 UTC (WFM pull 02:52-04:00)</t>
        </is>
      </c>
      <c r="P1295" t="inlineStr">
        <is>
          <t>OK</t>
        </is>
      </c>
      <c r="R1295" t="inlineStr">
        <is>
          <t>Every current tradeable mod at MAX RANK (WFM catalogue, rivens/locators excluded)</t>
        </is>
      </c>
      <c r="S1295" t="inlineStr">
        <is>
          <t>restorative_bond</t>
        </is>
      </c>
      <c r="T1295" t="n">
        <v>11</v>
      </c>
      <c r="U1295" t="n">
        <v>11</v>
      </c>
      <c r="V1295" t="n">
        <v>20</v>
      </c>
      <c r="W1295" t="n">
        <v>20</v>
      </c>
      <c r="X1295" t="n">
        <v>20.3</v>
      </c>
      <c r="Y1295" t="n">
        <v>225</v>
      </c>
      <c r="Z1295" t="n">
        <v>9</v>
      </c>
      <c r="AN1295" t="inlineStr">
        <is>
          <t>Companion</t>
        </is>
      </c>
      <c r="AO1295" t="n">
        <v>930</v>
      </c>
      <c r="AP1295" t="n">
        <v>44919</v>
      </c>
      <c r="AQ1295" t="n">
        <v>12</v>
      </c>
      <c r="AS1295" t="inlineStr">
        <is>
          <t>Yes</t>
        </is>
      </c>
    </row>
    <row r="1296">
      <c r="A1296" t="inlineStr">
        <is>
          <t>Mod</t>
        </is>
      </c>
      <c r="B1296" t="inlineStr">
        <is>
          <t>Retribution</t>
        </is>
      </c>
      <c r="E1296" t="inlineStr">
        <is>
          <t>Warframe</t>
        </is>
      </c>
      <c r="F1296" t="n">
        <v>3</v>
      </c>
      <c r="G1296" t="n">
        <v>1</v>
      </c>
      <c r="H1296" t="inlineStr">
        <is>
          <t>Player trade (max rank)</t>
        </is>
      </c>
      <c r="I1296" t="inlineStr">
        <is>
          <t>Yes</t>
        </is>
      </c>
      <c r="K1296" t="inlineStr">
        <is>
          <t>Collection</t>
        </is>
      </c>
      <c r="L1296" t="n">
        <v>10</v>
      </c>
      <c r="M1296" t="n">
        <v>10</v>
      </c>
      <c r="N1296" t="n">
        <v>22</v>
      </c>
      <c r="O1296" t="inlineStr">
        <is>
          <t>2026-10-05 UTC (WFM pull 02:52-04:00)</t>
        </is>
      </c>
      <c r="P1296" t="inlineStr">
        <is>
          <t>OK</t>
        </is>
      </c>
      <c r="R1296" t="inlineStr">
        <is>
          <t>Every current tradeable mod at MAX RANK (WFM catalogue, rivens/locators excluded)</t>
        </is>
      </c>
      <c r="S1296" t="inlineStr">
        <is>
          <t>retribution</t>
        </is>
      </c>
      <c r="T1296" t="n">
        <v>5</v>
      </c>
      <c r="U1296" t="n">
        <v>5</v>
      </c>
      <c r="V1296" t="n">
        <v>10</v>
      </c>
      <c r="W1296" t="n">
        <v>10</v>
      </c>
      <c r="X1296" t="n">
        <v>10.2</v>
      </c>
      <c r="Y1296" t="n">
        <v>10</v>
      </c>
      <c r="Z1296" t="n">
        <v>1</v>
      </c>
      <c r="AN1296" t="inlineStr">
        <is>
          <t>Warframe</t>
        </is>
      </c>
      <c r="AO1296" t="n">
        <v>210</v>
      </c>
      <c r="AP1296" t="n">
        <v>10143</v>
      </c>
      <c r="AQ1296" t="n">
        <v>4</v>
      </c>
      <c r="AS1296" t="inlineStr">
        <is>
          <t>Yes</t>
        </is>
      </c>
    </row>
    <row r="1297">
      <c r="A1297" t="inlineStr">
        <is>
          <t>Mod</t>
        </is>
      </c>
      <c r="B1297" t="inlineStr">
        <is>
          <t>Retrieve</t>
        </is>
      </c>
      <c r="E1297" t="inlineStr">
        <is>
          <t>Chesa Kubrow</t>
        </is>
      </c>
      <c r="F1297" t="n">
        <v>5</v>
      </c>
      <c r="G1297" t="n">
        <v>1</v>
      </c>
      <c r="H1297" t="inlineStr">
        <is>
          <t>Player trade (max rank)</t>
        </is>
      </c>
      <c r="I1297" t="inlineStr">
        <is>
          <t>Yes</t>
        </is>
      </c>
      <c r="K1297" t="inlineStr">
        <is>
          <t>Collection</t>
        </is>
      </c>
      <c r="L1297" t="n">
        <v>6</v>
      </c>
      <c r="M1297" t="n">
        <v>12</v>
      </c>
      <c r="N1297" t="n">
        <v>17</v>
      </c>
      <c r="O1297" t="inlineStr">
        <is>
          <t>2026-10-05 UTC (WFM pull 02:52-04:00)</t>
        </is>
      </c>
      <c r="P1297" t="inlineStr">
        <is>
          <t>OK</t>
        </is>
      </c>
      <c r="R1297" t="inlineStr">
        <is>
          <t>Every current tradeable mod at MAX RANK (WFM catalogue, rivens/locators excluded)</t>
        </is>
      </c>
      <c r="S1297" t="inlineStr">
        <is>
          <t>retrieve</t>
        </is>
      </c>
      <c r="T1297" t="n">
        <v>37</v>
      </c>
      <c r="U1297" t="n">
        <v>0</v>
      </c>
      <c r="V1297" t="n">
        <v>15</v>
      </c>
      <c r="W1297" t="n">
        <v>15</v>
      </c>
      <c r="X1297" t="n">
        <v>15.7</v>
      </c>
      <c r="Y1297" t="n">
        <v>22</v>
      </c>
      <c r="Z1297" t="n">
        <v>0</v>
      </c>
      <c r="AN1297" t="inlineStr">
        <is>
          <t>Chesa Kubrow</t>
        </is>
      </c>
      <c r="AO1297" t="n">
        <v>310</v>
      </c>
      <c r="AP1297" t="n">
        <v>14973</v>
      </c>
      <c r="AQ1297" t="n">
        <v>10</v>
      </c>
      <c r="AS1297" t="inlineStr">
        <is>
          <t>Yes</t>
        </is>
      </c>
    </row>
    <row r="1298">
      <c r="A1298" t="inlineStr">
        <is>
          <t>Mod</t>
        </is>
      </c>
      <c r="B1298" t="inlineStr">
        <is>
          <t>Revealing Spores</t>
        </is>
      </c>
      <c r="E1298" t="inlineStr">
        <is>
          <t>Augment Saryn</t>
        </is>
      </c>
      <c r="F1298" t="n">
        <v>3</v>
      </c>
      <c r="G1298" t="n">
        <v>1</v>
      </c>
      <c r="H1298" t="inlineStr">
        <is>
          <t>Player trade (max rank)</t>
        </is>
      </c>
      <c r="I1298" t="inlineStr">
        <is>
          <t>Yes</t>
        </is>
      </c>
      <c r="K1298" t="inlineStr">
        <is>
          <t>Collection</t>
        </is>
      </c>
      <c r="L1298" t="n">
        <v>18</v>
      </c>
      <c r="M1298" t="n">
        <v>18.8</v>
      </c>
      <c r="N1298" t="n">
        <v>42</v>
      </c>
      <c r="O1298" t="inlineStr">
        <is>
          <t>2026-10-05 UTC (WFM pull 02:52-04:00)</t>
        </is>
      </c>
      <c r="P1298" t="inlineStr">
        <is>
          <t>OK</t>
        </is>
      </c>
      <c r="R1298" t="inlineStr">
        <is>
          <t>Every current tradeable mod at MAX RANK (WFM catalogue, rivens/locators excluded)</t>
        </is>
      </c>
      <c r="S1298" t="inlineStr">
        <is>
          <t>revealing_spores</t>
        </is>
      </c>
      <c r="T1298" t="n">
        <v>3</v>
      </c>
      <c r="U1298" t="n">
        <v>3</v>
      </c>
      <c r="V1298" t="n">
        <v>12.5</v>
      </c>
      <c r="W1298" t="n">
        <v>10</v>
      </c>
      <c r="X1298" t="n">
        <v>11.6</v>
      </c>
      <c r="Y1298" t="n">
        <v>11</v>
      </c>
      <c r="Z1298" t="n">
        <v>0</v>
      </c>
      <c r="AN1298" t="inlineStr">
        <is>
          <t>Augment Saryn</t>
        </is>
      </c>
      <c r="AO1298" t="n">
        <v>210</v>
      </c>
      <c r="AP1298" t="n">
        <v>10143</v>
      </c>
      <c r="AQ1298" t="n">
        <v>15</v>
      </c>
      <c r="AS1298" t="inlineStr">
        <is>
          <t>Yes</t>
        </is>
      </c>
    </row>
    <row r="1299">
      <c r="A1299" t="inlineStr">
        <is>
          <t>Mod</t>
        </is>
      </c>
      <c r="B1299" t="inlineStr">
        <is>
          <t>Revenge</t>
        </is>
      </c>
      <c r="E1299" t="inlineStr">
        <is>
          <t>Shade</t>
        </is>
      </c>
      <c r="F1299" t="n">
        <v>5</v>
      </c>
      <c r="G1299" t="n">
        <v>1</v>
      </c>
      <c r="H1299" t="inlineStr">
        <is>
          <t>Player trade (max rank)</t>
        </is>
      </c>
      <c r="I1299" t="inlineStr">
        <is>
          <t>Yes</t>
        </is>
      </c>
      <c r="K1299" t="inlineStr">
        <is>
          <t>Collection</t>
        </is>
      </c>
      <c r="L1299" t="n">
        <v>7</v>
      </c>
      <c r="M1299" t="n">
        <v>8</v>
      </c>
      <c r="N1299" t="n">
        <v>10</v>
      </c>
      <c r="O1299" t="inlineStr">
        <is>
          <t>2026-10-05 UTC (WFM pull 02:52-04:00)</t>
        </is>
      </c>
      <c r="P1299" t="inlineStr">
        <is>
          <t>OK</t>
        </is>
      </c>
      <c r="R1299" t="inlineStr">
        <is>
          <t>Every current tradeable mod at MAX RANK (WFM catalogue, rivens/locators excluded)</t>
        </is>
      </c>
      <c r="S1299" t="inlineStr">
        <is>
          <t>revenge</t>
        </is>
      </c>
      <c r="T1299" t="n">
        <v>50</v>
      </c>
      <c r="U1299" t="n">
        <v>2</v>
      </c>
      <c r="Y1299" t="n">
        <v>0</v>
      </c>
      <c r="Z1299" t="n">
        <v>0</v>
      </c>
      <c r="AN1299" t="inlineStr">
        <is>
          <t>Shade</t>
        </is>
      </c>
      <c r="AO1299" t="n">
        <v>310</v>
      </c>
      <c r="AP1299" t="n">
        <v>14973</v>
      </c>
      <c r="AQ1299" t="n">
        <v>3</v>
      </c>
      <c r="AS1299" t="inlineStr">
        <is>
          <t>Yes</t>
        </is>
      </c>
    </row>
    <row r="1300">
      <c r="A1300" t="inlineStr">
        <is>
          <t>Mod</t>
        </is>
      </c>
      <c r="B1300" t="inlineStr">
        <is>
          <t>Reverse Rotorswell</t>
        </is>
      </c>
      <c r="E1300" t="inlineStr">
        <is>
          <t>Augment Gyre</t>
        </is>
      </c>
      <c r="F1300" t="n">
        <v>3</v>
      </c>
      <c r="G1300" t="n">
        <v>1</v>
      </c>
      <c r="H1300" t="inlineStr">
        <is>
          <t>Player trade (max rank)</t>
        </is>
      </c>
      <c r="I1300" t="inlineStr">
        <is>
          <t>Yes</t>
        </is>
      </c>
      <c r="K1300" t="inlineStr">
        <is>
          <t>Collection</t>
        </is>
      </c>
      <c r="L1300" t="n">
        <v>25</v>
      </c>
      <c r="M1300" t="n">
        <v>25</v>
      </c>
      <c r="N1300" t="n">
        <v>56</v>
      </c>
      <c r="O1300" t="inlineStr">
        <is>
          <t>2026-10-05 UTC (WFM pull 02:52-04:00)</t>
        </is>
      </c>
      <c r="P1300" t="inlineStr">
        <is>
          <t>OK</t>
        </is>
      </c>
      <c r="R1300" t="inlineStr">
        <is>
          <t>Every current tradeable mod at MAX RANK (WFM catalogue, rivens/locators excluded)</t>
        </is>
      </c>
      <c r="S1300" t="inlineStr">
        <is>
          <t>reverse_rotorswell</t>
        </is>
      </c>
      <c r="T1300" t="n">
        <v>6</v>
      </c>
      <c r="U1300" t="n">
        <v>6</v>
      </c>
      <c r="V1300" t="n">
        <v>15</v>
      </c>
      <c r="W1300" t="n">
        <v>15</v>
      </c>
      <c r="X1300" t="n">
        <v>16.4</v>
      </c>
      <c r="Y1300" t="n">
        <v>134</v>
      </c>
      <c r="Z1300" t="n">
        <v>5</v>
      </c>
      <c r="AN1300" t="inlineStr">
        <is>
          <t>Augment Gyre</t>
        </is>
      </c>
      <c r="AO1300" t="n">
        <v>210</v>
      </c>
      <c r="AP1300" t="n">
        <v>10143</v>
      </c>
      <c r="AQ1300" t="n">
        <v>15</v>
      </c>
      <c r="AS1300" t="inlineStr">
        <is>
          <t>Yes</t>
        </is>
      </c>
    </row>
    <row r="1301">
      <c r="A1301" t="inlineStr">
        <is>
          <t>Mod</t>
        </is>
      </c>
      <c r="B1301" t="inlineStr">
        <is>
          <t>Revo Reducer</t>
        </is>
      </c>
      <c r="E1301" t="inlineStr">
        <is>
          <t>Plexus</t>
        </is>
      </c>
      <c r="F1301" t="n">
        <v>5</v>
      </c>
      <c r="G1301" t="n">
        <v>1</v>
      </c>
      <c r="H1301" t="inlineStr">
        <is>
          <t>Player trade (max rank)</t>
        </is>
      </c>
      <c r="I1301" t="inlineStr">
        <is>
          <t>Yes</t>
        </is>
      </c>
      <c r="K1301" t="inlineStr">
        <is>
          <t>Collection</t>
        </is>
      </c>
      <c r="L1301" t="n">
        <v>4</v>
      </c>
      <c r="M1301" t="n">
        <v>8</v>
      </c>
      <c r="N1301" t="n">
        <v>17</v>
      </c>
      <c r="O1301" t="inlineStr">
        <is>
          <t>2026-10-05 UTC (WFM pull 02:52-04:00)</t>
        </is>
      </c>
      <c r="P1301" t="inlineStr">
        <is>
          <t>OK</t>
        </is>
      </c>
      <c r="R1301" t="inlineStr">
        <is>
          <t>Every current tradeable mod at MAX RANK (WFM catalogue, rivens/locators excluded)</t>
        </is>
      </c>
      <c r="S1301" t="inlineStr">
        <is>
          <t>revo_reducer</t>
        </is>
      </c>
      <c r="T1301" t="n">
        <v>89</v>
      </c>
      <c r="U1301" t="n">
        <v>2</v>
      </c>
      <c r="V1301" t="n">
        <v>15</v>
      </c>
      <c r="W1301" t="n">
        <v>14</v>
      </c>
      <c r="X1301" t="n">
        <v>13.4</v>
      </c>
      <c r="Y1301" t="n">
        <v>16</v>
      </c>
      <c r="Z1301" t="n">
        <v>0</v>
      </c>
      <c r="AN1301" t="inlineStr">
        <is>
          <t>Plexus</t>
        </is>
      </c>
      <c r="AO1301" t="n">
        <v>930</v>
      </c>
      <c r="AP1301" t="n">
        <v>44919</v>
      </c>
      <c r="AQ1301" t="n">
        <v>5</v>
      </c>
      <c r="AS1301" t="inlineStr">
        <is>
          <t>Yes</t>
        </is>
      </c>
    </row>
    <row r="1302">
      <c r="A1302" t="inlineStr">
        <is>
          <t>Mod</t>
        </is>
      </c>
      <c r="B1302" t="inlineStr">
        <is>
          <t>Rhythm Guard</t>
        </is>
      </c>
      <c r="E1302" t="inlineStr">
        <is>
          <t>Augment Temple</t>
        </is>
      </c>
      <c r="F1302" t="n">
        <v>3</v>
      </c>
      <c r="G1302" t="n">
        <v>1</v>
      </c>
      <c r="H1302" t="inlineStr">
        <is>
          <t>Player trade (max rank)</t>
        </is>
      </c>
      <c r="I1302" t="inlineStr">
        <is>
          <t>Yes</t>
        </is>
      </c>
      <c r="K1302" t="inlineStr">
        <is>
          <t>Collection</t>
        </is>
      </c>
      <c r="L1302" t="n">
        <v>24</v>
      </c>
      <c r="M1302" t="n">
        <v>24</v>
      </c>
      <c r="N1302" t="n">
        <v>44</v>
      </c>
      <c r="O1302" t="inlineStr">
        <is>
          <t>2026-10-05 UTC (WFM pull 02:52-04:00)</t>
        </is>
      </c>
      <c r="P1302" t="inlineStr">
        <is>
          <t>OK</t>
        </is>
      </c>
      <c r="R1302" t="inlineStr">
        <is>
          <t>Every current tradeable mod at MAX RANK (WFM catalogue, rivens/locators excluded)</t>
        </is>
      </c>
      <c r="S1302" t="inlineStr">
        <is>
          <t>rhythm_guard</t>
        </is>
      </c>
      <c r="T1302" t="n">
        <v>3</v>
      </c>
      <c r="U1302" t="n">
        <v>3</v>
      </c>
      <c r="V1302" t="n">
        <v>15</v>
      </c>
      <c r="W1302" t="n">
        <v>15</v>
      </c>
      <c r="X1302" t="n">
        <v>14.9</v>
      </c>
      <c r="Y1302" t="n">
        <v>86</v>
      </c>
      <c r="Z1302" t="n">
        <v>4</v>
      </c>
      <c r="AN1302" t="inlineStr">
        <is>
          <t>Augment Temple</t>
        </is>
      </c>
      <c r="AO1302" t="n">
        <v>210</v>
      </c>
      <c r="AP1302" t="n">
        <v>10143</v>
      </c>
      <c r="AQ1302" t="n">
        <v>15</v>
      </c>
      <c r="AS1302" t="inlineStr">
        <is>
          <t>Yes</t>
        </is>
      </c>
    </row>
    <row r="1303">
      <c r="A1303" t="inlineStr">
        <is>
          <t>Mod</t>
        </is>
      </c>
      <c r="B1303" t="inlineStr">
        <is>
          <t>Rifle Ammo Mutation</t>
        </is>
      </c>
      <c r="E1303" t="inlineStr">
        <is>
          <t>Assault Rifle</t>
        </is>
      </c>
      <c r="F1303" t="n">
        <v>5</v>
      </c>
      <c r="G1303" t="n">
        <v>1</v>
      </c>
      <c r="H1303" t="inlineStr">
        <is>
          <t>Player trade (max rank)</t>
        </is>
      </c>
      <c r="I1303" t="inlineStr">
        <is>
          <t>Yes</t>
        </is>
      </c>
      <c r="K1303" t="inlineStr">
        <is>
          <t>Collection</t>
        </is>
      </c>
      <c r="L1303" t="n">
        <v>20</v>
      </c>
      <c r="M1303" t="n">
        <v>20</v>
      </c>
      <c r="N1303" t="n">
        <v>44</v>
      </c>
      <c r="O1303" t="inlineStr">
        <is>
          <t>2026-10-05 UTC (WFM pull 02:52-04:00)</t>
        </is>
      </c>
      <c r="P1303" t="inlineStr">
        <is>
          <t>OK</t>
        </is>
      </c>
      <c r="R1303" t="inlineStr">
        <is>
          <t>Every current tradeable mod at MAX RANK (WFM catalogue, rivens/locators excluded)</t>
        </is>
      </c>
      <c r="S1303" t="inlineStr">
        <is>
          <t>rifle_ammo_mutation</t>
        </is>
      </c>
      <c r="T1303" t="n">
        <v>4</v>
      </c>
      <c r="U1303" t="n">
        <v>4</v>
      </c>
      <c r="V1303" t="n">
        <v>10</v>
      </c>
      <c r="W1303" t="n">
        <v>11</v>
      </c>
      <c r="X1303" t="n">
        <v>11.9</v>
      </c>
      <c r="Y1303" t="n">
        <v>49</v>
      </c>
      <c r="Z1303" t="n">
        <v>0</v>
      </c>
      <c r="AN1303" t="inlineStr">
        <is>
          <t>Assault Rifle</t>
        </is>
      </c>
      <c r="AO1303" t="n">
        <v>930</v>
      </c>
      <c r="AP1303" t="n">
        <v>44919</v>
      </c>
      <c r="AQ1303" t="n">
        <v>7.5</v>
      </c>
      <c r="AS1303" t="inlineStr">
        <is>
          <t>Yes</t>
        </is>
      </c>
    </row>
    <row r="1304">
      <c r="A1304" t="inlineStr">
        <is>
          <t>Mod</t>
        </is>
      </c>
      <c r="B1304" t="inlineStr">
        <is>
          <t>Rifle Amp</t>
        </is>
      </c>
      <c r="E1304" t="inlineStr">
        <is>
          <t>Aura</t>
        </is>
      </c>
      <c r="F1304" t="n">
        <v>5</v>
      </c>
      <c r="G1304" t="n">
        <v>1</v>
      </c>
      <c r="H1304" t="inlineStr">
        <is>
          <t>Player trade (max rank)</t>
        </is>
      </c>
      <c r="I1304" t="inlineStr">
        <is>
          <t>Yes</t>
        </is>
      </c>
      <c r="K1304" t="inlineStr">
        <is>
          <t>Collection</t>
        </is>
      </c>
      <c r="L1304" t="n">
        <v>15</v>
      </c>
      <c r="M1304" t="n">
        <v>20</v>
      </c>
      <c r="N1304" t="n">
        <v>44</v>
      </c>
      <c r="O1304" t="inlineStr">
        <is>
          <t>2026-10-05 UTC (WFM pull 02:52-04:00)</t>
        </is>
      </c>
      <c r="P1304" t="inlineStr">
        <is>
          <t>OK</t>
        </is>
      </c>
      <c r="R1304" t="inlineStr">
        <is>
          <t>Every current tradeable mod at MAX RANK (WFM catalogue, rivens/locators excluded)</t>
        </is>
      </c>
      <c r="S1304" t="inlineStr">
        <is>
          <t>rifle_amp</t>
        </is>
      </c>
      <c r="T1304" t="n">
        <v>6</v>
      </c>
      <c r="U1304" t="n">
        <v>6</v>
      </c>
      <c r="V1304" t="n">
        <v>20</v>
      </c>
      <c r="W1304" t="n">
        <v>19</v>
      </c>
      <c r="X1304" t="n">
        <v>18.2</v>
      </c>
      <c r="Y1304" t="n">
        <v>98</v>
      </c>
      <c r="Z1304" t="n">
        <v>1</v>
      </c>
      <c r="AN1304" t="inlineStr">
        <is>
          <t>Aura</t>
        </is>
      </c>
      <c r="AO1304" t="n">
        <v>620</v>
      </c>
      <c r="AP1304" t="n">
        <v>29946</v>
      </c>
      <c r="AQ1304" t="n">
        <v>15</v>
      </c>
      <c r="AS1304" t="inlineStr">
        <is>
          <t>Yes</t>
        </is>
      </c>
    </row>
    <row r="1305">
      <c r="A1305" t="inlineStr">
        <is>
          <t>Mod</t>
        </is>
      </c>
      <c r="B1305" t="inlineStr">
        <is>
          <t>Rifle Aptitude</t>
        </is>
      </c>
      <c r="E1305" t="inlineStr">
        <is>
          <t>Rifle</t>
        </is>
      </c>
      <c r="F1305" t="n">
        <v>5</v>
      </c>
      <c r="G1305" t="n">
        <v>1</v>
      </c>
      <c r="H1305" t="inlineStr">
        <is>
          <t>Player trade (max rank)</t>
        </is>
      </c>
      <c r="I1305" t="inlineStr">
        <is>
          <t>Yes</t>
        </is>
      </c>
      <c r="K1305" t="inlineStr">
        <is>
          <t>Collection</t>
        </is>
      </c>
      <c r="L1305" t="n">
        <v>10</v>
      </c>
      <c r="M1305" t="n">
        <v>13.5</v>
      </c>
      <c r="N1305" t="n">
        <v>30</v>
      </c>
      <c r="O1305" t="inlineStr">
        <is>
          <t>2026-10-05 UTC (WFM pull 02:52-04:00)</t>
        </is>
      </c>
      <c r="P1305" t="inlineStr">
        <is>
          <t>OK</t>
        </is>
      </c>
      <c r="R1305" t="inlineStr">
        <is>
          <t>Every current tradeable mod at MAX RANK (WFM catalogue, rivens/locators excluded)</t>
        </is>
      </c>
      <c r="S1305" t="inlineStr">
        <is>
          <t>rifle_aptitude</t>
        </is>
      </c>
      <c r="T1305" t="n">
        <v>3</v>
      </c>
      <c r="U1305" t="n">
        <v>3</v>
      </c>
      <c r="V1305" t="n">
        <v>9</v>
      </c>
      <c r="W1305" t="n">
        <v>9</v>
      </c>
      <c r="X1305" t="n">
        <v>8.800000000000001</v>
      </c>
      <c r="Y1305" t="n">
        <v>47</v>
      </c>
      <c r="Z1305" t="n">
        <v>0</v>
      </c>
      <c r="AN1305" t="inlineStr">
        <is>
          <t>Rifle</t>
        </is>
      </c>
      <c r="AO1305" t="n">
        <v>620</v>
      </c>
      <c r="AP1305" t="n">
        <v>29946</v>
      </c>
      <c r="AQ1305" t="n">
        <v>4</v>
      </c>
      <c r="AS1305" t="inlineStr">
        <is>
          <t>Yes</t>
        </is>
      </c>
    </row>
    <row r="1306">
      <c r="A1306" t="inlineStr">
        <is>
          <t>Mod</t>
        </is>
      </c>
      <c r="B1306" t="inlineStr">
        <is>
          <t>Rifle Elementalist</t>
        </is>
      </c>
      <c r="E1306" t="inlineStr">
        <is>
          <t>Rifle</t>
        </is>
      </c>
      <c r="F1306" t="n">
        <v>5</v>
      </c>
      <c r="G1306" t="n">
        <v>1</v>
      </c>
      <c r="H1306" t="inlineStr">
        <is>
          <t>Player trade (max rank)</t>
        </is>
      </c>
      <c r="I1306" t="inlineStr">
        <is>
          <t>Yes</t>
        </is>
      </c>
      <c r="K1306" t="inlineStr">
        <is>
          <t>Collection</t>
        </is>
      </c>
      <c r="L1306" t="n">
        <v>10</v>
      </c>
      <c r="M1306" t="n">
        <v>14</v>
      </c>
      <c r="N1306" t="n">
        <v>17</v>
      </c>
      <c r="O1306" t="inlineStr">
        <is>
          <t>2026-10-05 UTC (WFM pull 02:52-04:00)</t>
        </is>
      </c>
      <c r="P1306" t="inlineStr">
        <is>
          <t>OK</t>
        </is>
      </c>
      <c r="R1306" t="inlineStr">
        <is>
          <t>Every current tradeable mod at MAX RANK (WFM catalogue, rivens/locators excluded)</t>
        </is>
      </c>
      <c r="S1306" t="inlineStr">
        <is>
          <t>rifle_elementalist</t>
        </is>
      </c>
      <c r="T1306" t="n">
        <v>19</v>
      </c>
      <c r="U1306" t="n">
        <v>19</v>
      </c>
      <c r="V1306" t="n">
        <v>14</v>
      </c>
      <c r="W1306" t="n">
        <v>15</v>
      </c>
      <c r="X1306" t="n">
        <v>14.8</v>
      </c>
      <c r="Y1306" t="n">
        <v>1580</v>
      </c>
      <c r="Z1306" t="n">
        <v>23</v>
      </c>
      <c r="AN1306" t="inlineStr">
        <is>
          <t>Rifle</t>
        </is>
      </c>
      <c r="AO1306" t="n">
        <v>620</v>
      </c>
      <c r="AP1306" t="n">
        <v>29946</v>
      </c>
      <c r="AQ1306" t="n">
        <v>10</v>
      </c>
      <c r="AS1306" t="inlineStr">
        <is>
          <t>Yes</t>
        </is>
      </c>
    </row>
    <row r="1307">
      <c r="A1307" t="inlineStr">
        <is>
          <t>Mod</t>
        </is>
      </c>
      <c r="B1307" t="inlineStr">
        <is>
          <t>Rifle Scavenger</t>
        </is>
      </c>
      <c r="E1307" t="inlineStr">
        <is>
          <t>Aura</t>
        </is>
      </c>
      <c r="F1307" t="n">
        <v>5</v>
      </c>
      <c r="G1307" t="n">
        <v>1</v>
      </c>
      <c r="H1307" t="inlineStr">
        <is>
          <t>Player trade (max rank)</t>
        </is>
      </c>
      <c r="I1307" t="inlineStr">
        <is>
          <t>Yes</t>
        </is>
      </c>
      <c r="K1307" t="inlineStr">
        <is>
          <t>Collection</t>
        </is>
      </c>
      <c r="L1307" t="n">
        <v>8</v>
      </c>
      <c r="M1307" t="n">
        <v>10</v>
      </c>
      <c r="N1307" t="n">
        <v>22</v>
      </c>
      <c r="O1307" t="inlineStr">
        <is>
          <t>2026-10-05 UTC (WFM pull 02:52-04:00)</t>
        </is>
      </c>
      <c r="P1307" t="inlineStr">
        <is>
          <t>OK</t>
        </is>
      </c>
      <c r="R1307" t="inlineStr">
        <is>
          <t>Every current tradeable mod at MAX RANK (WFM catalogue, rivens/locators excluded)</t>
        </is>
      </c>
      <c r="S1307" t="inlineStr">
        <is>
          <t>rifle_scavenger</t>
        </is>
      </c>
      <c r="T1307" t="n">
        <v>64</v>
      </c>
      <c r="U1307" t="n">
        <v>2</v>
      </c>
      <c r="V1307" t="n">
        <v>20</v>
      </c>
      <c r="W1307" t="n">
        <v>15</v>
      </c>
      <c r="X1307" t="n">
        <v>16.8</v>
      </c>
      <c r="Y1307" t="n">
        <v>22</v>
      </c>
      <c r="Z1307" t="n">
        <v>0</v>
      </c>
      <c r="AN1307" t="inlineStr">
        <is>
          <t>Aura</t>
        </is>
      </c>
      <c r="AO1307" t="n">
        <v>620</v>
      </c>
      <c r="AP1307" t="n">
        <v>29946</v>
      </c>
      <c r="AQ1307" t="n">
        <v>10</v>
      </c>
      <c r="AS1307" t="inlineStr">
        <is>
          <t>Yes</t>
        </is>
      </c>
    </row>
    <row r="1308">
      <c r="A1308" t="inlineStr">
        <is>
          <t>Mod</t>
        </is>
      </c>
      <c r="B1308" t="inlineStr">
        <is>
          <t>Rift Haven</t>
        </is>
      </c>
      <c r="E1308" t="inlineStr">
        <is>
          <t>Augment Limbo</t>
        </is>
      </c>
      <c r="F1308" t="n">
        <v>3</v>
      </c>
      <c r="G1308" t="n">
        <v>1</v>
      </c>
      <c r="H1308" t="inlineStr">
        <is>
          <t>Player trade (max rank)</t>
        </is>
      </c>
      <c r="I1308" t="inlineStr">
        <is>
          <t>Yes</t>
        </is>
      </c>
      <c r="K1308" t="inlineStr">
        <is>
          <t>Collection</t>
        </is>
      </c>
      <c r="L1308" t="n">
        <v>10</v>
      </c>
      <c r="M1308" t="n">
        <v>12</v>
      </c>
      <c r="N1308" t="n">
        <v>17</v>
      </c>
      <c r="O1308" t="inlineStr">
        <is>
          <t>2026-10-05 UTC (WFM pull 02:52-04:00)</t>
        </is>
      </c>
      <c r="P1308" t="inlineStr">
        <is>
          <t>OK</t>
        </is>
      </c>
      <c r="R1308" t="inlineStr">
        <is>
          <t>Every current tradeable mod at MAX RANK (WFM catalogue, rivens/locators excluded)</t>
        </is>
      </c>
      <c r="S1308" t="inlineStr">
        <is>
          <t>rift_haven</t>
        </is>
      </c>
      <c r="T1308" t="n">
        <v>52</v>
      </c>
      <c r="U1308" t="n">
        <v>2</v>
      </c>
      <c r="V1308" t="n">
        <v>15</v>
      </c>
      <c r="W1308" t="n">
        <v>15</v>
      </c>
      <c r="X1308" t="n">
        <v>18.4</v>
      </c>
      <c r="Y1308" t="n">
        <v>20</v>
      </c>
      <c r="Z1308" t="n">
        <v>0</v>
      </c>
      <c r="AN1308" t="inlineStr">
        <is>
          <t>Augment Limbo</t>
        </is>
      </c>
      <c r="AO1308" t="n">
        <v>210</v>
      </c>
      <c r="AP1308" t="n">
        <v>10143</v>
      </c>
      <c r="AQ1308" t="n">
        <v>10</v>
      </c>
      <c r="AS1308" t="inlineStr">
        <is>
          <t>Yes</t>
        </is>
      </c>
    </row>
    <row r="1309">
      <c r="A1309" t="inlineStr">
        <is>
          <t>Mod</t>
        </is>
      </c>
      <c r="B1309" t="inlineStr">
        <is>
          <t>Rift Strike</t>
        </is>
      </c>
      <c r="E1309" t="inlineStr">
        <is>
          <t>Augment Twin Basolk</t>
        </is>
      </c>
      <c r="F1309" t="n">
        <v>5</v>
      </c>
      <c r="G1309" t="n">
        <v>1</v>
      </c>
      <c r="H1309" t="inlineStr">
        <is>
          <t>Player trade (max rank)</t>
        </is>
      </c>
      <c r="I1309" t="inlineStr">
        <is>
          <t>Yes</t>
        </is>
      </c>
      <c r="K1309" t="inlineStr">
        <is>
          <t>Collection</t>
        </is>
      </c>
      <c r="L1309" t="n">
        <v>20</v>
      </c>
      <c r="M1309" t="n">
        <v>21</v>
      </c>
      <c r="N1309" t="n">
        <v>47</v>
      </c>
      <c r="O1309" t="inlineStr">
        <is>
          <t>2026-10-05 UTC (WFM pull 02:52-04:00)</t>
        </is>
      </c>
      <c r="P1309" t="inlineStr">
        <is>
          <t>OK</t>
        </is>
      </c>
      <c r="R1309" t="inlineStr">
        <is>
          <t>Every current tradeable mod at MAX RANK (WFM catalogue, rivens/locators excluded)</t>
        </is>
      </c>
      <c r="S1309" t="inlineStr">
        <is>
          <t>rift_strike</t>
        </is>
      </c>
      <c r="T1309" t="n">
        <v>3</v>
      </c>
      <c r="U1309" t="n">
        <v>3</v>
      </c>
      <c r="V1309" t="n">
        <v>14</v>
      </c>
      <c r="W1309" t="n">
        <v>10</v>
      </c>
      <c r="X1309" t="n">
        <v>20.1</v>
      </c>
      <c r="Y1309" t="n">
        <v>7</v>
      </c>
      <c r="Z1309" t="n">
        <v>0</v>
      </c>
      <c r="AN1309" t="inlineStr">
        <is>
          <t>Augment Twin Basolk</t>
        </is>
      </c>
      <c r="AO1309" t="n">
        <v>620</v>
      </c>
      <c r="AP1309" t="n">
        <v>29946</v>
      </c>
      <c r="AQ1309" t="n">
        <v>4</v>
      </c>
      <c r="AS1309" t="inlineStr">
        <is>
          <t>Yes</t>
        </is>
      </c>
    </row>
    <row r="1310">
      <c r="A1310" t="inlineStr">
        <is>
          <t>Mod</t>
        </is>
      </c>
      <c r="B1310" t="inlineStr">
        <is>
          <t>Rift Torrent</t>
        </is>
      </c>
      <c r="E1310" t="inlineStr">
        <is>
          <t>Augment Limbo</t>
        </is>
      </c>
      <c r="F1310" t="n">
        <v>3</v>
      </c>
      <c r="G1310" t="n">
        <v>1</v>
      </c>
      <c r="H1310" t="inlineStr">
        <is>
          <t>Player trade (max rank)</t>
        </is>
      </c>
      <c r="I1310" t="inlineStr">
        <is>
          <t>Yes</t>
        </is>
      </c>
      <c r="K1310" t="inlineStr">
        <is>
          <t>Collection</t>
        </is>
      </c>
      <c r="L1310" t="n">
        <v>14</v>
      </c>
      <c r="M1310" t="n">
        <v>15</v>
      </c>
      <c r="N1310" t="n">
        <v>17</v>
      </c>
      <c r="O1310" t="inlineStr">
        <is>
          <t>2026-10-05 UTC (WFM pull 02:52-04:00)</t>
        </is>
      </c>
      <c r="P1310" t="inlineStr">
        <is>
          <t>OK</t>
        </is>
      </c>
      <c r="R1310" t="inlineStr">
        <is>
          <t>Every current tradeable mod at MAX RANK (WFM catalogue, rivens/locators excluded)</t>
        </is>
      </c>
      <c r="S1310" t="inlineStr">
        <is>
          <t>rift_torrent</t>
        </is>
      </c>
      <c r="T1310" t="n">
        <v>50</v>
      </c>
      <c r="U1310" t="n">
        <v>2</v>
      </c>
      <c r="V1310" t="n">
        <v>15</v>
      </c>
      <c r="W1310" t="n">
        <v>15</v>
      </c>
      <c r="X1310" t="n">
        <v>15.9</v>
      </c>
      <c r="Y1310" t="n">
        <v>103</v>
      </c>
      <c r="Z1310" t="n">
        <v>1</v>
      </c>
      <c r="AN1310" t="inlineStr">
        <is>
          <t>Augment Limbo</t>
        </is>
      </c>
      <c r="AO1310" t="n">
        <v>210</v>
      </c>
      <c r="AP1310" t="n">
        <v>10143</v>
      </c>
      <c r="AQ1310" t="n">
        <v>10</v>
      </c>
      <c r="AS1310" t="inlineStr">
        <is>
          <t>Yes</t>
        </is>
      </c>
    </row>
    <row r="1311">
      <c r="A1311" t="inlineStr">
        <is>
          <t>Mod</t>
        </is>
      </c>
      <c r="B1311" t="inlineStr">
        <is>
          <t>Rime Rounds</t>
        </is>
      </c>
      <c r="E1311" t="inlineStr">
        <is>
          <t>Rifle</t>
        </is>
      </c>
      <c r="F1311" t="n">
        <v>3</v>
      </c>
      <c r="G1311" t="n">
        <v>1</v>
      </c>
      <c r="H1311" t="inlineStr">
        <is>
          <t>Player trade (max rank)</t>
        </is>
      </c>
      <c r="I1311" t="inlineStr">
        <is>
          <t>Yes</t>
        </is>
      </c>
      <c r="K1311" t="inlineStr">
        <is>
          <t>Collection</t>
        </is>
      </c>
      <c r="L1311" t="n">
        <v>33</v>
      </c>
      <c r="M1311" t="n">
        <v>40</v>
      </c>
      <c r="N1311" t="n">
        <v>44</v>
      </c>
      <c r="O1311" t="inlineStr">
        <is>
          <t>2026-10-05 UTC (WFM pull 02:52-04:00)</t>
        </is>
      </c>
      <c r="P1311" t="inlineStr">
        <is>
          <t>OK</t>
        </is>
      </c>
      <c r="R1311" t="inlineStr">
        <is>
          <t>Every current tradeable mod at MAX RANK (WFM catalogue, rivens/locators excluded)</t>
        </is>
      </c>
      <c r="S1311" t="inlineStr">
        <is>
          <t>rime_rounds</t>
        </is>
      </c>
      <c r="T1311" t="n">
        <v>13</v>
      </c>
      <c r="U1311" t="n">
        <v>13</v>
      </c>
      <c r="V1311" t="n">
        <v>28</v>
      </c>
      <c r="W1311" t="n">
        <v>25</v>
      </c>
      <c r="X1311" t="n">
        <v>25.8</v>
      </c>
      <c r="Y1311" t="n">
        <v>2568</v>
      </c>
      <c r="Z1311" t="n">
        <v>44</v>
      </c>
      <c r="AN1311" t="inlineStr">
        <is>
          <t>Rifle</t>
        </is>
      </c>
      <c r="AO1311" t="n">
        <v>210</v>
      </c>
      <c r="AP1311" t="n">
        <v>10143</v>
      </c>
      <c r="AQ1311" t="n">
        <v>30</v>
      </c>
      <c r="AS1311" t="inlineStr">
        <is>
          <t>Yes</t>
        </is>
      </c>
    </row>
    <row r="1312">
      <c r="A1312" t="inlineStr">
        <is>
          <t>Mod</t>
        </is>
      </c>
      <c r="B1312" t="inlineStr">
        <is>
          <t>Rime Vault</t>
        </is>
      </c>
      <c r="E1312" t="inlineStr">
        <is>
          <t>Conclave (PvP)</t>
        </is>
      </c>
      <c r="G1312" t="n">
        <v>1</v>
      </c>
      <c r="H1312" t="inlineStr">
        <is>
          <t>Player trade (max rank)</t>
        </is>
      </c>
      <c r="I1312" t="inlineStr">
        <is>
          <t>Yes</t>
        </is>
      </c>
      <c r="K1312" t="inlineStr">
        <is>
          <t>Collection (PvP)</t>
        </is>
      </c>
      <c r="L1312" t="n">
        <v>90</v>
      </c>
      <c r="M1312" t="n">
        <v>135</v>
      </c>
      <c r="N1312" t="n">
        <v>297</v>
      </c>
      <c r="O1312" t="inlineStr">
        <is>
          <t>2026-10-05 UTC (WFM pull 02:52-04:00)</t>
        </is>
      </c>
      <c r="P1312" t="inlineStr">
        <is>
          <t>OK</t>
        </is>
      </c>
      <c r="R1312" t="inlineStr">
        <is>
          <t>Every current tradeable mod at MAX RANK (WFM catalogue, rivens/locators excluded)</t>
        </is>
      </c>
      <c r="S1312" t="inlineStr">
        <is>
          <t>rime_vault</t>
        </is>
      </c>
      <c r="T1312" t="n">
        <v>5</v>
      </c>
      <c r="U1312" t="n">
        <v>0</v>
      </c>
      <c r="V1312" t="n">
        <v>90</v>
      </c>
      <c r="W1312" t="n">
        <v>60</v>
      </c>
      <c r="X1312" t="n">
        <v>66</v>
      </c>
      <c r="Y1312" t="n">
        <v>5</v>
      </c>
      <c r="Z1312" t="n">
        <v>0</v>
      </c>
      <c r="AN1312" t="inlineStr">
        <is>
          <t>Conclave (PvP)</t>
        </is>
      </c>
      <c r="AO1312" t="n">
        <v>0</v>
      </c>
      <c r="AP1312" t="n">
        <v>0</v>
      </c>
      <c r="AS1312" t="inlineStr">
        <is>
          <t>PvP subtotal</t>
        </is>
      </c>
    </row>
    <row r="1313">
      <c r="A1313" t="inlineStr">
        <is>
          <t>Mod</t>
        </is>
      </c>
      <c r="B1313" t="inlineStr">
        <is>
          <t>Ripload</t>
        </is>
      </c>
      <c r="E1313" t="inlineStr">
        <is>
          <t>Plexus</t>
        </is>
      </c>
      <c r="F1313" t="n">
        <v>5</v>
      </c>
      <c r="G1313" t="n">
        <v>1</v>
      </c>
      <c r="H1313" t="inlineStr">
        <is>
          <t>Player trade (max rank)</t>
        </is>
      </c>
      <c r="I1313" t="inlineStr">
        <is>
          <t>Yes</t>
        </is>
      </c>
      <c r="K1313" t="inlineStr">
        <is>
          <t>Collection</t>
        </is>
      </c>
      <c r="L1313" t="n">
        <v>9</v>
      </c>
      <c r="M1313" t="n">
        <v>10</v>
      </c>
      <c r="N1313" t="n">
        <v>17</v>
      </c>
      <c r="O1313" t="inlineStr">
        <is>
          <t>2026-10-05 UTC (WFM pull 02:52-04:00)</t>
        </is>
      </c>
      <c r="P1313" t="inlineStr">
        <is>
          <t>OK</t>
        </is>
      </c>
      <c r="R1313" t="inlineStr">
        <is>
          <t>Every current tradeable mod at MAX RANK (WFM catalogue, rivens/locators excluded)</t>
        </is>
      </c>
      <c r="S1313" t="inlineStr">
        <is>
          <t>ripload</t>
        </is>
      </c>
      <c r="T1313" t="n">
        <v>58</v>
      </c>
      <c r="U1313" t="n">
        <v>0</v>
      </c>
      <c r="V1313" t="n">
        <v>15</v>
      </c>
      <c r="W1313" t="n">
        <v>10</v>
      </c>
      <c r="X1313" t="n">
        <v>15.5</v>
      </c>
      <c r="Y1313" t="n">
        <v>4</v>
      </c>
      <c r="Z1313" t="n">
        <v>0</v>
      </c>
      <c r="AN1313" t="inlineStr">
        <is>
          <t>Plexus</t>
        </is>
      </c>
      <c r="AO1313" t="n">
        <v>310</v>
      </c>
      <c r="AP1313" t="n">
        <v>14973</v>
      </c>
      <c r="AQ1313" t="n">
        <v>7</v>
      </c>
      <c r="AS1313" t="inlineStr">
        <is>
          <t>Yes</t>
        </is>
      </c>
    </row>
    <row r="1314">
      <c r="A1314" t="inlineStr">
        <is>
          <t>Mod</t>
        </is>
      </c>
      <c r="B1314" t="inlineStr">
        <is>
          <t>Ripper Rounds</t>
        </is>
      </c>
      <c r="E1314" t="inlineStr">
        <is>
          <t>Conclave (PvP)</t>
        </is>
      </c>
      <c r="F1314" t="n">
        <v>3</v>
      </c>
      <c r="G1314" t="n">
        <v>1</v>
      </c>
      <c r="H1314" t="inlineStr">
        <is>
          <t>Player trade (max rank)</t>
        </is>
      </c>
      <c r="I1314" t="inlineStr">
        <is>
          <t>Yes</t>
        </is>
      </c>
      <c r="K1314" t="inlineStr">
        <is>
          <t>Collection (PvP)</t>
        </is>
      </c>
      <c r="L1314" t="n">
        <v>90</v>
      </c>
      <c r="M1314" t="n">
        <v>90</v>
      </c>
      <c r="N1314" t="n">
        <v>199</v>
      </c>
      <c r="O1314" t="inlineStr">
        <is>
          <t>2026-10-05 UTC (WFM pull 02:52-04:00)</t>
        </is>
      </c>
      <c r="P1314" t="inlineStr">
        <is>
          <t>OK</t>
        </is>
      </c>
      <c r="R1314" t="inlineStr">
        <is>
          <t>Every current tradeable mod at MAX RANK (WFM catalogue, rivens/locators excluded)</t>
        </is>
      </c>
      <c r="S1314" t="inlineStr">
        <is>
          <t>ripper_rounds</t>
        </is>
      </c>
      <c r="T1314" t="n">
        <v>4</v>
      </c>
      <c r="U1314" t="n">
        <v>0</v>
      </c>
      <c r="W1314" t="n">
        <v>20</v>
      </c>
      <c r="X1314" t="n">
        <v>20</v>
      </c>
      <c r="Y1314" t="n">
        <v>1</v>
      </c>
      <c r="Z1314" t="n">
        <v>0</v>
      </c>
      <c r="AN1314" t="inlineStr">
        <is>
          <t>Conclave (PvP)</t>
        </is>
      </c>
      <c r="AO1314" t="n">
        <v>140</v>
      </c>
      <c r="AP1314" t="n">
        <v>6762</v>
      </c>
      <c r="AQ1314" t="n">
        <v>40</v>
      </c>
      <c r="AS1314" t="inlineStr">
        <is>
          <t>PvP subtotal</t>
        </is>
      </c>
    </row>
    <row r="1315">
      <c r="A1315" t="inlineStr">
        <is>
          <t>Mod</t>
        </is>
      </c>
      <c r="B1315" t="inlineStr">
        <is>
          <t>Ris</t>
        </is>
      </c>
      <c r="E1315" t="inlineStr">
        <is>
          <t>Parazon</t>
        </is>
      </c>
      <c r="F1315" t="n">
        <v>3</v>
      </c>
      <c r="G1315" t="n">
        <v>1</v>
      </c>
      <c r="H1315" t="inlineStr">
        <is>
          <t>Player trade (max rank)</t>
        </is>
      </c>
      <c r="I1315" t="inlineStr">
        <is>
          <t>Yes</t>
        </is>
      </c>
      <c r="K1315" t="inlineStr">
        <is>
          <t>Collection</t>
        </is>
      </c>
      <c r="L1315" t="n">
        <v>7</v>
      </c>
      <c r="M1315" t="n">
        <v>9</v>
      </c>
      <c r="N1315" t="n">
        <v>11</v>
      </c>
      <c r="O1315" t="inlineStr">
        <is>
          <t>2026-10-05 UTC (WFM pull 02:52-04:00)</t>
        </is>
      </c>
      <c r="P1315" t="inlineStr">
        <is>
          <t>OK</t>
        </is>
      </c>
      <c r="R1315" t="inlineStr">
        <is>
          <t>Every current tradeable mod at MAX RANK (WFM catalogue, rivens/locators excluded)</t>
        </is>
      </c>
      <c r="S1315" t="inlineStr">
        <is>
          <t>ris</t>
        </is>
      </c>
      <c r="T1315" t="n">
        <v>8</v>
      </c>
      <c r="U1315" t="n">
        <v>8</v>
      </c>
      <c r="V1315" t="n">
        <v>8</v>
      </c>
      <c r="W1315" t="n">
        <v>8</v>
      </c>
      <c r="X1315" t="n">
        <v>8.1</v>
      </c>
      <c r="Y1315" t="n">
        <v>2698</v>
      </c>
      <c r="Z1315" t="n">
        <v>55</v>
      </c>
      <c r="AN1315" t="inlineStr">
        <is>
          <t>Parazon</t>
        </is>
      </c>
      <c r="AO1315" t="n">
        <v>210</v>
      </c>
      <c r="AP1315" t="n">
        <v>10143</v>
      </c>
      <c r="AQ1315" t="n">
        <v>10</v>
      </c>
      <c r="AS1315" t="inlineStr">
        <is>
          <t>Yes</t>
        </is>
      </c>
    </row>
    <row r="1316">
      <c r="A1316" t="inlineStr">
        <is>
          <t>Mod</t>
        </is>
      </c>
      <c r="B1316" t="inlineStr">
        <is>
          <t>Ris Invocation</t>
        </is>
      </c>
      <c r="E1316" t="inlineStr">
        <is>
          <t>Tome</t>
        </is>
      </c>
      <c r="F1316" t="n">
        <v>3</v>
      </c>
      <c r="G1316" t="n">
        <v>1</v>
      </c>
      <c r="H1316" t="inlineStr">
        <is>
          <t>Player trade (max rank)</t>
        </is>
      </c>
      <c r="I1316" t="inlineStr">
        <is>
          <t>Yes</t>
        </is>
      </c>
      <c r="K1316" t="inlineStr">
        <is>
          <t>Collection</t>
        </is>
      </c>
      <c r="L1316" t="n">
        <v>20</v>
      </c>
      <c r="M1316" t="n">
        <v>20</v>
      </c>
      <c r="N1316" t="n">
        <v>44</v>
      </c>
      <c r="O1316" t="inlineStr">
        <is>
          <t>2026-10-05 UTC (WFM pull 02:52-04:00)</t>
        </is>
      </c>
      <c r="P1316" t="inlineStr">
        <is>
          <t>OK</t>
        </is>
      </c>
      <c r="R1316" t="inlineStr">
        <is>
          <t>Every current tradeable mod at MAX RANK (WFM catalogue, rivens/locators excluded)</t>
        </is>
      </c>
      <c r="S1316" t="inlineStr">
        <is>
          <t>ris_invocation</t>
        </is>
      </c>
      <c r="T1316" t="n">
        <v>3</v>
      </c>
      <c r="U1316" t="n">
        <v>3</v>
      </c>
      <c r="V1316" t="n">
        <v>7</v>
      </c>
      <c r="W1316" t="n">
        <v>8</v>
      </c>
      <c r="X1316" t="n">
        <v>8.4</v>
      </c>
      <c r="Y1316" t="n">
        <v>127</v>
      </c>
      <c r="Z1316" t="n">
        <v>1</v>
      </c>
      <c r="AN1316" t="inlineStr">
        <is>
          <t>Tome</t>
        </is>
      </c>
      <c r="AO1316" t="n">
        <v>210</v>
      </c>
      <c r="AP1316" t="n">
        <v>10143</v>
      </c>
      <c r="AQ1316" t="n">
        <v>10</v>
      </c>
      <c r="AS1316" t="inlineStr">
        <is>
          <t>Yes</t>
        </is>
      </c>
    </row>
    <row r="1317">
      <c r="A1317" t="inlineStr">
        <is>
          <t>Mod</t>
        </is>
      </c>
      <c r="B1317" t="inlineStr">
        <is>
          <t>Rising Skill</t>
        </is>
      </c>
      <c r="E1317" t="inlineStr">
        <is>
          <t>Conclave (PvP)</t>
        </is>
      </c>
      <c r="F1317" t="n">
        <v>3</v>
      </c>
      <c r="G1317" t="n">
        <v>1</v>
      </c>
      <c r="H1317" t="inlineStr">
        <is>
          <t>Player trade (max rank)</t>
        </is>
      </c>
      <c r="I1317" t="inlineStr">
        <is>
          <t>Yes</t>
        </is>
      </c>
      <c r="K1317" t="inlineStr">
        <is>
          <t>Collection (PvP)</t>
        </is>
      </c>
      <c r="L1317" t="n">
        <v>100</v>
      </c>
      <c r="M1317" t="n">
        <v>225</v>
      </c>
      <c r="N1317" t="n">
        <v>248</v>
      </c>
      <c r="O1317" t="inlineStr">
        <is>
          <t>2026-10-05 UTC (WFM pull 02:52-04:00)</t>
        </is>
      </c>
      <c r="P1317" t="inlineStr">
        <is>
          <t>OK</t>
        </is>
      </c>
      <c r="R1317" t="inlineStr">
        <is>
          <t>Every current tradeable mod at MAX RANK (WFM catalogue, rivens/locators excluded)</t>
        </is>
      </c>
      <c r="S1317" t="inlineStr">
        <is>
          <t>rising_skill</t>
        </is>
      </c>
      <c r="T1317" t="n">
        <v>3</v>
      </c>
      <c r="U1317" t="n">
        <v>0</v>
      </c>
      <c r="Y1317" t="n">
        <v>0</v>
      </c>
      <c r="Z1317" t="n">
        <v>0</v>
      </c>
      <c r="AN1317" t="inlineStr">
        <is>
          <t>Conclave (PvP)</t>
        </is>
      </c>
      <c r="AO1317" t="n">
        <v>140</v>
      </c>
      <c r="AP1317" t="n">
        <v>6762</v>
      </c>
      <c r="AQ1317" t="n">
        <v>42.5</v>
      </c>
      <c r="AS1317" t="inlineStr">
        <is>
          <t>PvP subtotal</t>
        </is>
      </c>
    </row>
    <row r="1318">
      <c r="A1318" t="inlineStr">
        <is>
          <t>Mod</t>
        </is>
      </c>
      <c r="B1318" t="inlineStr">
        <is>
          <t>Rising Steel</t>
        </is>
      </c>
      <c r="E1318" t="inlineStr">
        <is>
          <t>Conclave (PvP)</t>
        </is>
      </c>
      <c r="F1318" t="n">
        <v>3</v>
      </c>
      <c r="G1318" t="n">
        <v>1</v>
      </c>
      <c r="H1318" t="inlineStr">
        <is>
          <t>Player trade (max rank)</t>
        </is>
      </c>
      <c r="I1318" t="inlineStr">
        <is>
          <t>Yes</t>
        </is>
      </c>
      <c r="K1318" t="inlineStr">
        <is>
          <t>Collection (PvP)</t>
        </is>
      </c>
      <c r="L1318" t="n">
        <v>100</v>
      </c>
      <c r="M1318" t="n">
        <v>100</v>
      </c>
      <c r="N1318" t="n">
        <v>221</v>
      </c>
      <c r="O1318" t="inlineStr">
        <is>
          <t>2026-10-05 UTC (WFM pull 02:52-04:00)</t>
        </is>
      </c>
      <c r="P1318" t="inlineStr">
        <is>
          <t>OK</t>
        </is>
      </c>
      <c r="R1318" t="inlineStr">
        <is>
          <t>Every current tradeable mod at MAX RANK (WFM catalogue, rivens/locators excluded)</t>
        </is>
      </c>
      <c r="S1318" t="inlineStr">
        <is>
          <t>rising_steel</t>
        </is>
      </c>
      <c r="T1318" t="n">
        <v>3</v>
      </c>
      <c r="U1318" t="n">
        <v>0</v>
      </c>
      <c r="V1318" t="n">
        <v>20</v>
      </c>
      <c r="W1318" t="n">
        <v>20</v>
      </c>
      <c r="X1318" t="n">
        <v>20</v>
      </c>
      <c r="Y1318" t="n">
        <v>1</v>
      </c>
      <c r="Z1318" t="n">
        <v>0</v>
      </c>
      <c r="AN1318" t="inlineStr">
        <is>
          <t>Conclave (PvP)</t>
        </is>
      </c>
      <c r="AO1318" t="n">
        <v>140</v>
      </c>
      <c r="AP1318" t="n">
        <v>6762</v>
      </c>
      <c r="AQ1318" t="n">
        <v>20</v>
      </c>
      <c r="AS1318" t="inlineStr">
        <is>
          <t>PvP subtotal</t>
        </is>
      </c>
    </row>
    <row r="1319">
      <c r="A1319" t="inlineStr">
        <is>
          <t>Mod</t>
        </is>
      </c>
      <c r="B1319" t="inlineStr">
        <is>
          <t>Rising Storm</t>
        </is>
      </c>
      <c r="E1319" t="inlineStr">
        <is>
          <t>Augment Ash</t>
        </is>
      </c>
      <c r="F1319" t="n">
        <v>3</v>
      </c>
      <c r="G1319" t="n">
        <v>1</v>
      </c>
      <c r="H1319" t="inlineStr">
        <is>
          <t>Player trade (max rank)</t>
        </is>
      </c>
      <c r="I1319" t="inlineStr">
        <is>
          <t>Yes</t>
        </is>
      </c>
      <c r="K1319" t="inlineStr">
        <is>
          <t>Collection</t>
        </is>
      </c>
      <c r="L1319" t="n">
        <v>15</v>
      </c>
      <c r="M1319" t="n">
        <v>18</v>
      </c>
      <c r="N1319" t="n">
        <v>40</v>
      </c>
      <c r="O1319" t="inlineStr">
        <is>
          <t>2026-10-05 UTC (WFM pull 02:52-04:00)</t>
        </is>
      </c>
      <c r="P1319" t="inlineStr">
        <is>
          <t>OK</t>
        </is>
      </c>
      <c r="R1319" t="inlineStr">
        <is>
          <t>Every current tradeable mod at MAX RANK (WFM catalogue, rivens/locators excluded)</t>
        </is>
      </c>
      <c r="S1319" t="inlineStr">
        <is>
          <t>rising_storm</t>
        </is>
      </c>
      <c r="T1319" t="n">
        <v>5</v>
      </c>
      <c r="U1319" t="n">
        <v>5</v>
      </c>
      <c r="V1319" t="n">
        <v>12</v>
      </c>
      <c r="W1319" t="n">
        <v>12.5</v>
      </c>
      <c r="X1319" t="n">
        <v>13.7</v>
      </c>
      <c r="Y1319" t="n">
        <v>44</v>
      </c>
      <c r="Z1319" t="n">
        <v>2</v>
      </c>
      <c r="AN1319" t="inlineStr">
        <is>
          <t>Augment Ash</t>
        </is>
      </c>
      <c r="AO1319" t="n">
        <v>210</v>
      </c>
      <c r="AP1319" t="n">
        <v>10143</v>
      </c>
      <c r="AQ1319" t="n">
        <v>13</v>
      </c>
      <c r="AS1319" t="inlineStr">
        <is>
          <t>Yes</t>
        </is>
      </c>
    </row>
    <row r="1320">
      <c r="A1320" t="inlineStr">
        <is>
          <t>Mod</t>
        </is>
      </c>
      <c r="B1320" t="inlineStr">
        <is>
          <t>Rolling Guard</t>
        </is>
      </c>
      <c r="E1320" t="inlineStr">
        <is>
          <t>Warframe</t>
        </is>
      </c>
      <c r="F1320" t="n">
        <v>10</v>
      </c>
      <c r="G1320" t="n">
        <v>1</v>
      </c>
      <c r="H1320" t="inlineStr">
        <is>
          <t>Player trade (max rank)</t>
        </is>
      </c>
      <c r="I1320" t="inlineStr">
        <is>
          <t>Yes</t>
        </is>
      </c>
      <c r="K1320" t="inlineStr">
        <is>
          <t>Collection</t>
        </is>
      </c>
      <c r="L1320" t="n">
        <v>75</v>
      </c>
      <c r="M1320" t="n">
        <v>80</v>
      </c>
      <c r="N1320" t="n">
        <v>100</v>
      </c>
      <c r="O1320" t="inlineStr">
        <is>
          <t>2026-10-05 UTC (WFM pull 02:52-04:00)</t>
        </is>
      </c>
      <c r="P1320" t="inlineStr">
        <is>
          <t>OK</t>
        </is>
      </c>
      <c r="R1320" t="inlineStr">
        <is>
          <t>Every current tradeable mod at MAX RANK (WFM catalogue, rivens/locators excluded)</t>
        </is>
      </c>
      <c r="S1320" t="inlineStr">
        <is>
          <t>rolling_guard</t>
        </is>
      </c>
      <c r="T1320" t="n">
        <v>9</v>
      </c>
      <c r="U1320" t="n">
        <v>9</v>
      </c>
      <c r="V1320" t="n">
        <v>65</v>
      </c>
      <c r="W1320" t="n">
        <v>65</v>
      </c>
      <c r="X1320" t="n">
        <v>64.7</v>
      </c>
      <c r="Y1320" t="n">
        <v>3199</v>
      </c>
      <c r="Z1320" t="n">
        <v>61</v>
      </c>
      <c r="AA1320" t="n">
        <v>55</v>
      </c>
      <c r="AB1320" t="n">
        <v>20</v>
      </c>
      <c r="AN1320" t="inlineStr">
        <is>
          <t>Warframe</t>
        </is>
      </c>
      <c r="AO1320" t="n">
        <v>30690</v>
      </c>
      <c r="AP1320" t="n">
        <v>1482327</v>
      </c>
      <c r="AQ1320" t="n">
        <v>10</v>
      </c>
      <c r="AS1320" t="inlineStr">
        <is>
          <t>Yes</t>
        </is>
      </c>
    </row>
    <row r="1321">
      <c r="A1321" t="inlineStr">
        <is>
          <t>Mod</t>
        </is>
      </c>
      <c r="B1321" t="inlineStr">
        <is>
          <t>Rousing Plunder</t>
        </is>
      </c>
      <c r="E1321" t="inlineStr">
        <is>
          <t>Augment Hydroid</t>
        </is>
      </c>
      <c r="F1321" t="n">
        <v>3</v>
      </c>
      <c r="G1321" t="n">
        <v>1</v>
      </c>
      <c r="H1321" t="inlineStr">
        <is>
          <t>Player trade (max rank)</t>
        </is>
      </c>
      <c r="I1321" t="inlineStr">
        <is>
          <t>Yes</t>
        </is>
      </c>
      <c r="K1321" t="inlineStr">
        <is>
          <t>Collection</t>
        </is>
      </c>
      <c r="L1321" t="n">
        <v>20</v>
      </c>
      <c r="M1321" t="n">
        <v>25</v>
      </c>
      <c r="N1321" t="n">
        <v>44</v>
      </c>
      <c r="O1321" t="inlineStr">
        <is>
          <t>2026-10-05 UTC (WFM pull 02:52-04:00)</t>
        </is>
      </c>
      <c r="P1321" t="inlineStr">
        <is>
          <t>OK</t>
        </is>
      </c>
      <c r="R1321" t="inlineStr">
        <is>
          <t>Every current tradeable mod at MAX RANK (WFM catalogue, rivens/locators excluded)</t>
        </is>
      </c>
      <c r="S1321" t="inlineStr">
        <is>
          <t>rousing_plunder</t>
        </is>
      </c>
      <c r="T1321" t="n">
        <v>6</v>
      </c>
      <c r="U1321" t="n">
        <v>6</v>
      </c>
      <c r="V1321" t="n">
        <v>17.5</v>
      </c>
      <c r="W1321" t="n">
        <v>15</v>
      </c>
      <c r="X1321" t="n">
        <v>15.9</v>
      </c>
      <c r="Y1321" t="n">
        <v>61</v>
      </c>
      <c r="Z1321" t="n">
        <v>2</v>
      </c>
      <c r="AN1321" t="inlineStr">
        <is>
          <t>Augment Hydroid</t>
        </is>
      </c>
      <c r="AO1321" t="n">
        <v>210</v>
      </c>
      <c r="AP1321" t="n">
        <v>10143</v>
      </c>
      <c r="AQ1321" t="n">
        <v>18</v>
      </c>
      <c r="AS1321" t="inlineStr">
        <is>
          <t>Yes</t>
        </is>
      </c>
    </row>
    <row r="1322">
      <c r="A1322" t="inlineStr">
        <is>
          <t>Mod</t>
        </is>
      </c>
      <c r="B1322" t="inlineStr">
        <is>
          <t>Rubble Heap</t>
        </is>
      </c>
      <c r="E1322" t="inlineStr">
        <is>
          <t>Augment Atlas</t>
        </is>
      </c>
      <c r="F1322" t="n">
        <v>3</v>
      </c>
      <c r="G1322" t="n">
        <v>1</v>
      </c>
      <c r="H1322" t="inlineStr">
        <is>
          <t>Player trade (max rank)</t>
        </is>
      </c>
      <c r="I1322" t="inlineStr">
        <is>
          <t>Yes</t>
        </is>
      </c>
      <c r="K1322" t="inlineStr">
        <is>
          <t>Collection</t>
        </is>
      </c>
      <c r="L1322" t="n">
        <v>20</v>
      </c>
      <c r="M1322" t="n">
        <v>22.5</v>
      </c>
      <c r="N1322" t="n">
        <v>50</v>
      </c>
      <c r="O1322" t="inlineStr">
        <is>
          <t>2026-10-05 UTC (WFM pull 02:52-04:00)</t>
        </is>
      </c>
      <c r="P1322" t="inlineStr">
        <is>
          <t>OK</t>
        </is>
      </c>
      <c r="R1322" t="inlineStr">
        <is>
          <t>Every current tradeable mod at MAX RANK (WFM catalogue, rivens/locators excluded)</t>
        </is>
      </c>
      <c r="S1322" t="inlineStr">
        <is>
          <t>rubble_heap</t>
        </is>
      </c>
      <c r="T1322" t="n">
        <v>4</v>
      </c>
      <c r="U1322" t="n">
        <v>4</v>
      </c>
      <c r="V1322" t="n">
        <v>15</v>
      </c>
      <c r="W1322" t="n">
        <v>15</v>
      </c>
      <c r="X1322" t="n">
        <v>15</v>
      </c>
      <c r="Y1322" t="n">
        <v>171</v>
      </c>
      <c r="Z1322" t="n">
        <v>6</v>
      </c>
      <c r="AN1322" t="inlineStr">
        <is>
          <t>Augment Atlas</t>
        </is>
      </c>
      <c r="AO1322" t="n">
        <v>210</v>
      </c>
      <c r="AP1322" t="n">
        <v>10143</v>
      </c>
      <c r="AQ1322" t="n">
        <v>15.8</v>
      </c>
      <c r="AS1322" t="inlineStr">
        <is>
          <t>Yes</t>
        </is>
      </c>
    </row>
    <row r="1323">
      <c r="A1323" t="inlineStr">
        <is>
          <t>Mod</t>
        </is>
      </c>
      <c r="B1323" t="inlineStr">
        <is>
          <t>Rubedo-Lined Barrel</t>
        </is>
      </c>
      <c r="E1323" t="inlineStr">
        <is>
          <t>Archgun</t>
        </is>
      </c>
      <c r="F1323" t="n">
        <v>5</v>
      </c>
      <c r="G1323" t="n">
        <v>1</v>
      </c>
      <c r="H1323" t="inlineStr">
        <is>
          <t>Player trade (max rank)</t>
        </is>
      </c>
      <c r="I1323" t="inlineStr">
        <is>
          <t>Yes</t>
        </is>
      </c>
      <c r="K1323" t="inlineStr">
        <is>
          <t>Collection</t>
        </is>
      </c>
      <c r="L1323" t="n">
        <v>7</v>
      </c>
      <c r="M1323" t="n">
        <v>10.5</v>
      </c>
      <c r="N1323" t="n">
        <v>24</v>
      </c>
      <c r="O1323" t="inlineStr">
        <is>
          <t>2026-10-05 UTC (WFM pull 02:52-04:00)</t>
        </is>
      </c>
      <c r="P1323" t="inlineStr">
        <is>
          <t>OK</t>
        </is>
      </c>
      <c r="R1323" t="inlineStr">
        <is>
          <t>Every current tradeable mod at MAX RANK (WFM catalogue, rivens/locators excluded)</t>
        </is>
      </c>
      <c r="S1323" t="inlineStr">
        <is>
          <t>rubedo_lined_barrel</t>
        </is>
      </c>
      <c r="T1323" t="n">
        <v>4</v>
      </c>
      <c r="U1323" t="n">
        <v>4</v>
      </c>
      <c r="V1323" t="n">
        <v>7</v>
      </c>
      <c r="W1323" t="n">
        <v>9</v>
      </c>
      <c r="X1323" t="n">
        <v>8.9</v>
      </c>
      <c r="Y1323" t="n">
        <v>27</v>
      </c>
      <c r="Z1323" t="n">
        <v>2</v>
      </c>
      <c r="AN1323" t="inlineStr">
        <is>
          <t>Archgun</t>
        </is>
      </c>
      <c r="AO1323" t="n">
        <v>620</v>
      </c>
      <c r="AP1323" t="n">
        <v>29946</v>
      </c>
      <c r="AQ1323" t="n">
        <v>4</v>
      </c>
      <c r="AS1323" t="inlineStr">
        <is>
          <t>Yes</t>
        </is>
      </c>
    </row>
    <row r="1324">
      <c r="A1324" t="inlineStr">
        <is>
          <t>Mod</t>
        </is>
      </c>
      <c r="B1324" t="inlineStr">
        <is>
          <t>Ruinous Extension</t>
        </is>
      </c>
      <c r="E1324" t="inlineStr">
        <is>
          <t>Pistol</t>
        </is>
      </c>
      <c r="F1324" t="n">
        <v>3</v>
      </c>
      <c r="G1324" t="n">
        <v>1</v>
      </c>
      <c r="H1324" t="inlineStr">
        <is>
          <t>Player trade (max rank)</t>
        </is>
      </c>
      <c r="I1324" t="inlineStr">
        <is>
          <t>Yes</t>
        </is>
      </c>
      <c r="K1324" t="inlineStr">
        <is>
          <t>Collection</t>
        </is>
      </c>
      <c r="L1324" t="n">
        <v>29</v>
      </c>
      <c r="M1324" t="n">
        <v>44</v>
      </c>
      <c r="N1324" t="n">
        <v>50</v>
      </c>
      <c r="O1324" t="inlineStr">
        <is>
          <t>2026-10-05 UTC (WFM pull 02:52-04:00)</t>
        </is>
      </c>
      <c r="P1324" t="inlineStr">
        <is>
          <t>OK</t>
        </is>
      </c>
      <c r="R1324" t="inlineStr">
        <is>
          <t>Every current tradeable mod at MAX RANK (WFM catalogue, rivens/locators excluded)</t>
        </is>
      </c>
      <c r="S1324" t="inlineStr">
        <is>
          <t>ruinous_extension</t>
        </is>
      </c>
      <c r="T1324" t="n">
        <v>7</v>
      </c>
      <c r="U1324" t="n">
        <v>7</v>
      </c>
      <c r="V1324" t="n">
        <v>30</v>
      </c>
      <c r="W1324" t="n">
        <v>30</v>
      </c>
      <c r="X1324" t="n">
        <v>30.2</v>
      </c>
      <c r="Y1324" t="n">
        <v>748</v>
      </c>
      <c r="Z1324" t="n">
        <v>10</v>
      </c>
      <c r="AA1324" t="n">
        <v>15</v>
      </c>
      <c r="AB1324" t="n">
        <v>14</v>
      </c>
      <c r="AN1324" t="inlineStr">
        <is>
          <t>Pistol</t>
        </is>
      </c>
      <c r="AO1324" t="n">
        <v>140</v>
      </c>
      <c r="AP1324" t="n">
        <v>6762</v>
      </c>
      <c r="AQ1324" t="n">
        <v>35</v>
      </c>
      <c r="AS1324" t="inlineStr">
        <is>
          <t>Yes</t>
        </is>
      </c>
    </row>
    <row r="1325">
      <c r="A1325" t="inlineStr">
        <is>
          <t>Mod</t>
        </is>
      </c>
      <c r="B1325" t="inlineStr">
        <is>
          <t>Rumbled</t>
        </is>
      </c>
      <c r="E1325" t="inlineStr">
        <is>
          <t>Augment Atlas</t>
        </is>
      </c>
      <c r="F1325" t="n">
        <v>3</v>
      </c>
      <c r="G1325" t="n">
        <v>1</v>
      </c>
      <c r="H1325" t="inlineStr">
        <is>
          <t>Player trade (max rank)</t>
        </is>
      </c>
      <c r="I1325" t="inlineStr">
        <is>
          <t>Yes</t>
        </is>
      </c>
      <c r="K1325" t="inlineStr">
        <is>
          <t>Collection</t>
        </is>
      </c>
      <c r="L1325" t="n">
        <v>20</v>
      </c>
      <c r="M1325" t="n">
        <v>20</v>
      </c>
      <c r="N1325" t="n">
        <v>44</v>
      </c>
      <c r="O1325" t="inlineStr">
        <is>
          <t>2026-10-05 UTC (WFM pull 02:52-04:00)</t>
        </is>
      </c>
      <c r="P1325" t="inlineStr">
        <is>
          <t>OK</t>
        </is>
      </c>
      <c r="R1325" t="inlineStr">
        <is>
          <t>Every current tradeable mod at MAX RANK (WFM catalogue, rivens/locators excluded)</t>
        </is>
      </c>
      <c r="S1325" t="inlineStr">
        <is>
          <t>rumbled</t>
        </is>
      </c>
      <c r="T1325" t="n">
        <v>6</v>
      </c>
      <c r="U1325" t="n">
        <v>6</v>
      </c>
      <c r="V1325" t="n">
        <v>13</v>
      </c>
      <c r="W1325" t="n">
        <v>13</v>
      </c>
      <c r="X1325" t="n">
        <v>14.2</v>
      </c>
      <c r="Y1325" t="n">
        <v>107</v>
      </c>
      <c r="Z1325" t="n">
        <v>1</v>
      </c>
      <c r="AN1325" t="inlineStr">
        <is>
          <t>Augment Atlas</t>
        </is>
      </c>
      <c r="AO1325" t="n">
        <v>210</v>
      </c>
      <c r="AP1325" t="n">
        <v>10143</v>
      </c>
      <c r="AQ1325" t="n">
        <v>15</v>
      </c>
      <c r="AS1325" t="inlineStr">
        <is>
          <t>Yes</t>
        </is>
      </c>
    </row>
    <row r="1326">
      <c r="A1326" t="inlineStr">
        <is>
          <t>Mod</t>
        </is>
      </c>
      <c r="B1326" t="inlineStr">
        <is>
          <t>Runtime</t>
        </is>
      </c>
      <c r="E1326" t="inlineStr">
        <is>
          <t>Parazon</t>
        </is>
      </c>
      <c r="G1326" t="n">
        <v>1</v>
      </c>
      <c r="H1326" t="inlineStr">
        <is>
          <t>Player trade (max rank)</t>
        </is>
      </c>
      <c r="I1326" t="inlineStr">
        <is>
          <t>Yes</t>
        </is>
      </c>
      <c r="K1326" t="inlineStr">
        <is>
          <t>Collection</t>
        </is>
      </c>
      <c r="L1326" t="n">
        <v>5</v>
      </c>
      <c r="M1326" t="n">
        <v>5</v>
      </c>
      <c r="N1326" t="n">
        <v>7</v>
      </c>
      <c r="O1326" t="inlineStr">
        <is>
          <t>2026-10-05 UTC (WFM pull 02:52-04:00)</t>
        </is>
      </c>
      <c r="P1326" t="inlineStr">
        <is>
          <t>OK</t>
        </is>
      </c>
      <c r="R1326" t="inlineStr">
        <is>
          <t>Every current tradeable mod at MAX RANK (WFM catalogue, rivens/locators excluded)</t>
        </is>
      </c>
      <c r="S1326" t="inlineStr">
        <is>
          <t>runtime</t>
        </is>
      </c>
      <c r="T1326" t="n">
        <v>11</v>
      </c>
      <c r="U1326" t="n">
        <v>11</v>
      </c>
      <c r="V1326" t="n">
        <v>5</v>
      </c>
      <c r="W1326" t="n">
        <v>5.5</v>
      </c>
      <c r="X1326" t="n">
        <v>5.8</v>
      </c>
      <c r="Y1326" t="n">
        <v>379</v>
      </c>
      <c r="Z1326" t="n">
        <v>3</v>
      </c>
      <c r="AN1326" t="inlineStr">
        <is>
          <t>Parazon</t>
        </is>
      </c>
      <c r="AO1326" t="n">
        <v>0</v>
      </c>
      <c r="AP1326" t="n">
        <v>0</v>
      </c>
      <c r="AS1326" t="inlineStr">
        <is>
          <t>Yes</t>
        </is>
      </c>
    </row>
    <row r="1327">
      <c r="A1327" t="inlineStr">
        <is>
          <t>Mod</t>
        </is>
      </c>
      <c r="B1327" t="inlineStr">
        <is>
          <t>Rupture</t>
        </is>
      </c>
      <c r="E1327" t="inlineStr">
        <is>
          <t>Rifle</t>
        </is>
      </c>
      <c r="F1327" t="n">
        <v>5</v>
      </c>
      <c r="G1327" t="n">
        <v>1</v>
      </c>
      <c r="H1327" t="inlineStr">
        <is>
          <t>Player trade (max rank)</t>
        </is>
      </c>
      <c r="I1327" t="inlineStr">
        <is>
          <t>Yes</t>
        </is>
      </c>
      <c r="K1327" t="inlineStr">
        <is>
          <t>Collection</t>
        </is>
      </c>
      <c r="L1327" t="n">
        <v>4</v>
      </c>
      <c r="M1327" t="n">
        <v>4</v>
      </c>
      <c r="N1327" t="n">
        <v>9</v>
      </c>
      <c r="O1327" t="inlineStr">
        <is>
          <t>2026-10-05 UTC (WFM pull 02:52-04:00)</t>
        </is>
      </c>
      <c r="P1327" t="inlineStr">
        <is>
          <t>OK</t>
        </is>
      </c>
      <c r="R1327" t="inlineStr">
        <is>
          <t>Every current tradeable mod at MAX RANK (WFM catalogue, rivens/locators excluded)</t>
        </is>
      </c>
      <c r="S1327" t="inlineStr">
        <is>
          <t>rupture</t>
        </is>
      </c>
      <c r="T1327" t="n">
        <v>51</v>
      </c>
      <c r="U1327" t="n">
        <v>1</v>
      </c>
      <c r="W1327" t="n">
        <v>2</v>
      </c>
      <c r="X1327" t="n">
        <v>2</v>
      </c>
      <c r="Y1327" t="n">
        <v>1</v>
      </c>
      <c r="Z1327" t="n">
        <v>0</v>
      </c>
      <c r="AN1327" t="inlineStr">
        <is>
          <t>Rifle</t>
        </is>
      </c>
      <c r="AO1327" t="n">
        <v>310</v>
      </c>
      <c r="AP1327" t="n">
        <v>14973</v>
      </c>
      <c r="AQ1327" t="n">
        <v>6</v>
      </c>
      <c r="AS1327" t="inlineStr">
        <is>
          <t>Yes</t>
        </is>
      </c>
    </row>
    <row r="1328">
      <c r="A1328" t="inlineStr">
        <is>
          <t>Mod</t>
        </is>
      </c>
      <c r="B1328" t="inlineStr">
        <is>
          <t>Rush</t>
        </is>
      </c>
      <c r="E1328" t="inlineStr">
        <is>
          <t>Warframe</t>
        </is>
      </c>
      <c r="F1328" t="n">
        <v>5</v>
      </c>
      <c r="G1328" t="n">
        <v>1</v>
      </c>
      <c r="H1328" t="inlineStr">
        <is>
          <t>Player trade (max rank)</t>
        </is>
      </c>
      <c r="I1328" t="inlineStr">
        <is>
          <t>Yes</t>
        </is>
      </c>
      <c r="K1328" t="inlineStr">
        <is>
          <t>Collection</t>
        </is>
      </c>
      <c r="L1328" t="n">
        <v>5</v>
      </c>
      <c r="M1328" t="n">
        <v>15</v>
      </c>
      <c r="N1328" t="n">
        <v>33</v>
      </c>
      <c r="O1328" t="inlineStr">
        <is>
          <t>2026-10-05 UTC (WFM pull 02:52-04:00)</t>
        </is>
      </c>
      <c r="P1328" t="inlineStr">
        <is>
          <t>OK</t>
        </is>
      </c>
      <c r="R1328" t="inlineStr">
        <is>
          <t>Every current tradeable mod at MAX RANK (WFM catalogue, rivens/locators excluded)</t>
        </is>
      </c>
      <c r="S1328" t="inlineStr">
        <is>
          <t>rush</t>
        </is>
      </c>
      <c r="T1328" t="n">
        <v>4</v>
      </c>
      <c r="U1328" t="n">
        <v>4</v>
      </c>
      <c r="V1328" t="n">
        <v>10</v>
      </c>
      <c r="W1328" t="n">
        <v>8</v>
      </c>
      <c r="X1328" t="n">
        <v>8.4</v>
      </c>
      <c r="Y1328" t="n">
        <v>37</v>
      </c>
      <c r="Z1328" t="n">
        <v>0</v>
      </c>
      <c r="AN1328" t="inlineStr">
        <is>
          <t>Warframe</t>
        </is>
      </c>
      <c r="AO1328" t="n">
        <v>620</v>
      </c>
      <c r="AP1328" t="n">
        <v>29946</v>
      </c>
      <c r="AQ1328" t="n">
        <v>4</v>
      </c>
      <c r="AS1328" t="inlineStr">
        <is>
          <t>Yes</t>
        </is>
      </c>
    </row>
    <row r="1329">
      <c r="A1329" t="inlineStr">
        <is>
          <t>Mod</t>
        </is>
      </c>
      <c r="B1329" t="inlineStr">
        <is>
          <t>Sabot Rounds</t>
        </is>
      </c>
      <c r="E1329" t="inlineStr">
        <is>
          <t>Archgun</t>
        </is>
      </c>
      <c r="F1329" t="n">
        <v>5</v>
      </c>
      <c r="G1329" t="n">
        <v>1</v>
      </c>
      <c r="H1329" t="inlineStr">
        <is>
          <t>Player trade (max rank)</t>
        </is>
      </c>
      <c r="I1329" t="inlineStr">
        <is>
          <t>Yes</t>
        </is>
      </c>
      <c r="K1329" t="inlineStr">
        <is>
          <t>Collection</t>
        </is>
      </c>
      <c r="L1329" t="n">
        <v>49</v>
      </c>
      <c r="M1329" t="n">
        <v>55</v>
      </c>
      <c r="N1329" t="n">
        <v>77</v>
      </c>
      <c r="O1329" t="inlineStr">
        <is>
          <t>2026-10-05 UTC (WFM pull 02:52-04:00)</t>
        </is>
      </c>
      <c r="P1329" t="inlineStr">
        <is>
          <t>OK</t>
        </is>
      </c>
      <c r="R1329" t="inlineStr">
        <is>
          <t>Every current tradeable mod at MAX RANK (WFM catalogue, rivens/locators excluded)</t>
        </is>
      </c>
      <c r="S1329" t="inlineStr">
        <is>
          <t>sabot_rounds</t>
        </is>
      </c>
      <c r="T1329" t="n">
        <v>9</v>
      </c>
      <c r="U1329" t="n">
        <v>9</v>
      </c>
      <c r="V1329" t="n">
        <v>50</v>
      </c>
      <c r="W1329" t="n">
        <v>50</v>
      </c>
      <c r="X1329" t="n">
        <v>49.1</v>
      </c>
      <c r="Y1329" t="n">
        <v>528</v>
      </c>
      <c r="Z1329" t="n">
        <v>17</v>
      </c>
      <c r="AN1329" t="inlineStr">
        <is>
          <t>Archgun</t>
        </is>
      </c>
      <c r="AO1329" t="n">
        <v>930</v>
      </c>
      <c r="AP1329" t="n">
        <v>44919</v>
      </c>
      <c r="AQ1329" t="n">
        <v>50</v>
      </c>
      <c r="AS1329" t="inlineStr">
        <is>
          <t>Yes</t>
        </is>
      </c>
    </row>
    <row r="1330">
      <c r="A1330" t="inlineStr">
        <is>
          <t>Mod</t>
        </is>
      </c>
      <c r="B1330" t="inlineStr">
        <is>
          <t>Sacrifice</t>
        </is>
      </c>
      <c r="E1330" t="inlineStr">
        <is>
          <t>Sentinel</t>
        </is>
      </c>
      <c r="F1330" t="n">
        <v>3</v>
      </c>
      <c r="G1330" t="n">
        <v>1</v>
      </c>
      <c r="H1330" t="inlineStr">
        <is>
          <t>Player trade (max rank)</t>
        </is>
      </c>
      <c r="I1330" t="inlineStr">
        <is>
          <t>Yes</t>
        </is>
      </c>
      <c r="K1330" t="inlineStr">
        <is>
          <t>Collection</t>
        </is>
      </c>
      <c r="L1330" t="n">
        <v>24</v>
      </c>
      <c r="M1330" t="n">
        <v>24</v>
      </c>
      <c r="N1330" t="n">
        <v>53</v>
      </c>
      <c r="O1330" t="inlineStr">
        <is>
          <t>2026-10-05 UTC (WFM pull 02:52-04:00)</t>
        </is>
      </c>
      <c r="P1330" t="inlineStr">
        <is>
          <t>OK</t>
        </is>
      </c>
      <c r="R1330" t="inlineStr">
        <is>
          <t>Every current tradeable mod at MAX RANK (WFM catalogue, rivens/locators excluded)</t>
        </is>
      </c>
      <c r="S1330" t="inlineStr">
        <is>
          <t>sacrifice</t>
        </is>
      </c>
      <c r="T1330" t="n">
        <v>7</v>
      </c>
      <c r="U1330" t="n">
        <v>7</v>
      </c>
      <c r="V1330" t="n">
        <v>16</v>
      </c>
      <c r="W1330" t="n">
        <v>20</v>
      </c>
      <c r="X1330" t="n">
        <v>21.3</v>
      </c>
      <c r="Y1330" t="n">
        <v>194</v>
      </c>
      <c r="Z1330" t="n">
        <v>5</v>
      </c>
      <c r="AN1330" t="inlineStr">
        <is>
          <t>Sentinel</t>
        </is>
      </c>
      <c r="AO1330" t="n">
        <v>210</v>
      </c>
      <c r="AP1330" t="n">
        <v>10143</v>
      </c>
      <c r="AQ1330" t="n">
        <v>15</v>
      </c>
      <c r="AS1330" t="inlineStr">
        <is>
          <t>Yes</t>
        </is>
      </c>
    </row>
    <row r="1331">
      <c r="A1331" t="inlineStr">
        <is>
          <t>Mod</t>
        </is>
      </c>
      <c r="B1331" t="inlineStr">
        <is>
          <t>Safeguard</t>
        </is>
      </c>
      <c r="E1331" t="inlineStr">
        <is>
          <t>Augment Nezha</t>
        </is>
      </c>
      <c r="F1331" t="n">
        <v>3</v>
      </c>
      <c r="G1331" t="n">
        <v>1</v>
      </c>
      <c r="H1331" t="inlineStr">
        <is>
          <t>Player trade (max rank)</t>
        </is>
      </c>
      <c r="I1331" t="inlineStr">
        <is>
          <t>Yes</t>
        </is>
      </c>
      <c r="K1331" t="inlineStr">
        <is>
          <t>Collection</t>
        </is>
      </c>
      <c r="L1331" t="n">
        <v>15</v>
      </c>
      <c r="M1331" t="n">
        <v>22.5</v>
      </c>
      <c r="N1331" t="n">
        <v>50</v>
      </c>
      <c r="O1331" t="inlineStr">
        <is>
          <t>2026-10-05 UTC (WFM pull 02:52-04:00)</t>
        </is>
      </c>
      <c r="P1331" t="inlineStr">
        <is>
          <t>OK</t>
        </is>
      </c>
      <c r="R1331" t="inlineStr">
        <is>
          <t>Every current tradeable mod at MAX RANK (WFM catalogue, rivens/locators excluded)</t>
        </is>
      </c>
      <c r="S1331" t="inlineStr">
        <is>
          <t>safeguard</t>
        </is>
      </c>
      <c r="T1331" t="n">
        <v>3</v>
      </c>
      <c r="U1331" t="n">
        <v>3</v>
      </c>
      <c r="V1331" t="n">
        <v>15</v>
      </c>
      <c r="W1331" t="n">
        <v>20</v>
      </c>
      <c r="X1331" t="n">
        <v>20.6</v>
      </c>
      <c r="Y1331" t="n">
        <v>9</v>
      </c>
      <c r="Z1331" t="n">
        <v>0</v>
      </c>
      <c r="AN1331" t="inlineStr">
        <is>
          <t>Augment Nezha</t>
        </is>
      </c>
      <c r="AO1331" t="n">
        <v>210</v>
      </c>
      <c r="AP1331" t="n">
        <v>10143</v>
      </c>
      <c r="AQ1331" t="n">
        <v>17</v>
      </c>
      <c r="AS1331" t="inlineStr">
        <is>
          <t>Yes</t>
        </is>
      </c>
    </row>
    <row r="1332">
      <c r="A1332" t="inlineStr">
        <is>
          <t>Mod</t>
        </is>
      </c>
      <c r="B1332" t="inlineStr">
        <is>
          <t>Safeguard Switch</t>
        </is>
      </c>
      <c r="E1332" t="inlineStr">
        <is>
          <t>Augment Loki</t>
        </is>
      </c>
      <c r="F1332" t="n">
        <v>3</v>
      </c>
      <c r="G1332" t="n">
        <v>1</v>
      </c>
      <c r="H1332" t="inlineStr">
        <is>
          <t>Player trade (max rank)</t>
        </is>
      </c>
      <c r="I1332" t="inlineStr">
        <is>
          <t>Yes</t>
        </is>
      </c>
      <c r="K1332" t="inlineStr">
        <is>
          <t>Collection</t>
        </is>
      </c>
      <c r="L1332" t="n">
        <v>15</v>
      </c>
      <c r="M1332" t="n">
        <v>21</v>
      </c>
      <c r="N1332" t="n">
        <v>47</v>
      </c>
      <c r="O1332" t="inlineStr">
        <is>
          <t>2026-10-05 UTC (WFM pull 02:52-04:00)</t>
        </is>
      </c>
      <c r="P1332" t="inlineStr">
        <is>
          <t>OK</t>
        </is>
      </c>
      <c r="R1332" t="inlineStr">
        <is>
          <t>Every current tradeable mod at MAX RANK (WFM catalogue, rivens/locators excluded)</t>
        </is>
      </c>
      <c r="S1332" t="inlineStr">
        <is>
          <t>safeguard_switch</t>
        </is>
      </c>
      <c r="T1332" t="n">
        <v>5</v>
      </c>
      <c r="U1332" t="n">
        <v>5</v>
      </c>
      <c r="V1332" t="n">
        <v>14</v>
      </c>
      <c r="W1332" t="n">
        <v>15</v>
      </c>
      <c r="X1332" t="n">
        <v>15.7</v>
      </c>
      <c r="Y1332" t="n">
        <v>38</v>
      </c>
      <c r="Z1332" t="n">
        <v>0</v>
      </c>
      <c r="AN1332" t="inlineStr">
        <is>
          <t>Augment Loki</t>
        </is>
      </c>
      <c r="AO1332" t="n">
        <v>210</v>
      </c>
      <c r="AP1332" t="n">
        <v>10143</v>
      </c>
      <c r="AQ1332" t="n">
        <v>14</v>
      </c>
      <c r="AS1332" t="inlineStr">
        <is>
          <t>Yes</t>
        </is>
      </c>
    </row>
    <row r="1333">
      <c r="A1333" t="inlineStr">
        <is>
          <t>Mod</t>
        </is>
      </c>
      <c r="B1333" t="inlineStr">
        <is>
          <t>Sanctuary</t>
        </is>
      </c>
      <c r="E1333" t="inlineStr">
        <is>
          <t>Robotic</t>
        </is>
      </c>
      <c r="F1333" t="n">
        <v>10</v>
      </c>
      <c r="G1333" t="n">
        <v>1</v>
      </c>
      <c r="H1333" t="inlineStr">
        <is>
          <t>Player trade (max rank)</t>
        </is>
      </c>
      <c r="I1333" t="inlineStr">
        <is>
          <t>Yes</t>
        </is>
      </c>
      <c r="K1333" t="inlineStr">
        <is>
          <t>Collection</t>
        </is>
      </c>
      <c r="L1333" t="n">
        <v>65</v>
      </c>
      <c r="M1333" t="n">
        <v>75</v>
      </c>
      <c r="N1333" t="n">
        <v>143</v>
      </c>
      <c r="O1333" t="inlineStr">
        <is>
          <t>2026-10-05 UTC (WFM pull 02:52-04:00)</t>
        </is>
      </c>
      <c r="P1333" t="inlineStr">
        <is>
          <t>OK</t>
        </is>
      </c>
      <c r="R1333" t="inlineStr">
        <is>
          <t>Every current tradeable mod at MAX RANK (WFM catalogue, rivens/locators excluded)</t>
        </is>
      </c>
      <c r="S1333" t="inlineStr">
        <is>
          <t>sanctuary</t>
        </is>
      </c>
      <c r="T1333" t="n">
        <v>6</v>
      </c>
      <c r="U1333" t="n">
        <v>6</v>
      </c>
      <c r="V1333" t="n">
        <v>50</v>
      </c>
      <c r="W1333" t="n">
        <v>45</v>
      </c>
      <c r="X1333" t="n">
        <v>48.9</v>
      </c>
      <c r="Y1333" t="n">
        <v>29</v>
      </c>
      <c r="Z1333" t="n">
        <v>1</v>
      </c>
      <c r="AA1333" t="n">
        <v>25</v>
      </c>
      <c r="AB1333" t="n">
        <v>40</v>
      </c>
      <c r="AN1333" t="inlineStr">
        <is>
          <t>Robotic</t>
        </is>
      </c>
      <c r="AO1333" t="n">
        <v>30690</v>
      </c>
      <c r="AP1333" t="n">
        <v>1482327</v>
      </c>
      <c r="AQ1333" t="n">
        <v>4</v>
      </c>
      <c r="AS1333" t="inlineStr">
        <is>
          <t>Yes</t>
        </is>
      </c>
    </row>
    <row r="1334">
      <c r="A1334" t="inlineStr">
        <is>
          <t>Mod</t>
        </is>
      </c>
      <c r="B1334" t="inlineStr">
        <is>
          <t>Sapping Reach</t>
        </is>
      </c>
      <c r="E1334" t="inlineStr">
        <is>
          <t>Augment Mag</t>
        </is>
      </c>
      <c r="F1334" t="n">
        <v>3</v>
      </c>
      <c r="G1334" t="n">
        <v>1</v>
      </c>
      <c r="H1334" t="inlineStr">
        <is>
          <t>Player trade (max rank)</t>
        </is>
      </c>
      <c r="I1334" t="inlineStr">
        <is>
          <t>Yes</t>
        </is>
      </c>
      <c r="K1334" t="inlineStr">
        <is>
          <t>Collection</t>
        </is>
      </c>
      <c r="L1334" t="n">
        <v>50</v>
      </c>
      <c r="M1334" t="n">
        <v>75</v>
      </c>
      <c r="N1334" t="n">
        <v>165</v>
      </c>
      <c r="O1334" t="inlineStr">
        <is>
          <t>2026-10-05 UTC (WFM pull 02:52-04:00)</t>
        </is>
      </c>
      <c r="P1334" t="inlineStr">
        <is>
          <t>THIN</t>
        </is>
      </c>
      <c r="R1334" t="inlineStr">
        <is>
          <t>Every current tradeable mod at MAX RANK (WFM catalogue, rivens/locators excluded)</t>
        </is>
      </c>
      <c r="S1334" t="inlineStr">
        <is>
          <t>sapping_reach</t>
        </is>
      </c>
      <c r="T1334" t="n">
        <v>2</v>
      </c>
      <c r="U1334" t="n">
        <v>0</v>
      </c>
      <c r="V1334" t="n">
        <v>50</v>
      </c>
      <c r="W1334" t="n">
        <v>50</v>
      </c>
      <c r="X1334" t="n">
        <v>46.7</v>
      </c>
      <c r="Y1334" t="n">
        <v>3</v>
      </c>
      <c r="Z1334" t="n">
        <v>0</v>
      </c>
      <c r="AN1334" t="inlineStr">
        <is>
          <t>Augment Mag</t>
        </is>
      </c>
      <c r="AO1334" t="n">
        <v>210</v>
      </c>
      <c r="AP1334" t="n">
        <v>10143</v>
      </c>
      <c r="AQ1334" t="n">
        <v>90</v>
      </c>
      <c r="AS1334" t="inlineStr">
        <is>
          <t>Yes</t>
        </is>
      </c>
    </row>
    <row r="1335">
      <c r="A1335" t="inlineStr">
        <is>
          <t>Mod</t>
        </is>
      </c>
      <c r="B1335" t="inlineStr">
        <is>
          <t>Savage Silence</t>
        </is>
      </c>
      <c r="E1335" t="inlineStr">
        <is>
          <t>Augment Banshee</t>
        </is>
      </c>
      <c r="F1335" t="n">
        <v>3</v>
      </c>
      <c r="G1335" t="n">
        <v>1</v>
      </c>
      <c r="H1335" t="inlineStr">
        <is>
          <t>Player trade (max rank)</t>
        </is>
      </c>
      <c r="I1335" t="inlineStr">
        <is>
          <t>Yes</t>
        </is>
      </c>
      <c r="K1335" t="inlineStr">
        <is>
          <t>Collection</t>
        </is>
      </c>
      <c r="L1335" t="n">
        <v>19</v>
      </c>
      <c r="M1335" t="n">
        <v>23.2</v>
      </c>
      <c r="N1335" t="n">
        <v>48</v>
      </c>
      <c r="O1335" t="inlineStr">
        <is>
          <t>2026-10-05 UTC (WFM pull 02:52-04:00)</t>
        </is>
      </c>
      <c r="P1335" t="inlineStr">
        <is>
          <t>OK</t>
        </is>
      </c>
      <c r="R1335" t="inlineStr">
        <is>
          <t>Every current tradeable mod at MAX RANK (WFM catalogue, rivens/locators excluded)</t>
        </is>
      </c>
      <c r="S1335" t="inlineStr">
        <is>
          <t>savage_silence</t>
        </is>
      </c>
      <c r="T1335" t="n">
        <v>7</v>
      </c>
      <c r="U1335" t="n">
        <v>7</v>
      </c>
      <c r="V1335" t="n">
        <v>15.5</v>
      </c>
      <c r="W1335" t="n">
        <v>15</v>
      </c>
      <c r="X1335" t="n">
        <v>15.7</v>
      </c>
      <c r="Y1335" t="n">
        <v>131</v>
      </c>
      <c r="Z1335" t="n">
        <v>2</v>
      </c>
      <c r="AN1335" t="inlineStr">
        <is>
          <t>Augment Banshee</t>
        </is>
      </c>
      <c r="AO1335" t="n">
        <v>210</v>
      </c>
      <c r="AP1335" t="n">
        <v>10143</v>
      </c>
      <c r="AQ1335" t="n">
        <v>21</v>
      </c>
      <c r="AS1335" t="inlineStr">
        <is>
          <t>Yes</t>
        </is>
      </c>
    </row>
    <row r="1336">
      <c r="A1336" t="inlineStr">
        <is>
          <t>Mod</t>
        </is>
      </c>
      <c r="B1336" t="inlineStr">
        <is>
          <t>Savagery</t>
        </is>
      </c>
      <c r="E1336" t="inlineStr">
        <is>
          <t>Sunika Kubrow</t>
        </is>
      </c>
      <c r="F1336" t="n">
        <v>5</v>
      </c>
      <c r="G1336" t="n">
        <v>1</v>
      </c>
      <c r="H1336" t="inlineStr">
        <is>
          <t>Player trade (max rank)</t>
        </is>
      </c>
      <c r="I1336" t="inlineStr">
        <is>
          <t>Yes</t>
        </is>
      </c>
      <c r="K1336" t="inlineStr">
        <is>
          <t>Collection</t>
        </is>
      </c>
      <c r="L1336" t="n">
        <v>20</v>
      </c>
      <c r="M1336" t="n">
        <v>20</v>
      </c>
      <c r="N1336" t="n">
        <v>44</v>
      </c>
      <c r="O1336" t="inlineStr">
        <is>
          <t>2026-10-05 UTC (WFM pull 02:52-04:00)</t>
        </is>
      </c>
      <c r="P1336" t="inlineStr">
        <is>
          <t>OK</t>
        </is>
      </c>
      <c r="R1336" t="inlineStr">
        <is>
          <t>Every current tradeable mod at MAX RANK (WFM catalogue, rivens/locators excluded)</t>
        </is>
      </c>
      <c r="S1336" t="inlineStr">
        <is>
          <t>savagery</t>
        </is>
      </c>
      <c r="T1336" t="n">
        <v>6</v>
      </c>
      <c r="U1336" t="n">
        <v>6</v>
      </c>
      <c r="V1336" t="n">
        <v>5</v>
      </c>
      <c r="W1336" t="n">
        <v>9</v>
      </c>
      <c r="X1336" t="n">
        <v>8.5</v>
      </c>
      <c r="Y1336" t="n">
        <v>4</v>
      </c>
      <c r="Z1336" t="n">
        <v>1</v>
      </c>
      <c r="AN1336" t="inlineStr">
        <is>
          <t>Sunika Kubrow</t>
        </is>
      </c>
      <c r="AO1336" t="n">
        <v>930</v>
      </c>
      <c r="AP1336" t="n">
        <v>44919</v>
      </c>
      <c r="AQ1336" t="n">
        <v>5.5</v>
      </c>
      <c r="AS1336" t="inlineStr">
        <is>
          <t>Yes</t>
        </is>
      </c>
    </row>
    <row r="1337">
      <c r="A1337" t="inlineStr">
        <is>
          <t>Mod</t>
        </is>
      </c>
      <c r="B1337" t="inlineStr">
        <is>
          <t>Savior Decoy</t>
        </is>
      </c>
      <c r="E1337" t="inlineStr">
        <is>
          <t>Augment Loki</t>
        </is>
      </c>
      <c r="F1337" t="n">
        <v>3</v>
      </c>
      <c r="G1337" t="n">
        <v>1</v>
      </c>
      <c r="H1337" t="inlineStr">
        <is>
          <t>Player trade (max rank)</t>
        </is>
      </c>
      <c r="I1337" t="inlineStr">
        <is>
          <t>Yes</t>
        </is>
      </c>
      <c r="K1337" t="inlineStr">
        <is>
          <t>Collection</t>
        </is>
      </c>
      <c r="L1337" t="n">
        <v>15</v>
      </c>
      <c r="M1337" t="n">
        <v>17</v>
      </c>
      <c r="N1337" t="n">
        <v>22</v>
      </c>
      <c r="O1337" t="inlineStr">
        <is>
          <t>2026-10-05 UTC (WFM pull 02:52-04:00)</t>
        </is>
      </c>
      <c r="P1337" t="inlineStr">
        <is>
          <t>OK</t>
        </is>
      </c>
      <c r="R1337" t="inlineStr">
        <is>
          <t>Every current tradeable mod at MAX RANK (WFM catalogue, rivens/locators excluded)</t>
        </is>
      </c>
      <c r="S1337" t="inlineStr">
        <is>
          <t>savior_decoy</t>
        </is>
      </c>
      <c r="T1337" t="n">
        <v>9</v>
      </c>
      <c r="U1337" t="n">
        <v>9</v>
      </c>
      <c r="V1337" t="n">
        <v>15</v>
      </c>
      <c r="W1337" t="n">
        <v>15</v>
      </c>
      <c r="X1337" t="n">
        <v>16.3</v>
      </c>
      <c r="Y1337" t="n">
        <v>119</v>
      </c>
      <c r="Z1337" t="n">
        <v>0</v>
      </c>
      <c r="AN1337" t="inlineStr">
        <is>
          <t>Augment Loki</t>
        </is>
      </c>
      <c r="AO1337" t="n">
        <v>210</v>
      </c>
      <c r="AP1337" t="n">
        <v>10143</v>
      </c>
      <c r="AQ1337" t="n">
        <v>13</v>
      </c>
      <c r="AS1337" t="inlineStr">
        <is>
          <t>Yes</t>
        </is>
      </c>
    </row>
    <row r="1338">
      <c r="A1338" t="inlineStr">
        <is>
          <t>Mod</t>
        </is>
      </c>
      <c r="B1338" t="inlineStr">
        <is>
          <t>Sawtooth Clip</t>
        </is>
      </c>
      <c r="E1338" t="inlineStr">
        <is>
          <t>Rifle</t>
        </is>
      </c>
      <c r="F1338" t="n">
        <v>5</v>
      </c>
      <c r="G1338" t="n">
        <v>1</v>
      </c>
      <c r="H1338" t="inlineStr">
        <is>
          <t>Player trade (max rank)</t>
        </is>
      </c>
      <c r="I1338" t="inlineStr">
        <is>
          <t>Yes</t>
        </is>
      </c>
      <c r="K1338" t="inlineStr">
        <is>
          <t>Collection</t>
        </is>
      </c>
      <c r="L1338" t="n">
        <v>5</v>
      </c>
      <c r="M1338" t="n">
        <v>15</v>
      </c>
      <c r="N1338" t="n">
        <v>28</v>
      </c>
      <c r="O1338" t="inlineStr">
        <is>
          <t>2026-10-05 UTC (WFM pull 02:52-04:00)</t>
        </is>
      </c>
      <c r="P1338" t="inlineStr">
        <is>
          <t>OK</t>
        </is>
      </c>
      <c r="R1338" t="inlineStr">
        <is>
          <t>Every current tradeable mod at MAX RANK (WFM catalogue, rivens/locators excluded)</t>
        </is>
      </c>
      <c r="S1338" t="inlineStr">
        <is>
          <t>sawtooth_clip</t>
        </is>
      </c>
      <c r="T1338" t="n">
        <v>5</v>
      </c>
      <c r="U1338" t="n">
        <v>5</v>
      </c>
      <c r="W1338" t="n">
        <v>10</v>
      </c>
      <c r="X1338" t="n">
        <v>10</v>
      </c>
      <c r="Y1338" t="n">
        <v>2</v>
      </c>
      <c r="Z1338" t="n">
        <v>0</v>
      </c>
      <c r="AN1338" t="inlineStr">
        <is>
          <t>Rifle</t>
        </is>
      </c>
      <c r="AO1338" t="n">
        <v>310</v>
      </c>
      <c r="AP1338" t="n">
        <v>14973</v>
      </c>
      <c r="AQ1338" t="n">
        <v>2</v>
      </c>
      <c r="AS1338" t="inlineStr">
        <is>
          <t>Yes</t>
        </is>
      </c>
    </row>
    <row r="1339">
      <c r="A1339" t="inlineStr">
        <is>
          <t>Mod</t>
        </is>
      </c>
      <c r="B1339" t="inlineStr">
        <is>
          <t>Saxum Carapace</t>
        </is>
      </c>
      <c r="E1339" t="inlineStr">
        <is>
          <t>Warframe</t>
        </is>
      </c>
      <c r="F1339" t="n">
        <v>5</v>
      </c>
      <c r="G1339" t="n">
        <v>1</v>
      </c>
      <c r="H1339" t="inlineStr">
        <is>
          <t>Player trade (max rank)</t>
        </is>
      </c>
      <c r="I1339" t="inlineStr">
        <is>
          <t>Yes</t>
        </is>
      </c>
      <c r="K1339" t="inlineStr">
        <is>
          <t>Collection</t>
        </is>
      </c>
      <c r="L1339" t="n">
        <v>20</v>
      </c>
      <c r="M1339" t="n">
        <v>22.5</v>
      </c>
      <c r="N1339" t="n">
        <v>50</v>
      </c>
      <c r="O1339" t="inlineStr">
        <is>
          <t>2026-10-05 UTC (WFM pull 02:52-04:00)</t>
        </is>
      </c>
      <c r="P1339" t="inlineStr">
        <is>
          <t>OK</t>
        </is>
      </c>
      <c r="R1339" t="inlineStr">
        <is>
          <t>Every current tradeable mod at MAX RANK (WFM catalogue, rivens/locators excluded)</t>
        </is>
      </c>
      <c r="S1339" t="inlineStr">
        <is>
          <t>saxum_carapace</t>
        </is>
      </c>
      <c r="T1339" t="n">
        <v>4</v>
      </c>
      <c r="U1339" t="n">
        <v>4</v>
      </c>
      <c r="V1339" t="n">
        <v>15</v>
      </c>
      <c r="W1339" t="n">
        <v>15</v>
      </c>
      <c r="X1339" t="n">
        <v>16</v>
      </c>
      <c r="Y1339" t="n">
        <v>67</v>
      </c>
      <c r="Z1339" t="n">
        <v>1</v>
      </c>
      <c r="AN1339" t="inlineStr">
        <is>
          <t>Warframe</t>
        </is>
      </c>
      <c r="AO1339" t="n">
        <v>620</v>
      </c>
      <c r="AP1339" t="n">
        <v>29946</v>
      </c>
      <c r="AQ1339" t="n">
        <v>11</v>
      </c>
      <c r="AS1339" t="inlineStr">
        <is>
          <t>Yes</t>
        </is>
      </c>
    </row>
    <row r="1340">
      <c r="A1340" t="inlineStr">
        <is>
          <t>Mod</t>
        </is>
      </c>
      <c r="B1340" t="inlineStr">
        <is>
          <t>Saxum Spittle</t>
        </is>
      </c>
      <c r="E1340" t="inlineStr">
        <is>
          <t>Pistol</t>
        </is>
      </c>
      <c r="F1340" t="n">
        <v>5</v>
      </c>
      <c r="G1340" t="n">
        <v>1</v>
      </c>
      <c r="H1340" t="inlineStr">
        <is>
          <t>Player trade (max rank)</t>
        </is>
      </c>
      <c r="I1340" t="inlineStr">
        <is>
          <t>Yes</t>
        </is>
      </c>
      <c r="K1340" t="inlineStr">
        <is>
          <t>Collection</t>
        </is>
      </c>
      <c r="L1340" t="n">
        <v>75</v>
      </c>
      <c r="M1340" t="n">
        <v>75</v>
      </c>
      <c r="N1340" t="n">
        <v>165</v>
      </c>
      <c r="O1340" t="inlineStr">
        <is>
          <t>2026-10-05 UTC (WFM pull 02:52-04:00)</t>
        </is>
      </c>
      <c r="P1340" t="inlineStr">
        <is>
          <t>OK</t>
        </is>
      </c>
      <c r="R1340" t="inlineStr">
        <is>
          <t>Every current tradeable mod at MAX RANK (WFM catalogue, rivens/locators excluded)</t>
        </is>
      </c>
      <c r="S1340" t="inlineStr">
        <is>
          <t>saxum_spittle</t>
        </is>
      </c>
      <c r="T1340" t="n">
        <v>4</v>
      </c>
      <c r="U1340" t="n">
        <v>4</v>
      </c>
      <c r="V1340" t="n">
        <v>42.5</v>
      </c>
      <c r="W1340" t="n">
        <v>44</v>
      </c>
      <c r="X1340" t="n">
        <v>45.2</v>
      </c>
      <c r="Y1340" t="n">
        <v>120</v>
      </c>
      <c r="Z1340" t="n">
        <v>1</v>
      </c>
      <c r="AN1340" t="inlineStr">
        <is>
          <t>Pistol</t>
        </is>
      </c>
      <c r="AO1340" t="n">
        <v>930</v>
      </c>
      <c r="AP1340" t="n">
        <v>44919</v>
      </c>
      <c r="AQ1340" t="n">
        <v>60</v>
      </c>
      <c r="AS1340" t="inlineStr">
        <is>
          <t>Yes</t>
        </is>
      </c>
    </row>
    <row r="1341">
      <c r="A1341" t="inlineStr">
        <is>
          <t>Mod</t>
        </is>
      </c>
      <c r="B1341" t="inlineStr">
        <is>
          <t>Saxum Thorax</t>
        </is>
      </c>
      <c r="E1341" t="inlineStr">
        <is>
          <t>Melee</t>
        </is>
      </c>
      <c r="F1341" t="n">
        <v>5</v>
      </c>
      <c r="G1341" t="n">
        <v>1</v>
      </c>
      <c r="H1341" t="inlineStr">
        <is>
          <t>Player trade (max rank)</t>
        </is>
      </c>
      <c r="I1341" t="inlineStr">
        <is>
          <t>Yes</t>
        </is>
      </c>
      <c r="K1341" t="inlineStr">
        <is>
          <t>Collection</t>
        </is>
      </c>
      <c r="L1341" t="n">
        <v>10</v>
      </c>
      <c r="M1341" t="n">
        <v>10.5</v>
      </c>
      <c r="N1341" t="n">
        <v>24</v>
      </c>
      <c r="O1341" t="inlineStr">
        <is>
          <t>2026-10-05 UTC (WFM pull 02:52-04:00)</t>
        </is>
      </c>
      <c r="P1341" t="inlineStr">
        <is>
          <t>OK</t>
        </is>
      </c>
      <c r="R1341" t="inlineStr">
        <is>
          <t>Every current tradeable mod at MAX RANK (WFM catalogue, rivens/locators excluded)</t>
        </is>
      </c>
      <c r="S1341" t="inlineStr">
        <is>
          <t>saxum_thorax</t>
        </is>
      </c>
      <c r="T1341" t="n">
        <v>7</v>
      </c>
      <c r="U1341" t="n">
        <v>7</v>
      </c>
      <c r="V1341" t="n">
        <v>7</v>
      </c>
      <c r="W1341" t="n">
        <v>10</v>
      </c>
      <c r="X1341" t="n">
        <v>10.5</v>
      </c>
      <c r="Y1341" t="n">
        <v>29</v>
      </c>
      <c r="Z1341" t="n">
        <v>1</v>
      </c>
      <c r="AN1341" t="inlineStr">
        <is>
          <t>Melee</t>
        </is>
      </c>
      <c r="AO1341" t="n">
        <v>310</v>
      </c>
      <c r="AP1341" t="n">
        <v>14973</v>
      </c>
      <c r="AQ1341" t="n">
        <v>5</v>
      </c>
      <c r="AS1341" t="inlineStr">
        <is>
          <t>Yes</t>
        </is>
      </c>
    </row>
    <row r="1342">
      <c r="A1342" t="inlineStr">
        <is>
          <t>Mod</t>
        </is>
      </c>
      <c r="B1342" t="inlineStr">
        <is>
          <t>Scan Aquatic Lifeforms</t>
        </is>
      </c>
      <c r="E1342" t="inlineStr">
        <is>
          <t>Oxylus</t>
        </is>
      </c>
      <c r="F1342" t="n">
        <v>3</v>
      </c>
      <c r="G1342" t="n">
        <v>1</v>
      </c>
      <c r="H1342" t="inlineStr">
        <is>
          <t>Player trade (max rank)</t>
        </is>
      </c>
      <c r="I1342" t="inlineStr">
        <is>
          <t>Yes</t>
        </is>
      </c>
      <c r="K1342" t="inlineStr">
        <is>
          <t>Collection</t>
        </is>
      </c>
      <c r="L1342" t="n">
        <v>70</v>
      </c>
      <c r="M1342" t="n">
        <v>250</v>
      </c>
      <c r="N1342" t="n">
        <v>330</v>
      </c>
      <c r="O1342" t="inlineStr">
        <is>
          <t>2026-10-05 UTC (WFM pull 02:52-04:00)</t>
        </is>
      </c>
      <c r="P1342" t="inlineStr">
        <is>
          <t>OK</t>
        </is>
      </c>
      <c r="R1342" t="inlineStr">
        <is>
          <t>Every current tradeable mod at MAX RANK (WFM catalogue, rivens/locators excluded)</t>
        </is>
      </c>
      <c r="S1342" t="inlineStr">
        <is>
          <t>scan_aquatic_lifeforms</t>
        </is>
      </c>
      <c r="T1342" t="n">
        <v>7</v>
      </c>
      <c r="U1342" t="n">
        <v>0</v>
      </c>
      <c r="V1342" t="n">
        <v>300</v>
      </c>
      <c r="W1342" t="n">
        <v>300</v>
      </c>
      <c r="X1342" t="n">
        <v>300</v>
      </c>
      <c r="Y1342" t="n">
        <v>1</v>
      </c>
      <c r="Z1342" t="n">
        <v>0</v>
      </c>
      <c r="AN1342" t="inlineStr">
        <is>
          <t>Oxylus</t>
        </is>
      </c>
      <c r="AO1342" t="n">
        <v>70</v>
      </c>
      <c r="AP1342" t="n">
        <v>3381</v>
      </c>
      <c r="AQ1342" t="n">
        <v>40</v>
      </c>
      <c r="AS1342" t="inlineStr">
        <is>
          <t>Yes</t>
        </is>
      </c>
    </row>
    <row r="1343">
      <c r="A1343" t="inlineStr">
        <is>
          <t>Mod</t>
        </is>
      </c>
      <c r="B1343" t="inlineStr">
        <is>
          <t>Scan Matter</t>
        </is>
      </c>
      <c r="E1343" t="inlineStr">
        <is>
          <t>Oxylus</t>
        </is>
      </c>
      <c r="F1343" t="n">
        <v>3</v>
      </c>
      <c r="G1343" t="n">
        <v>1</v>
      </c>
      <c r="H1343" t="inlineStr">
        <is>
          <t>Player trade (max rank)</t>
        </is>
      </c>
      <c r="I1343" t="inlineStr">
        <is>
          <t>Yes</t>
        </is>
      </c>
      <c r="K1343" t="inlineStr">
        <is>
          <t>Collection</t>
        </is>
      </c>
      <c r="L1343" t="n">
        <v>49</v>
      </c>
      <c r="M1343" t="n">
        <v>90</v>
      </c>
      <c r="N1343" t="n">
        <v>111</v>
      </c>
      <c r="O1343" t="inlineStr">
        <is>
          <t>2026-10-05 UTC (WFM pull 02:52-04:00)</t>
        </is>
      </c>
      <c r="P1343" t="inlineStr">
        <is>
          <t>OK</t>
        </is>
      </c>
      <c r="R1343" t="inlineStr">
        <is>
          <t>Every current tradeable mod at MAX RANK (WFM catalogue, rivens/locators excluded)</t>
        </is>
      </c>
      <c r="S1343" t="inlineStr">
        <is>
          <t>scan_matter</t>
        </is>
      </c>
      <c r="T1343" t="n">
        <v>26</v>
      </c>
      <c r="U1343" t="n">
        <v>2</v>
      </c>
      <c r="Y1343" t="n">
        <v>0</v>
      </c>
      <c r="Z1343" t="n">
        <v>0</v>
      </c>
      <c r="AN1343" t="inlineStr">
        <is>
          <t>Oxylus</t>
        </is>
      </c>
      <c r="AO1343" t="n">
        <v>70</v>
      </c>
      <c r="AP1343" t="n">
        <v>3381</v>
      </c>
      <c r="AQ1343" t="n">
        <v>50</v>
      </c>
      <c r="AS1343" t="inlineStr">
        <is>
          <t>Yes</t>
        </is>
      </c>
    </row>
    <row r="1344">
      <c r="A1344" t="inlineStr">
        <is>
          <t>Mod</t>
        </is>
      </c>
      <c r="B1344" t="inlineStr">
        <is>
          <t>Scarlet Hurricane</t>
        </is>
      </c>
      <c r="E1344" t="inlineStr">
        <is>
          <t>Conclave (PvP)</t>
        </is>
      </c>
      <c r="F1344" t="n">
        <v>3</v>
      </c>
      <c r="G1344" t="n">
        <v>1</v>
      </c>
      <c r="H1344" t="inlineStr">
        <is>
          <t>Player trade (max rank)</t>
        </is>
      </c>
      <c r="I1344" t="inlineStr">
        <is>
          <t>Yes</t>
        </is>
      </c>
      <c r="K1344" t="inlineStr">
        <is>
          <t>Collection (PvP)</t>
        </is>
      </c>
      <c r="L1344" t="n">
        <v>100</v>
      </c>
      <c r="M1344" t="n">
        <v>100</v>
      </c>
      <c r="N1344" t="n">
        <v>221</v>
      </c>
      <c r="O1344" t="inlineStr">
        <is>
          <t>2026-10-05 UTC (WFM pull 02:52-04:00)</t>
        </is>
      </c>
      <c r="P1344" t="inlineStr">
        <is>
          <t>OK</t>
        </is>
      </c>
      <c r="R1344" t="inlineStr">
        <is>
          <t>Every current tradeable mod at MAX RANK (WFM catalogue, rivens/locators excluded)</t>
        </is>
      </c>
      <c r="S1344" t="inlineStr">
        <is>
          <t>scarlet_hurricane</t>
        </is>
      </c>
      <c r="T1344" t="n">
        <v>4</v>
      </c>
      <c r="U1344" t="n">
        <v>0</v>
      </c>
      <c r="V1344" t="n">
        <v>20</v>
      </c>
      <c r="W1344" t="n">
        <v>20</v>
      </c>
      <c r="X1344" t="n">
        <v>20</v>
      </c>
      <c r="Y1344" t="n">
        <v>1</v>
      </c>
      <c r="Z1344" t="n">
        <v>0</v>
      </c>
      <c r="AN1344" t="inlineStr">
        <is>
          <t>Conclave (PvP)</t>
        </is>
      </c>
      <c r="AO1344" t="n">
        <v>140</v>
      </c>
      <c r="AP1344" t="n">
        <v>6762</v>
      </c>
      <c r="AQ1344" t="n">
        <v>20</v>
      </c>
      <c r="AS1344" t="inlineStr">
        <is>
          <t>PvP subtotal</t>
        </is>
      </c>
    </row>
    <row r="1345">
      <c r="A1345" t="inlineStr">
        <is>
          <t>Mod</t>
        </is>
      </c>
      <c r="B1345" t="inlineStr">
        <is>
          <t>Scattered Justice</t>
        </is>
      </c>
      <c r="E1345" t="inlineStr">
        <is>
          <t>Augment Hek</t>
        </is>
      </c>
      <c r="F1345" t="n">
        <v>3</v>
      </c>
      <c r="G1345" t="n">
        <v>1</v>
      </c>
      <c r="H1345" t="inlineStr">
        <is>
          <t>Player trade (max rank)</t>
        </is>
      </c>
      <c r="I1345" t="inlineStr">
        <is>
          <t>Yes</t>
        </is>
      </c>
      <c r="K1345" t="inlineStr">
        <is>
          <t>Collection</t>
        </is>
      </c>
      <c r="L1345" t="n">
        <v>8</v>
      </c>
      <c r="M1345" t="n">
        <v>10</v>
      </c>
      <c r="N1345" t="n">
        <v>14</v>
      </c>
      <c r="O1345" t="inlineStr">
        <is>
          <t>2026-10-05 UTC (WFM pull 02:52-04:00)</t>
        </is>
      </c>
      <c r="P1345" t="inlineStr">
        <is>
          <t>OK</t>
        </is>
      </c>
      <c r="R1345" t="inlineStr">
        <is>
          <t>Every current tradeable mod at MAX RANK (WFM catalogue, rivens/locators excluded)</t>
        </is>
      </c>
      <c r="S1345" t="inlineStr">
        <is>
          <t>scattered_justice</t>
        </is>
      </c>
      <c r="T1345" t="n">
        <v>72</v>
      </c>
      <c r="U1345" t="n">
        <v>2</v>
      </c>
      <c r="V1345" t="n">
        <v>12</v>
      </c>
      <c r="W1345" t="n">
        <v>11</v>
      </c>
      <c r="X1345" t="n">
        <v>11.6</v>
      </c>
      <c r="Y1345" t="n">
        <v>176</v>
      </c>
      <c r="Z1345" t="n">
        <v>3</v>
      </c>
      <c r="AN1345" t="inlineStr">
        <is>
          <t>Augment Hek</t>
        </is>
      </c>
      <c r="AO1345" t="n">
        <v>210</v>
      </c>
      <c r="AP1345" t="n">
        <v>10143</v>
      </c>
      <c r="AQ1345" t="n">
        <v>15</v>
      </c>
      <c r="AS1345" t="inlineStr">
        <is>
          <t>Yes</t>
        </is>
      </c>
    </row>
    <row r="1346">
      <c r="A1346" t="inlineStr">
        <is>
          <t>Mod</t>
        </is>
      </c>
      <c r="B1346" t="inlineStr">
        <is>
          <t>Scattering Inferno</t>
        </is>
      </c>
      <c r="E1346" t="inlineStr">
        <is>
          <t>Shotgun</t>
        </is>
      </c>
      <c r="F1346" t="n">
        <v>3</v>
      </c>
      <c r="G1346" t="n">
        <v>1</v>
      </c>
      <c r="H1346" t="inlineStr">
        <is>
          <t>Player trade (max rank)</t>
        </is>
      </c>
      <c r="I1346" t="inlineStr">
        <is>
          <t>Yes</t>
        </is>
      </c>
      <c r="K1346" t="inlineStr">
        <is>
          <t>Collection</t>
        </is>
      </c>
      <c r="L1346" t="n">
        <v>10</v>
      </c>
      <c r="M1346" t="n">
        <v>18.8</v>
      </c>
      <c r="N1346" t="n">
        <v>32</v>
      </c>
      <c r="O1346" t="inlineStr">
        <is>
          <t>2026-10-05 UTC (WFM pull 02:52-04:00)</t>
        </is>
      </c>
      <c r="P1346" t="inlineStr">
        <is>
          <t>OK</t>
        </is>
      </c>
      <c r="R1346" t="inlineStr">
        <is>
          <t>Every current tradeable mod at MAX RANK (WFM catalogue, rivens/locators excluded)</t>
        </is>
      </c>
      <c r="S1346" t="inlineStr">
        <is>
          <t>scattering_inferno</t>
        </is>
      </c>
      <c r="T1346" t="n">
        <v>11</v>
      </c>
      <c r="U1346" t="n">
        <v>11</v>
      </c>
      <c r="V1346" t="n">
        <v>12.5</v>
      </c>
      <c r="W1346" t="n">
        <v>10</v>
      </c>
      <c r="X1346" t="n">
        <v>11.2</v>
      </c>
      <c r="Y1346" t="n">
        <v>579</v>
      </c>
      <c r="Z1346" t="n">
        <v>12</v>
      </c>
      <c r="AA1346" t="n">
        <v>5</v>
      </c>
      <c r="AB1346" t="n">
        <v>5</v>
      </c>
      <c r="AN1346" t="inlineStr">
        <is>
          <t>Shotgun</t>
        </is>
      </c>
      <c r="AO1346" t="n">
        <v>210</v>
      </c>
      <c r="AP1346" t="n">
        <v>10143</v>
      </c>
      <c r="AQ1346" t="n">
        <v>10</v>
      </c>
      <c r="AS1346" t="inlineStr">
        <is>
          <t>Yes</t>
        </is>
      </c>
    </row>
    <row r="1347">
      <c r="A1347" t="inlineStr">
        <is>
          <t>Mod</t>
        </is>
      </c>
      <c r="B1347" t="inlineStr">
        <is>
          <t>Scavenge</t>
        </is>
      </c>
      <c r="E1347" t="inlineStr">
        <is>
          <t>Beast</t>
        </is>
      </c>
      <c r="F1347" t="n">
        <v>5</v>
      </c>
      <c r="G1347" t="n">
        <v>1</v>
      </c>
      <c r="H1347" t="inlineStr">
        <is>
          <t>Player trade (max rank)</t>
        </is>
      </c>
      <c r="I1347" t="inlineStr">
        <is>
          <t>Yes</t>
        </is>
      </c>
      <c r="K1347" t="inlineStr">
        <is>
          <t>Collection</t>
        </is>
      </c>
      <c r="L1347" t="n">
        <v>4</v>
      </c>
      <c r="M1347" t="n">
        <v>8</v>
      </c>
      <c r="N1347" t="n">
        <v>17</v>
      </c>
      <c r="O1347" t="inlineStr">
        <is>
          <t>2026-10-05 UTC (WFM pull 02:52-04:00)</t>
        </is>
      </c>
      <c r="P1347" t="inlineStr">
        <is>
          <t>OK</t>
        </is>
      </c>
      <c r="R1347" t="inlineStr">
        <is>
          <t>Every current tradeable mod at MAX RANK (WFM catalogue, rivens/locators excluded)</t>
        </is>
      </c>
      <c r="S1347" t="inlineStr">
        <is>
          <t>scavenge</t>
        </is>
      </c>
      <c r="T1347" t="n">
        <v>49</v>
      </c>
      <c r="U1347" t="n">
        <v>2</v>
      </c>
      <c r="V1347" t="n">
        <v>15</v>
      </c>
      <c r="W1347" t="n">
        <v>10</v>
      </c>
      <c r="X1347" t="n">
        <v>10.8</v>
      </c>
      <c r="Y1347" t="n">
        <v>9</v>
      </c>
      <c r="Z1347" t="n">
        <v>0</v>
      </c>
      <c r="AN1347" t="inlineStr">
        <is>
          <t>Beast</t>
        </is>
      </c>
      <c r="AO1347" t="n">
        <v>310</v>
      </c>
      <c r="AP1347" t="n">
        <v>14973</v>
      </c>
      <c r="AQ1347" t="n">
        <v>5</v>
      </c>
      <c r="AS1347" t="inlineStr">
        <is>
          <t>Yes</t>
        </is>
      </c>
    </row>
    <row r="1348">
      <c r="A1348" t="inlineStr">
        <is>
          <t>Mod</t>
        </is>
      </c>
      <c r="B1348" t="inlineStr">
        <is>
          <t>Scorch</t>
        </is>
      </c>
      <c r="E1348" t="inlineStr">
        <is>
          <t>Pistol</t>
        </is>
      </c>
      <c r="F1348" t="n">
        <v>3</v>
      </c>
      <c r="G1348" t="n">
        <v>1</v>
      </c>
      <c r="H1348" t="inlineStr">
        <is>
          <t>Player trade (max rank)</t>
        </is>
      </c>
      <c r="I1348" t="inlineStr">
        <is>
          <t>Yes</t>
        </is>
      </c>
      <c r="K1348" t="inlineStr">
        <is>
          <t>Collection</t>
        </is>
      </c>
      <c r="L1348" t="n">
        <v>10</v>
      </c>
      <c r="M1348" t="n">
        <v>15</v>
      </c>
      <c r="N1348" t="n">
        <v>17</v>
      </c>
      <c r="O1348" t="inlineStr">
        <is>
          <t>2026-10-05 UTC (WFM pull 02:52-04:00)</t>
        </is>
      </c>
      <c r="P1348" t="inlineStr">
        <is>
          <t>OK</t>
        </is>
      </c>
      <c r="R1348" t="inlineStr">
        <is>
          <t>Every current tradeable mod at MAX RANK (WFM catalogue, rivens/locators excluded)</t>
        </is>
      </c>
      <c r="S1348" t="inlineStr">
        <is>
          <t>scorch</t>
        </is>
      </c>
      <c r="T1348" t="n">
        <v>15</v>
      </c>
      <c r="U1348" t="n">
        <v>15</v>
      </c>
      <c r="V1348" t="n">
        <v>12.5</v>
      </c>
      <c r="W1348" t="n">
        <v>13.5</v>
      </c>
      <c r="X1348" t="n">
        <v>13.1</v>
      </c>
      <c r="Y1348" t="n">
        <v>950</v>
      </c>
      <c r="Z1348" t="n">
        <v>18</v>
      </c>
      <c r="AN1348" t="inlineStr">
        <is>
          <t>Pistol</t>
        </is>
      </c>
      <c r="AO1348" t="n">
        <v>210</v>
      </c>
      <c r="AP1348" t="n">
        <v>10143</v>
      </c>
      <c r="AQ1348" t="n">
        <v>10</v>
      </c>
      <c r="AS1348" t="inlineStr">
        <is>
          <t>Yes</t>
        </is>
      </c>
    </row>
    <row r="1349">
      <c r="A1349" t="inlineStr">
        <is>
          <t>Mod</t>
        </is>
      </c>
      <c r="B1349" t="inlineStr">
        <is>
          <t>Scourging Warheads</t>
        </is>
      </c>
      <c r="E1349" t="inlineStr">
        <is>
          <t>Plexus</t>
        </is>
      </c>
      <c r="F1349" t="n">
        <v>5</v>
      </c>
      <c r="G1349" t="n">
        <v>1</v>
      </c>
      <c r="H1349" t="inlineStr">
        <is>
          <t>Player trade (max rank)</t>
        </is>
      </c>
      <c r="I1349" t="inlineStr">
        <is>
          <t>Yes</t>
        </is>
      </c>
      <c r="K1349" t="inlineStr">
        <is>
          <t>Collection</t>
        </is>
      </c>
      <c r="L1349" t="n">
        <v>5</v>
      </c>
      <c r="M1349" t="n">
        <v>10</v>
      </c>
      <c r="N1349" t="n">
        <v>22</v>
      </c>
      <c r="O1349" t="inlineStr">
        <is>
          <t>2026-10-05 UTC (WFM pull 02:52-04:00)</t>
        </is>
      </c>
      <c r="P1349" t="inlineStr">
        <is>
          <t>OK</t>
        </is>
      </c>
      <c r="R1349" t="inlineStr">
        <is>
          <t>Every current tradeable mod at MAX RANK (WFM catalogue, rivens/locators excluded)</t>
        </is>
      </c>
      <c r="S1349" t="inlineStr">
        <is>
          <t>scourging_warheads</t>
        </is>
      </c>
      <c r="T1349" t="n">
        <v>50</v>
      </c>
      <c r="U1349" t="n">
        <v>0</v>
      </c>
      <c r="V1349" t="n">
        <v>20</v>
      </c>
      <c r="W1349" t="n">
        <v>15</v>
      </c>
      <c r="X1349" t="n">
        <v>18.6</v>
      </c>
      <c r="Y1349" t="n">
        <v>5</v>
      </c>
      <c r="Z1349" t="n">
        <v>0</v>
      </c>
      <c r="AN1349" t="inlineStr">
        <is>
          <t>Plexus</t>
        </is>
      </c>
      <c r="AO1349" t="n">
        <v>620</v>
      </c>
      <c r="AP1349" t="n">
        <v>29946</v>
      </c>
      <c r="AQ1349" t="n">
        <v>3</v>
      </c>
      <c r="AS1349" t="inlineStr">
        <is>
          <t>Yes</t>
        </is>
      </c>
    </row>
    <row r="1350">
      <c r="A1350" t="inlineStr">
        <is>
          <t>Mod</t>
        </is>
      </c>
      <c r="B1350" t="inlineStr">
        <is>
          <t>Searing Leap</t>
        </is>
      </c>
      <c r="E1350" t="inlineStr">
        <is>
          <t>Conclave (PvP)</t>
        </is>
      </c>
      <c r="G1350" t="n">
        <v>1</v>
      </c>
      <c r="H1350" t="inlineStr">
        <is>
          <t>Player trade (max rank)</t>
        </is>
      </c>
      <c r="I1350" t="inlineStr">
        <is>
          <t>Yes</t>
        </is>
      </c>
      <c r="K1350" t="inlineStr">
        <is>
          <t>Collection (PvP)</t>
        </is>
      </c>
      <c r="L1350" t="n">
        <v>90</v>
      </c>
      <c r="M1350" t="n">
        <v>90</v>
      </c>
      <c r="N1350" t="n">
        <v>199</v>
      </c>
      <c r="O1350" t="inlineStr">
        <is>
          <t>2026-10-05 UTC (WFM pull 02:52-04:00)</t>
        </is>
      </c>
      <c r="P1350" t="inlineStr">
        <is>
          <t>OK</t>
        </is>
      </c>
      <c r="R1350" t="inlineStr">
        <is>
          <t>Every current tradeable mod at MAX RANK (WFM catalogue, rivens/locators excluded)</t>
        </is>
      </c>
      <c r="S1350" t="inlineStr">
        <is>
          <t>searing_leap</t>
        </is>
      </c>
      <c r="T1350" t="n">
        <v>4</v>
      </c>
      <c r="U1350" t="n">
        <v>0</v>
      </c>
      <c r="W1350" t="n">
        <v>60</v>
      </c>
      <c r="X1350" t="n">
        <v>60</v>
      </c>
      <c r="Y1350" t="n">
        <v>4</v>
      </c>
      <c r="Z1350" t="n">
        <v>0</v>
      </c>
      <c r="AN1350" t="inlineStr">
        <is>
          <t>Conclave (PvP)</t>
        </is>
      </c>
      <c r="AO1350" t="n">
        <v>0</v>
      </c>
      <c r="AP1350" t="n">
        <v>0</v>
      </c>
      <c r="AS1350" t="inlineStr">
        <is>
          <t>PvP subtotal</t>
        </is>
      </c>
    </row>
    <row r="1351">
      <c r="A1351" t="inlineStr">
        <is>
          <t>Mod</t>
        </is>
      </c>
      <c r="B1351" t="inlineStr">
        <is>
          <t>Searing Steel</t>
        </is>
      </c>
      <c r="E1351" t="inlineStr">
        <is>
          <t>Archmelee</t>
        </is>
      </c>
      <c r="F1351" t="n">
        <v>3</v>
      </c>
      <c r="G1351" t="n">
        <v>1</v>
      </c>
      <c r="H1351" t="inlineStr">
        <is>
          <t>Player trade (max rank)</t>
        </is>
      </c>
      <c r="I1351" t="inlineStr">
        <is>
          <t>Yes</t>
        </is>
      </c>
      <c r="K1351" t="inlineStr">
        <is>
          <t>Collection</t>
        </is>
      </c>
      <c r="L1351" t="n">
        <v>49</v>
      </c>
      <c r="M1351" t="n">
        <v>50</v>
      </c>
      <c r="N1351" t="n">
        <v>56</v>
      </c>
      <c r="O1351" t="inlineStr">
        <is>
          <t>2026-10-05 UTC (WFM pull 02:52-04:00)</t>
        </is>
      </c>
      <c r="P1351" t="inlineStr">
        <is>
          <t>OK</t>
        </is>
      </c>
      <c r="R1351" t="inlineStr">
        <is>
          <t>Every current tradeable mod at MAX RANK (WFM catalogue, rivens/locators excluded)</t>
        </is>
      </c>
      <c r="S1351" t="inlineStr">
        <is>
          <t>searing_steel</t>
        </is>
      </c>
      <c r="T1351" t="n">
        <v>7</v>
      </c>
      <c r="U1351" t="n">
        <v>7</v>
      </c>
      <c r="V1351" t="n">
        <v>37.5</v>
      </c>
      <c r="W1351" t="n">
        <v>40</v>
      </c>
      <c r="X1351" t="n">
        <v>40.3</v>
      </c>
      <c r="Y1351" t="n">
        <v>37</v>
      </c>
      <c r="Z1351" t="n">
        <v>0</v>
      </c>
      <c r="AN1351" t="inlineStr">
        <is>
          <t>Archmelee</t>
        </is>
      </c>
      <c r="AO1351" t="n">
        <v>210</v>
      </c>
      <c r="AP1351" t="n">
        <v>10143</v>
      </c>
      <c r="AQ1351" t="n">
        <v>40</v>
      </c>
      <c r="AS1351" t="inlineStr">
        <is>
          <t>Yes</t>
        </is>
      </c>
    </row>
    <row r="1352">
      <c r="A1352" t="inlineStr">
        <is>
          <t>Mod</t>
        </is>
      </c>
      <c r="B1352" t="inlineStr">
        <is>
          <t>Secondary Wind</t>
        </is>
      </c>
      <c r="E1352" t="inlineStr">
        <is>
          <t>Conclave (PvP)</t>
        </is>
      </c>
      <c r="F1352" t="n">
        <v>3</v>
      </c>
      <c r="G1352" t="n">
        <v>1</v>
      </c>
      <c r="H1352" t="inlineStr">
        <is>
          <t>Player trade (max rank)</t>
        </is>
      </c>
      <c r="I1352" t="inlineStr">
        <is>
          <t>Yes</t>
        </is>
      </c>
      <c r="K1352" t="inlineStr">
        <is>
          <t>Collection (PvP)</t>
        </is>
      </c>
      <c r="L1352" t="n">
        <v>7</v>
      </c>
      <c r="M1352" t="n">
        <v>30</v>
      </c>
      <c r="N1352" t="n">
        <v>39</v>
      </c>
      <c r="O1352" t="inlineStr">
        <is>
          <t>2026-10-05 UTC (WFM pull 02:52-04:00)</t>
        </is>
      </c>
      <c r="P1352" t="inlineStr">
        <is>
          <t>OK</t>
        </is>
      </c>
      <c r="R1352" t="inlineStr">
        <is>
          <t>Every current tradeable mod at MAX RANK (WFM catalogue, rivens/locators excluded)</t>
        </is>
      </c>
      <c r="S1352" t="inlineStr">
        <is>
          <t>secondary_wind</t>
        </is>
      </c>
      <c r="T1352" t="n">
        <v>19</v>
      </c>
      <c r="U1352" t="n">
        <v>0</v>
      </c>
      <c r="Y1352" t="n">
        <v>0</v>
      </c>
      <c r="Z1352" t="n">
        <v>0</v>
      </c>
      <c r="AN1352" t="inlineStr">
        <is>
          <t>Conclave (PvP)</t>
        </is>
      </c>
      <c r="AO1352" t="n">
        <v>210</v>
      </c>
      <c r="AP1352" t="n">
        <v>10143</v>
      </c>
      <c r="AQ1352" t="n">
        <v>41</v>
      </c>
      <c r="AS1352" t="inlineStr">
        <is>
          <t>PvP subtotal</t>
        </is>
      </c>
    </row>
    <row r="1353">
      <c r="A1353" t="inlineStr">
        <is>
          <t>Mod</t>
        </is>
      </c>
      <c r="B1353" t="inlineStr">
        <is>
          <t>Section Density</t>
        </is>
      </c>
      <c r="E1353" t="inlineStr">
        <is>
          <t>Plexus</t>
        </is>
      </c>
      <c r="F1353" t="n">
        <v>5</v>
      </c>
      <c r="G1353" t="n">
        <v>1</v>
      </c>
      <c r="H1353" t="inlineStr">
        <is>
          <t>Player trade (max rank)</t>
        </is>
      </c>
      <c r="I1353" t="inlineStr">
        <is>
          <t>Yes</t>
        </is>
      </c>
      <c r="K1353" t="inlineStr">
        <is>
          <t>Collection</t>
        </is>
      </c>
      <c r="L1353" t="n">
        <v>5</v>
      </c>
      <c r="M1353" t="n">
        <v>8</v>
      </c>
      <c r="N1353" t="n">
        <v>11</v>
      </c>
      <c r="O1353" t="inlineStr">
        <is>
          <t>2026-10-05 UTC (WFM pull 02:52-04:00)</t>
        </is>
      </c>
      <c r="P1353" t="inlineStr">
        <is>
          <t>OK</t>
        </is>
      </c>
      <c r="R1353" t="inlineStr">
        <is>
          <t>Every current tradeable mod at MAX RANK (WFM catalogue, rivens/locators excluded)</t>
        </is>
      </c>
      <c r="S1353" t="inlineStr">
        <is>
          <t>section_density</t>
        </is>
      </c>
      <c r="T1353" t="n">
        <v>79</v>
      </c>
      <c r="U1353" t="n">
        <v>1</v>
      </c>
      <c r="V1353" t="n">
        <v>10</v>
      </c>
      <c r="W1353" t="n">
        <v>10</v>
      </c>
      <c r="X1353" t="n">
        <v>10.5</v>
      </c>
      <c r="Y1353" t="n">
        <v>28</v>
      </c>
      <c r="Z1353" t="n">
        <v>1</v>
      </c>
      <c r="AN1353" t="inlineStr">
        <is>
          <t>Plexus</t>
        </is>
      </c>
      <c r="AO1353" t="n">
        <v>620</v>
      </c>
      <c r="AP1353" t="n">
        <v>29946</v>
      </c>
      <c r="AQ1353" t="n">
        <v>4.5</v>
      </c>
      <c r="AS1353" t="inlineStr">
        <is>
          <t>Yes</t>
        </is>
      </c>
    </row>
    <row r="1354">
      <c r="A1354" t="inlineStr">
        <is>
          <t>Mod</t>
        </is>
      </c>
      <c r="B1354" t="inlineStr">
        <is>
          <t>Security Override</t>
        </is>
      </c>
      <c r="E1354" t="inlineStr">
        <is>
          <t>MOA</t>
        </is>
      </c>
      <c r="F1354" t="n">
        <v>5</v>
      </c>
      <c r="G1354" t="n">
        <v>1</v>
      </c>
      <c r="H1354" t="inlineStr">
        <is>
          <t>Player trade (max rank)</t>
        </is>
      </c>
      <c r="I1354" t="inlineStr">
        <is>
          <t>Yes</t>
        </is>
      </c>
      <c r="K1354" t="inlineStr">
        <is>
          <t>Collection</t>
        </is>
      </c>
      <c r="L1354" t="n">
        <v>45</v>
      </c>
      <c r="M1354" t="n">
        <v>90</v>
      </c>
      <c r="N1354" t="n">
        <v>165</v>
      </c>
      <c r="O1354" t="inlineStr">
        <is>
          <t>2026-10-05 UTC (WFM pull 02:52-04:00)</t>
        </is>
      </c>
      <c r="P1354" t="inlineStr">
        <is>
          <t>OK</t>
        </is>
      </c>
      <c r="R1354" t="inlineStr">
        <is>
          <t>Every current tradeable mod at MAX RANK (WFM catalogue, rivens/locators excluded)</t>
        </is>
      </c>
      <c r="S1354" t="inlineStr">
        <is>
          <t>security_override</t>
        </is>
      </c>
      <c r="T1354" t="n">
        <v>21</v>
      </c>
      <c r="U1354" t="n">
        <v>1</v>
      </c>
      <c r="V1354" t="n">
        <v>150</v>
      </c>
      <c r="W1354" t="n">
        <v>150</v>
      </c>
      <c r="X1354" t="n">
        <v>140.7</v>
      </c>
      <c r="Y1354" t="n">
        <v>13</v>
      </c>
      <c r="Z1354" t="n">
        <v>0</v>
      </c>
      <c r="AN1354" t="inlineStr">
        <is>
          <t>MOA</t>
        </is>
      </c>
      <c r="AO1354" t="n">
        <v>310</v>
      </c>
      <c r="AP1354" t="n">
        <v>14973</v>
      </c>
      <c r="AQ1354" t="n">
        <v>100</v>
      </c>
      <c r="AS1354" t="inlineStr">
        <is>
          <t>Yes</t>
        </is>
      </c>
    </row>
    <row r="1355">
      <c r="A1355" t="inlineStr">
        <is>
          <t>Mod</t>
        </is>
      </c>
      <c r="B1355" t="inlineStr">
        <is>
          <t>Seeker</t>
        </is>
      </c>
      <c r="E1355" t="inlineStr">
        <is>
          <t>Pistol</t>
        </is>
      </c>
      <c r="F1355" t="n">
        <v>5</v>
      </c>
      <c r="G1355" t="n">
        <v>1</v>
      </c>
      <c r="H1355" t="inlineStr">
        <is>
          <t>Player trade (max rank)</t>
        </is>
      </c>
      <c r="I1355" t="inlineStr">
        <is>
          <t>Yes</t>
        </is>
      </c>
      <c r="K1355" t="inlineStr">
        <is>
          <t>Collection</t>
        </is>
      </c>
      <c r="L1355" t="n">
        <v>10</v>
      </c>
      <c r="M1355" t="n">
        <v>10</v>
      </c>
      <c r="N1355" t="n">
        <v>17</v>
      </c>
      <c r="O1355" t="inlineStr">
        <is>
          <t>2026-10-05 UTC (WFM pull 02:52-04:00)</t>
        </is>
      </c>
      <c r="P1355" t="inlineStr">
        <is>
          <t>OK</t>
        </is>
      </c>
      <c r="R1355" t="inlineStr">
        <is>
          <t>Every current tradeable mod at MAX RANK (WFM catalogue, rivens/locators excluded)</t>
        </is>
      </c>
      <c r="S1355" t="inlineStr">
        <is>
          <t>seeker</t>
        </is>
      </c>
      <c r="T1355" t="n">
        <v>4</v>
      </c>
      <c r="U1355" t="n">
        <v>4</v>
      </c>
      <c r="V1355" t="n">
        <v>5</v>
      </c>
      <c r="W1355" t="n">
        <v>10</v>
      </c>
      <c r="X1355" t="n">
        <v>10.1</v>
      </c>
      <c r="Y1355" t="n">
        <v>26</v>
      </c>
      <c r="Z1355" t="n">
        <v>0</v>
      </c>
      <c r="AN1355" t="inlineStr">
        <is>
          <t>Pistol</t>
        </is>
      </c>
      <c r="AO1355" t="n">
        <v>930</v>
      </c>
      <c r="AP1355" t="n">
        <v>44919</v>
      </c>
      <c r="AQ1355" t="n">
        <v>3</v>
      </c>
      <c r="AS1355" t="inlineStr">
        <is>
          <t>Yes</t>
        </is>
      </c>
    </row>
    <row r="1356">
      <c r="A1356" t="inlineStr">
        <is>
          <t>Mod</t>
        </is>
      </c>
      <c r="B1356" t="inlineStr">
        <is>
          <t>Seeker Volley</t>
        </is>
      </c>
      <c r="E1356" t="inlineStr">
        <is>
          <t>Railjack (Battle, Slot 3)</t>
        </is>
      </c>
      <c r="F1356" t="n">
        <v>10</v>
      </c>
      <c r="G1356" t="n">
        <v>1</v>
      </c>
      <c r="H1356" t="inlineStr">
        <is>
          <t>Player trade (max rank)</t>
        </is>
      </c>
      <c r="I1356" t="inlineStr">
        <is>
          <t>Yes</t>
        </is>
      </c>
      <c r="K1356" t="inlineStr">
        <is>
          <t>Collection</t>
        </is>
      </c>
      <c r="L1356" t="n">
        <v>50</v>
      </c>
      <c r="M1356" t="n">
        <v>50</v>
      </c>
      <c r="N1356" t="n">
        <v>61</v>
      </c>
      <c r="O1356" t="inlineStr">
        <is>
          <t>2026-10-05 UTC (WFM pull 02:52-04:00)</t>
        </is>
      </c>
      <c r="P1356" t="inlineStr">
        <is>
          <t>OK</t>
        </is>
      </c>
      <c r="R1356" t="inlineStr">
        <is>
          <t>Every current tradeable mod at MAX RANK (WFM catalogue, rivens/locators excluded)</t>
        </is>
      </c>
      <c r="S1356" t="inlineStr">
        <is>
          <t>seeker_volley</t>
        </is>
      </c>
      <c r="T1356" t="n">
        <v>17</v>
      </c>
      <c r="U1356" t="n">
        <v>17</v>
      </c>
      <c r="V1356" t="n">
        <v>50</v>
      </c>
      <c r="W1356" t="n">
        <v>50</v>
      </c>
      <c r="X1356" t="n">
        <v>50.9</v>
      </c>
      <c r="Y1356" t="n">
        <v>276</v>
      </c>
      <c r="Z1356" t="n">
        <v>8</v>
      </c>
      <c r="AA1356" t="n">
        <v>20</v>
      </c>
      <c r="AB1356" t="n">
        <v>30</v>
      </c>
      <c r="AN1356" t="inlineStr">
        <is>
          <t>Railjack (Battle, Slot 3)</t>
        </is>
      </c>
      <c r="AO1356" t="n">
        <v>20460</v>
      </c>
      <c r="AP1356" t="n">
        <v>988218</v>
      </c>
      <c r="AQ1356" t="n">
        <v>5</v>
      </c>
      <c r="AS1356" t="inlineStr">
        <is>
          <t>Yes</t>
        </is>
      </c>
    </row>
    <row r="1357">
      <c r="A1357" t="inlineStr">
        <is>
          <t>Mod</t>
        </is>
      </c>
      <c r="B1357" t="inlineStr">
        <is>
          <t>Seeking Force</t>
        </is>
      </c>
      <c r="E1357" t="inlineStr">
        <is>
          <t>Shotgun</t>
        </is>
      </c>
      <c r="F1357" t="n">
        <v>5</v>
      </c>
      <c r="G1357" t="n">
        <v>1</v>
      </c>
      <c r="H1357" t="inlineStr">
        <is>
          <t>Player trade (max rank)</t>
        </is>
      </c>
      <c r="I1357" t="inlineStr">
        <is>
          <t>Yes</t>
        </is>
      </c>
      <c r="K1357" t="inlineStr">
        <is>
          <t>Collection</t>
        </is>
      </c>
      <c r="L1357" t="n">
        <v>10</v>
      </c>
      <c r="M1357" t="n">
        <v>12</v>
      </c>
      <c r="N1357" t="n">
        <v>27</v>
      </c>
      <c r="O1357" t="inlineStr">
        <is>
          <t>2026-10-05 UTC (WFM pull 02:52-04:00)</t>
        </is>
      </c>
      <c r="P1357" t="inlineStr">
        <is>
          <t>OK</t>
        </is>
      </c>
      <c r="R1357" t="inlineStr">
        <is>
          <t>Every current tradeable mod at MAX RANK (WFM catalogue, rivens/locators excluded)</t>
        </is>
      </c>
      <c r="S1357" t="inlineStr">
        <is>
          <t>seeking_force</t>
        </is>
      </c>
      <c r="T1357" t="n">
        <v>7</v>
      </c>
      <c r="U1357" t="n">
        <v>7</v>
      </c>
      <c r="V1357" t="n">
        <v>8</v>
      </c>
      <c r="W1357" t="n">
        <v>14</v>
      </c>
      <c r="X1357" t="n">
        <v>13.6</v>
      </c>
      <c r="Y1357" t="n">
        <v>14</v>
      </c>
      <c r="Z1357" t="n">
        <v>0</v>
      </c>
      <c r="AN1357" t="inlineStr">
        <is>
          <t>Shotgun</t>
        </is>
      </c>
      <c r="AO1357" t="n">
        <v>930</v>
      </c>
      <c r="AP1357" t="n">
        <v>44919</v>
      </c>
      <c r="AQ1357" t="n">
        <v>5</v>
      </c>
      <c r="AS1357" t="inlineStr">
        <is>
          <t>Yes</t>
        </is>
      </c>
    </row>
    <row r="1358">
      <c r="A1358" t="inlineStr">
        <is>
          <t>Mod</t>
        </is>
      </c>
      <c r="B1358" t="inlineStr">
        <is>
          <t>Seeking Fury</t>
        </is>
      </c>
      <c r="E1358" t="inlineStr">
        <is>
          <t>Shotgun</t>
        </is>
      </c>
      <c r="F1358" t="n">
        <v>5</v>
      </c>
      <c r="G1358" t="n">
        <v>1</v>
      </c>
      <c r="H1358" t="inlineStr">
        <is>
          <t>Player trade (max rank)</t>
        </is>
      </c>
      <c r="I1358" t="inlineStr">
        <is>
          <t>Yes</t>
        </is>
      </c>
      <c r="K1358" t="inlineStr">
        <is>
          <t>Collection</t>
        </is>
      </c>
      <c r="L1358" t="n">
        <v>7</v>
      </c>
      <c r="M1358" t="n">
        <v>14.2</v>
      </c>
      <c r="N1358" t="n">
        <v>32</v>
      </c>
      <c r="O1358" t="inlineStr">
        <is>
          <t>2026-10-05 UTC (WFM pull 02:52-04:00)</t>
        </is>
      </c>
      <c r="P1358" t="inlineStr">
        <is>
          <t>OK</t>
        </is>
      </c>
      <c r="R1358" t="inlineStr">
        <is>
          <t>Every current tradeable mod at MAX RANK (WFM catalogue, rivens/locators excluded)</t>
        </is>
      </c>
      <c r="S1358" t="inlineStr">
        <is>
          <t>seeking_fury</t>
        </is>
      </c>
      <c r="T1358" t="n">
        <v>5</v>
      </c>
      <c r="U1358" t="n">
        <v>5</v>
      </c>
      <c r="V1358" t="n">
        <v>9.5</v>
      </c>
      <c r="W1358" t="n">
        <v>8.5</v>
      </c>
      <c r="X1358" t="n">
        <v>8.699999999999999</v>
      </c>
      <c r="Y1358" t="n">
        <v>29</v>
      </c>
      <c r="Z1358" t="n">
        <v>0</v>
      </c>
      <c r="AN1358" t="inlineStr">
        <is>
          <t>Shotgun</t>
        </is>
      </c>
      <c r="AO1358" t="n">
        <v>930</v>
      </c>
      <c r="AP1358" t="n">
        <v>44919</v>
      </c>
      <c r="AQ1358" t="n">
        <v>3</v>
      </c>
      <c r="AS1358" t="inlineStr">
        <is>
          <t>Yes</t>
        </is>
      </c>
    </row>
    <row r="1359">
      <c r="A1359" t="inlineStr">
        <is>
          <t>Mod</t>
        </is>
      </c>
      <c r="B1359" t="inlineStr">
        <is>
          <t>Seeking Shuriken</t>
        </is>
      </c>
      <c r="E1359" t="inlineStr">
        <is>
          <t>Augment Ash</t>
        </is>
      </c>
      <c r="F1359" t="n">
        <v>3</v>
      </c>
      <c r="G1359" t="n">
        <v>1</v>
      </c>
      <c r="H1359" t="inlineStr">
        <is>
          <t>Player trade (max rank)</t>
        </is>
      </c>
      <c r="I1359" t="inlineStr">
        <is>
          <t>Yes</t>
        </is>
      </c>
      <c r="K1359" t="inlineStr">
        <is>
          <t>Collection</t>
        </is>
      </c>
      <c r="L1359" t="n">
        <v>10</v>
      </c>
      <c r="M1359" t="n">
        <v>10</v>
      </c>
      <c r="N1359" t="n">
        <v>22</v>
      </c>
      <c r="O1359" t="inlineStr">
        <is>
          <t>2026-10-05 UTC (WFM pull 02:52-04:00)</t>
        </is>
      </c>
      <c r="P1359" t="inlineStr">
        <is>
          <t>OK</t>
        </is>
      </c>
      <c r="R1359" t="inlineStr">
        <is>
          <t>Every current tradeable mod at MAX RANK (WFM catalogue, rivens/locators excluded)</t>
        </is>
      </c>
      <c r="S1359" t="inlineStr">
        <is>
          <t>seeking_shuriken</t>
        </is>
      </c>
      <c r="T1359" t="n">
        <v>8</v>
      </c>
      <c r="U1359" t="n">
        <v>8</v>
      </c>
      <c r="V1359" t="n">
        <v>9.5</v>
      </c>
      <c r="W1359" t="n">
        <v>10</v>
      </c>
      <c r="X1359" t="n">
        <v>9.5</v>
      </c>
      <c r="Y1359" t="n">
        <v>60</v>
      </c>
      <c r="Z1359" t="n">
        <v>3</v>
      </c>
      <c r="AN1359" t="inlineStr">
        <is>
          <t>Augment Ash</t>
        </is>
      </c>
      <c r="AO1359" t="n">
        <v>210</v>
      </c>
      <c r="AP1359" t="n">
        <v>10143</v>
      </c>
      <c r="AQ1359" t="n">
        <v>10</v>
      </c>
      <c r="AS1359" t="inlineStr">
        <is>
          <t>Yes</t>
        </is>
      </c>
    </row>
    <row r="1360">
      <c r="A1360" t="inlineStr">
        <is>
          <t>Mod</t>
        </is>
      </c>
      <c r="B1360" t="inlineStr">
        <is>
          <t>Seismic Bond</t>
        </is>
      </c>
      <c r="E1360" t="inlineStr">
        <is>
          <t>Companion</t>
        </is>
      </c>
      <c r="F1360" t="n">
        <v>5</v>
      </c>
      <c r="G1360" t="n">
        <v>1</v>
      </c>
      <c r="H1360" t="inlineStr">
        <is>
          <t>Player trade (max rank)</t>
        </is>
      </c>
      <c r="I1360" t="inlineStr">
        <is>
          <t>Yes</t>
        </is>
      </c>
      <c r="K1360" t="inlineStr">
        <is>
          <t>Collection</t>
        </is>
      </c>
      <c r="L1360" t="n">
        <v>18</v>
      </c>
      <c r="M1360" t="n">
        <v>20</v>
      </c>
      <c r="N1360" t="n">
        <v>27</v>
      </c>
      <c r="O1360" t="inlineStr">
        <is>
          <t>2026-10-05 UTC (WFM pull 02:52-04:00)</t>
        </is>
      </c>
      <c r="P1360" t="inlineStr">
        <is>
          <t>OK</t>
        </is>
      </c>
      <c r="R1360" t="inlineStr">
        <is>
          <t>Every current tradeable mod at MAX RANK (WFM catalogue, rivens/locators excluded)</t>
        </is>
      </c>
      <c r="S1360" t="inlineStr">
        <is>
          <t>seismic_bond</t>
        </is>
      </c>
      <c r="T1360" t="n">
        <v>13</v>
      </c>
      <c r="U1360" t="n">
        <v>13</v>
      </c>
      <c r="V1360" t="n">
        <v>19.5</v>
      </c>
      <c r="W1360" t="n">
        <v>20</v>
      </c>
      <c r="X1360" t="n">
        <v>19.7</v>
      </c>
      <c r="Y1360" t="n">
        <v>523</v>
      </c>
      <c r="Z1360" t="n">
        <v>14</v>
      </c>
      <c r="AN1360" t="inlineStr">
        <is>
          <t>Companion</t>
        </is>
      </c>
      <c r="AO1360" t="n">
        <v>930</v>
      </c>
      <c r="AP1360" t="n">
        <v>44919</v>
      </c>
      <c r="AQ1360" t="n">
        <v>19</v>
      </c>
      <c r="AS1360" t="inlineStr">
        <is>
          <t>Yes</t>
        </is>
      </c>
    </row>
    <row r="1361">
      <c r="A1361" t="inlineStr">
        <is>
          <t>Mod</t>
        </is>
      </c>
      <c r="B1361" t="inlineStr">
        <is>
          <t>Seismic Palm</t>
        </is>
      </c>
      <c r="E1361" t="inlineStr">
        <is>
          <t>Stance</t>
        </is>
      </c>
      <c r="F1361" t="n">
        <v>3</v>
      </c>
      <c r="G1361" t="n">
        <v>1</v>
      </c>
      <c r="H1361" t="inlineStr">
        <is>
          <t>Player trade (max rank)</t>
        </is>
      </c>
      <c r="I1361" t="inlineStr">
        <is>
          <t>Yes</t>
        </is>
      </c>
      <c r="K1361" t="inlineStr">
        <is>
          <t>Collection</t>
        </is>
      </c>
      <c r="L1361" t="n">
        <v>6</v>
      </c>
      <c r="M1361" t="n">
        <v>8</v>
      </c>
      <c r="N1361" t="n">
        <v>13</v>
      </c>
      <c r="O1361" t="inlineStr">
        <is>
          <t>2026-10-05 UTC (WFM pull 02:52-04:00)</t>
        </is>
      </c>
      <c r="P1361" t="inlineStr">
        <is>
          <t>OK</t>
        </is>
      </c>
      <c r="R1361" t="inlineStr">
        <is>
          <t>Every current tradeable mod at MAX RANK (WFM catalogue, rivens/locators excluded)</t>
        </is>
      </c>
      <c r="S1361" t="inlineStr">
        <is>
          <t>seismic_palm</t>
        </is>
      </c>
      <c r="T1361" t="n">
        <v>7</v>
      </c>
      <c r="U1361" t="n">
        <v>7</v>
      </c>
      <c r="V1361" t="n">
        <v>11</v>
      </c>
      <c r="W1361" t="n">
        <v>10</v>
      </c>
      <c r="X1361" t="n">
        <v>9.199999999999999</v>
      </c>
      <c r="Y1361" t="n">
        <v>13</v>
      </c>
      <c r="Z1361" t="n">
        <v>0</v>
      </c>
      <c r="AN1361" t="inlineStr">
        <is>
          <t>Stance</t>
        </is>
      </c>
      <c r="AO1361" t="n">
        <v>210</v>
      </c>
      <c r="AP1361" t="n">
        <v>10143</v>
      </c>
      <c r="AQ1361" t="n">
        <v>4</v>
      </c>
      <c r="AS1361" t="inlineStr">
        <is>
          <t>Yes</t>
        </is>
      </c>
    </row>
    <row r="1362">
      <c r="A1362" t="inlineStr">
        <is>
          <t>Mod</t>
        </is>
      </c>
      <c r="B1362" t="inlineStr">
        <is>
          <t>Seismic Wave</t>
        </is>
      </c>
      <c r="E1362" t="inlineStr">
        <is>
          <t>Melee</t>
        </is>
      </c>
      <c r="F1362" t="n">
        <v>3</v>
      </c>
      <c r="G1362" t="n">
        <v>1</v>
      </c>
      <c r="H1362" t="inlineStr">
        <is>
          <t>Player trade (max rank)</t>
        </is>
      </c>
      <c r="I1362" t="inlineStr">
        <is>
          <t>Yes</t>
        </is>
      </c>
      <c r="K1362" t="inlineStr">
        <is>
          <t>Collection</t>
        </is>
      </c>
      <c r="L1362" t="n">
        <v>10</v>
      </c>
      <c r="M1362" t="n">
        <v>15</v>
      </c>
      <c r="N1362" t="n">
        <v>33</v>
      </c>
      <c r="O1362" t="inlineStr">
        <is>
          <t>2026-10-05 UTC (WFM pull 02:52-04:00)</t>
        </is>
      </c>
      <c r="P1362" t="inlineStr">
        <is>
          <t>OK</t>
        </is>
      </c>
      <c r="R1362" t="inlineStr">
        <is>
          <t>Every current tradeable mod at MAX RANK (WFM catalogue, rivens/locators excluded)</t>
        </is>
      </c>
      <c r="S1362" t="inlineStr">
        <is>
          <t>seismic_wave</t>
        </is>
      </c>
      <c r="T1362" t="n">
        <v>7</v>
      </c>
      <c r="U1362" t="n">
        <v>7</v>
      </c>
      <c r="V1362" t="n">
        <v>10</v>
      </c>
      <c r="W1362" t="n">
        <v>10</v>
      </c>
      <c r="X1362" t="n">
        <v>10.2</v>
      </c>
      <c r="Y1362" t="n">
        <v>372</v>
      </c>
      <c r="Z1362" t="n">
        <v>8</v>
      </c>
      <c r="AN1362" t="inlineStr">
        <is>
          <t>Melee</t>
        </is>
      </c>
      <c r="AO1362" t="n">
        <v>140</v>
      </c>
      <c r="AP1362" t="n">
        <v>6762</v>
      </c>
      <c r="AQ1362" t="n">
        <v>6</v>
      </c>
      <c r="AS1362" t="inlineStr">
        <is>
          <t>Yes</t>
        </is>
      </c>
    </row>
    <row r="1363">
      <c r="A1363" t="inlineStr">
        <is>
          <t>Mod</t>
        </is>
      </c>
      <c r="B1363" t="inlineStr">
        <is>
          <t>Self Destruct</t>
        </is>
      </c>
      <c r="E1363" t="inlineStr">
        <is>
          <t>Sentinel</t>
        </is>
      </c>
      <c r="F1363" t="n">
        <v>5</v>
      </c>
      <c r="G1363" t="n">
        <v>1</v>
      </c>
      <c r="H1363" t="inlineStr">
        <is>
          <t>Player trade (max rank)</t>
        </is>
      </c>
      <c r="I1363" t="inlineStr">
        <is>
          <t>Yes</t>
        </is>
      </c>
      <c r="K1363" t="inlineStr">
        <is>
          <t>Collection</t>
        </is>
      </c>
      <c r="L1363" t="n">
        <v>4</v>
      </c>
      <c r="M1363" t="n">
        <v>9</v>
      </c>
      <c r="N1363" t="n">
        <v>11</v>
      </c>
      <c r="O1363" t="inlineStr">
        <is>
          <t>2026-10-05 UTC (WFM pull 02:52-04:00)</t>
        </is>
      </c>
      <c r="P1363" t="inlineStr">
        <is>
          <t>OK</t>
        </is>
      </c>
      <c r="R1363" t="inlineStr">
        <is>
          <t>Every current tradeable mod at MAX RANK (WFM catalogue, rivens/locators excluded)</t>
        </is>
      </c>
      <c r="S1363" t="inlineStr">
        <is>
          <t>self_destruct</t>
        </is>
      </c>
      <c r="T1363" t="n">
        <v>73</v>
      </c>
      <c r="U1363" t="n">
        <v>1</v>
      </c>
      <c r="V1363" t="n">
        <v>8</v>
      </c>
      <c r="W1363" t="n">
        <v>8</v>
      </c>
      <c r="X1363" t="n">
        <v>11</v>
      </c>
      <c r="Y1363" t="n">
        <v>2</v>
      </c>
      <c r="Z1363" t="n">
        <v>0</v>
      </c>
      <c r="AN1363" t="inlineStr">
        <is>
          <t>Sentinel</t>
        </is>
      </c>
      <c r="AO1363" t="n">
        <v>930</v>
      </c>
      <c r="AP1363" t="n">
        <v>44919</v>
      </c>
      <c r="AQ1363" t="n">
        <v>5</v>
      </c>
      <c r="AS1363" t="inlineStr">
        <is>
          <t>Yes</t>
        </is>
      </c>
    </row>
    <row r="1364">
      <c r="A1364" t="inlineStr">
        <is>
          <t>Mod</t>
        </is>
      </c>
      <c r="B1364" t="inlineStr">
        <is>
          <t>Semi-Pistol Cannonade</t>
        </is>
      </c>
      <c r="E1364" t="inlineStr">
        <is>
          <t>Pistol</t>
        </is>
      </c>
      <c r="F1364" t="n">
        <v>5</v>
      </c>
      <c r="G1364" t="n">
        <v>1</v>
      </c>
      <c r="H1364" t="inlineStr">
        <is>
          <t>Player trade (max rank)</t>
        </is>
      </c>
      <c r="I1364" t="inlineStr">
        <is>
          <t>Yes</t>
        </is>
      </c>
      <c r="K1364" t="inlineStr">
        <is>
          <t>Collection</t>
        </is>
      </c>
      <c r="L1364" t="n">
        <v>5</v>
      </c>
      <c r="M1364" t="n">
        <v>10</v>
      </c>
      <c r="N1364" t="n">
        <v>17</v>
      </c>
      <c r="O1364" t="inlineStr">
        <is>
          <t>2026-10-05 UTC (WFM pull 02:52-04:00)</t>
        </is>
      </c>
      <c r="P1364" t="inlineStr">
        <is>
          <t>OK</t>
        </is>
      </c>
      <c r="R1364" t="inlineStr">
        <is>
          <t>Every current tradeable mod at MAX RANK (WFM catalogue, rivens/locators excluded)</t>
        </is>
      </c>
      <c r="S1364" t="inlineStr">
        <is>
          <t>semi_pistol_cannonade</t>
        </is>
      </c>
      <c r="T1364" t="n">
        <v>11</v>
      </c>
      <c r="U1364" t="n">
        <v>11</v>
      </c>
      <c r="V1364" t="n">
        <v>10</v>
      </c>
      <c r="W1364" t="n">
        <v>10</v>
      </c>
      <c r="X1364" t="n">
        <v>9.5</v>
      </c>
      <c r="Y1364" t="n">
        <v>166</v>
      </c>
      <c r="Z1364" t="n">
        <v>2</v>
      </c>
      <c r="AN1364" t="inlineStr">
        <is>
          <t>Pistol</t>
        </is>
      </c>
      <c r="AO1364" t="n">
        <v>620</v>
      </c>
      <c r="AP1364" t="n">
        <v>29946</v>
      </c>
      <c r="AQ1364" t="n">
        <v>4</v>
      </c>
      <c r="AS1364" t="inlineStr">
        <is>
          <t>Yes</t>
        </is>
      </c>
    </row>
    <row r="1365">
      <c r="A1365" t="inlineStr">
        <is>
          <t>Mod</t>
        </is>
      </c>
      <c r="B1365" t="inlineStr">
        <is>
          <t>Semi-Rifle Cannonade</t>
        </is>
      </c>
      <c r="E1365" t="inlineStr">
        <is>
          <t>Rifle</t>
        </is>
      </c>
      <c r="F1365" t="n">
        <v>5</v>
      </c>
      <c r="G1365" t="n">
        <v>1</v>
      </c>
      <c r="H1365" t="inlineStr">
        <is>
          <t>Player trade (max rank)</t>
        </is>
      </c>
      <c r="I1365" t="inlineStr">
        <is>
          <t>Yes</t>
        </is>
      </c>
      <c r="K1365" t="inlineStr">
        <is>
          <t>Collection</t>
        </is>
      </c>
      <c r="L1365" t="n">
        <v>14</v>
      </c>
      <c r="M1365" t="n">
        <v>15</v>
      </c>
      <c r="N1365" t="n">
        <v>22</v>
      </c>
      <c r="O1365" t="inlineStr">
        <is>
          <t>2026-10-05 UTC (WFM pull 02:52-04:00)</t>
        </is>
      </c>
      <c r="P1365" t="inlineStr">
        <is>
          <t>OK</t>
        </is>
      </c>
      <c r="R1365" t="inlineStr">
        <is>
          <t>Every current tradeable mod at MAX RANK (WFM catalogue, rivens/locators excluded)</t>
        </is>
      </c>
      <c r="S1365" t="inlineStr">
        <is>
          <t>semi_rifle_cannonade</t>
        </is>
      </c>
      <c r="T1365" t="n">
        <v>12</v>
      </c>
      <c r="U1365" t="n">
        <v>12</v>
      </c>
      <c r="V1365" t="n">
        <v>14</v>
      </c>
      <c r="W1365" t="n">
        <v>14</v>
      </c>
      <c r="X1365" t="n">
        <v>13.4</v>
      </c>
      <c r="Y1365" t="n">
        <v>728</v>
      </c>
      <c r="Z1365" t="n">
        <v>8</v>
      </c>
      <c r="AN1365" t="inlineStr">
        <is>
          <t>Rifle</t>
        </is>
      </c>
      <c r="AO1365" t="n">
        <v>620</v>
      </c>
      <c r="AP1365" t="n">
        <v>29946</v>
      </c>
      <c r="AQ1365" t="n">
        <v>9</v>
      </c>
      <c r="AS1365" t="inlineStr">
        <is>
          <t>Yes</t>
        </is>
      </c>
    </row>
    <row r="1366">
      <c r="A1366" t="inlineStr">
        <is>
          <t>Mod</t>
        </is>
      </c>
      <c r="B1366" t="inlineStr">
        <is>
          <t>Semi-Shotgun Cannonade</t>
        </is>
      </c>
      <c r="E1366" t="inlineStr">
        <is>
          <t>Shotgun</t>
        </is>
      </c>
      <c r="F1366" t="n">
        <v>5</v>
      </c>
      <c r="G1366" t="n">
        <v>1</v>
      </c>
      <c r="H1366" t="inlineStr">
        <is>
          <t>Player trade (max rank)</t>
        </is>
      </c>
      <c r="I1366" t="inlineStr">
        <is>
          <t>Yes</t>
        </is>
      </c>
      <c r="K1366" t="inlineStr">
        <is>
          <t>Collection</t>
        </is>
      </c>
      <c r="L1366" t="n">
        <v>12</v>
      </c>
      <c r="M1366" t="n">
        <v>14</v>
      </c>
      <c r="N1366" t="n">
        <v>17</v>
      </c>
      <c r="O1366" t="inlineStr">
        <is>
          <t>2026-10-05 UTC (WFM pull 02:52-04:00)</t>
        </is>
      </c>
      <c r="P1366" t="inlineStr">
        <is>
          <t>OK</t>
        </is>
      </c>
      <c r="R1366" t="inlineStr">
        <is>
          <t>Every current tradeable mod at MAX RANK (WFM catalogue, rivens/locators excluded)</t>
        </is>
      </c>
      <c r="S1366" t="inlineStr">
        <is>
          <t>semi_shotgun_cannonade</t>
        </is>
      </c>
      <c r="T1366" t="n">
        <v>13</v>
      </c>
      <c r="U1366" t="n">
        <v>13</v>
      </c>
      <c r="V1366" t="n">
        <v>10</v>
      </c>
      <c r="W1366" t="n">
        <v>10</v>
      </c>
      <c r="X1366" t="n">
        <v>10.6</v>
      </c>
      <c r="Y1366" t="n">
        <v>472</v>
      </c>
      <c r="Z1366" t="n">
        <v>4</v>
      </c>
      <c r="AN1366" t="inlineStr">
        <is>
          <t>Shotgun</t>
        </is>
      </c>
      <c r="AO1366" t="n">
        <v>620</v>
      </c>
      <c r="AP1366" t="n">
        <v>29946</v>
      </c>
      <c r="AQ1366" t="n">
        <v>7</v>
      </c>
      <c r="AS1366" t="inlineStr">
        <is>
          <t>Yes</t>
        </is>
      </c>
    </row>
    <row r="1367">
      <c r="A1367" t="inlineStr">
        <is>
          <t>Mod</t>
        </is>
      </c>
      <c r="B1367" t="inlineStr">
        <is>
          <t>Sentient Barrage</t>
        </is>
      </c>
      <c r="E1367" t="inlineStr">
        <is>
          <t>Battacor</t>
        </is>
      </c>
      <c r="F1367" t="n">
        <v>5</v>
      </c>
      <c r="G1367" t="n">
        <v>1</v>
      </c>
      <c r="H1367" t="inlineStr">
        <is>
          <t>Player trade (max rank)</t>
        </is>
      </c>
      <c r="I1367" t="inlineStr">
        <is>
          <t>Yes</t>
        </is>
      </c>
      <c r="K1367" t="inlineStr">
        <is>
          <t>Collection</t>
        </is>
      </c>
      <c r="L1367" t="n">
        <v>30</v>
      </c>
      <c r="M1367" t="n">
        <v>37.5</v>
      </c>
      <c r="N1367" t="n">
        <v>83</v>
      </c>
      <c r="O1367" t="inlineStr">
        <is>
          <t>2026-10-05 UTC (WFM pull 02:52-04:00)</t>
        </is>
      </c>
      <c r="P1367" t="inlineStr">
        <is>
          <t>OK</t>
        </is>
      </c>
      <c r="R1367" t="inlineStr">
        <is>
          <t>Every current tradeable mod at MAX RANK (WFM catalogue, rivens/locators excluded)</t>
        </is>
      </c>
      <c r="S1367" t="inlineStr">
        <is>
          <t>sentient_barrage</t>
        </is>
      </c>
      <c r="T1367" t="n">
        <v>3</v>
      </c>
      <c r="U1367" t="n">
        <v>3</v>
      </c>
      <c r="V1367" t="n">
        <v>25</v>
      </c>
      <c r="W1367" t="n">
        <v>18</v>
      </c>
      <c r="X1367" t="n">
        <v>19.2</v>
      </c>
      <c r="Y1367" t="n">
        <v>32</v>
      </c>
      <c r="Z1367" t="n">
        <v>0</v>
      </c>
      <c r="AN1367" t="inlineStr">
        <is>
          <t>Battacor</t>
        </is>
      </c>
      <c r="AO1367" t="n">
        <v>930</v>
      </c>
      <c r="AP1367" t="n">
        <v>44919</v>
      </c>
      <c r="AQ1367" t="n">
        <v>10</v>
      </c>
      <c r="AS1367" t="inlineStr">
        <is>
          <t>Yes</t>
        </is>
      </c>
    </row>
    <row r="1368">
      <c r="A1368" t="inlineStr">
        <is>
          <t>Mod</t>
        </is>
      </c>
      <c r="B1368" t="inlineStr">
        <is>
          <t>Sentient Incision</t>
        </is>
      </c>
      <c r="E1368" t="inlineStr">
        <is>
          <t>Venato</t>
        </is>
      </c>
      <c r="F1368" t="n">
        <v>5</v>
      </c>
      <c r="G1368" t="n">
        <v>1</v>
      </c>
      <c r="H1368" t="inlineStr">
        <is>
          <t>Player trade (max rank)</t>
        </is>
      </c>
      <c r="I1368" t="inlineStr">
        <is>
          <t>Yes</t>
        </is>
      </c>
      <c r="K1368" t="inlineStr">
        <is>
          <t>Collection</t>
        </is>
      </c>
      <c r="L1368" t="n">
        <v>68</v>
      </c>
      <c r="M1368" t="n">
        <v>68</v>
      </c>
      <c r="N1368" t="n">
        <v>150</v>
      </c>
      <c r="O1368" t="inlineStr">
        <is>
          <t>2026-10-05 UTC (WFM pull 02:52-04:00)</t>
        </is>
      </c>
      <c r="P1368" t="inlineStr">
        <is>
          <t>OK</t>
        </is>
      </c>
      <c r="R1368" t="inlineStr">
        <is>
          <t>Every current tradeable mod at MAX RANK (WFM catalogue, rivens/locators excluded)</t>
        </is>
      </c>
      <c r="S1368" t="inlineStr">
        <is>
          <t>sentient_incision</t>
        </is>
      </c>
      <c r="T1368" t="n">
        <v>4</v>
      </c>
      <c r="U1368" t="n">
        <v>4</v>
      </c>
      <c r="V1368" t="n">
        <v>42.5</v>
      </c>
      <c r="W1368" t="n">
        <v>17</v>
      </c>
      <c r="X1368" t="n">
        <v>27.1</v>
      </c>
      <c r="Y1368" t="n">
        <v>217</v>
      </c>
      <c r="Z1368" t="n">
        <v>5</v>
      </c>
      <c r="AN1368" t="inlineStr">
        <is>
          <t>Venato</t>
        </is>
      </c>
      <c r="AO1368" t="n">
        <v>930</v>
      </c>
      <c r="AP1368" t="n">
        <v>44919</v>
      </c>
      <c r="AQ1368" t="n">
        <v>45</v>
      </c>
      <c r="AS1368" t="inlineStr">
        <is>
          <t>Yes</t>
        </is>
      </c>
    </row>
    <row r="1369">
      <c r="A1369" t="inlineStr">
        <is>
          <t>Mod</t>
        </is>
      </c>
      <c r="B1369" t="inlineStr">
        <is>
          <t>Sentient Scalpel</t>
        </is>
      </c>
      <c r="E1369" t="inlineStr">
        <is>
          <t>Plexus</t>
        </is>
      </c>
      <c r="F1369" t="n">
        <v>5</v>
      </c>
      <c r="G1369" t="n">
        <v>1</v>
      </c>
      <c r="H1369" t="inlineStr">
        <is>
          <t>Player trade (max rank)</t>
        </is>
      </c>
      <c r="I1369" t="inlineStr">
        <is>
          <t>Yes</t>
        </is>
      </c>
      <c r="K1369" t="inlineStr">
        <is>
          <t>Collection</t>
        </is>
      </c>
      <c r="L1369" t="n">
        <v>9</v>
      </c>
      <c r="M1369" t="n">
        <v>10</v>
      </c>
      <c r="N1369" t="n">
        <v>16</v>
      </c>
      <c r="O1369" t="inlineStr">
        <is>
          <t>2026-10-05 UTC (WFM pull 02:52-04:00)</t>
        </is>
      </c>
      <c r="P1369" t="inlineStr">
        <is>
          <t>OK</t>
        </is>
      </c>
      <c r="R1369" t="inlineStr">
        <is>
          <t>Every current tradeable mod at MAX RANK (WFM catalogue, rivens/locators excluded)</t>
        </is>
      </c>
      <c r="S1369" t="inlineStr">
        <is>
          <t>sentient_scalpel</t>
        </is>
      </c>
      <c r="T1369" t="n">
        <v>78</v>
      </c>
      <c r="U1369" t="n">
        <v>2</v>
      </c>
      <c r="V1369" t="n">
        <v>14</v>
      </c>
      <c r="W1369" t="n">
        <v>10</v>
      </c>
      <c r="X1369" t="n">
        <v>11.3</v>
      </c>
      <c r="Y1369" t="n">
        <v>3</v>
      </c>
      <c r="Z1369" t="n">
        <v>0</v>
      </c>
      <c r="AN1369" t="inlineStr">
        <is>
          <t>Plexus</t>
        </is>
      </c>
      <c r="AO1369" t="n">
        <v>930</v>
      </c>
      <c r="AP1369" t="n">
        <v>44919</v>
      </c>
      <c r="AQ1369" t="n">
        <v>5</v>
      </c>
      <c r="AS1369" t="inlineStr">
        <is>
          <t>Yes</t>
        </is>
      </c>
    </row>
    <row r="1370">
      <c r="A1370" t="inlineStr">
        <is>
          <t>Mod</t>
        </is>
      </c>
      <c r="B1370" t="inlineStr">
        <is>
          <t>Sentient Surge</t>
        </is>
      </c>
      <c r="E1370" t="inlineStr">
        <is>
          <t>Ocucor</t>
        </is>
      </c>
      <c r="F1370" t="n">
        <v>5</v>
      </c>
      <c r="G1370" t="n">
        <v>1</v>
      </c>
      <c r="H1370" t="inlineStr">
        <is>
          <t>Player trade (max rank)</t>
        </is>
      </c>
      <c r="I1370" t="inlineStr">
        <is>
          <t>Yes</t>
        </is>
      </c>
      <c r="K1370" t="inlineStr">
        <is>
          <t>Collection</t>
        </is>
      </c>
      <c r="L1370" t="n">
        <v>13</v>
      </c>
      <c r="M1370" t="n">
        <v>20</v>
      </c>
      <c r="N1370" t="n">
        <v>28</v>
      </c>
      <c r="O1370" t="inlineStr">
        <is>
          <t>2026-10-05 UTC (WFM pull 02:52-04:00)</t>
        </is>
      </c>
      <c r="P1370" t="inlineStr">
        <is>
          <t>OK</t>
        </is>
      </c>
      <c r="R1370" t="inlineStr">
        <is>
          <t>Every current tradeable mod at MAX RANK (WFM catalogue, rivens/locators excluded)</t>
        </is>
      </c>
      <c r="S1370" t="inlineStr">
        <is>
          <t>sentient_surge</t>
        </is>
      </c>
      <c r="T1370" t="n">
        <v>11</v>
      </c>
      <c r="U1370" t="n">
        <v>11</v>
      </c>
      <c r="V1370" t="n">
        <v>19</v>
      </c>
      <c r="W1370" t="n">
        <v>19</v>
      </c>
      <c r="X1370" t="n">
        <v>18</v>
      </c>
      <c r="Y1370" t="n">
        <v>865</v>
      </c>
      <c r="Z1370" t="n">
        <v>24</v>
      </c>
      <c r="AN1370" t="inlineStr">
        <is>
          <t>Ocucor</t>
        </is>
      </c>
      <c r="AO1370" t="n">
        <v>930</v>
      </c>
      <c r="AP1370" t="n">
        <v>44919</v>
      </c>
      <c r="AQ1370" t="n">
        <v>10</v>
      </c>
      <c r="AS1370" t="inlineStr">
        <is>
          <t>Yes</t>
        </is>
      </c>
    </row>
    <row r="1371">
      <c r="A1371" t="inlineStr">
        <is>
          <t>Mod</t>
        </is>
      </c>
      <c r="B1371" t="inlineStr">
        <is>
          <t>Sepsis Claws</t>
        </is>
      </c>
      <c r="E1371" t="inlineStr">
        <is>
          <t>Claws</t>
        </is>
      </c>
      <c r="F1371" t="n">
        <v>10</v>
      </c>
      <c r="G1371" t="n">
        <v>1</v>
      </c>
      <c r="H1371" t="inlineStr">
        <is>
          <t>Player trade (max rank)</t>
        </is>
      </c>
      <c r="I1371" t="inlineStr">
        <is>
          <t>Yes</t>
        </is>
      </c>
      <c r="K1371" t="inlineStr">
        <is>
          <t>Collection</t>
        </is>
      </c>
      <c r="L1371" t="n">
        <v>85</v>
      </c>
      <c r="M1371" t="n">
        <v>90</v>
      </c>
      <c r="N1371" t="n">
        <v>111</v>
      </c>
      <c r="O1371" t="inlineStr">
        <is>
          <t>2026-10-05 UTC (WFM pull 02:52-04:00)</t>
        </is>
      </c>
      <c r="P1371" t="inlineStr">
        <is>
          <t>OK</t>
        </is>
      </c>
      <c r="R1371" t="inlineStr">
        <is>
          <t>Every current tradeable mod at MAX RANK (WFM catalogue, rivens/locators excluded)</t>
        </is>
      </c>
      <c r="S1371" t="inlineStr">
        <is>
          <t>sepsis_claws</t>
        </is>
      </c>
      <c r="T1371" t="n">
        <v>10</v>
      </c>
      <c r="U1371" t="n">
        <v>10</v>
      </c>
      <c r="V1371" t="n">
        <v>82.5</v>
      </c>
      <c r="W1371" t="n">
        <v>82.5</v>
      </c>
      <c r="X1371" t="n">
        <v>83</v>
      </c>
      <c r="Y1371" t="n">
        <v>379</v>
      </c>
      <c r="Z1371" t="n">
        <v>5</v>
      </c>
      <c r="AA1371" t="n">
        <v>45</v>
      </c>
      <c r="AB1371" t="n">
        <v>40</v>
      </c>
      <c r="AN1371" t="inlineStr">
        <is>
          <t>Claws</t>
        </is>
      </c>
      <c r="AO1371" t="n">
        <v>30690</v>
      </c>
      <c r="AP1371" t="n">
        <v>1482327</v>
      </c>
      <c r="AQ1371" t="n">
        <v>12</v>
      </c>
      <c r="AS1371" t="inlineStr">
        <is>
          <t>Yes</t>
        </is>
      </c>
    </row>
    <row r="1372">
      <c r="A1372" t="inlineStr">
        <is>
          <t>Mod</t>
        </is>
      </c>
      <c r="B1372" t="inlineStr">
        <is>
          <t>Sequence Burn</t>
        </is>
      </c>
      <c r="E1372" t="inlineStr">
        <is>
          <t>Augment Spectra</t>
        </is>
      </c>
      <c r="F1372" t="n">
        <v>3</v>
      </c>
      <c r="G1372" t="n">
        <v>1</v>
      </c>
      <c r="H1372" t="inlineStr">
        <is>
          <t>Player trade (max rank)</t>
        </is>
      </c>
      <c r="I1372" t="inlineStr">
        <is>
          <t>Yes</t>
        </is>
      </c>
      <c r="K1372" t="inlineStr">
        <is>
          <t>Collection</t>
        </is>
      </c>
      <c r="L1372" t="n">
        <v>10</v>
      </c>
      <c r="M1372" t="n">
        <v>12</v>
      </c>
      <c r="N1372" t="n">
        <v>22</v>
      </c>
      <c r="O1372" t="inlineStr">
        <is>
          <t>2026-10-05 UTC (WFM pull 02:52-04:00)</t>
        </is>
      </c>
      <c r="P1372" t="inlineStr">
        <is>
          <t>OK</t>
        </is>
      </c>
      <c r="R1372" t="inlineStr">
        <is>
          <t>Every current tradeable mod at MAX RANK (WFM catalogue, rivens/locators excluded)</t>
        </is>
      </c>
      <c r="S1372" t="inlineStr">
        <is>
          <t>sequence_burn</t>
        </is>
      </c>
      <c r="T1372" t="n">
        <v>34</v>
      </c>
      <c r="U1372" t="n">
        <v>2</v>
      </c>
      <c r="V1372" t="n">
        <v>8</v>
      </c>
      <c r="W1372" t="n">
        <v>15</v>
      </c>
      <c r="X1372" t="n">
        <v>15.5</v>
      </c>
      <c r="Y1372" t="n">
        <v>6</v>
      </c>
      <c r="Z1372" t="n">
        <v>0</v>
      </c>
      <c r="AN1372" t="inlineStr">
        <is>
          <t>Augment Spectra</t>
        </is>
      </c>
      <c r="AO1372" t="n">
        <v>210</v>
      </c>
      <c r="AP1372" t="n">
        <v>10143</v>
      </c>
      <c r="AQ1372" t="n">
        <v>10</v>
      </c>
      <c r="AS1372" t="inlineStr">
        <is>
          <t>Yes</t>
        </is>
      </c>
    </row>
    <row r="1373">
      <c r="A1373" t="inlineStr">
        <is>
          <t>Mod</t>
        </is>
      </c>
      <c r="B1373" t="inlineStr">
        <is>
          <t>Serrated Edges</t>
        </is>
      </c>
      <c r="E1373" t="inlineStr">
        <is>
          <t>Conclave (PvP)</t>
        </is>
      </c>
      <c r="F1373" t="n">
        <v>3</v>
      </c>
      <c r="G1373" t="n">
        <v>1</v>
      </c>
      <c r="H1373" t="inlineStr">
        <is>
          <t>Player trade (max rank)</t>
        </is>
      </c>
      <c r="I1373" t="inlineStr">
        <is>
          <t>Yes</t>
        </is>
      </c>
      <c r="K1373" t="inlineStr">
        <is>
          <t>Collection (PvP)</t>
        </is>
      </c>
      <c r="L1373" t="n">
        <v>200</v>
      </c>
      <c r="M1373" t="n">
        <v>200</v>
      </c>
      <c r="N1373" t="n">
        <v>330</v>
      </c>
      <c r="O1373" t="inlineStr">
        <is>
          <t>2026-10-05 UTC (WFM pull 02:52-04:00)</t>
        </is>
      </c>
      <c r="P1373" t="inlineStr">
        <is>
          <t>OK</t>
        </is>
      </c>
      <c r="R1373" t="inlineStr">
        <is>
          <t>Every current tradeable mod at MAX RANK (WFM catalogue, rivens/locators excluded)</t>
        </is>
      </c>
      <c r="S1373" t="inlineStr">
        <is>
          <t>serrated_edges</t>
        </is>
      </c>
      <c r="T1373" t="n">
        <v>4</v>
      </c>
      <c r="U1373" t="n">
        <v>0</v>
      </c>
      <c r="W1373" t="n">
        <v>10</v>
      </c>
      <c r="X1373" t="n">
        <v>15</v>
      </c>
      <c r="Y1373" t="n">
        <v>2</v>
      </c>
      <c r="Z1373" t="n">
        <v>0</v>
      </c>
      <c r="AN1373" t="inlineStr">
        <is>
          <t>Conclave (PvP)</t>
        </is>
      </c>
      <c r="AO1373" t="n">
        <v>140</v>
      </c>
      <c r="AP1373" t="n">
        <v>6762</v>
      </c>
      <c r="AQ1373" t="n">
        <v>45</v>
      </c>
      <c r="AS1373" t="inlineStr">
        <is>
          <t>PvP subtotal</t>
        </is>
      </c>
    </row>
    <row r="1374">
      <c r="A1374" t="inlineStr">
        <is>
          <t>Mod</t>
        </is>
      </c>
      <c r="B1374" t="inlineStr">
        <is>
          <t>Serrated Rounds</t>
        </is>
      </c>
      <c r="E1374" t="inlineStr">
        <is>
          <t>Conclave (PvP)</t>
        </is>
      </c>
      <c r="F1374" t="n">
        <v>3</v>
      </c>
      <c r="G1374" t="n">
        <v>1</v>
      </c>
      <c r="H1374" t="inlineStr">
        <is>
          <t>Player trade (max rank)</t>
        </is>
      </c>
      <c r="I1374" t="inlineStr">
        <is>
          <t>Yes</t>
        </is>
      </c>
      <c r="K1374" t="inlineStr">
        <is>
          <t>Collection (PvP)</t>
        </is>
      </c>
      <c r="L1374" t="n">
        <v>90</v>
      </c>
      <c r="M1374" t="n">
        <v>90</v>
      </c>
      <c r="N1374" t="n">
        <v>199</v>
      </c>
      <c r="O1374" t="inlineStr">
        <is>
          <t>2026-10-05 UTC (WFM pull 02:52-04:00)</t>
        </is>
      </c>
      <c r="P1374" t="inlineStr">
        <is>
          <t>OK</t>
        </is>
      </c>
      <c r="R1374" t="inlineStr">
        <is>
          <t>Every current tradeable mod at MAX RANK (WFM catalogue, rivens/locators excluded)</t>
        </is>
      </c>
      <c r="S1374" t="inlineStr">
        <is>
          <t>serrated_rounds</t>
        </is>
      </c>
      <c r="T1374" t="n">
        <v>3</v>
      </c>
      <c r="U1374" t="n">
        <v>0</v>
      </c>
      <c r="W1374" t="n">
        <v>20</v>
      </c>
      <c r="X1374" t="n">
        <v>20</v>
      </c>
      <c r="Y1374" t="n">
        <v>1</v>
      </c>
      <c r="Z1374" t="n">
        <v>0</v>
      </c>
      <c r="AN1374" t="inlineStr">
        <is>
          <t>Conclave (PvP)</t>
        </is>
      </c>
      <c r="AO1374" t="n">
        <v>140</v>
      </c>
      <c r="AP1374" t="n">
        <v>6762</v>
      </c>
      <c r="AQ1374" t="n">
        <v>40</v>
      </c>
      <c r="AS1374" t="inlineStr">
        <is>
          <t>PvP subtotal</t>
        </is>
      </c>
    </row>
    <row r="1375">
      <c r="A1375" t="inlineStr">
        <is>
          <t>Mod</t>
        </is>
      </c>
      <c r="B1375" t="inlineStr">
        <is>
          <t>Serration</t>
        </is>
      </c>
      <c r="E1375" t="inlineStr">
        <is>
          <t>Rifle</t>
        </is>
      </c>
      <c r="F1375" t="n">
        <v>10</v>
      </c>
      <c r="G1375" t="n">
        <v>1</v>
      </c>
      <c r="H1375" t="inlineStr">
        <is>
          <t>Player trade (max rank)</t>
        </is>
      </c>
      <c r="I1375" t="inlineStr">
        <is>
          <t>Yes</t>
        </is>
      </c>
      <c r="K1375" t="inlineStr">
        <is>
          <t>Collection</t>
        </is>
      </c>
      <c r="L1375" t="n">
        <v>35</v>
      </c>
      <c r="M1375" t="n">
        <v>40</v>
      </c>
      <c r="N1375" t="n">
        <v>44</v>
      </c>
      <c r="O1375" t="inlineStr">
        <is>
          <t>2026-10-05 UTC (WFM pull 02:52-04:00)</t>
        </is>
      </c>
      <c r="P1375" t="inlineStr">
        <is>
          <t>OK</t>
        </is>
      </c>
      <c r="R1375" t="inlineStr">
        <is>
          <t>Every current tradeable mod at MAX RANK (WFM catalogue, rivens/locators excluded)</t>
        </is>
      </c>
      <c r="S1375" t="inlineStr">
        <is>
          <t>serration</t>
        </is>
      </c>
      <c r="T1375" t="n">
        <v>16</v>
      </c>
      <c r="U1375" t="n">
        <v>16</v>
      </c>
      <c r="V1375" t="n">
        <v>38.5</v>
      </c>
      <c r="W1375" t="n">
        <v>35</v>
      </c>
      <c r="X1375" t="n">
        <v>35.1</v>
      </c>
      <c r="Y1375" t="n">
        <v>872</v>
      </c>
      <c r="Z1375" t="n">
        <v>27</v>
      </c>
      <c r="AA1375" t="n">
        <v>20</v>
      </c>
      <c r="AB1375" t="n">
        <v>15</v>
      </c>
      <c r="AN1375" t="inlineStr">
        <is>
          <t>Rifle</t>
        </is>
      </c>
      <c r="AO1375" t="n">
        <v>20460</v>
      </c>
      <c r="AP1375" t="n">
        <v>988218</v>
      </c>
      <c r="AQ1375" t="n">
        <v>4</v>
      </c>
      <c r="AS1375" t="inlineStr">
        <is>
          <t>Yes</t>
        </is>
      </c>
    </row>
    <row r="1376">
      <c r="A1376" t="inlineStr">
        <is>
          <t>Mod</t>
        </is>
      </c>
      <c r="B1376" t="inlineStr">
        <is>
          <t>Sey-Taph</t>
        </is>
      </c>
      <c r="E1376" t="inlineStr">
        <is>
          <t>Antique</t>
        </is>
      </c>
      <c r="F1376" t="n">
        <v>5</v>
      </c>
      <c r="G1376" t="n">
        <v>1</v>
      </c>
      <c r="H1376" t="inlineStr">
        <is>
          <t>Player trade (max rank)</t>
        </is>
      </c>
      <c r="I1376" t="inlineStr">
        <is>
          <t>Yes</t>
        </is>
      </c>
      <c r="K1376" t="inlineStr">
        <is>
          <t>Collection</t>
        </is>
      </c>
      <c r="L1376" t="n">
        <v>20</v>
      </c>
      <c r="M1376" t="n">
        <v>30</v>
      </c>
      <c r="N1376" t="n">
        <v>44</v>
      </c>
      <c r="O1376" t="inlineStr">
        <is>
          <t>2026-10-05 UTC (WFM pull 02:52-04:00)</t>
        </is>
      </c>
      <c r="P1376" t="inlineStr">
        <is>
          <t>OK</t>
        </is>
      </c>
      <c r="R1376" t="inlineStr">
        <is>
          <t>Every current tradeable mod at MAX RANK (WFM catalogue, rivens/locators excluded)</t>
        </is>
      </c>
      <c r="S1376" t="inlineStr">
        <is>
          <t>sey_taph</t>
        </is>
      </c>
      <c r="T1376" t="n">
        <v>7</v>
      </c>
      <c r="U1376" t="n">
        <v>7</v>
      </c>
      <c r="V1376" t="n">
        <v>20</v>
      </c>
      <c r="W1376" t="n">
        <v>24</v>
      </c>
      <c r="X1376" t="n">
        <v>21.6</v>
      </c>
      <c r="Y1376" t="n">
        <v>55</v>
      </c>
      <c r="Z1376" t="n">
        <v>7</v>
      </c>
      <c r="AN1376" t="inlineStr">
        <is>
          <t>Antique</t>
        </is>
      </c>
      <c r="AO1376" t="n">
        <v>310</v>
      </c>
      <c r="AP1376" t="n">
        <v>14973</v>
      </c>
      <c r="AQ1376" t="n">
        <v>5</v>
      </c>
      <c r="AS1376" t="inlineStr">
        <is>
          <t>Yes</t>
        </is>
      </c>
    </row>
    <row r="1377">
      <c r="A1377" t="inlineStr">
        <is>
          <t>Mod</t>
        </is>
      </c>
      <c r="B1377" t="inlineStr">
        <is>
          <t>Shadow Harvest</t>
        </is>
      </c>
      <c r="E1377" t="inlineStr">
        <is>
          <t>Conclave (PvP)</t>
        </is>
      </c>
      <c r="F1377" t="n">
        <v>3</v>
      </c>
      <c r="G1377" t="n">
        <v>1</v>
      </c>
      <c r="H1377" t="inlineStr">
        <is>
          <t>Player trade (max rank)</t>
        </is>
      </c>
      <c r="I1377" t="inlineStr">
        <is>
          <t>Yes</t>
        </is>
      </c>
      <c r="K1377" t="inlineStr">
        <is>
          <t>Collection (PvP)</t>
        </is>
      </c>
      <c r="L1377" t="n">
        <v>60</v>
      </c>
      <c r="M1377" t="n">
        <v>60</v>
      </c>
      <c r="N1377" t="n">
        <v>132</v>
      </c>
      <c r="O1377" t="inlineStr">
        <is>
          <t>2026-10-05 UTC (WFM pull 02:52-04:00)</t>
        </is>
      </c>
      <c r="P1377" t="inlineStr">
        <is>
          <t>OK</t>
        </is>
      </c>
      <c r="R1377" t="inlineStr">
        <is>
          <t>Every current tradeable mod at MAX RANK (WFM catalogue, rivens/locators excluded)</t>
        </is>
      </c>
      <c r="S1377" t="inlineStr">
        <is>
          <t>shadow_harvest</t>
        </is>
      </c>
      <c r="T1377" t="n">
        <v>7</v>
      </c>
      <c r="U1377" t="n">
        <v>1</v>
      </c>
      <c r="V1377" t="n">
        <v>20</v>
      </c>
      <c r="W1377" t="n">
        <v>20</v>
      </c>
      <c r="X1377" t="n">
        <v>20</v>
      </c>
      <c r="Y1377" t="n">
        <v>1</v>
      </c>
      <c r="Z1377" t="n">
        <v>0</v>
      </c>
      <c r="AN1377" t="inlineStr">
        <is>
          <t>Conclave (PvP)</t>
        </is>
      </c>
      <c r="AO1377" t="n">
        <v>140</v>
      </c>
      <c r="AP1377" t="n">
        <v>6762</v>
      </c>
      <c r="AQ1377" t="n">
        <v>15</v>
      </c>
      <c r="AS1377" t="inlineStr">
        <is>
          <t>PvP subtotal</t>
        </is>
      </c>
    </row>
    <row r="1378">
      <c r="A1378" t="inlineStr">
        <is>
          <t>Mod</t>
        </is>
      </c>
      <c r="B1378" t="inlineStr">
        <is>
          <t>Shadow Haze</t>
        </is>
      </c>
      <c r="E1378" t="inlineStr">
        <is>
          <t>Augment Sevagoth</t>
        </is>
      </c>
      <c r="F1378" t="n">
        <v>3</v>
      </c>
      <c r="G1378" t="n">
        <v>1</v>
      </c>
      <c r="H1378" t="inlineStr">
        <is>
          <t>Player trade (max rank)</t>
        </is>
      </c>
      <c r="I1378" t="inlineStr">
        <is>
          <t>Yes</t>
        </is>
      </c>
      <c r="K1378" t="inlineStr">
        <is>
          <t>Collection</t>
        </is>
      </c>
      <c r="L1378" t="n">
        <v>18</v>
      </c>
      <c r="M1378" t="n">
        <v>22.5</v>
      </c>
      <c r="N1378" t="n">
        <v>33</v>
      </c>
      <c r="O1378" t="inlineStr">
        <is>
          <t>2026-10-05 UTC (WFM pull 02:52-04:00)</t>
        </is>
      </c>
      <c r="P1378" t="inlineStr">
        <is>
          <t>OK</t>
        </is>
      </c>
      <c r="R1378" t="inlineStr">
        <is>
          <t>Every current tradeable mod at MAX RANK (WFM catalogue, rivens/locators excluded)</t>
        </is>
      </c>
      <c r="S1378" t="inlineStr">
        <is>
          <t>shadow_haze</t>
        </is>
      </c>
      <c r="T1378" t="n">
        <v>7</v>
      </c>
      <c r="U1378" t="n">
        <v>7</v>
      </c>
      <c r="V1378" t="n">
        <v>15</v>
      </c>
      <c r="W1378" t="n">
        <v>14</v>
      </c>
      <c r="X1378" t="n">
        <v>13.8</v>
      </c>
      <c r="Y1378" t="n">
        <v>630</v>
      </c>
      <c r="Z1378" t="n">
        <v>9</v>
      </c>
      <c r="AN1378" t="inlineStr">
        <is>
          <t>Augment Sevagoth</t>
        </is>
      </c>
      <c r="AO1378" t="n">
        <v>210</v>
      </c>
      <c r="AP1378" t="n">
        <v>10143</v>
      </c>
      <c r="AQ1378" t="n">
        <v>14</v>
      </c>
      <c r="AS1378" t="inlineStr">
        <is>
          <t>Yes</t>
        </is>
      </c>
    </row>
    <row r="1379">
      <c r="A1379" t="inlineStr">
        <is>
          <t>Mod</t>
        </is>
      </c>
      <c r="B1379" t="inlineStr">
        <is>
          <t>Sharpened Blade</t>
        </is>
      </c>
      <c r="E1379" t="inlineStr">
        <is>
          <t>Conclave (PvP)</t>
        </is>
      </c>
      <c r="F1379" t="n">
        <v>3</v>
      </c>
      <c r="G1379" t="n">
        <v>1</v>
      </c>
      <c r="H1379" t="inlineStr">
        <is>
          <t>Player trade (max rank)</t>
        </is>
      </c>
      <c r="I1379" t="inlineStr">
        <is>
          <t>Yes</t>
        </is>
      </c>
      <c r="K1379" t="inlineStr">
        <is>
          <t>Collection (PvP)</t>
        </is>
      </c>
      <c r="L1379" t="n">
        <v>40</v>
      </c>
      <c r="M1379" t="n">
        <v>175</v>
      </c>
      <c r="N1379" t="n">
        <v>275</v>
      </c>
      <c r="O1379" t="inlineStr">
        <is>
          <t>2026-10-05 UTC (WFM pull 02:52-04:00)</t>
        </is>
      </c>
      <c r="P1379" t="inlineStr">
        <is>
          <t>OK</t>
        </is>
      </c>
      <c r="R1379" t="inlineStr">
        <is>
          <t>Every current tradeable mod at MAX RANK (WFM catalogue, rivens/locators excluded)</t>
        </is>
      </c>
      <c r="S1379" t="inlineStr">
        <is>
          <t>sharpened_blade</t>
        </is>
      </c>
      <c r="T1379" t="n">
        <v>4</v>
      </c>
      <c r="U1379" t="n">
        <v>0</v>
      </c>
      <c r="Y1379" t="n">
        <v>0</v>
      </c>
      <c r="Z1379" t="n">
        <v>0</v>
      </c>
      <c r="AN1379" t="inlineStr">
        <is>
          <t>Conclave (PvP)</t>
        </is>
      </c>
      <c r="AO1379" t="n">
        <v>140</v>
      </c>
      <c r="AP1379" t="n">
        <v>6762</v>
      </c>
      <c r="AQ1379" t="n">
        <v>40</v>
      </c>
      <c r="AS1379" t="inlineStr">
        <is>
          <t>PvP subtotal</t>
        </is>
      </c>
    </row>
    <row r="1380">
      <c r="A1380" t="inlineStr">
        <is>
          <t>Mod</t>
        </is>
      </c>
      <c r="B1380" t="inlineStr">
        <is>
          <t>Sharpened Bullets</t>
        </is>
      </c>
      <c r="E1380" t="inlineStr">
        <is>
          <t>Pistol</t>
        </is>
      </c>
      <c r="F1380" t="n">
        <v>5</v>
      </c>
      <c r="G1380" t="n">
        <v>1</v>
      </c>
      <c r="H1380" t="inlineStr">
        <is>
          <t>Player trade (max rank)</t>
        </is>
      </c>
      <c r="I1380" t="inlineStr">
        <is>
          <t>Yes</t>
        </is>
      </c>
      <c r="K1380" t="inlineStr">
        <is>
          <t>Collection</t>
        </is>
      </c>
      <c r="L1380" t="n">
        <v>10</v>
      </c>
      <c r="M1380" t="n">
        <v>14</v>
      </c>
      <c r="N1380" t="n">
        <v>17</v>
      </c>
      <c r="O1380" t="inlineStr">
        <is>
          <t>2026-10-05 UTC (WFM pull 02:52-04:00)</t>
        </is>
      </c>
      <c r="P1380" t="inlineStr">
        <is>
          <t>OK</t>
        </is>
      </c>
      <c r="R1380" t="inlineStr">
        <is>
          <t>Every current tradeable mod at MAX RANK (WFM catalogue, rivens/locators excluded)</t>
        </is>
      </c>
      <c r="S1380" t="inlineStr">
        <is>
          <t>sharpened_bullets</t>
        </is>
      </c>
      <c r="T1380" t="n">
        <v>47</v>
      </c>
      <c r="U1380" t="n">
        <v>2</v>
      </c>
      <c r="V1380" t="n">
        <v>15</v>
      </c>
      <c r="W1380" t="n">
        <v>15</v>
      </c>
      <c r="X1380" t="n">
        <v>13</v>
      </c>
      <c r="Y1380" t="n">
        <v>54</v>
      </c>
      <c r="Z1380" t="n">
        <v>4</v>
      </c>
      <c r="AN1380" t="inlineStr">
        <is>
          <t>Pistol</t>
        </is>
      </c>
      <c r="AO1380" t="n">
        <v>620</v>
      </c>
      <c r="AP1380" t="n">
        <v>29946</v>
      </c>
      <c r="AQ1380" t="n">
        <v>12</v>
      </c>
      <c r="AS1380" t="inlineStr">
        <is>
          <t>Yes</t>
        </is>
      </c>
    </row>
    <row r="1381">
      <c r="A1381" t="inlineStr">
        <is>
          <t>Mod</t>
        </is>
      </c>
      <c r="B1381" t="inlineStr">
        <is>
          <t>Sharpened Claws</t>
        </is>
      </c>
      <c r="E1381" t="inlineStr">
        <is>
          <t>Kavat</t>
        </is>
      </c>
      <c r="F1381" t="n">
        <v>3</v>
      </c>
      <c r="G1381" t="n">
        <v>1</v>
      </c>
      <c r="H1381" t="inlineStr">
        <is>
          <t>Player trade (max rank)</t>
        </is>
      </c>
      <c r="I1381" t="inlineStr">
        <is>
          <t>Yes</t>
        </is>
      </c>
      <c r="K1381" t="inlineStr">
        <is>
          <t>Collection</t>
        </is>
      </c>
      <c r="L1381" t="n">
        <v>7</v>
      </c>
      <c r="M1381" t="n">
        <v>9</v>
      </c>
      <c r="N1381" t="n">
        <v>20</v>
      </c>
      <c r="O1381" t="inlineStr">
        <is>
          <t>2026-10-05 UTC (WFM pull 02:52-04:00)</t>
        </is>
      </c>
      <c r="P1381" t="inlineStr">
        <is>
          <t>OK</t>
        </is>
      </c>
      <c r="R1381" t="inlineStr">
        <is>
          <t>Every current tradeable mod at MAX RANK (WFM catalogue, rivens/locators excluded)</t>
        </is>
      </c>
      <c r="S1381" t="inlineStr">
        <is>
          <t>sharpened_claws</t>
        </is>
      </c>
      <c r="T1381" t="n">
        <v>6</v>
      </c>
      <c r="U1381" t="n">
        <v>6</v>
      </c>
      <c r="V1381" t="n">
        <v>10</v>
      </c>
      <c r="W1381" t="n">
        <v>10</v>
      </c>
      <c r="X1381" t="n">
        <v>8.800000000000001</v>
      </c>
      <c r="Y1381" t="n">
        <v>34</v>
      </c>
      <c r="Z1381" t="n">
        <v>0</v>
      </c>
      <c r="AN1381" t="inlineStr">
        <is>
          <t>Kavat</t>
        </is>
      </c>
      <c r="AO1381" t="n">
        <v>140</v>
      </c>
      <c r="AP1381" t="n">
        <v>6762</v>
      </c>
      <c r="AQ1381" t="n">
        <v>3.8</v>
      </c>
      <c r="AS1381" t="inlineStr">
        <is>
          <t>Yes</t>
        </is>
      </c>
    </row>
    <row r="1382">
      <c r="A1382" t="inlineStr">
        <is>
          <t>Mod</t>
        </is>
      </c>
      <c r="B1382" t="inlineStr">
        <is>
          <t>Sharpshooter</t>
        </is>
      </c>
      <c r="E1382" t="inlineStr">
        <is>
          <t>Sniper</t>
        </is>
      </c>
      <c r="F1382" t="n">
        <v>10</v>
      </c>
      <c r="G1382" t="n">
        <v>1</v>
      </c>
      <c r="H1382" t="inlineStr">
        <is>
          <t>Player trade (max rank)</t>
        </is>
      </c>
      <c r="I1382" t="inlineStr">
        <is>
          <t>Yes</t>
        </is>
      </c>
      <c r="K1382" t="inlineStr">
        <is>
          <t>Collection</t>
        </is>
      </c>
      <c r="L1382" t="n">
        <v>80</v>
      </c>
      <c r="M1382" t="n">
        <v>90</v>
      </c>
      <c r="N1382" t="n">
        <v>199</v>
      </c>
      <c r="O1382" t="inlineStr">
        <is>
          <t>2026-10-05 UTC (WFM pull 02:52-04:00)</t>
        </is>
      </c>
      <c r="P1382" t="inlineStr">
        <is>
          <t>OK</t>
        </is>
      </c>
      <c r="R1382" t="inlineStr">
        <is>
          <t>Every current tradeable mod at MAX RANK (WFM catalogue, rivens/locators excluded)</t>
        </is>
      </c>
      <c r="S1382" t="inlineStr">
        <is>
          <t>sharpshooter</t>
        </is>
      </c>
      <c r="T1382" t="n">
        <v>5</v>
      </c>
      <c r="U1382" t="n">
        <v>5</v>
      </c>
      <c r="V1382" t="n">
        <v>60</v>
      </c>
      <c r="W1382" t="n">
        <v>67.5</v>
      </c>
      <c r="X1382" t="n">
        <v>69.3</v>
      </c>
      <c r="Y1382" t="n">
        <v>64</v>
      </c>
      <c r="Z1382" t="n">
        <v>3</v>
      </c>
      <c r="AN1382" t="inlineStr">
        <is>
          <t>Sniper</t>
        </is>
      </c>
      <c r="AO1382" t="n">
        <v>30690</v>
      </c>
      <c r="AP1382" t="n">
        <v>1482327</v>
      </c>
      <c r="AQ1382" t="n">
        <v>15</v>
      </c>
      <c r="AS1382" t="inlineStr">
        <is>
          <t>Yes</t>
        </is>
      </c>
    </row>
    <row r="1383">
      <c r="A1383" t="inlineStr">
        <is>
          <t>Mod</t>
        </is>
      </c>
      <c r="B1383" t="inlineStr">
        <is>
          <t>Shatter Burst</t>
        </is>
      </c>
      <c r="E1383" t="inlineStr">
        <is>
          <t>Railjack (Battle, Slot 2)</t>
        </is>
      </c>
      <c r="F1383" t="n">
        <v>5</v>
      </c>
      <c r="G1383" t="n">
        <v>1</v>
      </c>
      <c r="H1383" t="inlineStr">
        <is>
          <t>Player trade (max rank)</t>
        </is>
      </c>
      <c r="I1383" t="inlineStr">
        <is>
          <t>Yes</t>
        </is>
      </c>
      <c r="K1383" t="inlineStr">
        <is>
          <t>Collection</t>
        </is>
      </c>
      <c r="L1383" t="n">
        <v>15</v>
      </c>
      <c r="M1383" t="n">
        <v>21.5</v>
      </c>
      <c r="N1383" t="n">
        <v>33</v>
      </c>
      <c r="O1383" t="inlineStr">
        <is>
          <t>2026-10-05 UTC (WFM pull 02:52-04:00)</t>
        </is>
      </c>
      <c r="P1383" t="inlineStr">
        <is>
          <t>OK</t>
        </is>
      </c>
      <c r="R1383" t="inlineStr">
        <is>
          <t>Every current tradeable mod at MAX RANK (WFM catalogue, rivens/locators excluded)</t>
        </is>
      </c>
      <c r="S1383" t="inlineStr">
        <is>
          <t>shatter_burst</t>
        </is>
      </c>
      <c r="T1383" t="n">
        <v>4</v>
      </c>
      <c r="U1383" t="n">
        <v>4</v>
      </c>
      <c r="V1383" t="n">
        <v>15</v>
      </c>
      <c r="W1383" t="n">
        <v>12.5</v>
      </c>
      <c r="X1383" t="n">
        <v>12.2</v>
      </c>
      <c r="Y1383" t="n">
        <v>44</v>
      </c>
      <c r="Z1383" t="n">
        <v>1</v>
      </c>
      <c r="AN1383" t="inlineStr">
        <is>
          <t>Railjack (Battle, Slot 2)</t>
        </is>
      </c>
      <c r="AO1383" t="n">
        <v>310</v>
      </c>
      <c r="AP1383" t="n">
        <v>14973</v>
      </c>
      <c r="AQ1383" t="n">
        <v>4</v>
      </c>
      <c r="AS1383" t="inlineStr">
        <is>
          <t>Yes</t>
        </is>
      </c>
    </row>
    <row r="1384">
      <c r="A1384" t="inlineStr">
        <is>
          <t>Mod</t>
        </is>
      </c>
      <c r="B1384" t="inlineStr">
        <is>
          <t>Shattered Storm</t>
        </is>
      </c>
      <c r="E1384" t="inlineStr">
        <is>
          <t>Augment Gara</t>
        </is>
      </c>
      <c r="F1384" t="n">
        <v>3</v>
      </c>
      <c r="G1384" t="n">
        <v>1</v>
      </c>
      <c r="H1384" t="inlineStr">
        <is>
          <t>Player trade (max rank)</t>
        </is>
      </c>
      <c r="I1384" t="inlineStr">
        <is>
          <t>Yes</t>
        </is>
      </c>
      <c r="K1384" t="inlineStr">
        <is>
          <t>Collection</t>
        </is>
      </c>
      <c r="L1384" t="n">
        <v>20</v>
      </c>
      <c r="M1384" t="n">
        <v>24</v>
      </c>
      <c r="N1384" t="n">
        <v>53</v>
      </c>
      <c r="O1384" t="inlineStr">
        <is>
          <t>2026-10-05 UTC (WFM pull 02:52-04:00)</t>
        </is>
      </c>
      <c r="P1384" t="inlineStr">
        <is>
          <t>OK</t>
        </is>
      </c>
      <c r="R1384" t="inlineStr">
        <is>
          <t>Every current tradeable mod at MAX RANK (WFM catalogue, rivens/locators excluded)</t>
        </is>
      </c>
      <c r="S1384" t="inlineStr">
        <is>
          <t>shattered_storm</t>
        </is>
      </c>
      <c r="T1384" t="n">
        <v>5</v>
      </c>
      <c r="U1384" t="n">
        <v>5</v>
      </c>
      <c r="V1384" t="n">
        <v>16</v>
      </c>
      <c r="W1384" t="n">
        <v>15</v>
      </c>
      <c r="X1384" t="n">
        <v>15.9</v>
      </c>
      <c r="Y1384" t="n">
        <v>390</v>
      </c>
      <c r="Z1384" t="n">
        <v>5</v>
      </c>
      <c r="AN1384" t="inlineStr">
        <is>
          <t>Augment Gara</t>
        </is>
      </c>
      <c r="AO1384" t="n">
        <v>210</v>
      </c>
      <c r="AP1384" t="n">
        <v>10143</v>
      </c>
      <c r="AQ1384" t="n">
        <v>15</v>
      </c>
      <c r="AS1384" t="inlineStr">
        <is>
          <t>Yes</t>
        </is>
      </c>
    </row>
    <row r="1385">
      <c r="A1385" t="inlineStr">
        <is>
          <t>Mod</t>
        </is>
      </c>
      <c r="B1385" t="inlineStr">
        <is>
          <t>Shattering Impact</t>
        </is>
      </c>
      <c r="E1385" t="inlineStr">
        <is>
          <t>Melee</t>
        </is>
      </c>
      <c r="F1385" t="n">
        <v>5</v>
      </c>
      <c r="G1385" t="n">
        <v>1</v>
      </c>
      <c r="H1385" t="inlineStr">
        <is>
          <t>Player trade (max rank)</t>
        </is>
      </c>
      <c r="I1385" t="inlineStr">
        <is>
          <t>Yes</t>
        </is>
      </c>
      <c r="K1385" t="inlineStr">
        <is>
          <t>Collection</t>
        </is>
      </c>
      <c r="L1385" t="n">
        <v>7</v>
      </c>
      <c r="M1385" t="n">
        <v>15</v>
      </c>
      <c r="N1385" t="n">
        <v>33</v>
      </c>
      <c r="O1385" t="inlineStr">
        <is>
          <t>2026-10-05 UTC (WFM pull 02:52-04:00)</t>
        </is>
      </c>
      <c r="P1385" t="inlineStr">
        <is>
          <t>OK</t>
        </is>
      </c>
      <c r="R1385" t="inlineStr">
        <is>
          <t>Every current tradeable mod at MAX RANK (WFM catalogue, rivens/locators excluded)</t>
        </is>
      </c>
      <c r="S1385" t="inlineStr">
        <is>
          <t>shattering_impact</t>
        </is>
      </c>
      <c r="T1385" t="n">
        <v>4</v>
      </c>
      <c r="U1385" t="n">
        <v>4</v>
      </c>
      <c r="V1385" t="n">
        <v>10</v>
      </c>
      <c r="W1385" t="n">
        <v>10</v>
      </c>
      <c r="X1385" t="n">
        <v>10</v>
      </c>
      <c r="Y1385" t="n">
        <v>25</v>
      </c>
      <c r="Z1385" t="n">
        <v>0</v>
      </c>
      <c r="AN1385" t="inlineStr">
        <is>
          <t>Melee</t>
        </is>
      </c>
      <c r="AO1385" t="n">
        <v>310</v>
      </c>
      <c r="AP1385" t="n">
        <v>14973</v>
      </c>
      <c r="AQ1385" t="n">
        <v>4</v>
      </c>
      <c r="AS1385" t="inlineStr">
        <is>
          <t>Yes</t>
        </is>
      </c>
    </row>
    <row r="1386">
      <c r="A1386" t="inlineStr">
        <is>
          <t>Mod</t>
        </is>
      </c>
      <c r="B1386" t="inlineStr">
        <is>
          <t>Shattering Justice</t>
        </is>
      </c>
      <c r="E1386" t="inlineStr">
        <is>
          <t>Augment Sobek</t>
        </is>
      </c>
      <c r="F1386" t="n">
        <v>3</v>
      </c>
      <c r="G1386" t="n">
        <v>1</v>
      </c>
      <c r="H1386" t="inlineStr">
        <is>
          <t>Player trade (max rank)</t>
        </is>
      </c>
      <c r="I1386" t="inlineStr">
        <is>
          <t>Yes</t>
        </is>
      </c>
      <c r="K1386" t="inlineStr">
        <is>
          <t>Collection</t>
        </is>
      </c>
      <c r="L1386" t="n">
        <v>30</v>
      </c>
      <c r="M1386" t="n">
        <v>30</v>
      </c>
      <c r="N1386" t="n">
        <v>66</v>
      </c>
      <c r="O1386" t="inlineStr">
        <is>
          <t>2026-10-05 UTC (WFM pull 02:52-04:00)</t>
        </is>
      </c>
      <c r="P1386" t="inlineStr">
        <is>
          <t>OK</t>
        </is>
      </c>
      <c r="R1386" t="inlineStr">
        <is>
          <t>Every current tradeable mod at MAX RANK (WFM catalogue, rivens/locators excluded)</t>
        </is>
      </c>
      <c r="S1386" t="inlineStr">
        <is>
          <t>shattering_justice</t>
        </is>
      </c>
      <c r="T1386" t="n">
        <v>3</v>
      </c>
      <c r="U1386" t="n">
        <v>3</v>
      </c>
      <c r="V1386" t="n">
        <v>10</v>
      </c>
      <c r="W1386" t="n">
        <v>10</v>
      </c>
      <c r="X1386" t="n">
        <v>10.4</v>
      </c>
      <c r="Y1386" t="n">
        <v>60</v>
      </c>
      <c r="Z1386" t="n">
        <v>1</v>
      </c>
      <c r="AN1386" t="inlineStr">
        <is>
          <t>Augment Sobek</t>
        </is>
      </c>
      <c r="AO1386" t="n">
        <v>210</v>
      </c>
      <c r="AP1386" t="n">
        <v>10143</v>
      </c>
      <c r="AQ1386" t="n">
        <v>5</v>
      </c>
      <c r="AS1386" t="inlineStr">
        <is>
          <t>Yes</t>
        </is>
      </c>
    </row>
    <row r="1387">
      <c r="A1387" t="inlineStr">
        <is>
          <t>Mod</t>
        </is>
      </c>
      <c r="B1387" t="inlineStr">
        <is>
          <t>Shattering Storm</t>
        </is>
      </c>
      <c r="E1387" t="inlineStr">
        <is>
          <t>Stance</t>
        </is>
      </c>
      <c r="F1387" t="n">
        <v>3</v>
      </c>
      <c r="G1387" t="n">
        <v>1</v>
      </c>
      <c r="H1387" t="inlineStr">
        <is>
          <t>Player trade (max rank)</t>
        </is>
      </c>
      <c r="I1387" t="inlineStr">
        <is>
          <t>Yes</t>
        </is>
      </c>
      <c r="K1387" t="inlineStr">
        <is>
          <t>Collection</t>
        </is>
      </c>
      <c r="L1387" t="n">
        <v>25</v>
      </c>
      <c r="M1387" t="n">
        <v>30</v>
      </c>
      <c r="N1387" t="n">
        <v>39</v>
      </c>
      <c r="O1387" t="inlineStr">
        <is>
          <t>2026-10-05 UTC (WFM pull 02:52-04:00)</t>
        </is>
      </c>
      <c r="P1387" t="inlineStr">
        <is>
          <t>OK</t>
        </is>
      </c>
      <c r="R1387" t="inlineStr">
        <is>
          <t>Every current tradeable mod at MAX RANK (WFM catalogue, rivens/locators excluded)</t>
        </is>
      </c>
      <c r="S1387" t="inlineStr">
        <is>
          <t>shattering_storm</t>
        </is>
      </c>
      <c r="T1387" t="n">
        <v>8</v>
      </c>
      <c r="U1387" t="n">
        <v>8</v>
      </c>
      <c r="V1387" t="n">
        <v>25</v>
      </c>
      <c r="W1387" t="n">
        <v>22.5</v>
      </c>
      <c r="X1387" t="n">
        <v>21.5</v>
      </c>
      <c r="Y1387" t="n">
        <v>685</v>
      </c>
      <c r="Z1387" t="n">
        <v>7</v>
      </c>
      <c r="AN1387" t="inlineStr">
        <is>
          <t>Stance</t>
        </is>
      </c>
      <c r="AO1387" t="n">
        <v>140</v>
      </c>
      <c r="AP1387" t="n">
        <v>6762</v>
      </c>
      <c r="AQ1387" t="n">
        <v>19</v>
      </c>
      <c r="AS1387" t="inlineStr">
        <is>
          <t>Yes</t>
        </is>
      </c>
    </row>
    <row r="1388">
      <c r="A1388" t="inlineStr">
        <is>
          <t>Mod</t>
        </is>
      </c>
      <c r="B1388" t="inlineStr">
        <is>
          <t>Shell Compression</t>
        </is>
      </c>
      <c r="E1388" t="inlineStr">
        <is>
          <t>Shotgun</t>
        </is>
      </c>
      <c r="F1388" t="n">
        <v>5</v>
      </c>
      <c r="G1388" t="n">
        <v>1</v>
      </c>
      <c r="H1388" t="inlineStr">
        <is>
          <t>Player trade (max rank)</t>
        </is>
      </c>
      <c r="I1388" t="inlineStr">
        <is>
          <t>Yes</t>
        </is>
      </c>
      <c r="K1388" t="inlineStr">
        <is>
          <t>Collection</t>
        </is>
      </c>
      <c r="L1388" t="n">
        <v>9</v>
      </c>
      <c r="M1388" t="n">
        <v>29.5</v>
      </c>
      <c r="N1388" t="n">
        <v>58</v>
      </c>
      <c r="O1388" t="inlineStr">
        <is>
          <t>2026-10-05 UTC (WFM pull 02:52-04:00)</t>
        </is>
      </c>
      <c r="P1388" t="inlineStr">
        <is>
          <t>OK</t>
        </is>
      </c>
      <c r="R1388" t="inlineStr">
        <is>
          <t>Every current tradeable mod at MAX RANK (WFM catalogue, rivens/locators excluded)</t>
        </is>
      </c>
      <c r="S1388" t="inlineStr">
        <is>
          <t>shell_compression</t>
        </is>
      </c>
      <c r="T1388" t="n">
        <v>4</v>
      </c>
      <c r="U1388" t="n">
        <v>4</v>
      </c>
      <c r="W1388" t="n">
        <v>20</v>
      </c>
      <c r="X1388" t="n">
        <v>18.3</v>
      </c>
      <c r="Y1388" t="n">
        <v>3</v>
      </c>
      <c r="Z1388" t="n">
        <v>0</v>
      </c>
      <c r="AN1388" t="inlineStr">
        <is>
          <t>Shotgun</t>
        </is>
      </c>
      <c r="AO1388" t="n">
        <v>620</v>
      </c>
      <c r="AP1388" t="n">
        <v>29946</v>
      </c>
      <c r="AQ1388" t="n">
        <v>2</v>
      </c>
      <c r="AS1388" t="inlineStr">
        <is>
          <t>Yes</t>
        </is>
      </c>
    </row>
    <row r="1389">
      <c r="A1389" t="inlineStr">
        <is>
          <t>Mod</t>
        </is>
      </c>
      <c r="B1389" t="inlineStr">
        <is>
          <t>Shell Rush</t>
        </is>
      </c>
      <c r="E1389" t="inlineStr">
        <is>
          <t>Archgun</t>
        </is>
      </c>
      <c r="F1389" t="n">
        <v>3</v>
      </c>
      <c r="G1389" t="n">
        <v>1</v>
      </c>
      <c r="H1389" t="inlineStr">
        <is>
          <t>Player trade (max rank)</t>
        </is>
      </c>
      <c r="I1389" t="inlineStr">
        <is>
          <t>Yes</t>
        </is>
      </c>
      <c r="K1389" t="inlineStr">
        <is>
          <t>Collection</t>
        </is>
      </c>
      <c r="L1389" t="n">
        <v>10</v>
      </c>
      <c r="M1389" t="n">
        <v>22.5</v>
      </c>
      <c r="N1389" t="n">
        <v>50</v>
      </c>
      <c r="O1389" t="inlineStr">
        <is>
          <t>2026-10-05 UTC (WFM pull 02:52-04:00)</t>
        </is>
      </c>
      <c r="P1389" t="inlineStr">
        <is>
          <t>OK</t>
        </is>
      </c>
      <c r="R1389" t="inlineStr">
        <is>
          <t>Every current tradeable mod at MAX RANK (WFM catalogue, rivens/locators excluded)</t>
        </is>
      </c>
      <c r="S1389" t="inlineStr">
        <is>
          <t>shell_rush</t>
        </is>
      </c>
      <c r="T1389" t="n">
        <v>3</v>
      </c>
      <c r="U1389" t="n">
        <v>3</v>
      </c>
      <c r="W1389" t="n">
        <v>15</v>
      </c>
      <c r="X1389" t="n">
        <v>14.4</v>
      </c>
      <c r="Y1389" t="n">
        <v>5</v>
      </c>
      <c r="Z1389" t="n">
        <v>0</v>
      </c>
      <c r="AN1389" t="inlineStr">
        <is>
          <t>Archgun</t>
        </is>
      </c>
      <c r="AO1389" t="n">
        <v>140</v>
      </c>
      <c r="AP1389" t="n">
        <v>6762</v>
      </c>
      <c r="AQ1389" t="n">
        <v>7.5</v>
      </c>
      <c r="AS1389" t="inlineStr">
        <is>
          <t>Yes</t>
        </is>
      </c>
    </row>
    <row r="1390">
      <c r="A1390" t="inlineStr">
        <is>
          <t>Mod</t>
        </is>
      </c>
      <c r="B1390" t="inlineStr">
        <is>
          <t>Shell Shock</t>
        </is>
      </c>
      <c r="E1390" t="inlineStr">
        <is>
          <t>Shotgun</t>
        </is>
      </c>
      <c r="F1390" t="n">
        <v>3</v>
      </c>
      <c r="G1390" t="n">
        <v>1</v>
      </c>
      <c r="H1390" t="inlineStr">
        <is>
          <t>Player trade (max rank)</t>
        </is>
      </c>
      <c r="I1390" t="inlineStr">
        <is>
          <t>Yes</t>
        </is>
      </c>
      <c r="K1390" t="inlineStr">
        <is>
          <t>Collection</t>
        </is>
      </c>
      <c r="L1390" t="n">
        <v>30</v>
      </c>
      <c r="M1390" t="n">
        <v>40</v>
      </c>
      <c r="N1390" t="n">
        <v>54</v>
      </c>
      <c r="O1390" t="inlineStr">
        <is>
          <t>2026-10-05 UTC (WFM pull 02:52-04:00)</t>
        </is>
      </c>
      <c r="P1390" t="inlineStr">
        <is>
          <t>OK</t>
        </is>
      </c>
      <c r="R1390" t="inlineStr">
        <is>
          <t>Every current tradeable mod at MAX RANK (WFM catalogue, rivens/locators excluded)</t>
        </is>
      </c>
      <c r="S1390" t="inlineStr">
        <is>
          <t>shell_shock</t>
        </is>
      </c>
      <c r="T1390" t="n">
        <v>9</v>
      </c>
      <c r="U1390" t="n">
        <v>9</v>
      </c>
      <c r="V1390" t="n">
        <v>30</v>
      </c>
      <c r="W1390" t="n">
        <v>29.5</v>
      </c>
      <c r="X1390" t="n">
        <v>27.5</v>
      </c>
      <c r="Y1390" t="n">
        <v>1425</v>
      </c>
      <c r="Z1390" t="n">
        <v>5</v>
      </c>
      <c r="AA1390" t="n">
        <v>10</v>
      </c>
      <c r="AB1390" t="n">
        <v>20</v>
      </c>
      <c r="AN1390" t="inlineStr">
        <is>
          <t>Shotgun</t>
        </is>
      </c>
      <c r="AO1390" t="n">
        <v>210</v>
      </c>
      <c r="AP1390" t="n">
        <v>10143</v>
      </c>
      <c r="AQ1390" t="n">
        <v>35</v>
      </c>
      <c r="AS1390" t="inlineStr">
        <is>
          <t>Yes</t>
        </is>
      </c>
    </row>
    <row r="1391">
      <c r="A1391" t="inlineStr">
        <is>
          <t>Mod</t>
        </is>
      </c>
      <c r="B1391" t="inlineStr">
        <is>
          <t>Shelter</t>
        </is>
      </c>
      <c r="E1391" t="inlineStr">
        <is>
          <t>Beast</t>
        </is>
      </c>
      <c r="F1391" t="n">
        <v>10</v>
      </c>
      <c r="G1391" t="n">
        <v>1</v>
      </c>
      <c r="H1391" t="inlineStr">
        <is>
          <t>Player trade (max rank)</t>
        </is>
      </c>
      <c r="I1391" t="inlineStr">
        <is>
          <t>Yes</t>
        </is>
      </c>
      <c r="K1391" t="inlineStr">
        <is>
          <t>Collection</t>
        </is>
      </c>
      <c r="L1391" t="n">
        <v>40</v>
      </c>
      <c r="M1391" t="n">
        <v>50</v>
      </c>
      <c r="N1391" t="n">
        <v>66</v>
      </c>
      <c r="O1391" t="inlineStr">
        <is>
          <t>2026-10-05 UTC (WFM pull 02:52-04:00)</t>
        </is>
      </c>
      <c r="P1391" t="inlineStr">
        <is>
          <t>OK</t>
        </is>
      </c>
      <c r="R1391" t="inlineStr">
        <is>
          <t>Every current tradeable mod at MAX RANK (WFM catalogue, rivens/locators excluded)</t>
        </is>
      </c>
      <c r="S1391" t="inlineStr">
        <is>
          <t>shelter</t>
        </is>
      </c>
      <c r="T1391" t="n">
        <v>65</v>
      </c>
      <c r="U1391" t="n">
        <v>0</v>
      </c>
      <c r="W1391" t="n">
        <v>63</v>
      </c>
      <c r="X1391" t="n">
        <v>60.1</v>
      </c>
      <c r="Y1391" t="n">
        <v>7</v>
      </c>
      <c r="Z1391" t="n">
        <v>0</v>
      </c>
      <c r="AN1391" t="inlineStr">
        <is>
          <t>Beast</t>
        </is>
      </c>
      <c r="AO1391" t="n">
        <v>20460</v>
      </c>
      <c r="AP1391" t="n">
        <v>988218</v>
      </c>
      <c r="AQ1391" t="n">
        <v>7.5</v>
      </c>
      <c r="AS1391" t="inlineStr">
        <is>
          <t>Yes</t>
        </is>
      </c>
    </row>
    <row r="1392">
      <c r="A1392" t="inlineStr">
        <is>
          <t>Mod</t>
        </is>
      </c>
      <c r="B1392" t="inlineStr">
        <is>
          <t>Shepherd</t>
        </is>
      </c>
      <c r="E1392" t="inlineStr">
        <is>
          <t>Aura</t>
        </is>
      </c>
      <c r="F1392" t="n">
        <v>5</v>
      </c>
      <c r="G1392" t="n">
        <v>1</v>
      </c>
      <c r="H1392" t="inlineStr">
        <is>
          <t>Player trade (max rank)</t>
        </is>
      </c>
      <c r="I1392" t="inlineStr">
        <is>
          <t>Yes</t>
        </is>
      </c>
      <c r="K1392" t="inlineStr">
        <is>
          <t>Collection</t>
        </is>
      </c>
      <c r="L1392" t="n">
        <v>15</v>
      </c>
      <c r="M1392" t="n">
        <v>15</v>
      </c>
      <c r="N1392" t="n">
        <v>33</v>
      </c>
      <c r="O1392" t="inlineStr">
        <is>
          <t>2026-10-05 UTC (WFM pull 02:52-04:00)</t>
        </is>
      </c>
      <c r="P1392" t="inlineStr">
        <is>
          <t>OK</t>
        </is>
      </c>
      <c r="R1392" t="inlineStr">
        <is>
          <t>Every current tradeable mod at MAX RANK (WFM catalogue, rivens/locators excluded)</t>
        </is>
      </c>
      <c r="S1392" t="inlineStr">
        <is>
          <t>shepherd</t>
        </is>
      </c>
      <c r="T1392" t="n">
        <v>6</v>
      </c>
      <c r="U1392" t="n">
        <v>6</v>
      </c>
      <c r="V1392" t="n">
        <v>6</v>
      </c>
      <c r="W1392" t="n">
        <v>8</v>
      </c>
      <c r="X1392" t="n">
        <v>10.3</v>
      </c>
      <c r="Y1392" t="n">
        <v>10</v>
      </c>
      <c r="Z1392" t="n">
        <v>3</v>
      </c>
      <c r="AN1392" t="inlineStr">
        <is>
          <t>Aura</t>
        </is>
      </c>
      <c r="AO1392" t="n">
        <v>930</v>
      </c>
      <c r="AP1392" t="n">
        <v>44919</v>
      </c>
      <c r="AQ1392" t="n">
        <v>5</v>
      </c>
      <c r="AS1392" t="inlineStr">
        <is>
          <t>Yes</t>
        </is>
      </c>
    </row>
    <row r="1393">
      <c r="A1393" t="inlineStr">
        <is>
          <t>Mod</t>
        </is>
      </c>
      <c r="B1393" t="inlineStr">
        <is>
          <t>Shield Charger</t>
        </is>
      </c>
      <c r="E1393" t="inlineStr">
        <is>
          <t>Robotic</t>
        </is>
      </c>
      <c r="F1393" t="n">
        <v>5</v>
      </c>
      <c r="G1393" t="n">
        <v>1</v>
      </c>
      <c r="H1393" t="inlineStr">
        <is>
          <t>Player trade (max rank)</t>
        </is>
      </c>
      <c r="I1393" t="inlineStr">
        <is>
          <t>Yes</t>
        </is>
      </c>
      <c r="K1393" t="inlineStr">
        <is>
          <t>Collection</t>
        </is>
      </c>
      <c r="L1393" t="n">
        <v>8</v>
      </c>
      <c r="M1393" t="n">
        <v>12.8</v>
      </c>
      <c r="N1393" t="n">
        <v>29</v>
      </c>
      <c r="O1393" t="inlineStr">
        <is>
          <t>2026-10-05 UTC (WFM pull 02:52-04:00)</t>
        </is>
      </c>
      <c r="P1393" t="inlineStr">
        <is>
          <t>OK</t>
        </is>
      </c>
      <c r="R1393" t="inlineStr">
        <is>
          <t>Every current tradeable mod at MAX RANK (WFM catalogue, rivens/locators excluded)</t>
        </is>
      </c>
      <c r="S1393" t="inlineStr">
        <is>
          <t>shield_charger</t>
        </is>
      </c>
      <c r="T1393" t="n">
        <v>4</v>
      </c>
      <c r="U1393" t="n">
        <v>4</v>
      </c>
      <c r="V1393" t="n">
        <v>8.5</v>
      </c>
      <c r="W1393" t="n">
        <v>9</v>
      </c>
      <c r="X1393" t="n">
        <v>8.699999999999999</v>
      </c>
      <c r="Y1393" t="n">
        <v>48</v>
      </c>
      <c r="Z1393" t="n">
        <v>3</v>
      </c>
      <c r="AN1393" t="inlineStr">
        <is>
          <t>Robotic</t>
        </is>
      </c>
      <c r="AO1393" t="n">
        <v>930</v>
      </c>
      <c r="AP1393" t="n">
        <v>44919</v>
      </c>
      <c r="AQ1393" t="n">
        <v>2</v>
      </c>
      <c r="AS1393" t="inlineStr">
        <is>
          <t>Yes</t>
        </is>
      </c>
    </row>
    <row r="1394">
      <c r="A1394" t="inlineStr">
        <is>
          <t>Mod</t>
        </is>
      </c>
      <c r="B1394" t="inlineStr">
        <is>
          <t>Shield Disruption</t>
        </is>
      </c>
      <c r="E1394" t="inlineStr">
        <is>
          <t>Aura</t>
        </is>
      </c>
      <c r="F1394" t="n">
        <v>5</v>
      </c>
      <c r="G1394" t="n">
        <v>1</v>
      </c>
      <c r="H1394" t="inlineStr">
        <is>
          <t>Player trade (max rank)</t>
        </is>
      </c>
      <c r="I1394" t="inlineStr">
        <is>
          <t>Yes</t>
        </is>
      </c>
      <c r="K1394" t="inlineStr">
        <is>
          <t>Collection</t>
        </is>
      </c>
      <c r="L1394" t="n">
        <v>20</v>
      </c>
      <c r="M1394" t="n">
        <v>22.5</v>
      </c>
      <c r="N1394" t="n">
        <v>50</v>
      </c>
      <c r="O1394" t="inlineStr">
        <is>
          <t>2026-10-05 UTC (WFM pull 02:52-04:00)</t>
        </is>
      </c>
      <c r="P1394" t="inlineStr">
        <is>
          <t>OK</t>
        </is>
      </c>
      <c r="R1394" t="inlineStr">
        <is>
          <t>Every current tradeable mod at MAX RANK (WFM catalogue, rivens/locators excluded)</t>
        </is>
      </c>
      <c r="S1394" t="inlineStr">
        <is>
          <t>shield_disruption</t>
        </is>
      </c>
      <c r="T1394" t="n">
        <v>4</v>
      </c>
      <c r="U1394" t="n">
        <v>4</v>
      </c>
      <c r="V1394" t="n">
        <v>15</v>
      </c>
      <c r="W1394" t="n">
        <v>12.5</v>
      </c>
      <c r="X1394" t="n">
        <v>13.3</v>
      </c>
      <c r="Y1394" t="n">
        <v>37</v>
      </c>
      <c r="Z1394" t="n">
        <v>0</v>
      </c>
      <c r="AN1394" t="inlineStr">
        <is>
          <t>Aura</t>
        </is>
      </c>
      <c r="AO1394" t="n">
        <v>620</v>
      </c>
      <c r="AP1394" t="n">
        <v>29946</v>
      </c>
      <c r="AQ1394" t="n">
        <v>10</v>
      </c>
      <c r="AS1394" t="inlineStr">
        <is>
          <t>Yes</t>
        </is>
      </c>
    </row>
    <row r="1395">
      <c r="A1395" t="inlineStr">
        <is>
          <t>Mod</t>
        </is>
      </c>
      <c r="B1395" t="inlineStr">
        <is>
          <t>Shield Of Shadows</t>
        </is>
      </c>
      <c r="E1395" t="inlineStr">
        <is>
          <t>Augment Nekros</t>
        </is>
      </c>
      <c r="F1395" t="n">
        <v>3</v>
      </c>
      <c r="G1395" t="n">
        <v>1</v>
      </c>
      <c r="H1395" t="inlineStr">
        <is>
          <t>Player trade (max rank)</t>
        </is>
      </c>
      <c r="I1395" t="inlineStr">
        <is>
          <t>Yes</t>
        </is>
      </c>
      <c r="K1395" t="inlineStr">
        <is>
          <t>Collection</t>
        </is>
      </c>
      <c r="L1395" t="n">
        <v>20</v>
      </c>
      <c r="M1395" t="n">
        <v>21</v>
      </c>
      <c r="N1395" t="n">
        <v>47</v>
      </c>
      <c r="O1395" t="inlineStr">
        <is>
          <t>2026-10-05 UTC (WFM pull 02:52-04:00)</t>
        </is>
      </c>
      <c r="P1395" t="inlineStr">
        <is>
          <t>OK</t>
        </is>
      </c>
      <c r="R1395" t="inlineStr">
        <is>
          <t>Every current tradeable mod at MAX RANK (WFM catalogue, rivens/locators excluded)</t>
        </is>
      </c>
      <c r="S1395" t="inlineStr">
        <is>
          <t>shield_of_shadows</t>
        </is>
      </c>
      <c r="T1395" t="n">
        <v>4</v>
      </c>
      <c r="U1395" t="n">
        <v>4</v>
      </c>
      <c r="V1395" t="n">
        <v>14</v>
      </c>
      <c r="W1395" t="n">
        <v>13.5</v>
      </c>
      <c r="X1395" t="n">
        <v>13.4</v>
      </c>
      <c r="Y1395" t="n">
        <v>428</v>
      </c>
      <c r="Z1395" t="n">
        <v>7</v>
      </c>
      <c r="AN1395" t="inlineStr">
        <is>
          <t>Augment Nekros</t>
        </is>
      </c>
      <c r="AO1395" t="n">
        <v>210</v>
      </c>
      <c r="AP1395" t="n">
        <v>10143</v>
      </c>
      <c r="AQ1395" t="n">
        <v>15</v>
      </c>
      <c r="AS1395" t="inlineStr">
        <is>
          <t>Yes</t>
        </is>
      </c>
    </row>
    <row r="1396">
      <c r="A1396" t="inlineStr">
        <is>
          <t>Mod</t>
        </is>
      </c>
      <c r="B1396" t="inlineStr">
        <is>
          <t>Shield Overload</t>
        </is>
      </c>
      <c r="E1396" t="inlineStr">
        <is>
          <t>Augment Mag</t>
        </is>
      </c>
      <c r="F1396" t="n">
        <v>3</v>
      </c>
      <c r="G1396" t="n">
        <v>1</v>
      </c>
      <c r="H1396" t="inlineStr">
        <is>
          <t>Player trade (max rank)</t>
        </is>
      </c>
      <c r="I1396" t="inlineStr">
        <is>
          <t>Yes</t>
        </is>
      </c>
      <c r="K1396" t="inlineStr">
        <is>
          <t>Collection</t>
        </is>
      </c>
      <c r="L1396" t="n">
        <v>50</v>
      </c>
      <c r="M1396" t="n">
        <v>75</v>
      </c>
      <c r="N1396" t="n">
        <v>165</v>
      </c>
      <c r="O1396" t="inlineStr">
        <is>
          <t>2026-10-05 UTC (WFM pull 02:52-04:00)</t>
        </is>
      </c>
      <c r="P1396" t="inlineStr">
        <is>
          <t>OK</t>
        </is>
      </c>
      <c r="R1396" t="inlineStr">
        <is>
          <t>Every current tradeable mod at MAX RANK (WFM catalogue, rivens/locators excluded)</t>
        </is>
      </c>
      <c r="S1396" t="inlineStr">
        <is>
          <t>shield_overload</t>
        </is>
      </c>
      <c r="T1396" t="n">
        <v>3</v>
      </c>
      <c r="U1396" t="n">
        <v>0</v>
      </c>
      <c r="W1396" t="n">
        <v>50</v>
      </c>
      <c r="X1396" t="n">
        <v>50</v>
      </c>
      <c r="Y1396" t="n">
        <v>2</v>
      </c>
      <c r="Z1396" t="n">
        <v>0</v>
      </c>
      <c r="AN1396" t="inlineStr">
        <is>
          <t>Augment Mag</t>
        </is>
      </c>
      <c r="AO1396" t="n">
        <v>210</v>
      </c>
      <c r="AP1396" t="n">
        <v>10143</v>
      </c>
      <c r="AQ1396" t="n">
        <v>90</v>
      </c>
      <c r="AS1396" t="inlineStr">
        <is>
          <t>Yes</t>
        </is>
      </c>
    </row>
    <row r="1397">
      <c r="A1397" t="inlineStr">
        <is>
          <t>Mod</t>
        </is>
      </c>
      <c r="B1397" t="inlineStr">
        <is>
          <t>Shimmering Blight</t>
        </is>
      </c>
      <c r="E1397" t="inlineStr">
        <is>
          <t>Stance</t>
        </is>
      </c>
      <c r="F1397" t="n">
        <v>3</v>
      </c>
      <c r="G1397" t="n">
        <v>1</v>
      </c>
      <c r="H1397" t="inlineStr">
        <is>
          <t>Player trade (max rank)</t>
        </is>
      </c>
      <c r="I1397" t="inlineStr">
        <is>
          <t>Yes</t>
        </is>
      </c>
      <c r="K1397" t="inlineStr">
        <is>
          <t>Collection</t>
        </is>
      </c>
      <c r="L1397" t="n">
        <v>10</v>
      </c>
      <c r="M1397" t="n">
        <v>15</v>
      </c>
      <c r="N1397" t="n">
        <v>33</v>
      </c>
      <c r="O1397" t="inlineStr">
        <is>
          <t>2026-10-05 UTC (WFM pull 02:52-04:00)</t>
        </is>
      </c>
      <c r="P1397" t="inlineStr">
        <is>
          <t>OK</t>
        </is>
      </c>
      <c r="R1397" t="inlineStr">
        <is>
          <t>Every current tradeable mod at MAX RANK (WFM catalogue, rivens/locators excluded)</t>
        </is>
      </c>
      <c r="S1397" t="inlineStr">
        <is>
          <t>shimmering_blight</t>
        </is>
      </c>
      <c r="T1397" t="n">
        <v>6</v>
      </c>
      <c r="U1397" t="n">
        <v>6</v>
      </c>
      <c r="V1397" t="n">
        <v>10</v>
      </c>
      <c r="W1397" t="n">
        <v>9</v>
      </c>
      <c r="X1397" t="n">
        <v>8.199999999999999</v>
      </c>
      <c r="Y1397" t="n">
        <v>37</v>
      </c>
      <c r="Z1397" t="n">
        <v>1</v>
      </c>
      <c r="AN1397" t="inlineStr">
        <is>
          <t>Stance</t>
        </is>
      </c>
      <c r="AO1397" t="n">
        <v>140</v>
      </c>
      <c r="AP1397" t="n">
        <v>6762</v>
      </c>
      <c r="AQ1397" t="n">
        <v>4</v>
      </c>
      <c r="AS1397" t="inlineStr">
        <is>
          <t>Yes</t>
        </is>
      </c>
    </row>
    <row r="1398">
      <c r="A1398" t="inlineStr">
        <is>
          <t>Mod</t>
        </is>
      </c>
      <c r="B1398" t="inlineStr">
        <is>
          <t>Shivering Contagion</t>
        </is>
      </c>
      <c r="E1398" t="inlineStr">
        <is>
          <t>Primary</t>
        </is>
      </c>
      <c r="F1398" t="n">
        <v>5</v>
      </c>
      <c r="G1398" t="n">
        <v>1</v>
      </c>
      <c r="H1398" t="inlineStr">
        <is>
          <t>Player trade (max rank)</t>
        </is>
      </c>
      <c r="I1398" t="inlineStr">
        <is>
          <t>Yes</t>
        </is>
      </c>
      <c r="K1398" t="inlineStr">
        <is>
          <t>Collection</t>
        </is>
      </c>
      <c r="L1398" t="n">
        <v>10</v>
      </c>
      <c r="M1398" t="n">
        <v>11</v>
      </c>
      <c r="N1398" t="n">
        <v>17</v>
      </c>
      <c r="O1398" t="inlineStr">
        <is>
          <t>2026-10-05 UTC (WFM pull 02:52-04:00)</t>
        </is>
      </c>
      <c r="P1398" t="inlineStr">
        <is>
          <t>OK</t>
        </is>
      </c>
      <c r="R1398" t="inlineStr">
        <is>
          <t>Every current tradeable mod at MAX RANK (WFM catalogue, rivens/locators excluded)</t>
        </is>
      </c>
      <c r="S1398" t="inlineStr">
        <is>
          <t>shivering_contagion</t>
        </is>
      </c>
      <c r="T1398" t="n">
        <v>11</v>
      </c>
      <c r="U1398" t="n">
        <v>11</v>
      </c>
      <c r="V1398" t="n">
        <v>11</v>
      </c>
      <c r="W1398" t="n">
        <v>10.5</v>
      </c>
      <c r="X1398" t="n">
        <v>11.3</v>
      </c>
      <c r="Y1398" t="n">
        <v>254</v>
      </c>
      <c r="Z1398" t="n">
        <v>6</v>
      </c>
      <c r="AN1398" t="inlineStr">
        <is>
          <t>Primary</t>
        </is>
      </c>
      <c r="AO1398" t="n">
        <v>930</v>
      </c>
      <c r="AP1398" t="n">
        <v>44919</v>
      </c>
      <c r="AQ1398" t="n">
        <v>8</v>
      </c>
      <c r="AS1398" t="inlineStr">
        <is>
          <t>Yes</t>
        </is>
      </c>
    </row>
    <row r="1399">
      <c r="A1399" t="inlineStr">
        <is>
          <t>Mod</t>
        </is>
      </c>
      <c r="B1399" t="inlineStr">
        <is>
          <t>Shock Absorbers</t>
        </is>
      </c>
      <c r="E1399" t="inlineStr">
        <is>
          <t>Warframe</t>
        </is>
      </c>
      <c r="F1399" t="n">
        <v>3</v>
      </c>
      <c r="G1399" t="n">
        <v>1</v>
      </c>
      <c r="H1399" t="inlineStr">
        <is>
          <t>Player trade (max rank)</t>
        </is>
      </c>
      <c r="I1399" t="inlineStr">
        <is>
          <t>Yes</t>
        </is>
      </c>
      <c r="K1399" t="inlineStr">
        <is>
          <t>Collection</t>
        </is>
      </c>
      <c r="L1399" t="n">
        <v>6</v>
      </c>
      <c r="M1399" t="n">
        <v>10</v>
      </c>
      <c r="N1399" t="n">
        <v>11</v>
      </c>
      <c r="O1399" t="inlineStr">
        <is>
          <t>2026-10-05 UTC (WFM pull 02:52-04:00)</t>
        </is>
      </c>
      <c r="P1399" t="inlineStr">
        <is>
          <t>OK</t>
        </is>
      </c>
      <c r="R1399" t="inlineStr">
        <is>
          <t>Every current tradeable mod at MAX RANK (WFM catalogue, rivens/locators excluded)</t>
        </is>
      </c>
      <c r="S1399" t="inlineStr">
        <is>
          <t>shock_absorbers</t>
        </is>
      </c>
      <c r="T1399" t="n">
        <v>7</v>
      </c>
      <c r="U1399" t="n">
        <v>7</v>
      </c>
      <c r="V1399" t="n">
        <v>7</v>
      </c>
      <c r="W1399" t="n">
        <v>7</v>
      </c>
      <c r="X1399" t="n">
        <v>8.6</v>
      </c>
      <c r="Y1399" t="n">
        <v>10</v>
      </c>
      <c r="Z1399" t="n">
        <v>0</v>
      </c>
      <c r="AN1399" t="inlineStr">
        <is>
          <t>Warframe</t>
        </is>
      </c>
      <c r="AO1399" t="n">
        <v>210</v>
      </c>
      <c r="AP1399" t="n">
        <v>10143</v>
      </c>
      <c r="AQ1399" t="n">
        <v>1</v>
      </c>
      <c r="AS1399" t="inlineStr">
        <is>
          <t>Yes</t>
        </is>
      </c>
    </row>
    <row r="1400">
      <c r="A1400" t="inlineStr">
        <is>
          <t>Mod</t>
        </is>
      </c>
      <c r="B1400" t="inlineStr">
        <is>
          <t>Shock Collar</t>
        </is>
      </c>
      <c r="E1400" t="inlineStr">
        <is>
          <t>Claws</t>
        </is>
      </c>
      <c r="F1400" t="n">
        <v>3</v>
      </c>
      <c r="G1400" t="n">
        <v>1</v>
      </c>
      <c r="H1400" t="inlineStr">
        <is>
          <t>Player trade (max rank)</t>
        </is>
      </c>
      <c r="I1400" t="inlineStr">
        <is>
          <t>Yes</t>
        </is>
      </c>
      <c r="K1400" t="inlineStr">
        <is>
          <t>Collection</t>
        </is>
      </c>
      <c r="L1400" t="n">
        <v>30</v>
      </c>
      <c r="M1400" t="n">
        <v>30</v>
      </c>
      <c r="N1400" t="n">
        <v>56</v>
      </c>
      <c r="O1400" t="inlineStr">
        <is>
          <t>2026-10-05 UTC (WFM pull 02:52-04:00)</t>
        </is>
      </c>
      <c r="P1400" t="inlineStr">
        <is>
          <t>OK</t>
        </is>
      </c>
      <c r="R1400" t="inlineStr">
        <is>
          <t>Every current tradeable mod at MAX RANK (WFM catalogue, rivens/locators excluded)</t>
        </is>
      </c>
      <c r="S1400" t="inlineStr">
        <is>
          <t>shock_collar</t>
        </is>
      </c>
      <c r="T1400" t="n">
        <v>7</v>
      </c>
      <c r="U1400" t="n">
        <v>7</v>
      </c>
      <c r="V1400" t="n">
        <v>20</v>
      </c>
      <c r="W1400" t="n">
        <v>22</v>
      </c>
      <c r="X1400" t="n">
        <v>21.8</v>
      </c>
      <c r="Y1400" t="n">
        <v>510</v>
      </c>
      <c r="Z1400" t="n">
        <v>7</v>
      </c>
      <c r="AN1400" t="inlineStr">
        <is>
          <t>Claws</t>
        </is>
      </c>
      <c r="AO1400" t="n">
        <v>210</v>
      </c>
      <c r="AP1400" t="n">
        <v>10143</v>
      </c>
      <c r="AQ1400" t="n">
        <v>20</v>
      </c>
      <c r="AS1400" t="inlineStr">
        <is>
          <t>Yes</t>
        </is>
      </c>
    </row>
    <row r="1401">
      <c r="A1401" t="inlineStr">
        <is>
          <t>Mod</t>
        </is>
      </c>
      <c r="B1401" t="inlineStr">
        <is>
          <t>Shock Trooper</t>
        </is>
      </c>
      <c r="E1401" t="inlineStr">
        <is>
          <t>Augment Volt</t>
        </is>
      </c>
      <c r="F1401" t="n">
        <v>3</v>
      </c>
      <c r="G1401" t="n">
        <v>1</v>
      </c>
      <c r="H1401" t="inlineStr">
        <is>
          <t>Player trade (max rank)</t>
        </is>
      </c>
      <c r="I1401" t="inlineStr">
        <is>
          <t>Yes</t>
        </is>
      </c>
      <c r="K1401" t="inlineStr">
        <is>
          <t>Collection</t>
        </is>
      </c>
      <c r="L1401" t="n">
        <v>14</v>
      </c>
      <c r="M1401" t="n">
        <v>15</v>
      </c>
      <c r="N1401" t="n">
        <v>20</v>
      </c>
      <c r="O1401" t="inlineStr">
        <is>
          <t>2026-10-05 UTC (WFM pull 02:52-04:00)</t>
        </is>
      </c>
      <c r="P1401" t="inlineStr">
        <is>
          <t>OK</t>
        </is>
      </c>
      <c r="R1401" t="inlineStr">
        <is>
          <t>Every current tradeable mod at MAX RANK (WFM catalogue, rivens/locators excluded)</t>
        </is>
      </c>
      <c r="S1401" t="inlineStr">
        <is>
          <t>shock_trooper</t>
        </is>
      </c>
      <c r="T1401" t="n">
        <v>14</v>
      </c>
      <c r="U1401" t="n">
        <v>14</v>
      </c>
      <c r="V1401" t="n">
        <v>12</v>
      </c>
      <c r="W1401" t="n">
        <v>11</v>
      </c>
      <c r="X1401" t="n">
        <v>11.7</v>
      </c>
      <c r="Y1401" t="n">
        <v>991</v>
      </c>
      <c r="Z1401" t="n">
        <v>15</v>
      </c>
      <c r="AN1401" t="inlineStr">
        <is>
          <t>Augment Volt</t>
        </is>
      </c>
      <c r="AO1401" t="n">
        <v>210</v>
      </c>
      <c r="AP1401" t="n">
        <v>10143</v>
      </c>
      <c r="AQ1401" t="n">
        <v>10</v>
      </c>
      <c r="AS1401" t="inlineStr">
        <is>
          <t>Yes</t>
        </is>
      </c>
    </row>
    <row r="1402">
      <c r="A1402" t="inlineStr">
        <is>
          <t>Mod</t>
        </is>
      </c>
      <c r="B1402" t="inlineStr">
        <is>
          <t>Shocking Claws</t>
        </is>
      </c>
      <c r="E1402" t="inlineStr">
        <is>
          <t>Claws</t>
        </is>
      </c>
      <c r="F1402" t="n">
        <v>10</v>
      </c>
      <c r="G1402" t="n">
        <v>1</v>
      </c>
      <c r="H1402" t="inlineStr">
        <is>
          <t>Player trade (max rank)</t>
        </is>
      </c>
      <c r="I1402" t="inlineStr">
        <is>
          <t>Yes</t>
        </is>
      </c>
      <c r="K1402" t="inlineStr">
        <is>
          <t>Collection</t>
        </is>
      </c>
      <c r="L1402" t="n">
        <v>85</v>
      </c>
      <c r="M1402" t="n">
        <v>89</v>
      </c>
      <c r="N1402" t="n">
        <v>100</v>
      </c>
      <c r="O1402" t="inlineStr">
        <is>
          <t>2026-10-05 UTC (WFM pull 02:52-04:00)</t>
        </is>
      </c>
      <c r="P1402" t="inlineStr">
        <is>
          <t>OK</t>
        </is>
      </c>
      <c r="R1402" t="inlineStr">
        <is>
          <t>Every current tradeable mod at MAX RANK (WFM catalogue, rivens/locators excluded)</t>
        </is>
      </c>
      <c r="S1402" t="inlineStr">
        <is>
          <t>shocking_claws</t>
        </is>
      </c>
      <c r="T1402" t="n">
        <v>19</v>
      </c>
      <c r="U1402" t="n">
        <v>19</v>
      </c>
      <c r="V1402" t="n">
        <v>80</v>
      </c>
      <c r="W1402" t="n">
        <v>80</v>
      </c>
      <c r="X1402" t="n">
        <v>79.7</v>
      </c>
      <c r="Y1402" t="n">
        <v>2094</v>
      </c>
      <c r="Z1402" t="n">
        <v>52</v>
      </c>
      <c r="AA1402" t="n">
        <v>71</v>
      </c>
      <c r="AB1402" t="n">
        <v>14</v>
      </c>
      <c r="AN1402" t="inlineStr">
        <is>
          <t>Claws</t>
        </is>
      </c>
      <c r="AO1402" t="n">
        <v>30690</v>
      </c>
      <c r="AP1402" t="n">
        <v>1482327</v>
      </c>
      <c r="AQ1402" t="n">
        <v>15</v>
      </c>
      <c r="AS1402" t="inlineStr">
        <is>
          <t>Yes</t>
        </is>
      </c>
    </row>
    <row r="1403">
      <c r="A1403" t="inlineStr">
        <is>
          <t>Mod</t>
        </is>
      </c>
      <c r="B1403" t="inlineStr">
        <is>
          <t>Shocking Speed</t>
        </is>
      </c>
      <c r="E1403" t="inlineStr">
        <is>
          <t>Augment Volt</t>
        </is>
      </c>
      <c r="F1403" t="n">
        <v>3</v>
      </c>
      <c r="G1403" t="n">
        <v>1</v>
      </c>
      <c r="H1403" t="inlineStr">
        <is>
          <t>Player trade (max rank)</t>
        </is>
      </c>
      <c r="I1403" t="inlineStr">
        <is>
          <t>Yes</t>
        </is>
      </c>
      <c r="K1403" t="inlineStr">
        <is>
          <t>Collection</t>
        </is>
      </c>
      <c r="L1403" t="n">
        <v>20</v>
      </c>
      <c r="M1403" t="n">
        <v>20</v>
      </c>
      <c r="N1403" t="n">
        <v>44</v>
      </c>
      <c r="O1403" t="inlineStr">
        <is>
          <t>2026-10-05 UTC (WFM pull 02:52-04:00)</t>
        </is>
      </c>
      <c r="P1403" t="inlineStr">
        <is>
          <t>OK</t>
        </is>
      </c>
      <c r="R1403" t="inlineStr">
        <is>
          <t>Every current tradeable mod at MAX RANK (WFM catalogue, rivens/locators excluded)</t>
        </is>
      </c>
      <c r="S1403" t="inlineStr">
        <is>
          <t>shocking_speed</t>
        </is>
      </c>
      <c r="T1403" t="n">
        <v>3</v>
      </c>
      <c r="U1403" t="n">
        <v>3</v>
      </c>
      <c r="V1403" t="n">
        <v>12</v>
      </c>
      <c r="W1403" t="n">
        <v>12</v>
      </c>
      <c r="X1403" t="n">
        <v>12.5</v>
      </c>
      <c r="Y1403" t="n">
        <v>121</v>
      </c>
      <c r="Z1403" t="n">
        <v>3</v>
      </c>
      <c r="AN1403" t="inlineStr">
        <is>
          <t>Augment Volt</t>
        </is>
      </c>
      <c r="AO1403" t="n">
        <v>210</v>
      </c>
      <c r="AP1403" t="n">
        <v>10143</v>
      </c>
      <c r="AQ1403" t="n">
        <v>14</v>
      </c>
      <c r="AS1403" t="inlineStr">
        <is>
          <t>Yes</t>
        </is>
      </c>
    </row>
    <row r="1404">
      <c r="A1404" t="inlineStr">
        <is>
          <t>Mod</t>
        </is>
      </c>
      <c r="B1404" t="inlineStr">
        <is>
          <t>Shocking Touch</t>
        </is>
      </c>
      <c r="E1404" t="inlineStr">
        <is>
          <t>Melee</t>
        </is>
      </c>
      <c r="F1404" t="n">
        <v>5</v>
      </c>
      <c r="G1404" t="n">
        <v>1</v>
      </c>
      <c r="H1404" t="inlineStr">
        <is>
          <t>Player trade (max rank)</t>
        </is>
      </c>
      <c r="I1404" t="inlineStr">
        <is>
          <t>Yes</t>
        </is>
      </c>
      <c r="K1404" t="inlineStr">
        <is>
          <t>Collection</t>
        </is>
      </c>
      <c r="L1404" t="n">
        <v>10</v>
      </c>
      <c r="M1404" t="n">
        <v>10</v>
      </c>
      <c r="N1404" t="n">
        <v>22</v>
      </c>
      <c r="O1404" t="inlineStr">
        <is>
          <t>2026-10-05 UTC (WFM pull 02:52-04:00)</t>
        </is>
      </c>
      <c r="P1404" t="inlineStr">
        <is>
          <t>OK</t>
        </is>
      </c>
      <c r="R1404" t="inlineStr">
        <is>
          <t>Every current tradeable mod at MAX RANK (WFM catalogue, rivens/locators excluded)</t>
        </is>
      </c>
      <c r="S1404" t="inlineStr">
        <is>
          <t>shocking_touch</t>
        </is>
      </c>
      <c r="T1404" t="n">
        <v>3</v>
      </c>
      <c r="U1404" t="n">
        <v>3</v>
      </c>
      <c r="V1404" t="n">
        <v>9.5</v>
      </c>
      <c r="W1404" t="n">
        <v>9</v>
      </c>
      <c r="X1404" t="n">
        <v>9.6</v>
      </c>
      <c r="Y1404" t="n">
        <v>54</v>
      </c>
      <c r="Z1404" t="n">
        <v>1</v>
      </c>
      <c r="AN1404" t="inlineStr">
        <is>
          <t>Melee</t>
        </is>
      </c>
      <c r="AO1404" t="n">
        <v>620</v>
      </c>
      <c r="AP1404" t="n">
        <v>29946</v>
      </c>
      <c r="AQ1404" t="n">
        <v>1</v>
      </c>
      <c r="AS1404" t="inlineStr">
        <is>
          <t>Yes</t>
        </is>
      </c>
    </row>
    <row r="1405">
      <c r="A1405" t="inlineStr">
        <is>
          <t>Mod</t>
        </is>
      </c>
      <c r="B1405" t="inlineStr">
        <is>
          <t>Shockwave Actuators</t>
        </is>
      </c>
      <c r="E1405" t="inlineStr">
        <is>
          <t>MOA</t>
        </is>
      </c>
      <c r="F1405" t="n">
        <v>3</v>
      </c>
      <c r="G1405" t="n">
        <v>1</v>
      </c>
      <c r="H1405" t="inlineStr">
        <is>
          <t>Player trade (max rank)</t>
        </is>
      </c>
      <c r="I1405" t="inlineStr">
        <is>
          <t>Yes</t>
        </is>
      </c>
      <c r="K1405" t="inlineStr">
        <is>
          <t>Collection</t>
        </is>
      </c>
      <c r="L1405" t="n">
        <v>25</v>
      </c>
      <c r="M1405" t="n">
        <v>27</v>
      </c>
      <c r="N1405" t="n">
        <v>60</v>
      </c>
      <c r="O1405" t="inlineStr">
        <is>
          <t>2026-10-05 UTC (WFM pull 02:52-04:00)</t>
        </is>
      </c>
      <c r="P1405" t="inlineStr">
        <is>
          <t>OK</t>
        </is>
      </c>
      <c r="R1405" t="inlineStr">
        <is>
          <t>Every current tradeable mod at MAX RANK (WFM catalogue, rivens/locators excluded)</t>
        </is>
      </c>
      <c r="S1405" t="inlineStr">
        <is>
          <t>shockwave_actuators</t>
        </is>
      </c>
      <c r="T1405" t="n">
        <v>29</v>
      </c>
      <c r="U1405" t="n">
        <v>1</v>
      </c>
      <c r="W1405" t="n">
        <v>18</v>
      </c>
      <c r="X1405" t="n">
        <v>18</v>
      </c>
      <c r="Y1405" t="n">
        <v>1</v>
      </c>
      <c r="Z1405" t="n">
        <v>0</v>
      </c>
      <c r="AN1405" t="inlineStr">
        <is>
          <t>MOA</t>
        </is>
      </c>
      <c r="AO1405" t="n">
        <v>70</v>
      </c>
      <c r="AP1405" t="n">
        <v>3381</v>
      </c>
      <c r="AQ1405" t="n">
        <v>150</v>
      </c>
      <c r="AS1405" t="inlineStr">
        <is>
          <t>Yes</t>
        </is>
      </c>
    </row>
    <row r="1406">
      <c r="A1406" t="inlineStr">
        <is>
          <t>Mod</t>
        </is>
      </c>
      <c r="B1406" t="inlineStr">
        <is>
          <t>Shotgun Ammo Mutation</t>
        </is>
      </c>
      <c r="E1406" t="inlineStr">
        <is>
          <t>Shotgun</t>
        </is>
      </c>
      <c r="F1406" t="n">
        <v>5</v>
      </c>
      <c r="G1406" t="n">
        <v>1</v>
      </c>
      <c r="H1406" t="inlineStr">
        <is>
          <t>Player trade (max rank)</t>
        </is>
      </c>
      <c r="I1406" t="inlineStr">
        <is>
          <t>Yes</t>
        </is>
      </c>
      <c r="K1406" t="inlineStr">
        <is>
          <t>Collection</t>
        </is>
      </c>
      <c r="L1406" t="n">
        <v>15</v>
      </c>
      <c r="M1406" t="n">
        <v>15</v>
      </c>
      <c r="N1406" t="n">
        <v>33</v>
      </c>
      <c r="O1406" t="inlineStr">
        <is>
          <t>2026-10-05 UTC (WFM pull 02:52-04:00)</t>
        </is>
      </c>
      <c r="P1406" t="inlineStr">
        <is>
          <t>OK</t>
        </is>
      </c>
      <c r="R1406" t="inlineStr">
        <is>
          <t>Every current tradeable mod at MAX RANK (WFM catalogue, rivens/locators excluded)</t>
        </is>
      </c>
      <c r="S1406" t="inlineStr">
        <is>
          <t>shotgun_ammo_mutation</t>
        </is>
      </c>
      <c r="T1406" t="n">
        <v>3</v>
      </c>
      <c r="U1406" t="n">
        <v>3</v>
      </c>
      <c r="V1406" t="n">
        <v>10</v>
      </c>
      <c r="W1406" t="n">
        <v>10</v>
      </c>
      <c r="X1406" t="n">
        <v>11.4</v>
      </c>
      <c r="Y1406" t="n">
        <v>36</v>
      </c>
      <c r="Z1406" t="n">
        <v>1</v>
      </c>
      <c r="AN1406" t="inlineStr">
        <is>
          <t>Shotgun</t>
        </is>
      </c>
      <c r="AO1406" t="n">
        <v>930</v>
      </c>
      <c r="AP1406" t="n">
        <v>44919</v>
      </c>
      <c r="AQ1406" t="n">
        <v>5</v>
      </c>
      <c r="AS1406" t="inlineStr">
        <is>
          <t>Yes</t>
        </is>
      </c>
    </row>
    <row r="1407">
      <c r="A1407" t="inlineStr">
        <is>
          <t>Mod</t>
        </is>
      </c>
      <c r="B1407" t="inlineStr">
        <is>
          <t>Shotgun Amp</t>
        </is>
      </c>
      <c r="E1407" t="inlineStr">
        <is>
          <t>Aura</t>
        </is>
      </c>
      <c r="F1407" t="n">
        <v>5</v>
      </c>
      <c r="G1407" t="n">
        <v>1</v>
      </c>
      <c r="H1407" t="inlineStr">
        <is>
          <t>Player trade (max rank)</t>
        </is>
      </c>
      <c r="I1407" t="inlineStr">
        <is>
          <t>Yes</t>
        </is>
      </c>
      <c r="K1407" t="inlineStr">
        <is>
          <t>Collection</t>
        </is>
      </c>
      <c r="L1407" t="n">
        <v>10</v>
      </c>
      <c r="M1407" t="n">
        <v>10</v>
      </c>
      <c r="N1407" t="n">
        <v>22</v>
      </c>
      <c r="O1407" t="inlineStr">
        <is>
          <t>2026-10-05 UTC (WFM pull 02:52-04:00)</t>
        </is>
      </c>
      <c r="P1407" t="inlineStr">
        <is>
          <t>OK</t>
        </is>
      </c>
      <c r="R1407" t="inlineStr">
        <is>
          <t>Every current tradeable mod at MAX RANK (WFM catalogue, rivens/locators excluded)</t>
        </is>
      </c>
      <c r="S1407" t="inlineStr">
        <is>
          <t>shotgun_amp</t>
        </is>
      </c>
      <c r="T1407" t="n">
        <v>73</v>
      </c>
      <c r="U1407" t="n">
        <v>2</v>
      </c>
      <c r="V1407" t="n">
        <v>20</v>
      </c>
      <c r="W1407" t="n">
        <v>15.5</v>
      </c>
      <c r="X1407" t="n">
        <v>17.8</v>
      </c>
      <c r="Y1407" t="n">
        <v>78</v>
      </c>
      <c r="Z1407" t="n">
        <v>0</v>
      </c>
      <c r="AN1407" t="inlineStr">
        <is>
          <t>Aura</t>
        </is>
      </c>
      <c r="AO1407" t="n">
        <v>620</v>
      </c>
      <c r="AP1407" t="n">
        <v>29946</v>
      </c>
      <c r="AQ1407" t="n">
        <v>10</v>
      </c>
      <c r="AS1407" t="inlineStr">
        <is>
          <t>Yes</t>
        </is>
      </c>
    </row>
    <row r="1408">
      <c r="A1408" t="inlineStr">
        <is>
          <t>Mod</t>
        </is>
      </c>
      <c r="B1408" t="inlineStr">
        <is>
          <t>Shotgun Barrage</t>
        </is>
      </c>
      <c r="E1408" t="inlineStr">
        <is>
          <t>Shotgun</t>
        </is>
      </c>
      <c r="F1408" t="n">
        <v>5</v>
      </c>
      <c r="G1408" t="n">
        <v>1</v>
      </c>
      <c r="H1408" t="inlineStr">
        <is>
          <t>Player trade (max rank)</t>
        </is>
      </c>
      <c r="I1408" t="inlineStr">
        <is>
          <t>Yes</t>
        </is>
      </c>
      <c r="K1408" t="inlineStr">
        <is>
          <t>Collection</t>
        </is>
      </c>
      <c r="L1408" t="n">
        <v>10</v>
      </c>
      <c r="M1408" t="n">
        <v>10</v>
      </c>
      <c r="N1408" t="n">
        <v>22</v>
      </c>
      <c r="O1408" t="inlineStr">
        <is>
          <t>2026-10-05 UTC (WFM pull 02:52-04:00)</t>
        </is>
      </c>
      <c r="P1408" t="inlineStr">
        <is>
          <t>OK</t>
        </is>
      </c>
      <c r="R1408" t="inlineStr">
        <is>
          <t>Every current tradeable mod at MAX RANK (WFM catalogue, rivens/locators excluded)</t>
        </is>
      </c>
      <c r="S1408" t="inlineStr">
        <is>
          <t>shotgun_barrage</t>
        </is>
      </c>
      <c r="T1408" t="n">
        <v>6</v>
      </c>
      <c r="U1408" t="n">
        <v>6</v>
      </c>
      <c r="V1408" t="n">
        <v>10</v>
      </c>
      <c r="W1408" t="n">
        <v>9.5</v>
      </c>
      <c r="X1408" t="n">
        <v>9.800000000000001</v>
      </c>
      <c r="Y1408" t="n">
        <v>71</v>
      </c>
      <c r="Z1408" t="n">
        <v>3</v>
      </c>
      <c r="AN1408" t="inlineStr">
        <is>
          <t>Shotgun</t>
        </is>
      </c>
      <c r="AO1408" t="n">
        <v>620</v>
      </c>
      <c r="AP1408" t="n">
        <v>29946</v>
      </c>
      <c r="AQ1408" t="n">
        <v>4.5</v>
      </c>
      <c r="AS1408" t="inlineStr">
        <is>
          <t>Yes</t>
        </is>
      </c>
    </row>
    <row r="1409">
      <c r="A1409" t="inlineStr">
        <is>
          <t>Mod</t>
        </is>
      </c>
      <c r="B1409" t="inlineStr">
        <is>
          <t>Shotgun Elementalist</t>
        </is>
      </c>
      <c r="E1409" t="inlineStr">
        <is>
          <t>Shotgun</t>
        </is>
      </c>
      <c r="F1409" t="n">
        <v>5</v>
      </c>
      <c r="G1409" t="n">
        <v>1</v>
      </c>
      <c r="H1409" t="inlineStr">
        <is>
          <t>Player trade (max rank)</t>
        </is>
      </c>
      <c r="I1409" t="inlineStr">
        <is>
          <t>Yes</t>
        </is>
      </c>
      <c r="K1409" t="inlineStr">
        <is>
          <t>Collection</t>
        </is>
      </c>
      <c r="L1409" t="n">
        <v>14</v>
      </c>
      <c r="M1409" t="n">
        <v>14</v>
      </c>
      <c r="N1409" t="n">
        <v>17</v>
      </c>
      <c r="O1409" t="inlineStr">
        <is>
          <t>2026-10-05 UTC (WFM pull 02:52-04:00)</t>
        </is>
      </c>
      <c r="P1409" t="inlineStr">
        <is>
          <t>OK</t>
        </is>
      </c>
      <c r="R1409" t="inlineStr">
        <is>
          <t>Every current tradeable mod at MAX RANK (WFM catalogue, rivens/locators excluded)</t>
        </is>
      </c>
      <c r="S1409" t="inlineStr">
        <is>
          <t>shotgun_elementalist</t>
        </is>
      </c>
      <c r="T1409" t="n">
        <v>14</v>
      </c>
      <c r="U1409" t="n">
        <v>14</v>
      </c>
      <c r="V1409" t="n">
        <v>14</v>
      </c>
      <c r="W1409" t="n">
        <v>14.5</v>
      </c>
      <c r="X1409" t="n">
        <v>14.1</v>
      </c>
      <c r="Y1409" t="n">
        <v>1089</v>
      </c>
      <c r="Z1409" t="n">
        <v>9</v>
      </c>
      <c r="AN1409" t="inlineStr">
        <is>
          <t>Shotgun</t>
        </is>
      </c>
      <c r="AO1409" t="n">
        <v>620</v>
      </c>
      <c r="AP1409" t="n">
        <v>29946</v>
      </c>
      <c r="AQ1409" t="n">
        <v>9</v>
      </c>
      <c r="AS1409" t="inlineStr">
        <is>
          <t>Yes</t>
        </is>
      </c>
    </row>
    <row r="1410">
      <c r="A1410" t="inlineStr">
        <is>
          <t>Mod</t>
        </is>
      </c>
      <c r="B1410" t="inlineStr">
        <is>
          <t>Shotgun Savvy</t>
        </is>
      </c>
      <c r="E1410" t="inlineStr">
        <is>
          <t>Shotgun</t>
        </is>
      </c>
      <c r="F1410" t="n">
        <v>5</v>
      </c>
      <c r="G1410" t="n">
        <v>1</v>
      </c>
      <c r="H1410" t="inlineStr">
        <is>
          <t>Player trade (max rank)</t>
        </is>
      </c>
      <c r="I1410" t="inlineStr">
        <is>
          <t>Yes</t>
        </is>
      </c>
      <c r="K1410" t="inlineStr">
        <is>
          <t>Collection</t>
        </is>
      </c>
      <c r="L1410" t="n">
        <v>9</v>
      </c>
      <c r="M1410" t="n">
        <v>10</v>
      </c>
      <c r="N1410" t="n">
        <v>22</v>
      </c>
      <c r="O1410" t="inlineStr">
        <is>
          <t>2026-10-05 UTC (WFM pull 02:52-04:00)</t>
        </is>
      </c>
      <c r="P1410" t="inlineStr">
        <is>
          <t>OK</t>
        </is>
      </c>
      <c r="R1410" t="inlineStr">
        <is>
          <t>Every current tradeable mod at MAX RANK (WFM catalogue, rivens/locators excluded)</t>
        </is>
      </c>
      <c r="S1410" t="inlineStr">
        <is>
          <t>shotgun_savvy</t>
        </is>
      </c>
      <c r="T1410" t="n">
        <v>8</v>
      </c>
      <c r="U1410" t="n">
        <v>8</v>
      </c>
      <c r="V1410" t="n">
        <v>9</v>
      </c>
      <c r="W1410" t="n">
        <v>10</v>
      </c>
      <c r="X1410" t="n">
        <v>11.8</v>
      </c>
      <c r="Y1410" t="n">
        <v>12</v>
      </c>
      <c r="Z1410" t="n">
        <v>0</v>
      </c>
      <c r="AN1410" t="inlineStr">
        <is>
          <t>Shotgun</t>
        </is>
      </c>
      <c r="AO1410" t="n">
        <v>620</v>
      </c>
      <c r="AP1410" t="n">
        <v>29946</v>
      </c>
      <c r="AQ1410" t="n">
        <v>4</v>
      </c>
      <c r="AS1410" t="inlineStr">
        <is>
          <t>Yes</t>
        </is>
      </c>
    </row>
    <row r="1411">
      <c r="A1411" t="inlineStr">
        <is>
          <t>Mod</t>
        </is>
      </c>
      <c r="B1411" t="inlineStr">
        <is>
          <t>Shotgun Scavenger</t>
        </is>
      </c>
      <c r="E1411" t="inlineStr">
        <is>
          <t>Aura</t>
        </is>
      </c>
      <c r="F1411" t="n">
        <v>5</v>
      </c>
      <c r="G1411" t="n">
        <v>1</v>
      </c>
      <c r="H1411" t="inlineStr">
        <is>
          <t>Player trade (max rank)</t>
        </is>
      </c>
      <c r="I1411" t="inlineStr">
        <is>
          <t>Yes</t>
        </is>
      </c>
      <c r="K1411" t="inlineStr">
        <is>
          <t>Collection</t>
        </is>
      </c>
      <c r="L1411" t="n">
        <v>10</v>
      </c>
      <c r="M1411" t="n">
        <v>30</v>
      </c>
      <c r="N1411" t="n">
        <v>66</v>
      </c>
      <c r="O1411" t="inlineStr">
        <is>
          <t>2026-10-05 UTC (WFM pull 02:52-04:00)</t>
        </is>
      </c>
      <c r="P1411" t="inlineStr">
        <is>
          <t>OK</t>
        </is>
      </c>
      <c r="R1411" t="inlineStr">
        <is>
          <t>Every current tradeable mod at MAX RANK (WFM catalogue, rivens/locators excluded)</t>
        </is>
      </c>
      <c r="S1411" t="inlineStr">
        <is>
          <t>shotgun_scavenger</t>
        </is>
      </c>
      <c r="T1411" t="n">
        <v>3</v>
      </c>
      <c r="U1411" t="n">
        <v>3</v>
      </c>
      <c r="V1411" t="n">
        <v>20</v>
      </c>
      <c r="W1411" t="n">
        <v>19</v>
      </c>
      <c r="X1411" t="n">
        <v>17.2</v>
      </c>
      <c r="Y1411" t="n">
        <v>5</v>
      </c>
      <c r="Z1411" t="n">
        <v>0</v>
      </c>
      <c r="AN1411" t="inlineStr">
        <is>
          <t>Aura</t>
        </is>
      </c>
      <c r="AO1411" t="n">
        <v>620</v>
      </c>
      <c r="AP1411" t="n">
        <v>29946</v>
      </c>
      <c r="AQ1411" t="n">
        <v>9</v>
      </c>
      <c r="AS1411" t="inlineStr">
        <is>
          <t>Yes</t>
        </is>
      </c>
    </row>
    <row r="1412">
      <c r="A1412" t="inlineStr">
        <is>
          <t>Mod</t>
        </is>
      </c>
      <c r="B1412" t="inlineStr">
        <is>
          <t>Shrapnel Rounds</t>
        </is>
      </c>
      <c r="E1412" t="inlineStr">
        <is>
          <t>Conclave (PvP)</t>
        </is>
      </c>
      <c r="G1412" t="n">
        <v>1</v>
      </c>
      <c r="H1412" t="inlineStr">
        <is>
          <t>Player trade (max rank)</t>
        </is>
      </c>
      <c r="I1412" t="inlineStr">
        <is>
          <t>Yes</t>
        </is>
      </c>
      <c r="K1412" t="inlineStr">
        <is>
          <t>Collection (PvP)</t>
        </is>
      </c>
      <c r="L1412" t="n">
        <v>15</v>
      </c>
      <c r="M1412" t="n">
        <v>15</v>
      </c>
      <c r="N1412" t="n">
        <v>33</v>
      </c>
      <c r="O1412" t="inlineStr">
        <is>
          <t>2026-10-05 UTC (WFM pull 02:52-04:00)</t>
        </is>
      </c>
      <c r="P1412" t="inlineStr">
        <is>
          <t>OK</t>
        </is>
      </c>
      <c r="R1412" t="inlineStr">
        <is>
          <t>Every current tradeable mod at MAX RANK (WFM catalogue, rivens/locators excluded)</t>
        </is>
      </c>
      <c r="S1412" t="inlineStr">
        <is>
          <t>shrapnel_rounds</t>
        </is>
      </c>
      <c r="T1412" t="n">
        <v>4</v>
      </c>
      <c r="U1412" t="n">
        <v>4</v>
      </c>
      <c r="V1412" t="n">
        <v>9</v>
      </c>
      <c r="W1412" t="n">
        <v>10</v>
      </c>
      <c r="X1412" t="n">
        <v>9.800000000000001</v>
      </c>
      <c r="Y1412" t="n">
        <v>54</v>
      </c>
      <c r="Z1412" t="n">
        <v>0</v>
      </c>
      <c r="AN1412" t="inlineStr">
        <is>
          <t>Conclave (PvP)</t>
        </is>
      </c>
      <c r="AO1412" t="n">
        <v>0</v>
      </c>
      <c r="AP1412" t="n">
        <v>0</v>
      </c>
      <c r="AS1412" t="inlineStr">
        <is>
          <t>PvP subtotal</t>
        </is>
      </c>
    </row>
    <row r="1413">
      <c r="A1413" t="inlineStr">
        <is>
          <t>Mod</t>
        </is>
      </c>
      <c r="B1413" t="inlineStr">
        <is>
          <t>Shrapnel Shot</t>
        </is>
      </c>
      <c r="E1413" t="inlineStr">
        <is>
          <t>Shotgun</t>
        </is>
      </c>
      <c r="F1413" t="n">
        <v>5</v>
      </c>
      <c r="G1413" t="n">
        <v>1</v>
      </c>
      <c r="H1413" t="inlineStr">
        <is>
          <t>Player trade (max rank)</t>
        </is>
      </c>
      <c r="I1413" t="inlineStr">
        <is>
          <t>Yes</t>
        </is>
      </c>
      <c r="K1413" t="inlineStr">
        <is>
          <t>Collection</t>
        </is>
      </c>
      <c r="L1413" t="n">
        <v>15</v>
      </c>
      <c r="M1413" t="n">
        <v>19</v>
      </c>
      <c r="N1413" t="n">
        <v>39</v>
      </c>
      <c r="O1413" t="inlineStr">
        <is>
          <t>2026-10-05 UTC (WFM pull 02:52-04:00)</t>
        </is>
      </c>
      <c r="P1413" t="inlineStr">
        <is>
          <t>OK</t>
        </is>
      </c>
      <c r="R1413" t="inlineStr">
        <is>
          <t>Every current tradeable mod at MAX RANK (WFM catalogue, rivens/locators excluded)</t>
        </is>
      </c>
      <c r="S1413" t="inlineStr">
        <is>
          <t>shrapnel_shot</t>
        </is>
      </c>
      <c r="T1413" t="n">
        <v>6</v>
      </c>
      <c r="U1413" t="n">
        <v>6</v>
      </c>
      <c r="V1413" t="n">
        <v>20</v>
      </c>
      <c r="W1413" t="n">
        <v>19</v>
      </c>
      <c r="X1413" t="n">
        <v>18</v>
      </c>
      <c r="Y1413" t="n">
        <v>13</v>
      </c>
      <c r="Z1413" t="n">
        <v>1</v>
      </c>
      <c r="AN1413" t="inlineStr">
        <is>
          <t>Shotgun</t>
        </is>
      </c>
      <c r="AO1413" t="n">
        <v>310</v>
      </c>
      <c r="AP1413" t="n">
        <v>14973</v>
      </c>
      <c r="AQ1413" t="n">
        <v>6</v>
      </c>
      <c r="AS1413" t="inlineStr">
        <is>
          <t>Yes</t>
        </is>
      </c>
    </row>
    <row r="1414">
      <c r="A1414" t="inlineStr">
        <is>
          <t>Mod</t>
        </is>
      </c>
      <c r="B1414" t="inlineStr">
        <is>
          <t>Shred</t>
        </is>
      </c>
      <c r="E1414" t="inlineStr">
        <is>
          <t>Rifle</t>
        </is>
      </c>
      <c r="F1414" t="n">
        <v>5</v>
      </c>
      <c r="G1414" t="n">
        <v>1</v>
      </c>
      <c r="H1414" t="inlineStr">
        <is>
          <t>Player trade (max rank)</t>
        </is>
      </c>
      <c r="I1414" t="inlineStr">
        <is>
          <t>Yes</t>
        </is>
      </c>
      <c r="K1414" t="inlineStr">
        <is>
          <t>Collection</t>
        </is>
      </c>
      <c r="L1414" t="n">
        <v>10</v>
      </c>
      <c r="M1414" t="n">
        <v>15</v>
      </c>
      <c r="N1414" t="n">
        <v>33</v>
      </c>
      <c r="O1414" t="inlineStr">
        <is>
          <t>2026-10-05 UTC (WFM pull 02:52-04:00)</t>
        </is>
      </c>
      <c r="P1414" t="inlineStr">
        <is>
          <t>OK</t>
        </is>
      </c>
      <c r="R1414" t="inlineStr">
        <is>
          <t>Every current tradeable mod at MAX RANK (WFM catalogue, rivens/locators excluded)</t>
        </is>
      </c>
      <c r="S1414" t="inlineStr">
        <is>
          <t>shred</t>
        </is>
      </c>
      <c r="T1414" t="n">
        <v>5</v>
      </c>
      <c r="U1414" t="n">
        <v>5</v>
      </c>
      <c r="V1414" t="n">
        <v>13.5</v>
      </c>
      <c r="W1414" t="n">
        <v>13</v>
      </c>
      <c r="X1414" t="n">
        <v>12.4</v>
      </c>
      <c r="Y1414" t="n">
        <v>783</v>
      </c>
      <c r="Z1414" t="n">
        <v>13</v>
      </c>
      <c r="AN1414" t="inlineStr">
        <is>
          <t>Rifle</t>
        </is>
      </c>
      <c r="AO1414" t="n">
        <v>930</v>
      </c>
      <c r="AP1414" t="n">
        <v>44919</v>
      </c>
      <c r="AQ1414" t="n">
        <v>9</v>
      </c>
      <c r="AS1414" t="inlineStr">
        <is>
          <t>Yes</t>
        </is>
      </c>
    </row>
    <row r="1415">
      <c r="A1415" t="inlineStr">
        <is>
          <t>Mod</t>
        </is>
      </c>
      <c r="B1415" t="inlineStr">
        <is>
          <t>Shred Shot</t>
        </is>
      </c>
      <c r="E1415" t="inlineStr">
        <is>
          <t>Conclave (PvP)</t>
        </is>
      </c>
      <c r="F1415" t="n">
        <v>3</v>
      </c>
      <c r="G1415" t="n">
        <v>1</v>
      </c>
      <c r="H1415" t="inlineStr">
        <is>
          <t>Player trade (max rank)</t>
        </is>
      </c>
      <c r="I1415" t="inlineStr">
        <is>
          <t>Yes</t>
        </is>
      </c>
      <c r="K1415" t="inlineStr">
        <is>
          <t>Collection (PvP)</t>
        </is>
      </c>
      <c r="L1415" t="n">
        <v>200</v>
      </c>
      <c r="M1415" t="n">
        <v>200</v>
      </c>
      <c r="N1415" t="n">
        <v>275</v>
      </c>
      <c r="O1415" t="inlineStr">
        <is>
          <t>2026-10-05 UTC (WFM pull 02:52-04:00)</t>
        </is>
      </c>
      <c r="P1415" t="inlineStr">
        <is>
          <t>THIN</t>
        </is>
      </c>
      <c r="R1415" t="inlineStr">
        <is>
          <t>Every current tradeable mod at MAX RANK (WFM catalogue, rivens/locators excluded)</t>
        </is>
      </c>
      <c r="S1415" t="inlineStr">
        <is>
          <t>shred_shot</t>
        </is>
      </c>
      <c r="T1415" t="n">
        <v>2</v>
      </c>
      <c r="U1415" t="n">
        <v>0</v>
      </c>
      <c r="W1415" t="n">
        <v>20</v>
      </c>
      <c r="X1415" t="n">
        <v>20</v>
      </c>
      <c r="Y1415" t="n">
        <v>1</v>
      </c>
      <c r="Z1415" t="n">
        <v>0</v>
      </c>
      <c r="AN1415" t="inlineStr">
        <is>
          <t>Conclave (PvP)</t>
        </is>
      </c>
      <c r="AO1415" t="n">
        <v>140</v>
      </c>
      <c r="AP1415" t="n">
        <v>6762</v>
      </c>
      <c r="AQ1415" t="n">
        <v>45</v>
      </c>
      <c r="AS1415" t="inlineStr">
        <is>
          <t>PvP subtotal</t>
        </is>
      </c>
    </row>
    <row r="1416">
      <c r="A1416" t="inlineStr">
        <is>
          <t>Mod</t>
        </is>
      </c>
      <c r="B1416" t="inlineStr">
        <is>
          <t>Shredder</t>
        </is>
      </c>
      <c r="E1416" t="inlineStr">
        <is>
          <t>Shotgun</t>
        </is>
      </c>
      <c r="F1416" t="n">
        <v>5</v>
      </c>
      <c r="G1416" t="n">
        <v>1</v>
      </c>
      <c r="H1416" t="inlineStr">
        <is>
          <t>Player trade (max rank)</t>
        </is>
      </c>
      <c r="I1416" t="inlineStr">
        <is>
          <t>Yes</t>
        </is>
      </c>
      <c r="K1416" t="inlineStr">
        <is>
          <t>Collection</t>
        </is>
      </c>
      <c r="L1416" t="n">
        <v>8</v>
      </c>
      <c r="M1416" t="n">
        <v>13.5</v>
      </c>
      <c r="N1416" t="n">
        <v>30</v>
      </c>
      <c r="O1416" t="inlineStr">
        <is>
          <t>2026-10-05 UTC (WFM pull 02:52-04:00)</t>
        </is>
      </c>
      <c r="P1416" t="inlineStr">
        <is>
          <t>OK</t>
        </is>
      </c>
      <c r="R1416" t="inlineStr">
        <is>
          <t>Every current tradeable mod at MAX RANK (WFM catalogue, rivens/locators excluded)</t>
        </is>
      </c>
      <c r="S1416" t="inlineStr">
        <is>
          <t>shredder</t>
        </is>
      </c>
      <c r="T1416" t="n">
        <v>5</v>
      </c>
      <c r="U1416" t="n">
        <v>5</v>
      </c>
      <c r="V1416" t="n">
        <v>9</v>
      </c>
      <c r="W1416" t="n">
        <v>9</v>
      </c>
      <c r="X1416" t="n">
        <v>9</v>
      </c>
      <c r="Y1416" t="n">
        <v>1</v>
      </c>
      <c r="Z1416" t="n">
        <v>0</v>
      </c>
      <c r="AN1416" t="inlineStr">
        <is>
          <t>Shotgun</t>
        </is>
      </c>
      <c r="AO1416" t="n">
        <v>310</v>
      </c>
      <c r="AP1416" t="n">
        <v>14973</v>
      </c>
      <c r="AQ1416" t="n">
        <v>2</v>
      </c>
      <c r="AS1416" t="inlineStr">
        <is>
          <t>Yes</t>
        </is>
      </c>
    </row>
    <row r="1417">
      <c r="A1417" t="inlineStr">
        <is>
          <t>Mod</t>
        </is>
      </c>
      <c r="B1417" t="inlineStr">
        <is>
          <t>Signal Flare</t>
        </is>
      </c>
      <c r="E1417" t="inlineStr">
        <is>
          <t>Augment Excalibur</t>
        </is>
      </c>
      <c r="F1417" t="n">
        <v>3</v>
      </c>
      <c r="G1417" t="n">
        <v>1</v>
      </c>
      <c r="H1417" t="inlineStr">
        <is>
          <t>Player trade (max rank)</t>
        </is>
      </c>
      <c r="I1417" t="inlineStr">
        <is>
          <t>Yes</t>
        </is>
      </c>
      <c r="K1417" t="inlineStr">
        <is>
          <t>Collection</t>
        </is>
      </c>
      <c r="L1417" t="n">
        <v>30</v>
      </c>
      <c r="M1417" t="n">
        <v>75</v>
      </c>
      <c r="N1417" t="n">
        <v>165</v>
      </c>
      <c r="O1417" t="inlineStr">
        <is>
          <t>2026-10-05 UTC (WFM pull 02:52-04:00)</t>
        </is>
      </c>
      <c r="P1417" t="inlineStr">
        <is>
          <t>OK</t>
        </is>
      </c>
      <c r="R1417" t="inlineStr">
        <is>
          <t>Every current tradeable mod at MAX RANK (WFM catalogue, rivens/locators excluded)</t>
        </is>
      </c>
      <c r="S1417" t="inlineStr">
        <is>
          <t>signal_flare</t>
        </is>
      </c>
      <c r="T1417" t="n">
        <v>4</v>
      </c>
      <c r="U1417" t="n">
        <v>0</v>
      </c>
      <c r="W1417" t="n">
        <v>50</v>
      </c>
      <c r="X1417" t="n">
        <v>50</v>
      </c>
      <c r="Y1417" t="n">
        <v>1</v>
      </c>
      <c r="Z1417" t="n">
        <v>0</v>
      </c>
      <c r="AN1417" t="inlineStr">
        <is>
          <t>Augment Excalibur</t>
        </is>
      </c>
      <c r="AO1417" t="n">
        <v>210</v>
      </c>
      <c r="AP1417" t="n">
        <v>10143</v>
      </c>
      <c r="AQ1417" t="n">
        <v>90</v>
      </c>
      <c r="AS1417" t="inlineStr">
        <is>
          <t>Yes</t>
        </is>
      </c>
    </row>
    <row r="1418">
      <c r="A1418" t="inlineStr">
        <is>
          <t>Mod</t>
        </is>
      </c>
      <c r="B1418" t="inlineStr">
        <is>
          <t>Sil-Tabol</t>
        </is>
      </c>
      <c r="E1418" t="inlineStr">
        <is>
          <t>Antique</t>
        </is>
      </c>
      <c r="F1418" t="n">
        <v>5</v>
      </c>
      <c r="G1418" t="n">
        <v>1</v>
      </c>
      <c r="H1418" t="inlineStr">
        <is>
          <t>Player trade (max rank)</t>
        </is>
      </c>
      <c r="I1418" t="inlineStr">
        <is>
          <t>Yes</t>
        </is>
      </c>
      <c r="K1418" t="inlineStr">
        <is>
          <t>Collection</t>
        </is>
      </c>
      <c r="L1418" t="n">
        <v>25</v>
      </c>
      <c r="M1418" t="n">
        <v>30</v>
      </c>
      <c r="N1418" t="n">
        <v>66</v>
      </c>
      <c r="O1418" t="inlineStr">
        <is>
          <t>2026-10-05 UTC (WFM pull 02:52-04:00)</t>
        </is>
      </c>
      <c r="P1418" t="inlineStr">
        <is>
          <t>OK</t>
        </is>
      </c>
      <c r="R1418" t="inlineStr">
        <is>
          <t>Every current tradeable mod at MAX RANK (WFM catalogue, rivens/locators excluded)</t>
        </is>
      </c>
      <c r="S1418" t="inlineStr">
        <is>
          <t>sil_tabol</t>
        </is>
      </c>
      <c r="T1418" t="n">
        <v>3</v>
      </c>
      <c r="U1418" t="n">
        <v>3</v>
      </c>
      <c r="V1418" t="n">
        <v>20</v>
      </c>
      <c r="W1418" t="n">
        <v>25</v>
      </c>
      <c r="X1418" t="n">
        <v>25.9</v>
      </c>
      <c r="Y1418" t="n">
        <v>45</v>
      </c>
      <c r="Z1418" t="n">
        <v>0</v>
      </c>
      <c r="AN1418" t="inlineStr">
        <is>
          <t>Antique</t>
        </is>
      </c>
      <c r="AO1418" t="n">
        <v>620</v>
      </c>
      <c r="AP1418" t="n">
        <v>29946</v>
      </c>
      <c r="AQ1418" t="n">
        <v>8</v>
      </c>
      <c r="AS1418" t="inlineStr">
        <is>
          <t>Yes</t>
        </is>
      </c>
    </row>
    <row r="1419">
      <c r="A1419" t="inlineStr">
        <is>
          <t>Mod</t>
        </is>
      </c>
      <c r="B1419" t="inlineStr">
        <is>
          <t>Silent Battery</t>
        </is>
      </c>
      <c r="E1419" t="inlineStr">
        <is>
          <t>Shotgun</t>
        </is>
      </c>
      <c r="F1419" t="n">
        <v>3</v>
      </c>
      <c r="G1419" t="n">
        <v>1</v>
      </c>
      <c r="H1419" t="inlineStr">
        <is>
          <t>Player trade (max rank)</t>
        </is>
      </c>
      <c r="I1419" t="inlineStr">
        <is>
          <t>Yes</t>
        </is>
      </c>
      <c r="K1419" t="inlineStr">
        <is>
          <t>Collection</t>
        </is>
      </c>
      <c r="L1419" t="n">
        <v>5</v>
      </c>
      <c r="M1419" t="n">
        <v>15</v>
      </c>
      <c r="N1419" t="n">
        <v>31</v>
      </c>
      <c r="O1419" t="inlineStr">
        <is>
          <t>2026-10-05 UTC (WFM pull 02:52-04:00)</t>
        </is>
      </c>
      <c r="P1419" t="inlineStr">
        <is>
          <t>OK</t>
        </is>
      </c>
      <c r="R1419" t="inlineStr">
        <is>
          <t>Every current tradeable mod at MAX RANK (WFM catalogue, rivens/locators excluded)</t>
        </is>
      </c>
      <c r="S1419" t="inlineStr">
        <is>
          <t>silent_battery</t>
        </is>
      </c>
      <c r="T1419" t="n">
        <v>6</v>
      </c>
      <c r="U1419" t="n">
        <v>6</v>
      </c>
      <c r="V1419" t="n">
        <v>10</v>
      </c>
      <c r="W1419" t="n">
        <v>10</v>
      </c>
      <c r="X1419" t="n">
        <v>9.699999999999999</v>
      </c>
      <c r="Y1419" t="n">
        <v>19</v>
      </c>
      <c r="Z1419" t="n">
        <v>2</v>
      </c>
      <c r="AN1419" t="inlineStr">
        <is>
          <t>Shotgun</t>
        </is>
      </c>
      <c r="AO1419" t="n">
        <v>140</v>
      </c>
      <c r="AP1419" t="n">
        <v>6762</v>
      </c>
      <c r="AQ1419" t="n">
        <v>7.5</v>
      </c>
      <c r="AS1419" t="inlineStr">
        <is>
          <t>Yes</t>
        </is>
      </c>
    </row>
    <row r="1420">
      <c r="A1420" t="inlineStr">
        <is>
          <t>Mod</t>
        </is>
      </c>
      <c r="B1420" t="inlineStr">
        <is>
          <t>Singularity</t>
        </is>
      </c>
      <c r="E1420" t="inlineStr">
        <is>
          <t>Augment Nyx</t>
        </is>
      </c>
      <c r="F1420" t="n">
        <v>3</v>
      </c>
      <c r="G1420" t="n">
        <v>1</v>
      </c>
      <c r="H1420" t="inlineStr">
        <is>
          <t>Player trade (max rank)</t>
        </is>
      </c>
      <c r="I1420" t="inlineStr">
        <is>
          <t>Yes</t>
        </is>
      </c>
      <c r="K1420" t="inlineStr">
        <is>
          <t>Collection</t>
        </is>
      </c>
      <c r="L1420" t="n">
        <v>12</v>
      </c>
      <c r="M1420" t="n">
        <v>15</v>
      </c>
      <c r="N1420" t="n">
        <v>33</v>
      </c>
      <c r="O1420" t="inlineStr">
        <is>
          <t>2026-10-05 UTC (WFM pull 02:52-04:00)</t>
        </is>
      </c>
      <c r="P1420" t="inlineStr">
        <is>
          <t>OK</t>
        </is>
      </c>
      <c r="R1420" t="inlineStr">
        <is>
          <t>Every current tradeable mod at MAX RANK (WFM catalogue, rivens/locators excluded)</t>
        </is>
      </c>
      <c r="S1420" t="inlineStr">
        <is>
          <t>singularity</t>
        </is>
      </c>
      <c r="T1420" t="n">
        <v>5</v>
      </c>
      <c r="U1420" t="n">
        <v>5</v>
      </c>
      <c r="V1420" t="n">
        <v>10</v>
      </c>
      <c r="W1420" t="n">
        <v>9</v>
      </c>
      <c r="X1420" t="n">
        <v>8.9</v>
      </c>
      <c r="Y1420" t="n">
        <v>30</v>
      </c>
      <c r="Z1420" t="n">
        <v>0</v>
      </c>
      <c r="AN1420" t="inlineStr">
        <is>
          <t>Augment Nyx</t>
        </is>
      </c>
      <c r="AO1420" t="n">
        <v>210</v>
      </c>
      <c r="AP1420" t="n">
        <v>10143</v>
      </c>
      <c r="AQ1420" t="n">
        <v>7</v>
      </c>
      <c r="AS1420" t="inlineStr">
        <is>
          <t>Yes</t>
        </is>
      </c>
    </row>
    <row r="1421">
      <c r="A1421" t="inlineStr">
        <is>
          <t>Mod</t>
        </is>
      </c>
      <c r="B1421" t="inlineStr">
        <is>
          <t>Sinister Reach</t>
        </is>
      </c>
      <c r="E1421" t="inlineStr">
        <is>
          <t>Primary</t>
        </is>
      </c>
      <c r="F1421" t="n">
        <v>3</v>
      </c>
      <c r="G1421" t="n">
        <v>1</v>
      </c>
      <c r="H1421" t="inlineStr">
        <is>
          <t>Player trade (max rank)</t>
        </is>
      </c>
      <c r="I1421" t="inlineStr">
        <is>
          <t>Yes</t>
        </is>
      </c>
      <c r="K1421" t="inlineStr">
        <is>
          <t>Collection</t>
        </is>
      </c>
      <c r="L1421" t="n">
        <v>7</v>
      </c>
      <c r="M1421" t="n">
        <v>13.5</v>
      </c>
      <c r="N1421" t="n">
        <v>30</v>
      </c>
      <c r="O1421" t="inlineStr">
        <is>
          <t>2026-10-05 UTC (WFM pull 02:52-04:00)</t>
        </is>
      </c>
      <c r="P1421" t="inlineStr">
        <is>
          <t>OK</t>
        </is>
      </c>
      <c r="R1421" t="inlineStr">
        <is>
          <t>Every current tradeable mod at MAX RANK (WFM catalogue, rivens/locators excluded)</t>
        </is>
      </c>
      <c r="S1421" t="inlineStr">
        <is>
          <t>sinister_reach</t>
        </is>
      </c>
      <c r="T1421" t="n">
        <v>6</v>
      </c>
      <c r="U1421" t="n">
        <v>6</v>
      </c>
      <c r="V1421" t="n">
        <v>9</v>
      </c>
      <c r="W1421" t="n">
        <v>9</v>
      </c>
      <c r="X1421" t="n">
        <v>8.800000000000001</v>
      </c>
      <c r="Y1421" t="n">
        <v>63</v>
      </c>
      <c r="Z1421" t="n">
        <v>1</v>
      </c>
      <c r="AN1421" t="inlineStr">
        <is>
          <t>Primary</t>
        </is>
      </c>
      <c r="AO1421" t="n">
        <v>140</v>
      </c>
      <c r="AP1421" t="n">
        <v>6762</v>
      </c>
      <c r="AQ1421" t="n">
        <v>3</v>
      </c>
      <c r="AS1421" t="inlineStr">
        <is>
          <t>Yes</t>
        </is>
      </c>
    </row>
    <row r="1422">
      <c r="A1422" t="inlineStr">
        <is>
          <t>Mod</t>
        </is>
      </c>
      <c r="B1422" t="inlineStr">
        <is>
          <t>Sinking Talon</t>
        </is>
      </c>
      <c r="E1422" t="inlineStr">
        <is>
          <t>Stance</t>
        </is>
      </c>
      <c r="F1422" t="n">
        <v>3</v>
      </c>
      <c r="G1422" t="n">
        <v>1</v>
      </c>
      <c r="H1422" t="inlineStr">
        <is>
          <t>Player trade (max rank)</t>
        </is>
      </c>
      <c r="I1422" t="inlineStr">
        <is>
          <t>Yes</t>
        </is>
      </c>
      <c r="K1422" t="inlineStr">
        <is>
          <t>Collection</t>
        </is>
      </c>
      <c r="L1422" t="n">
        <v>6</v>
      </c>
      <c r="M1422" t="n">
        <v>11.5</v>
      </c>
      <c r="N1422" t="n">
        <v>17</v>
      </c>
      <c r="O1422" t="inlineStr">
        <is>
          <t>2026-10-05 UTC (WFM pull 02:52-04:00)</t>
        </is>
      </c>
      <c r="P1422" t="inlineStr">
        <is>
          <t>OK</t>
        </is>
      </c>
      <c r="R1422" t="inlineStr">
        <is>
          <t>Every current tradeable mod at MAX RANK (WFM catalogue, rivens/locators excluded)</t>
        </is>
      </c>
      <c r="S1422" t="inlineStr">
        <is>
          <t>sinking_talon</t>
        </is>
      </c>
      <c r="T1422" t="n">
        <v>4</v>
      </c>
      <c r="U1422" t="n">
        <v>4</v>
      </c>
      <c r="V1422" t="n">
        <v>8</v>
      </c>
      <c r="W1422" t="n">
        <v>10</v>
      </c>
      <c r="X1422" t="n">
        <v>10.5</v>
      </c>
      <c r="Y1422" t="n">
        <v>11</v>
      </c>
      <c r="Z1422" t="n">
        <v>0</v>
      </c>
      <c r="AN1422" t="inlineStr">
        <is>
          <t>Stance</t>
        </is>
      </c>
      <c r="AO1422" t="n">
        <v>140</v>
      </c>
      <c r="AP1422" t="n">
        <v>6762</v>
      </c>
      <c r="AQ1422" t="n">
        <v>4</v>
      </c>
      <c r="AS1422" t="inlineStr">
        <is>
          <t>Yes</t>
        </is>
      </c>
    </row>
    <row r="1423">
      <c r="A1423" t="inlineStr">
        <is>
          <t>Mod</t>
        </is>
      </c>
      <c r="B1423" t="inlineStr">
        <is>
          <t>Skull Shots</t>
        </is>
      </c>
      <c r="E1423" t="inlineStr">
        <is>
          <t>Conclave (PvP)</t>
        </is>
      </c>
      <c r="F1423" t="n">
        <v>3</v>
      </c>
      <c r="G1423" t="n">
        <v>1</v>
      </c>
      <c r="H1423" t="inlineStr">
        <is>
          <t>Player trade (max rank)</t>
        </is>
      </c>
      <c r="I1423" t="inlineStr">
        <is>
          <t>Yes</t>
        </is>
      </c>
      <c r="K1423" t="inlineStr">
        <is>
          <t>Collection (PvP)</t>
        </is>
      </c>
      <c r="L1423" t="n">
        <v>14</v>
      </c>
      <c r="M1423" t="n">
        <v>15</v>
      </c>
      <c r="N1423" t="n">
        <v>33</v>
      </c>
      <c r="O1423" t="inlineStr">
        <is>
          <t>2026-10-05 UTC (WFM pull 02:52-04:00)</t>
        </is>
      </c>
      <c r="P1423" t="inlineStr">
        <is>
          <t>OK</t>
        </is>
      </c>
      <c r="R1423" t="inlineStr">
        <is>
          <t>Every current tradeable mod at MAX RANK (WFM catalogue, rivens/locators excluded)</t>
        </is>
      </c>
      <c r="S1423" t="inlineStr">
        <is>
          <t>skull_shots</t>
        </is>
      </c>
      <c r="T1423" t="n">
        <v>4</v>
      </c>
      <c r="U1423" t="n">
        <v>4</v>
      </c>
      <c r="V1423" t="n">
        <v>10</v>
      </c>
      <c r="W1423" t="n">
        <v>10</v>
      </c>
      <c r="X1423" t="n">
        <v>13.7</v>
      </c>
      <c r="Y1423" t="n">
        <v>7</v>
      </c>
      <c r="Z1423" t="n">
        <v>0</v>
      </c>
      <c r="AN1423" t="inlineStr">
        <is>
          <t>Conclave (PvP)</t>
        </is>
      </c>
      <c r="AO1423" t="n">
        <v>210</v>
      </c>
      <c r="AP1423" t="n">
        <v>10143</v>
      </c>
      <c r="AQ1423" t="n">
        <v>12.5</v>
      </c>
      <c r="AS1423" t="inlineStr">
        <is>
          <t>PvP subtotal</t>
        </is>
      </c>
    </row>
    <row r="1424">
      <c r="A1424" t="inlineStr">
        <is>
          <t>Mod</t>
        </is>
      </c>
      <c r="B1424" t="inlineStr">
        <is>
          <t>Slay Board</t>
        </is>
      </c>
      <c r="E1424" t="inlineStr">
        <is>
          <t>K-Drive</t>
        </is>
      </c>
      <c r="F1424" t="n">
        <v>3</v>
      </c>
      <c r="G1424" t="n">
        <v>1</v>
      </c>
      <c r="H1424" t="inlineStr">
        <is>
          <t>Player trade (max rank)</t>
        </is>
      </c>
      <c r="I1424" t="inlineStr">
        <is>
          <t>Yes</t>
        </is>
      </c>
      <c r="K1424" t="inlineStr">
        <is>
          <t>Collection</t>
        </is>
      </c>
      <c r="L1424" t="n">
        <v>15</v>
      </c>
      <c r="M1424" t="n">
        <v>24</v>
      </c>
      <c r="N1424" t="n">
        <v>33</v>
      </c>
      <c r="O1424" t="inlineStr">
        <is>
          <t>2026-10-05 UTC (WFM pull 02:52-04:00)</t>
        </is>
      </c>
      <c r="P1424" t="inlineStr">
        <is>
          <t>OK</t>
        </is>
      </c>
      <c r="R1424" t="inlineStr">
        <is>
          <t>Every current tradeable mod at MAX RANK (WFM catalogue, rivens/locators excluded)</t>
        </is>
      </c>
      <c r="S1424" t="inlineStr">
        <is>
          <t>slay_board</t>
        </is>
      </c>
      <c r="T1424" t="n">
        <v>21</v>
      </c>
      <c r="U1424" t="n">
        <v>1</v>
      </c>
      <c r="Y1424" t="n">
        <v>0</v>
      </c>
      <c r="Z1424" t="n">
        <v>0</v>
      </c>
      <c r="AN1424" t="inlineStr">
        <is>
          <t>K-Drive</t>
        </is>
      </c>
      <c r="AO1424" t="n">
        <v>140</v>
      </c>
      <c r="AP1424" t="n">
        <v>6762</v>
      </c>
      <c r="AQ1424" t="n">
        <v>18</v>
      </c>
      <c r="AS1424" t="inlineStr">
        <is>
          <t>Yes</t>
        </is>
      </c>
    </row>
    <row r="1425">
      <c r="A1425" t="inlineStr">
        <is>
          <t>Mod</t>
        </is>
      </c>
      <c r="B1425" t="inlineStr">
        <is>
          <t>Slicing Feathers</t>
        </is>
      </c>
      <c r="E1425" t="inlineStr">
        <is>
          <t>Stance</t>
        </is>
      </c>
      <c r="F1425" t="n">
        <v>3</v>
      </c>
      <c r="G1425" t="n">
        <v>1</v>
      </c>
      <c r="H1425" t="inlineStr">
        <is>
          <t>Player trade (max rank)</t>
        </is>
      </c>
      <c r="I1425" t="inlineStr">
        <is>
          <t>Yes</t>
        </is>
      </c>
      <c r="K1425" t="inlineStr">
        <is>
          <t>Collection</t>
        </is>
      </c>
      <c r="L1425" t="n">
        <v>5</v>
      </c>
      <c r="M1425" t="n">
        <v>5</v>
      </c>
      <c r="N1425" t="n">
        <v>9</v>
      </c>
      <c r="O1425" t="inlineStr">
        <is>
          <t>2026-10-05 UTC (WFM pull 02:52-04:00)</t>
        </is>
      </c>
      <c r="P1425" t="inlineStr">
        <is>
          <t>OK</t>
        </is>
      </c>
      <c r="R1425" t="inlineStr">
        <is>
          <t>Every current tradeable mod at MAX RANK (WFM catalogue, rivens/locators excluded)</t>
        </is>
      </c>
      <c r="S1425" t="inlineStr">
        <is>
          <t>slicing_feathers</t>
        </is>
      </c>
      <c r="T1425" t="n">
        <v>107</v>
      </c>
      <c r="U1425" t="n">
        <v>1</v>
      </c>
      <c r="V1425" t="n">
        <v>8</v>
      </c>
      <c r="W1425" t="n">
        <v>8</v>
      </c>
      <c r="X1425" t="n">
        <v>8.800000000000001</v>
      </c>
      <c r="Y1425" t="n">
        <v>24</v>
      </c>
      <c r="Z1425" t="n">
        <v>0</v>
      </c>
      <c r="AN1425" t="inlineStr">
        <is>
          <t>Stance</t>
        </is>
      </c>
      <c r="AO1425" t="n">
        <v>210</v>
      </c>
      <c r="AP1425" t="n">
        <v>10143</v>
      </c>
      <c r="AQ1425" t="n">
        <v>7.5</v>
      </c>
      <c r="AS1425" t="inlineStr">
        <is>
          <t>Yes</t>
        </is>
      </c>
    </row>
    <row r="1426">
      <c r="A1426" t="inlineStr">
        <is>
          <t>Mod</t>
        </is>
      </c>
      <c r="B1426" t="inlineStr">
        <is>
          <t>Slip Magazine</t>
        </is>
      </c>
      <c r="E1426" t="inlineStr">
        <is>
          <t>Pistol</t>
        </is>
      </c>
      <c r="F1426" t="n">
        <v>5</v>
      </c>
      <c r="G1426" t="n">
        <v>1</v>
      </c>
      <c r="H1426" t="inlineStr">
        <is>
          <t>Player trade (max rank)</t>
        </is>
      </c>
      <c r="I1426" t="inlineStr">
        <is>
          <t>Yes</t>
        </is>
      </c>
      <c r="K1426" t="inlineStr">
        <is>
          <t>Collection</t>
        </is>
      </c>
      <c r="L1426" t="n">
        <v>7</v>
      </c>
      <c r="M1426" t="n">
        <v>8</v>
      </c>
      <c r="N1426" t="n">
        <v>11</v>
      </c>
      <c r="O1426" t="inlineStr">
        <is>
          <t>2026-10-05 UTC (WFM pull 02:52-04:00)</t>
        </is>
      </c>
      <c r="P1426" t="inlineStr">
        <is>
          <t>OK</t>
        </is>
      </c>
      <c r="R1426" t="inlineStr">
        <is>
          <t>Every current tradeable mod at MAX RANK (WFM catalogue, rivens/locators excluded)</t>
        </is>
      </c>
      <c r="S1426" t="inlineStr">
        <is>
          <t>slip_magazine</t>
        </is>
      </c>
      <c r="T1426" t="n">
        <v>45</v>
      </c>
      <c r="U1426" t="n">
        <v>2</v>
      </c>
      <c r="V1426" t="n">
        <v>10</v>
      </c>
      <c r="W1426" t="n">
        <v>10</v>
      </c>
      <c r="X1426" t="n">
        <v>12</v>
      </c>
      <c r="Y1426" t="n">
        <v>2</v>
      </c>
      <c r="Z1426" t="n">
        <v>0</v>
      </c>
      <c r="AN1426" t="inlineStr">
        <is>
          <t>Pistol</t>
        </is>
      </c>
      <c r="AO1426" t="n">
        <v>310</v>
      </c>
      <c r="AP1426" t="n">
        <v>14973</v>
      </c>
      <c r="AQ1426" t="n">
        <v>6</v>
      </c>
      <c r="AS1426" t="inlineStr">
        <is>
          <t>Yes</t>
        </is>
      </c>
    </row>
    <row r="1427">
      <c r="A1427" t="inlineStr">
        <is>
          <t>Mod</t>
        </is>
      </c>
      <c r="B1427" t="inlineStr">
        <is>
          <t>Sly Devolution</t>
        </is>
      </c>
      <c r="E1427" t="inlineStr">
        <is>
          <t>Sly Vulpaphyla</t>
        </is>
      </c>
      <c r="F1427" t="n">
        <v>3</v>
      </c>
      <c r="G1427" t="n">
        <v>1</v>
      </c>
      <c r="H1427" t="inlineStr">
        <is>
          <t>Player trade (max rank)</t>
        </is>
      </c>
      <c r="I1427" t="inlineStr">
        <is>
          <t>Yes</t>
        </is>
      </c>
      <c r="K1427" t="inlineStr">
        <is>
          <t>Collection</t>
        </is>
      </c>
      <c r="L1427" t="n">
        <v>9</v>
      </c>
      <c r="M1427" t="n">
        <v>15</v>
      </c>
      <c r="N1427" t="n">
        <v>33</v>
      </c>
      <c r="O1427" t="inlineStr">
        <is>
          <t>2026-10-05 UTC (WFM pull 02:52-04:00)</t>
        </is>
      </c>
      <c r="P1427" t="inlineStr">
        <is>
          <t>OK</t>
        </is>
      </c>
      <c r="R1427" t="inlineStr">
        <is>
          <t>Every current tradeable mod at MAX RANK (WFM catalogue, rivens/locators excluded)</t>
        </is>
      </c>
      <c r="S1427" t="inlineStr">
        <is>
          <t>sly_devolution</t>
        </is>
      </c>
      <c r="T1427" t="n">
        <v>15</v>
      </c>
      <c r="U1427" t="n">
        <v>0</v>
      </c>
      <c r="V1427" t="n">
        <v>15</v>
      </c>
      <c r="W1427" t="n">
        <v>15</v>
      </c>
      <c r="X1427" t="n">
        <v>15</v>
      </c>
      <c r="Y1427" t="n">
        <v>3</v>
      </c>
      <c r="Z1427" t="n">
        <v>0</v>
      </c>
      <c r="AN1427" t="inlineStr">
        <is>
          <t>Sly Vulpaphyla</t>
        </is>
      </c>
      <c r="AO1427" t="n">
        <v>210</v>
      </c>
      <c r="AP1427" t="n">
        <v>10143</v>
      </c>
      <c r="AQ1427" t="n">
        <v>18.8</v>
      </c>
      <c r="AS1427" t="inlineStr">
        <is>
          <t>Yes</t>
        </is>
      </c>
    </row>
    <row r="1428">
      <c r="A1428" t="inlineStr">
        <is>
          <t>Mod</t>
        </is>
      </c>
      <c r="B1428" t="inlineStr">
        <is>
          <t>Smite Corpus</t>
        </is>
      </c>
      <c r="E1428" t="inlineStr">
        <is>
          <t>Melee</t>
        </is>
      </c>
      <c r="F1428" t="n">
        <v>5</v>
      </c>
      <c r="G1428" t="n">
        <v>1</v>
      </c>
      <c r="H1428" t="inlineStr">
        <is>
          <t>Player trade (max rank)</t>
        </is>
      </c>
      <c r="I1428" t="inlineStr">
        <is>
          <t>Yes</t>
        </is>
      </c>
      <c r="K1428" t="inlineStr">
        <is>
          <t>Collection</t>
        </is>
      </c>
      <c r="L1428" t="n">
        <v>9</v>
      </c>
      <c r="M1428" t="n">
        <v>12.5</v>
      </c>
      <c r="N1428" t="n">
        <v>28</v>
      </c>
      <c r="O1428" t="inlineStr">
        <is>
          <t>2026-10-05 UTC (WFM pull 02:52-04:00)</t>
        </is>
      </c>
      <c r="P1428" t="inlineStr">
        <is>
          <t>OK</t>
        </is>
      </c>
      <c r="R1428" t="inlineStr">
        <is>
          <t>Every current tradeable mod at MAX RANK (WFM catalogue, rivens/locators excluded)</t>
        </is>
      </c>
      <c r="S1428" t="inlineStr">
        <is>
          <t>smite_corpus</t>
        </is>
      </c>
      <c r="T1428" t="n">
        <v>4</v>
      </c>
      <c r="U1428" t="n">
        <v>4</v>
      </c>
      <c r="V1428" t="n">
        <v>10</v>
      </c>
      <c r="W1428" t="n">
        <v>10</v>
      </c>
      <c r="X1428" t="n">
        <v>11.2</v>
      </c>
      <c r="Y1428" t="n">
        <v>6</v>
      </c>
      <c r="Z1428" t="n">
        <v>0</v>
      </c>
      <c r="AN1428" t="inlineStr">
        <is>
          <t>Melee</t>
        </is>
      </c>
      <c r="AO1428" t="n">
        <v>620</v>
      </c>
      <c r="AP1428" t="n">
        <v>29946</v>
      </c>
      <c r="AQ1428" t="n">
        <v>4.5</v>
      </c>
      <c r="AS1428" t="inlineStr">
        <is>
          <t>Yes</t>
        </is>
      </c>
    </row>
    <row r="1429">
      <c r="A1429" t="inlineStr">
        <is>
          <t>Mod</t>
        </is>
      </c>
      <c r="B1429" t="inlineStr">
        <is>
          <t>Smite Grineer</t>
        </is>
      </c>
      <c r="E1429" t="inlineStr">
        <is>
          <t>Melee</t>
        </is>
      </c>
      <c r="F1429" t="n">
        <v>5</v>
      </c>
      <c r="G1429" t="n">
        <v>1</v>
      </c>
      <c r="H1429" t="inlineStr">
        <is>
          <t>Player trade (max rank)</t>
        </is>
      </c>
      <c r="I1429" t="inlineStr">
        <is>
          <t>Yes</t>
        </is>
      </c>
      <c r="K1429" t="inlineStr">
        <is>
          <t>Collection</t>
        </is>
      </c>
      <c r="L1429" t="n">
        <v>9</v>
      </c>
      <c r="M1429" t="n">
        <v>14</v>
      </c>
      <c r="N1429" t="n">
        <v>31</v>
      </c>
      <c r="O1429" t="inlineStr">
        <is>
          <t>2026-10-05 UTC (WFM pull 02:52-04:00)</t>
        </is>
      </c>
      <c r="P1429" t="inlineStr">
        <is>
          <t>OK</t>
        </is>
      </c>
      <c r="R1429" t="inlineStr">
        <is>
          <t>Every current tradeable mod at MAX RANK (WFM catalogue, rivens/locators excluded)</t>
        </is>
      </c>
      <c r="S1429" t="inlineStr">
        <is>
          <t>smite_grineer</t>
        </is>
      </c>
      <c r="T1429" t="n">
        <v>5</v>
      </c>
      <c r="U1429" t="n">
        <v>5</v>
      </c>
      <c r="V1429" t="n">
        <v>10</v>
      </c>
      <c r="W1429" t="n">
        <v>8</v>
      </c>
      <c r="X1429" t="n">
        <v>9</v>
      </c>
      <c r="Y1429" t="n">
        <v>2</v>
      </c>
      <c r="Z1429" t="n">
        <v>0</v>
      </c>
      <c r="AN1429" t="inlineStr">
        <is>
          <t>Melee</t>
        </is>
      </c>
      <c r="AO1429" t="n">
        <v>620</v>
      </c>
      <c r="AP1429" t="n">
        <v>29946</v>
      </c>
      <c r="AQ1429" t="n">
        <v>1</v>
      </c>
      <c r="AS1429" t="inlineStr">
        <is>
          <t>Yes</t>
        </is>
      </c>
    </row>
    <row r="1430">
      <c r="A1430" t="inlineStr">
        <is>
          <t>Mod</t>
        </is>
      </c>
      <c r="B1430" t="inlineStr">
        <is>
          <t>Smite Infested</t>
        </is>
      </c>
      <c r="E1430" t="inlineStr">
        <is>
          <t>Melee</t>
        </is>
      </c>
      <c r="F1430" t="n">
        <v>5</v>
      </c>
      <c r="G1430" t="n">
        <v>1</v>
      </c>
      <c r="H1430" t="inlineStr">
        <is>
          <t>Player trade (max rank)</t>
        </is>
      </c>
      <c r="I1430" t="inlineStr">
        <is>
          <t>Yes</t>
        </is>
      </c>
      <c r="K1430" t="inlineStr">
        <is>
          <t>Collection</t>
        </is>
      </c>
      <c r="L1430" t="n">
        <v>9</v>
      </c>
      <c r="M1430" t="n">
        <v>15</v>
      </c>
      <c r="N1430" t="n">
        <v>33</v>
      </c>
      <c r="O1430" t="inlineStr">
        <is>
          <t>2026-10-05 UTC (WFM pull 02:52-04:00)</t>
        </is>
      </c>
      <c r="P1430" t="inlineStr">
        <is>
          <t>OK</t>
        </is>
      </c>
      <c r="R1430" t="inlineStr">
        <is>
          <t>Every current tradeable mod at MAX RANK (WFM catalogue, rivens/locators excluded)</t>
        </is>
      </c>
      <c r="S1430" t="inlineStr">
        <is>
          <t>smite_infested</t>
        </is>
      </c>
      <c r="T1430" t="n">
        <v>3</v>
      </c>
      <c r="U1430" t="n">
        <v>3</v>
      </c>
      <c r="W1430" t="n">
        <v>14</v>
      </c>
      <c r="X1430" t="n">
        <v>13</v>
      </c>
      <c r="Y1430" t="n">
        <v>3</v>
      </c>
      <c r="Z1430" t="n">
        <v>0</v>
      </c>
      <c r="AN1430" t="inlineStr">
        <is>
          <t>Melee</t>
        </is>
      </c>
      <c r="AO1430" t="n">
        <v>620</v>
      </c>
      <c r="AP1430" t="n">
        <v>29946</v>
      </c>
      <c r="AQ1430" t="n">
        <v>2</v>
      </c>
      <c r="AS1430" t="inlineStr">
        <is>
          <t>Yes</t>
        </is>
      </c>
    </row>
    <row r="1431">
      <c r="A1431" t="inlineStr">
        <is>
          <t>Mod</t>
        </is>
      </c>
      <c r="B1431" t="inlineStr">
        <is>
          <t>Smite Infusion</t>
        </is>
      </c>
      <c r="E1431" t="inlineStr">
        <is>
          <t>Augment Oberon</t>
        </is>
      </c>
      <c r="F1431" t="n">
        <v>3</v>
      </c>
      <c r="G1431" t="n">
        <v>1</v>
      </c>
      <c r="H1431" t="inlineStr">
        <is>
          <t>Player trade (max rank)</t>
        </is>
      </c>
      <c r="I1431" t="inlineStr">
        <is>
          <t>Yes</t>
        </is>
      </c>
      <c r="K1431" t="inlineStr">
        <is>
          <t>Collection</t>
        </is>
      </c>
      <c r="L1431" t="n">
        <v>15</v>
      </c>
      <c r="M1431" t="n">
        <v>20</v>
      </c>
      <c r="N1431" t="n">
        <v>27</v>
      </c>
      <c r="O1431" t="inlineStr">
        <is>
          <t>2026-10-05 UTC (WFM pull 02:52-04:00)</t>
        </is>
      </c>
      <c r="P1431" t="inlineStr">
        <is>
          <t>OK</t>
        </is>
      </c>
      <c r="R1431" t="inlineStr">
        <is>
          <t>Every current tradeable mod at MAX RANK (WFM catalogue, rivens/locators excluded)</t>
        </is>
      </c>
      <c r="S1431" t="inlineStr">
        <is>
          <t>smite_infusion</t>
        </is>
      </c>
      <c r="T1431" t="n">
        <v>3</v>
      </c>
      <c r="U1431" t="n">
        <v>3</v>
      </c>
      <c r="V1431" t="n">
        <v>15</v>
      </c>
      <c r="W1431" t="n">
        <v>14</v>
      </c>
      <c r="X1431" t="n">
        <v>13.3</v>
      </c>
      <c r="Y1431" t="n">
        <v>46</v>
      </c>
      <c r="Z1431" t="n">
        <v>0</v>
      </c>
      <c r="AN1431" t="inlineStr">
        <is>
          <t>Augment Oberon</t>
        </is>
      </c>
      <c r="AO1431" t="n">
        <v>210</v>
      </c>
      <c r="AP1431" t="n">
        <v>10143</v>
      </c>
      <c r="AQ1431" t="n">
        <v>15</v>
      </c>
      <c r="AS1431" t="inlineStr">
        <is>
          <t>Yes</t>
        </is>
      </c>
    </row>
    <row r="1432">
      <c r="A1432" t="inlineStr">
        <is>
          <t>Mod</t>
        </is>
      </c>
      <c r="B1432" t="inlineStr">
        <is>
          <t>Smite Orokin</t>
        </is>
      </c>
      <c r="E1432" t="inlineStr">
        <is>
          <t>Melee</t>
        </is>
      </c>
      <c r="F1432" t="n">
        <v>5</v>
      </c>
      <c r="G1432" t="n">
        <v>1</v>
      </c>
      <c r="H1432" t="inlineStr">
        <is>
          <t>Player trade (max rank)</t>
        </is>
      </c>
      <c r="I1432" t="inlineStr">
        <is>
          <t>Yes</t>
        </is>
      </c>
      <c r="K1432" t="inlineStr">
        <is>
          <t>Collection</t>
        </is>
      </c>
      <c r="L1432" t="n">
        <v>25</v>
      </c>
      <c r="M1432" t="n">
        <v>30</v>
      </c>
      <c r="N1432" t="n">
        <v>56</v>
      </c>
      <c r="O1432" t="inlineStr">
        <is>
          <t>2026-10-05 UTC (WFM pull 02:52-04:00)</t>
        </is>
      </c>
      <c r="P1432" t="inlineStr">
        <is>
          <t>OK</t>
        </is>
      </c>
      <c r="R1432" t="inlineStr">
        <is>
          <t>Every current tradeable mod at MAX RANK (WFM catalogue, rivens/locators excluded)</t>
        </is>
      </c>
      <c r="S1432" t="inlineStr">
        <is>
          <t>smite_orokin</t>
        </is>
      </c>
      <c r="T1432" t="n">
        <v>7</v>
      </c>
      <c r="U1432" t="n">
        <v>7</v>
      </c>
      <c r="V1432" t="n">
        <v>20</v>
      </c>
      <c r="W1432" t="n">
        <v>20</v>
      </c>
      <c r="X1432" t="n">
        <v>23.2</v>
      </c>
      <c r="Y1432" t="n">
        <v>29</v>
      </c>
      <c r="Z1432" t="n">
        <v>0</v>
      </c>
      <c r="AN1432" t="inlineStr">
        <is>
          <t>Melee</t>
        </is>
      </c>
      <c r="AO1432" t="n">
        <v>620</v>
      </c>
      <c r="AP1432" t="n">
        <v>29946</v>
      </c>
      <c r="AQ1432" t="n">
        <v>15</v>
      </c>
      <c r="AS1432" t="inlineStr">
        <is>
          <t>Yes</t>
        </is>
      </c>
    </row>
    <row r="1433">
      <c r="A1433" t="inlineStr">
        <is>
          <t>Mod</t>
        </is>
      </c>
      <c r="B1433" t="inlineStr">
        <is>
          <t>Smite The Murmur</t>
        </is>
      </c>
      <c r="E1433" t="inlineStr">
        <is>
          <t>Melee</t>
        </is>
      </c>
      <c r="F1433" t="n">
        <v>5</v>
      </c>
      <c r="G1433" t="n">
        <v>1</v>
      </c>
      <c r="H1433" t="inlineStr">
        <is>
          <t>Player trade (max rank)</t>
        </is>
      </c>
      <c r="I1433" t="inlineStr">
        <is>
          <t>Yes</t>
        </is>
      </c>
      <c r="K1433" t="inlineStr">
        <is>
          <t>Collection</t>
        </is>
      </c>
      <c r="L1433" t="n">
        <v>10</v>
      </c>
      <c r="M1433" t="n">
        <v>15</v>
      </c>
      <c r="N1433" t="n">
        <v>33</v>
      </c>
      <c r="O1433" t="inlineStr">
        <is>
          <t>2026-10-05 UTC (WFM pull 02:52-04:00)</t>
        </is>
      </c>
      <c r="P1433" t="inlineStr">
        <is>
          <t>OK</t>
        </is>
      </c>
      <c r="R1433" t="inlineStr">
        <is>
          <t>Every current tradeable mod at MAX RANK (WFM catalogue, rivens/locators excluded)</t>
        </is>
      </c>
      <c r="S1433" t="inlineStr">
        <is>
          <t>smite_the_murmur</t>
        </is>
      </c>
      <c r="T1433" t="n">
        <v>5</v>
      </c>
      <c r="U1433" t="n">
        <v>5</v>
      </c>
      <c r="W1433" t="n">
        <v>10</v>
      </c>
      <c r="X1433" t="n">
        <v>10</v>
      </c>
      <c r="Y1433" t="n">
        <v>3</v>
      </c>
      <c r="Z1433" t="n">
        <v>0</v>
      </c>
      <c r="AN1433" t="inlineStr">
        <is>
          <t>Melee</t>
        </is>
      </c>
      <c r="AO1433" t="n">
        <v>620</v>
      </c>
      <c r="AP1433" t="n">
        <v>29946</v>
      </c>
      <c r="AQ1433" t="n">
        <v>7.5</v>
      </c>
      <c r="AS1433" t="inlineStr">
        <is>
          <t>Yes</t>
        </is>
      </c>
    </row>
    <row r="1434">
      <c r="A1434" t="inlineStr">
        <is>
          <t>Mod</t>
        </is>
      </c>
      <c r="B1434" t="inlineStr">
        <is>
          <t>Smoke Shadow</t>
        </is>
      </c>
      <c r="E1434" t="inlineStr">
        <is>
          <t>Augment Ash</t>
        </is>
      </c>
      <c r="F1434" t="n">
        <v>3</v>
      </c>
      <c r="G1434" t="n">
        <v>1</v>
      </c>
      <c r="H1434" t="inlineStr">
        <is>
          <t>Player trade (max rank)</t>
        </is>
      </c>
      <c r="I1434" t="inlineStr">
        <is>
          <t>Yes</t>
        </is>
      </c>
      <c r="K1434" t="inlineStr">
        <is>
          <t>Collection</t>
        </is>
      </c>
      <c r="L1434" t="n">
        <v>12</v>
      </c>
      <c r="M1434" t="n">
        <v>22.5</v>
      </c>
      <c r="N1434" t="n">
        <v>50</v>
      </c>
      <c r="O1434" t="inlineStr">
        <is>
          <t>2026-10-05 UTC (WFM pull 02:52-04:00)</t>
        </is>
      </c>
      <c r="P1434" t="inlineStr">
        <is>
          <t>OK</t>
        </is>
      </c>
      <c r="R1434" t="inlineStr">
        <is>
          <t>Every current tradeable mod at MAX RANK (WFM catalogue, rivens/locators excluded)</t>
        </is>
      </c>
      <c r="S1434" t="inlineStr">
        <is>
          <t>smoke_shadow</t>
        </is>
      </c>
      <c r="T1434" t="n">
        <v>6</v>
      </c>
      <c r="U1434" t="n">
        <v>6</v>
      </c>
      <c r="V1434" t="n">
        <v>15</v>
      </c>
      <c r="W1434" t="n">
        <v>14.5</v>
      </c>
      <c r="X1434" t="n">
        <v>13.7</v>
      </c>
      <c r="Y1434" t="n">
        <v>83</v>
      </c>
      <c r="Z1434" t="n">
        <v>3</v>
      </c>
      <c r="AN1434" t="inlineStr">
        <is>
          <t>Augment Ash</t>
        </is>
      </c>
      <c r="AO1434" t="n">
        <v>210</v>
      </c>
      <c r="AP1434" t="n">
        <v>10143</v>
      </c>
      <c r="AQ1434" t="n">
        <v>15</v>
      </c>
      <c r="AS1434" t="inlineStr">
        <is>
          <t>Yes</t>
        </is>
      </c>
    </row>
    <row r="1435">
      <c r="A1435" t="inlineStr">
        <is>
          <t>Mod</t>
        </is>
      </c>
      <c r="B1435" t="inlineStr">
        <is>
          <t>Snap Shot</t>
        </is>
      </c>
      <c r="E1435" t="inlineStr">
        <is>
          <t>Conclave (PvP)</t>
        </is>
      </c>
      <c r="F1435" t="n">
        <v>3</v>
      </c>
      <c r="G1435" t="n">
        <v>1</v>
      </c>
      <c r="H1435" t="inlineStr">
        <is>
          <t>Player trade (max rank)</t>
        </is>
      </c>
      <c r="I1435" t="inlineStr">
        <is>
          <t>Yes</t>
        </is>
      </c>
      <c r="K1435" t="inlineStr">
        <is>
          <t>Collection (PvP)</t>
        </is>
      </c>
      <c r="L1435" t="n">
        <v>5</v>
      </c>
      <c r="M1435" t="n">
        <v>9</v>
      </c>
      <c r="N1435" t="n">
        <v>10</v>
      </c>
      <c r="O1435" t="inlineStr">
        <is>
          <t>2026-10-05 UTC (WFM pull 02:52-04:00)</t>
        </is>
      </c>
      <c r="P1435" t="inlineStr">
        <is>
          <t>OK</t>
        </is>
      </c>
      <c r="R1435" t="inlineStr">
        <is>
          <t>Every current tradeable mod at MAX RANK (WFM catalogue, rivens/locators excluded)</t>
        </is>
      </c>
      <c r="S1435" t="inlineStr">
        <is>
          <t>snap_shot</t>
        </is>
      </c>
      <c r="T1435" t="n">
        <v>51</v>
      </c>
      <c r="U1435" t="n">
        <v>2</v>
      </c>
      <c r="W1435" t="n">
        <v>11</v>
      </c>
      <c r="X1435" t="n">
        <v>20.3</v>
      </c>
      <c r="Y1435" t="n">
        <v>7</v>
      </c>
      <c r="Z1435" t="n">
        <v>0</v>
      </c>
      <c r="AN1435" t="inlineStr">
        <is>
          <t>Conclave (PvP)</t>
        </is>
      </c>
      <c r="AO1435" t="n">
        <v>140</v>
      </c>
      <c r="AP1435" t="n">
        <v>6762</v>
      </c>
      <c r="AQ1435" t="n">
        <v>9</v>
      </c>
      <c r="AS1435" t="inlineStr">
        <is>
          <t>PvP subtotal</t>
        </is>
      </c>
    </row>
    <row r="1436">
      <c r="A1436" t="inlineStr">
        <is>
          <t>Mod</t>
        </is>
      </c>
      <c r="B1436" t="inlineStr">
        <is>
          <t>Sniper Ammo Mutation</t>
        </is>
      </c>
      <c r="E1436" t="inlineStr">
        <is>
          <t>Sniper</t>
        </is>
      </c>
      <c r="F1436" t="n">
        <v>5</v>
      </c>
      <c r="G1436" t="n">
        <v>1</v>
      </c>
      <c r="H1436" t="inlineStr">
        <is>
          <t>Player trade (max rank)</t>
        </is>
      </c>
      <c r="I1436" t="inlineStr">
        <is>
          <t>Yes</t>
        </is>
      </c>
      <c r="K1436" t="inlineStr">
        <is>
          <t>Collection</t>
        </is>
      </c>
      <c r="L1436" t="n">
        <v>15</v>
      </c>
      <c r="M1436" t="n">
        <v>15</v>
      </c>
      <c r="N1436" t="n">
        <v>33</v>
      </c>
      <c r="O1436" t="inlineStr">
        <is>
          <t>2026-10-05 UTC (WFM pull 02:52-04:00)</t>
        </is>
      </c>
      <c r="P1436" t="inlineStr">
        <is>
          <t>OK</t>
        </is>
      </c>
      <c r="R1436" t="inlineStr">
        <is>
          <t>Every current tradeable mod at MAX RANK (WFM catalogue, rivens/locators excluded)</t>
        </is>
      </c>
      <c r="S1436" t="inlineStr">
        <is>
          <t>sniper_ammo_mutation</t>
        </is>
      </c>
      <c r="T1436" t="n">
        <v>3</v>
      </c>
      <c r="U1436" t="n">
        <v>3</v>
      </c>
      <c r="V1436" t="n">
        <v>9.5</v>
      </c>
      <c r="W1436" t="n">
        <v>10</v>
      </c>
      <c r="X1436" t="n">
        <v>11.2</v>
      </c>
      <c r="Y1436" t="n">
        <v>16</v>
      </c>
      <c r="Z1436" t="n">
        <v>0</v>
      </c>
      <c r="AN1436" t="inlineStr">
        <is>
          <t>Sniper</t>
        </is>
      </c>
      <c r="AO1436" t="n">
        <v>930</v>
      </c>
      <c r="AP1436" t="n">
        <v>44919</v>
      </c>
      <c r="AQ1436" t="n">
        <v>4.5</v>
      </c>
      <c r="AS1436" t="inlineStr">
        <is>
          <t>Yes</t>
        </is>
      </c>
    </row>
    <row r="1437">
      <c r="A1437" t="inlineStr">
        <is>
          <t>Mod</t>
        </is>
      </c>
      <c r="B1437" t="inlineStr">
        <is>
          <t>Sniper Scavenger</t>
        </is>
      </c>
      <c r="E1437" t="inlineStr">
        <is>
          <t>Aura</t>
        </is>
      </c>
      <c r="F1437" t="n">
        <v>5</v>
      </c>
      <c r="G1437" t="n">
        <v>1</v>
      </c>
      <c r="H1437" t="inlineStr">
        <is>
          <t>Player trade (max rank)</t>
        </is>
      </c>
      <c r="I1437" t="inlineStr">
        <is>
          <t>Yes</t>
        </is>
      </c>
      <c r="K1437" t="inlineStr">
        <is>
          <t>Collection</t>
        </is>
      </c>
      <c r="L1437" t="n">
        <v>20</v>
      </c>
      <c r="M1437" t="n">
        <v>28.5</v>
      </c>
      <c r="N1437" t="n">
        <v>63</v>
      </c>
      <c r="O1437" t="inlineStr">
        <is>
          <t>2026-10-05 UTC (WFM pull 02:52-04:00)</t>
        </is>
      </c>
      <c r="P1437" t="inlineStr">
        <is>
          <t>OK</t>
        </is>
      </c>
      <c r="R1437" t="inlineStr">
        <is>
          <t>Every current tradeable mod at MAX RANK (WFM catalogue, rivens/locators excluded)</t>
        </is>
      </c>
      <c r="S1437" t="inlineStr">
        <is>
          <t>sniper_scavenger</t>
        </is>
      </c>
      <c r="T1437" t="n">
        <v>5</v>
      </c>
      <c r="U1437" t="n">
        <v>5</v>
      </c>
      <c r="V1437" t="n">
        <v>19</v>
      </c>
      <c r="W1437" t="n">
        <v>13</v>
      </c>
      <c r="X1437" t="n">
        <v>14.5</v>
      </c>
      <c r="Y1437" t="n">
        <v>11</v>
      </c>
      <c r="Z1437" t="n">
        <v>1</v>
      </c>
      <c r="AN1437" t="inlineStr">
        <is>
          <t>Aura</t>
        </is>
      </c>
      <c r="AO1437" t="n">
        <v>620</v>
      </c>
      <c r="AP1437" t="n">
        <v>29946</v>
      </c>
      <c r="AQ1437" t="n">
        <v>15</v>
      </c>
      <c r="AS1437" t="inlineStr">
        <is>
          <t>Yes</t>
        </is>
      </c>
    </row>
    <row r="1438">
      <c r="A1438" t="inlineStr">
        <is>
          <t>Mod</t>
        </is>
      </c>
      <c r="B1438" t="inlineStr">
        <is>
          <t>Soaring Strike</t>
        </is>
      </c>
      <c r="E1438" t="inlineStr">
        <is>
          <t>Conclave (PvP)</t>
        </is>
      </c>
      <c r="F1438" t="n">
        <v>3</v>
      </c>
      <c r="G1438" t="n">
        <v>1</v>
      </c>
      <c r="H1438" t="inlineStr">
        <is>
          <t>Player trade (max rank)</t>
        </is>
      </c>
      <c r="I1438" t="inlineStr">
        <is>
          <t>Yes</t>
        </is>
      </c>
      <c r="K1438" t="inlineStr">
        <is>
          <t>Collection (PvP)</t>
        </is>
      </c>
      <c r="L1438" t="n">
        <v>15</v>
      </c>
      <c r="M1438" t="n">
        <v>30</v>
      </c>
      <c r="N1438" t="n">
        <v>53</v>
      </c>
      <c r="O1438" t="inlineStr">
        <is>
          <t>2026-10-05 UTC (WFM pull 02:52-04:00)</t>
        </is>
      </c>
      <c r="P1438" t="inlineStr">
        <is>
          <t>OK</t>
        </is>
      </c>
      <c r="R1438" t="inlineStr">
        <is>
          <t>Every current tradeable mod at MAX RANK (WFM catalogue, rivens/locators excluded)</t>
        </is>
      </c>
      <c r="S1438" t="inlineStr">
        <is>
          <t>soaring_strike</t>
        </is>
      </c>
      <c r="T1438" t="n">
        <v>14</v>
      </c>
      <c r="U1438" t="n">
        <v>0</v>
      </c>
      <c r="Y1438" t="n">
        <v>0</v>
      </c>
      <c r="Z1438" t="n">
        <v>0</v>
      </c>
      <c r="AN1438" t="inlineStr">
        <is>
          <t>Conclave (PvP)</t>
        </is>
      </c>
      <c r="AO1438" t="n">
        <v>210</v>
      </c>
      <c r="AP1438" t="n">
        <v>10143</v>
      </c>
      <c r="AQ1438" t="n">
        <v>10</v>
      </c>
      <c r="AS1438" t="inlineStr">
        <is>
          <t>PvP subtotal</t>
        </is>
      </c>
    </row>
    <row r="1439">
      <c r="A1439" t="inlineStr">
        <is>
          <t>Mod</t>
        </is>
      </c>
      <c r="B1439" t="inlineStr">
        <is>
          <t>Soft Hands</t>
        </is>
      </c>
      <c r="E1439" t="inlineStr">
        <is>
          <t>Conclave (PvP)</t>
        </is>
      </c>
      <c r="F1439" t="n">
        <v>3</v>
      </c>
      <c r="G1439" t="n">
        <v>1</v>
      </c>
      <c r="H1439" t="inlineStr">
        <is>
          <t>Player trade (max rank)</t>
        </is>
      </c>
      <c r="I1439" t="inlineStr">
        <is>
          <t>Yes</t>
        </is>
      </c>
      <c r="K1439" t="inlineStr">
        <is>
          <t>Collection (PvP)</t>
        </is>
      </c>
      <c r="L1439" t="n">
        <v>3</v>
      </c>
      <c r="M1439" t="n">
        <v>7</v>
      </c>
      <c r="N1439" t="n">
        <v>16</v>
      </c>
      <c r="O1439" t="inlineStr">
        <is>
          <t>2026-10-05 UTC (WFM pull 02:52-04:00)</t>
        </is>
      </c>
      <c r="P1439" t="inlineStr">
        <is>
          <t>OK</t>
        </is>
      </c>
      <c r="R1439" t="inlineStr">
        <is>
          <t>Every current tradeable mod at MAX RANK (WFM catalogue, rivens/locators excluded)</t>
        </is>
      </c>
      <c r="S1439" t="inlineStr">
        <is>
          <t>soft_hands</t>
        </is>
      </c>
      <c r="T1439" t="n">
        <v>50</v>
      </c>
      <c r="U1439" t="n">
        <v>0</v>
      </c>
      <c r="V1439" t="n">
        <v>14</v>
      </c>
      <c r="W1439" t="n">
        <v>7</v>
      </c>
      <c r="X1439" t="n">
        <v>9.800000000000001</v>
      </c>
      <c r="Y1439" t="n">
        <v>6</v>
      </c>
      <c r="Z1439" t="n">
        <v>0</v>
      </c>
      <c r="AN1439" t="inlineStr">
        <is>
          <t>Conclave (PvP)</t>
        </is>
      </c>
      <c r="AO1439" t="n">
        <v>140</v>
      </c>
      <c r="AP1439" t="n">
        <v>6762</v>
      </c>
      <c r="AQ1439" t="n">
        <v>2</v>
      </c>
      <c r="AS1439" t="inlineStr">
        <is>
          <t>PvP subtotal</t>
        </is>
      </c>
    </row>
    <row r="1440">
      <c r="A1440" t="inlineStr">
        <is>
          <t>Mod</t>
        </is>
      </c>
      <c r="B1440" t="inlineStr">
        <is>
          <t>Soft Safe</t>
        </is>
      </c>
      <c r="E1440" t="inlineStr">
        <is>
          <t>Parazon</t>
        </is>
      </c>
      <c r="F1440" t="n">
        <v>3</v>
      </c>
      <c r="G1440" t="n">
        <v>1</v>
      </c>
      <c r="H1440" t="inlineStr">
        <is>
          <t>Player trade (max rank)</t>
        </is>
      </c>
      <c r="I1440" t="inlineStr">
        <is>
          <t>Yes</t>
        </is>
      </c>
      <c r="K1440" t="inlineStr">
        <is>
          <t>Collection</t>
        </is>
      </c>
      <c r="L1440" t="n">
        <v>4</v>
      </c>
      <c r="M1440" t="n">
        <v>5</v>
      </c>
      <c r="N1440" t="n">
        <v>9</v>
      </c>
      <c r="O1440" t="inlineStr">
        <is>
          <t>2026-10-05 UTC (WFM pull 02:52-04:00)</t>
        </is>
      </c>
      <c r="P1440" t="inlineStr">
        <is>
          <t>OK</t>
        </is>
      </c>
      <c r="R1440" t="inlineStr">
        <is>
          <t>Every current tradeable mod at MAX RANK (WFM catalogue, rivens/locators excluded)</t>
        </is>
      </c>
      <c r="S1440" t="inlineStr">
        <is>
          <t>soft_safe</t>
        </is>
      </c>
      <c r="T1440" t="n">
        <v>6</v>
      </c>
      <c r="U1440" t="n">
        <v>6</v>
      </c>
      <c r="V1440" t="n">
        <v>5</v>
      </c>
      <c r="W1440" t="n">
        <v>5</v>
      </c>
      <c r="X1440" t="n">
        <v>5.1</v>
      </c>
      <c r="Y1440" t="n">
        <v>1102</v>
      </c>
      <c r="Z1440" t="n">
        <v>26</v>
      </c>
      <c r="AN1440" t="inlineStr">
        <is>
          <t>Parazon</t>
        </is>
      </c>
      <c r="AO1440" t="n">
        <v>210</v>
      </c>
      <c r="AP1440" t="n">
        <v>10143</v>
      </c>
      <c r="AQ1440" t="n">
        <v>5</v>
      </c>
      <c r="AS1440" t="inlineStr">
        <is>
          <t>Yes</t>
        </is>
      </c>
    </row>
    <row r="1441">
      <c r="A1441" t="inlineStr">
        <is>
          <t>Mod</t>
        </is>
      </c>
      <c r="B1441" t="inlineStr">
        <is>
          <t>Sonic Boost</t>
        </is>
      </c>
      <c r="E1441" t="inlineStr">
        <is>
          <t>K-Drive</t>
        </is>
      </c>
      <c r="F1441" t="n">
        <v>3</v>
      </c>
      <c r="G1441" t="n">
        <v>1</v>
      </c>
      <c r="H1441" t="inlineStr">
        <is>
          <t>Player trade (max rank)</t>
        </is>
      </c>
      <c r="I1441" t="inlineStr">
        <is>
          <t>Yes</t>
        </is>
      </c>
      <c r="K1441" t="inlineStr">
        <is>
          <t>Collection</t>
        </is>
      </c>
      <c r="L1441" t="n">
        <v>17</v>
      </c>
      <c r="M1441" t="n">
        <v>20</v>
      </c>
      <c r="N1441" t="n">
        <v>22</v>
      </c>
      <c r="O1441" t="inlineStr">
        <is>
          <t>2026-10-05 UTC (WFM pull 02:52-04:00)</t>
        </is>
      </c>
      <c r="P1441" t="inlineStr">
        <is>
          <t>OK</t>
        </is>
      </c>
      <c r="R1441" t="inlineStr">
        <is>
          <t>Every current tradeable mod at MAX RANK (WFM catalogue, rivens/locators excluded)</t>
        </is>
      </c>
      <c r="S1441" t="inlineStr">
        <is>
          <t>sonic_boost</t>
        </is>
      </c>
      <c r="T1441" t="n">
        <v>29</v>
      </c>
      <c r="U1441" t="n">
        <v>2</v>
      </c>
      <c r="Y1441" t="n">
        <v>0</v>
      </c>
      <c r="Z1441" t="n">
        <v>0</v>
      </c>
      <c r="AN1441" t="inlineStr">
        <is>
          <t>K-Drive</t>
        </is>
      </c>
      <c r="AO1441" t="n">
        <v>210</v>
      </c>
      <c r="AP1441" t="n">
        <v>10143</v>
      </c>
      <c r="AQ1441" t="n">
        <v>24</v>
      </c>
      <c r="AS1441" t="inlineStr">
        <is>
          <t>Yes</t>
        </is>
      </c>
    </row>
    <row r="1442">
      <c r="A1442" t="inlineStr">
        <is>
          <t>Mod</t>
        </is>
      </c>
      <c r="B1442" t="inlineStr">
        <is>
          <t>Sonic Siphon</t>
        </is>
      </c>
      <c r="E1442" t="inlineStr">
        <is>
          <t>Augment Banshee</t>
        </is>
      </c>
      <c r="F1442" t="n">
        <v>3</v>
      </c>
      <c r="G1442" t="n">
        <v>1</v>
      </c>
      <c r="H1442" t="inlineStr">
        <is>
          <t>Player trade (max rank)</t>
        </is>
      </c>
      <c r="I1442" t="inlineStr">
        <is>
          <t>Yes</t>
        </is>
      </c>
      <c r="K1442" t="inlineStr">
        <is>
          <t>Collection</t>
        </is>
      </c>
      <c r="L1442" t="n">
        <v>15</v>
      </c>
      <c r="M1442" t="n">
        <v>25</v>
      </c>
      <c r="N1442" t="n">
        <v>32</v>
      </c>
      <c r="O1442" t="inlineStr">
        <is>
          <t>2026-10-05 UTC (WFM pull 02:52-04:00)</t>
        </is>
      </c>
      <c r="P1442" t="inlineStr">
        <is>
          <t>OK</t>
        </is>
      </c>
      <c r="R1442" t="inlineStr">
        <is>
          <t>Every current tradeable mod at MAX RANK (WFM catalogue, rivens/locators excluded)</t>
        </is>
      </c>
      <c r="S1442" t="inlineStr">
        <is>
          <t>sonic_siphon</t>
        </is>
      </c>
      <c r="T1442" t="n">
        <v>10</v>
      </c>
      <c r="U1442" t="n">
        <v>10</v>
      </c>
      <c r="V1442" t="n">
        <v>17</v>
      </c>
      <c r="W1442" t="n">
        <v>17</v>
      </c>
      <c r="X1442" t="n">
        <v>16.8</v>
      </c>
      <c r="Y1442" t="n">
        <v>133</v>
      </c>
      <c r="Z1442" t="n">
        <v>3</v>
      </c>
      <c r="AN1442" t="inlineStr">
        <is>
          <t>Augment Banshee</t>
        </is>
      </c>
      <c r="AO1442" t="n">
        <v>210</v>
      </c>
      <c r="AP1442" t="n">
        <v>10143</v>
      </c>
      <c r="AQ1442" t="n">
        <v>17</v>
      </c>
      <c r="AS1442" t="inlineStr">
        <is>
          <t>Yes</t>
        </is>
      </c>
    </row>
    <row r="1443">
      <c r="A1443" t="inlineStr">
        <is>
          <t>Mod</t>
        </is>
      </c>
      <c r="B1443" t="inlineStr">
        <is>
          <t>Soul Survivor</t>
        </is>
      </c>
      <c r="E1443" t="inlineStr">
        <is>
          <t>Augment Nekros</t>
        </is>
      </c>
      <c r="F1443" t="n">
        <v>3</v>
      </c>
      <c r="G1443" t="n">
        <v>1</v>
      </c>
      <c r="H1443" t="inlineStr">
        <is>
          <t>Player trade (max rank)</t>
        </is>
      </c>
      <c r="I1443" t="inlineStr">
        <is>
          <t>Yes</t>
        </is>
      </c>
      <c r="K1443" t="inlineStr">
        <is>
          <t>Collection</t>
        </is>
      </c>
      <c r="L1443" t="n">
        <v>10</v>
      </c>
      <c r="M1443" t="n">
        <v>10</v>
      </c>
      <c r="N1443" t="n">
        <v>20</v>
      </c>
      <c r="O1443" t="inlineStr">
        <is>
          <t>2026-10-05 UTC (WFM pull 02:52-04:00)</t>
        </is>
      </c>
      <c r="P1443" t="inlineStr">
        <is>
          <t>OK</t>
        </is>
      </c>
      <c r="R1443" t="inlineStr">
        <is>
          <t>Every current tradeable mod at MAX RANK (WFM catalogue, rivens/locators excluded)</t>
        </is>
      </c>
      <c r="S1443" t="inlineStr">
        <is>
          <t>soul_survivor</t>
        </is>
      </c>
      <c r="T1443" t="n">
        <v>66</v>
      </c>
      <c r="U1443" t="n">
        <v>2</v>
      </c>
      <c r="V1443" t="n">
        <v>18</v>
      </c>
      <c r="W1443" t="n">
        <v>17.5</v>
      </c>
      <c r="X1443" t="n">
        <v>16.7</v>
      </c>
      <c r="Y1443" t="n">
        <v>25</v>
      </c>
      <c r="Z1443" t="n">
        <v>0</v>
      </c>
      <c r="AN1443" t="inlineStr">
        <is>
          <t>Augment Nekros</t>
        </is>
      </c>
      <c r="AO1443" t="n">
        <v>210</v>
      </c>
      <c r="AP1443" t="n">
        <v>10143</v>
      </c>
      <c r="AQ1443" t="n">
        <v>14</v>
      </c>
      <c r="AS1443" t="inlineStr">
        <is>
          <t>Yes</t>
        </is>
      </c>
    </row>
    <row r="1444">
      <c r="A1444" t="inlineStr">
        <is>
          <t>Mod</t>
        </is>
      </c>
      <c r="B1444" t="inlineStr">
        <is>
          <t>Sovereign Outcast</t>
        </is>
      </c>
      <c r="E1444" t="inlineStr">
        <is>
          <t>Stance</t>
        </is>
      </c>
      <c r="F1444" t="n">
        <v>3</v>
      </c>
      <c r="G1444" t="n">
        <v>1</v>
      </c>
      <c r="H1444" t="inlineStr">
        <is>
          <t>Player trade (max rank)</t>
        </is>
      </c>
      <c r="I1444" t="inlineStr">
        <is>
          <t>Yes</t>
        </is>
      </c>
      <c r="K1444" t="inlineStr">
        <is>
          <t>Collection</t>
        </is>
      </c>
      <c r="L1444" t="n">
        <v>10</v>
      </c>
      <c r="M1444" t="n">
        <v>13.5</v>
      </c>
      <c r="N1444" t="n">
        <v>30</v>
      </c>
      <c r="O1444" t="inlineStr">
        <is>
          <t>2026-10-05 UTC (WFM pull 02:52-04:00)</t>
        </is>
      </c>
      <c r="P1444" t="inlineStr">
        <is>
          <t>OK</t>
        </is>
      </c>
      <c r="R1444" t="inlineStr">
        <is>
          <t>Every current tradeable mod at MAX RANK (WFM catalogue, rivens/locators excluded)</t>
        </is>
      </c>
      <c r="S1444" t="inlineStr">
        <is>
          <t>sovereign_outcast</t>
        </is>
      </c>
      <c r="T1444" t="n">
        <v>6</v>
      </c>
      <c r="U1444" t="n">
        <v>6</v>
      </c>
      <c r="V1444" t="n">
        <v>9</v>
      </c>
      <c r="W1444" t="n">
        <v>9</v>
      </c>
      <c r="X1444" t="n">
        <v>8.5</v>
      </c>
      <c r="Y1444" t="n">
        <v>119</v>
      </c>
      <c r="Z1444" t="n">
        <v>0</v>
      </c>
      <c r="AN1444" t="inlineStr">
        <is>
          <t>Stance</t>
        </is>
      </c>
      <c r="AO1444" t="n">
        <v>210</v>
      </c>
      <c r="AP1444" t="n">
        <v>10143</v>
      </c>
      <c r="AQ1444" t="n">
        <v>5</v>
      </c>
      <c r="AS1444" t="inlineStr">
        <is>
          <t>Yes</t>
        </is>
      </c>
    </row>
    <row r="1445">
      <c r="A1445" t="inlineStr">
        <is>
          <t>Mod</t>
        </is>
      </c>
      <c r="B1445" t="inlineStr">
        <is>
          <t>Spare Parts</t>
        </is>
      </c>
      <c r="E1445" t="inlineStr">
        <is>
          <t>Robotic</t>
        </is>
      </c>
      <c r="F1445" t="n">
        <v>5</v>
      </c>
      <c r="G1445" t="n">
        <v>1</v>
      </c>
      <c r="H1445" t="inlineStr">
        <is>
          <t>Player trade (max rank)</t>
        </is>
      </c>
      <c r="I1445" t="inlineStr">
        <is>
          <t>Yes</t>
        </is>
      </c>
      <c r="K1445" t="inlineStr">
        <is>
          <t>Collection</t>
        </is>
      </c>
      <c r="L1445" t="n">
        <v>9</v>
      </c>
      <c r="M1445" t="n">
        <v>10.5</v>
      </c>
      <c r="N1445" t="n">
        <v>24</v>
      </c>
      <c r="O1445" t="inlineStr">
        <is>
          <t>2026-10-05 UTC (WFM pull 02:52-04:00)</t>
        </is>
      </c>
      <c r="P1445" t="inlineStr">
        <is>
          <t>OK</t>
        </is>
      </c>
      <c r="R1445" t="inlineStr">
        <is>
          <t>Every current tradeable mod at MAX RANK (WFM catalogue, rivens/locators excluded)</t>
        </is>
      </c>
      <c r="S1445" t="inlineStr">
        <is>
          <t>spare_parts</t>
        </is>
      </c>
      <c r="T1445" t="n">
        <v>4</v>
      </c>
      <c r="U1445" t="n">
        <v>4</v>
      </c>
      <c r="V1445" t="n">
        <v>7</v>
      </c>
      <c r="W1445" t="n">
        <v>10</v>
      </c>
      <c r="X1445" t="n">
        <v>8.9</v>
      </c>
      <c r="Y1445" t="n">
        <v>14</v>
      </c>
      <c r="Z1445" t="n">
        <v>0</v>
      </c>
      <c r="AN1445" t="inlineStr">
        <is>
          <t>Robotic</t>
        </is>
      </c>
      <c r="AO1445" t="n">
        <v>620</v>
      </c>
      <c r="AP1445" t="n">
        <v>29946</v>
      </c>
      <c r="AQ1445" t="n">
        <v>3</v>
      </c>
      <c r="AS1445" t="inlineStr">
        <is>
          <t>Yes</t>
        </is>
      </c>
    </row>
    <row r="1446">
      <c r="A1446" t="inlineStr">
        <is>
          <t>Mod</t>
        </is>
      </c>
      <c r="B1446" t="inlineStr">
        <is>
          <t>Spectral Serration</t>
        </is>
      </c>
      <c r="E1446" t="inlineStr">
        <is>
          <t>Rifle</t>
        </is>
      </c>
      <c r="F1446" t="n">
        <v>10</v>
      </c>
      <c r="G1446" t="n">
        <v>1</v>
      </c>
      <c r="H1446" t="inlineStr">
        <is>
          <t>Player trade (max rank)</t>
        </is>
      </c>
      <c r="I1446" t="inlineStr">
        <is>
          <t>Yes</t>
        </is>
      </c>
      <c r="K1446" t="inlineStr">
        <is>
          <t>Collection</t>
        </is>
      </c>
      <c r="L1446" t="n">
        <v>75</v>
      </c>
      <c r="M1446" t="n">
        <v>75</v>
      </c>
      <c r="N1446" t="n">
        <v>88</v>
      </c>
      <c r="O1446" t="inlineStr">
        <is>
          <t>2026-10-05 UTC (WFM pull 02:52-04:00)</t>
        </is>
      </c>
      <c r="P1446" t="inlineStr">
        <is>
          <t>OK</t>
        </is>
      </c>
      <c r="R1446" t="inlineStr">
        <is>
          <t>Every current tradeable mod at MAX RANK (WFM catalogue, rivens/locators excluded)</t>
        </is>
      </c>
      <c r="S1446" t="inlineStr">
        <is>
          <t>spectral_serration</t>
        </is>
      </c>
      <c r="T1446" t="n">
        <v>10</v>
      </c>
      <c r="U1446" t="n">
        <v>10</v>
      </c>
      <c r="V1446" t="n">
        <v>78</v>
      </c>
      <c r="W1446" t="n">
        <v>78.5</v>
      </c>
      <c r="X1446" t="n">
        <v>76.7</v>
      </c>
      <c r="Y1446" t="n">
        <v>855</v>
      </c>
      <c r="Z1446" t="n">
        <v>28</v>
      </c>
      <c r="AA1446" t="n">
        <v>53</v>
      </c>
      <c r="AB1446" t="n">
        <v>22</v>
      </c>
      <c r="AN1446" t="inlineStr">
        <is>
          <t>Rifle</t>
        </is>
      </c>
      <c r="AO1446" t="n">
        <v>30690</v>
      </c>
      <c r="AP1446" t="n">
        <v>1482327</v>
      </c>
      <c r="AQ1446" t="n">
        <v>15</v>
      </c>
      <c r="AS1446" t="inlineStr">
        <is>
          <t>Yes</t>
        </is>
      </c>
    </row>
    <row r="1447">
      <c r="A1447" t="inlineStr">
        <is>
          <t>Mod</t>
        </is>
      </c>
      <c r="B1447" t="inlineStr">
        <is>
          <t>Spectral Spirit</t>
        </is>
      </c>
      <c r="E1447" t="inlineStr">
        <is>
          <t>Augment Dagath</t>
        </is>
      </c>
      <c r="F1447" t="n">
        <v>3</v>
      </c>
      <c r="G1447" t="n">
        <v>1</v>
      </c>
      <c r="H1447" t="inlineStr">
        <is>
          <t>Player trade (max rank)</t>
        </is>
      </c>
      <c r="I1447" t="inlineStr">
        <is>
          <t>Yes</t>
        </is>
      </c>
      <c r="K1447" t="inlineStr">
        <is>
          <t>Collection</t>
        </is>
      </c>
      <c r="L1447" t="n">
        <v>15</v>
      </c>
      <c r="M1447" t="n">
        <v>22.5</v>
      </c>
      <c r="N1447" t="n">
        <v>44</v>
      </c>
      <c r="O1447" t="inlineStr">
        <is>
          <t>2026-10-05 UTC (WFM pull 02:52-04:00)</t>
        </is>
      </c>
      <c r="P1447" t="inlineStr">
        <is>
          <t>OK</t>
        </is>
      </c>
      <c r="R1447" t="inlineStr">
        <is>
          <t>Every current tradeable mod at MAX RANK (WFM catalogue, rivens/locators excluded)</t>
        </is>
      </c>
      <c r="S1447" t="inlineStr">
        <is>
          <t>spectral_spirit</t>
        </is>
      </c>
      <c r="T1447" t="n">
        <v>3</v>
      </c>
      <c r="U1447" t="n">
        <v>3</v>
      </c>
      <c r="V1447" t="n">
        <v>15</v>
      </c>
      <c r="W1447" t="n">
        <v>17.5</v>
      </c>
      <c r="X1447" t="n">
        <v>16.5</v>
      </c>
      <c r="Y1447" t="n">
        <v>153</v>
      </c>
      <c r="Z1447" t="n">
        <v>0</v>
      </c>
      <c r="AN1447" t="inlineStr">
        <is>
          <t>Augment Dagath</t>
        </is>
      </c>
      <c r="AO1447" t="n">
        <v>210</v>
      </c>
      <c r="AP1447" t="n">
        <v>10143</v>
      </c>
      <c r="AQ1447" t="n">
        <v>18</v>
      </c>
      <c r="AS1447" t="inlineStr">
        <is>
          <t>Yes</t>
        </is>
      </c>
    </row>
    <row r="1448">
      <c r="A1448" t="inlineStr">
        <is>
          <t>Mod</t>
        </is>
      </c>
      <c r="B1448" t="inlineStr">
        <is>
          <t>Spectrosiphon</t>
        </is>
      </c>
      <c r="E1448" t="inlineStr">
        <is>
          <t>Augment Gara</t>
        </is>
      </c>
      <c r="F1448" t="n">
        <v>3</v>
      </c>
      <c r="G1448" t="n">
        <v>1</v>
      </c>
      <c r="H1448" t="inlineStr">
        <is>
          <t>Player trade (max rank)</t>
        </is>
      </c>
      <c r="I1448" t="inlineStr">
        <is>
          <t>Yes</t>
        </is>
      </c>
      <c r="K1448" t="inlineStr">
        <is>
          <t>Collection</t>
        </is>
      </c>
      <c r="L1448" t="n">
        <v>12</v>
      </c>
      <c r="M1448" t="n">
        <v>22.5</v>
      </c>
      <c r="N1448" t="n">
        <v>50</v>
      </c>
      <c r="O1448" t="inlineStr">
        <is>
          <t>2026-10-05 UTC (WFM pull 02:52-04:00)</t>
        </is>
      </c>
      <c r="P1448" t="inlineStr">
        <is>
          <t>OK</t>
        </is>
      </c>
      <c r="R1448" t="inlineStr">
        <is>
          <t>Every current tradeable mod at MAX RANK (WFM catalogue, rivens/locators excluded)</t>
        </is>
      </c>
      <c r="S1448" t="inlineStr">
        <is>
          <t>spectrosiphon</t>
        </is>
      </c>
      <c r="T1448" t="n">
        <v>7</v>
      </c>
      <c r="U1448" t="n">
        <v>7</v>
      </c>
      <c r="V1448" t="n">
        <v>15</v>
      </c>
      <c r="W1448" t="n">
        <v>15</v>
      </c>
      <c r="X1448" t="n">
        <v>15.7</v>
      </c>
      <c r="Y1448" t="n">
        <v>186</v>
      </c>
      <c r="Z1448" t="n">
        <v>4</v>
      </c>
      <c r="AN1448" t="inlineStr">
        <is>
          <t>Augment Gara</t>
        </is>
      </c>
      <c r="AO1448" t="n">
        <v>210</v>
      </c>
      <c r="AP1448" t="n">
        <v>10143</v>
      </c>
      <c r="AQ1448" t="n">
        <v>15</v>
      </c>
      <c r="AS1448" t="inlineStr">
        <is>
          <t>Yes</t>
        </is>
      </c>
    </row>
    <row r="1449">
      <c r="A1449" t="inlineStr">
        <is>
          <t>Mod</t>
        </is>
      </c>
      <c r="B1449" t="inlineStr">
        <is>
          <t>Speed Drift</t>
        </is>
      </c>
      <c r="E1449" t="inlineStr">
        <is>
          <t>Warframe</t>
        </is>
      </c>
      <c r="F1449" t="n">
        <v>5</v>
      </c>
      <c r="G1449" t="n">
        <v>1</v>
      </c>
      <c r="H1449" t="inlineStr">
        <is>
          <t>Player trade (max rank)</t>
        </is>
      </c>
      <c r="I1449" t="inlineStr">
        <is>
          <t>Yes</t>
        </is>
      </c>
      <c r="K1449" t="inlineStr">
        <is>
          <t>Collection</t>
        </is>
      </c>
      <c r="L1449" t="n">
        <v>20</v>
      </c>
      <c r="M1449" t="n">
        <v>28</v>
      </c>
      <c r="N1449" t="n">
        <v>56</v>
      </c>
      <c r="O1449" t="inlineStr">
        <is>
          <t>2026-10-05 UTC (WFM pull 02:52-04:00)</t>
        </is>
      </c>
      <c r="P1449" t="inlineStr">
        <is>
          <t>OK</t>
        </is>
      </c>
      <c r="R1449" t="inlineStr">
        <is>
          <t>Every current tradeable mod at MAX RANK (WFM catalogue, rivens/locators excluded)</t>
        </is>
      </c>
      <c r="S1449" t="inlineStr">
        <is>
          <t>speed_drift</t>
        </is>
      </c>
      <c r="T1449" t="n">
        <v>7</v>
      </c>
      <c r="U1449" t="n">
        <v>7</v>
      </c>
      <c r="V1449" t="n">
        <v>20</v>
      </c>
      <c r="W1449" t="n">
        <v>20</v>
      </c>
      <c r="X1449" t="n">
        <v>19.3</v>
      </c>
      <c r="Y1449" t="n">
        <v>284</v>
      </c>
      <c r="Z1449" t="n">
        <v>10</v>
      </c>
      <c r="AN1449" t="inlineStr">
        <is>
          <t>Warframe</t>
        </is>
      </c>
      <c r="AO1449" t="n">
        <v>930</v>
      </c>
      <c r="AP1449" t="n">
        <v>44919</v>
      </c>
      <c r="AQ1449" t="n">
        <v>15</v>
      </c>
      <c r="AS1449" t="inlineStr">
        <is>
          <t>Yes</t>
        </is>
      </c>
    </row>
    <row r="1450">
      <c r="A1450" t="inlineStr">
        <is>
          <t>Mod</t>
        </is>
      </c>
      <c r="B1450" t="inlineStr">
        <is>
          <t>Speed Trigger</t>
        </is>
      </c>
      <c r="E1450" t="inlineStr">
        <is>
          <t>Rifle</t>
        </is>
      </c>
      <c r="F1450" t="n">
        <v>5</v>
      </c>
      <c r="G1450" t="n">
        <v>1</v>
      </c>
      <c r="H1450" t="inlineStr">
        <is>
          <t>Player trade (max rank)</t>
        </is>
      </c>
      <c r="I1450" t="inlineStr">
        <is>
          <t>Yes</t>
        </is>
      </c>
      <c r="K1450" t="inlineStr">
        <is>
          <t>Collection</t>
        </is>
      </c>
      <c r="L1450" t="n">
        <v>6</v>
      </c>
      <c r="M1450" t="n">
        <v>7.5</v>
      </c>
      <c r="N1450" t="n">
        <v>17</v>
      </c>
      <c r="O1450" t="inlineStr">
        <is>
          <t>2026-10-05 UTC (WFM pull 02:52-04:00)</t>
        </is>
      </c>
      <c r="P1450" t="inlineStr">
        <is>
          <t>OK</t>
        </is>
      </c>
      <c r="R1450" t="inlineStr">
        <is>
          <t>Every current tradeable mod at MAX RANK (WFM catalogue, rivens/locators excluded)</t>
        </is>
      </c>
      <c r="S1450" t="inlineStr">
        <is>
          <t>speed_trigger</t>
        </is>
      </c>
      <c r="T1450" t="n">
        <v>9</v>
      </c>
      <c r="U1450" t="n">
        <v>9</v>
      </c>
      <c r="V1450" t="n">
        <v>5</v>
      </c>
      <c r="W1450" t="n">
        <v>6</v>
      </c>
      <c r="X1450" t="n">
        <v>6.8</v>
      </c>
      <c r="Y1450" t="n">
        <v>24</v>
      </c>
      <c r="Z1450" t="n">
        <v>0</v>
      </c>
      <c r="AN1450" t="inlineStr">
        <is>
          <t>Rifle</t>
        </is>
      </c>
      <c r="AO1450" t="n">
        <v>620</v>
      </c>
      <c r="AP1450" t="n">
        <v>29946</v>
      </c>
      <c r="AQ1450" t="n">
        <v>2.2</v>
      </c>
      <c r="AS1450" t="inlineStr">
        <is>
          <t>Yes</t>
        </is>
      </c>
    </row>
    <row r="1451">
      <c r="A1451" t="inlineStr">
        <is>
          <t>Mod</t>
        </is>
      </c>
      <c r="B1451" t="inlineStr">
        <is>
          <t>Spellbound Harvest</t>
        </is>
      </c>
      <c r="E1451" t="inlineStr">
        <is>
          <t>Augment Titania</t>
        </is>
      </c>
      <c r="F1451" t="n">
        <v>3</v>
      </c>
      <c r="G1451" t="n">
        <v>1</v>
      </c>
      <c r="H1451" t="inlineStr">
        <is>
          <t>Player trade (max rank)</t>
        </is>
      </c>
      <c r="I1451" t="inlineStr">
        <is>
          <t>Yes</t>
        </is>
      </c>
      <c r="K1451" t="inlineStr">
        <is>
          <t>Collection</t>
        </is>
      </c>
      <c r="L1451" t="n">
        <v>9</v>
      </c>
      <c r="M1451" t="n">
        <v>10</v>
      </c>
      <c r="N1451" t="n">
        <v>15</v>
      </c>
      <c r="O1451" t="inlineStr">
        <is>
          <t>2026-10-05 UTC (WFM pull 02:52-04:00)</t>
        </is>
      </c>
      <c r="P1451" t="inlineStr">
        <is>
          <t>OK</t>
        </is>
      </c>
      <c r="R1451" t="inlineStr">
        <is>
          <t>Every current tradeable mod at MAX RANK (WFM catalogue, rivens/locators excluded)</t>
        </is>
      </c>
      <c r="S1451" t="inlineStr">
        <is>
          <t>spellbound_harvest</t>
        </is>
      </c>
      <c r="T1451" t="n">
        <v>74</v>
      </c>
      <c r="U1451" t="n">
        <v>2</v>
      </c>
      <c r="V1451" t="n">
        <v>13</v>
      </c>
      <c r="W1451" t="n">
        <v>12.5</v>
      </c>
      <c r="X1451" t="n">
        <v>12.6</v>
      </c>
      <c r="Y1451" t="n">
        <v>31</v>
      </c>
      <c r="Z1451" t="n">
        <v>1</v>
      </c>
      <c r="AN1451" t="inlineStr">
        <is>
          <t>Augment Titania</t>
        </is>
      </c>
      <c r="AO1451" t="n">
        <v>210</v>
      </c>
      <c r="AP1451" t="n">
        <v>10143</v>
      </c>
      <c r="AQ1451" t="n">
        <v>15</v>
      </c>
      <c r="AS1451" t="inlineStr">
        <is>
          <t>Yes</t>
        </is>
      </c>
    </row>
    <row r="1452">
      <c r="A1452" t="inlineStr">
        <is>
          <t>Mod</t>
        </is>
      </c>
      <c r="B1452" t="inlineStr">
        <is>
          <t>Spinning Needle</t>
        </is>
      </c>
      <c r="E1452" t="inlineStr">
        <is>
          <t>Stance</t>
        </is>
      </c>
      <c r="F1452" t="n">
        <v>3</v>
      </c>
      <c r="G1452" t="n">
        <v>1</v>
      </c>
      <c r="H1452" t="inlineStr">
        <is>
          <t>Player trade (max rank)</t>
        </is>
      </c>
      <c r="I1452" t="inlineStr">
        <is>
          <t>Yes</t>
        </is>
      </c>
      <c r="K1452" t="inlineStr">
        <is>
          <t>Collection</t>
        </is>
      </c>
      <c r="L1452" t="n">
        <v>10</v>
      </c>
      <c r="M1452" t="n">
        <v>10</v>
      </c>
      <c r="N1452" t="n">
        <v>17</v>
      </c>
      <c r="O1452" t="inlineStr">
        <is>
          <t>2026-10-05 UTC (WFM pull 02:52-04:00)</t>
        </is>
      </c>
      <c r="P1452" t="inlineStr">
        <is>
          <t>OK</t>
        </is>
      </c>
      <c r="R1452" t="inlineStr">
        <is>
          <t>Every current tradeable mod at MAX RANK (WFM catalogue, rivens/locators excluded)</t>
        </is>
      </c>
      <c r="S1452" t="inlineStr">
        <is>
          <t>spinning_needle</t>
        </is>
      </c>
      <c r="T1452" t="n">
        <v>7</v>
      </c>
      <c r="U1452" t="n">
        <v>7</v>
      </c>
      <c r="V1452" t="n">
        <v>10</v>
      </c>
      <c r="W1452" t="n">
        <v>9</v>
      </c>
      <c r="X1452" t="n">
        <v>8.300000000000001</v>
      </c>
      <c r="Y1452" t="n">
        <v>65</v>
      </c>
      <c r="Z1452" t="n">
        <v>0</v>
      </c>
      <c r="AN1452" t="inlineStr">
        <is>
          <t>Stance</t>
        </is>
      </c>
      <c r="AO1452" t="n">
        <v>210</v>
      </c>
      <c r="AP1452" t="n">
        <v>10143</v>
      </c>
      <c r="AQ1452" t="n">
        <v>4</v>
      </c>
      <c r="AS1452" t="inlineStr">
        <is>
          <t>Yes</t>
        </is>
      </c>
    </row>
    <row r="1453">
      <c r="A1453" t="inlineStr">
        <is>
          <t>Mod</t>
        </is>
      </c>
      <c r="B1453" t="inlineStr">
        <is>
          <t>Split Chamber</t>
        </is>
      </c>
      <c r="E1453" t="inlineStr">
        <is>
          <t>Rifle</t>
        </is>
      </c>
      <c r="F1453" t="n">
        <v>5</v>
      </c>
      <c r="G1453" t="n">
        <v>1</v>
      </c>
      <c r="H1453" t="inlineStr">
        <is>
          <t>Player trade (max rank)</t>
        </is>
      </c>
      <c r="I1453" t="inlineStr">
        <is>
          <t>Yes</t>
        </is>
      </c>
      <c r="K1453" t="inlineStr">
        <is>
          <t>Collection</t>
        </is>
      </c>
      <c r="L1453" t="n">
        <v>10</v>
      </c>
      <c r="M1453" t="n">
        <v>10</v>
      </c>
      <c r="N1453" t="n">
        <v>17</v>
      </c>
      <c r="O1453" t="inlineStr">
        <is>
          <t>2026-10-05 UTC (WFM pull 02:52-04:00)</t>
        </is>
      </c>
      <c r="P1453" t="inlineStr">
        <is>
          <t>OK</t>
        </is>
      </c>
      <c r="R1453" t="inlineStr">
        <is>
          <t>Every current tradeable mod at MAX RANK (WFM catalogue, rivens/locators excluded)</t>
        </is>
      </c>
      <c r="S1453" t="inlineStr">
        <is>
          <t>split_chamber</t>
        </is>
      </c>
      <c r="T1453" t="n">
        <v>9</v>
      </c>
      <c r="U1453" t="n">
        <v>9</v>
      </c>
      <c r="V1453" t="n">
        <v>8</v>
      </c>
      <c r="W1453" t="n">
        <v>8.5</v>
      </c>
      <c r="X1453" t="n">
        <v>8.199999999999999</v>
      </c>
      <c r="Y1453" t="n">
        <v>357</v>
      </c>
      <c r="Z1453" t="n">
        <v>19</v>
      </c>
      <c r="AN1453" t="inlineStr">
        <is>
          <t>Rifle</t>
        </is>
      </c>
      <c r="AO1453" t="n">
        <v>930</v>
      </c>
      <c r="AP1453" t="n">
        <v>44919</v>
      </c>
      <c r="AQ1453" t="n">
        <v>4</v>
      </c>
      <c r="AS1453" t="inlineStr">
        <is>
          <t>Yes</t>
        </is>
      </c>
    </row>
    <row r="1454">
      <c r="A1454" t="inlineStr">
        <is>
          <t>Mod</t>
        </is>
      </c>
      <c r="B1454" t="inlineStr">
        <is>
          <t>Split Flights</t>
        </is>
      </c>
      <c r="E1454" t="inlineStr">
        <is>
          <t>Bow</t>
        </is>
      </c>
      <c r="F1454" t="n">
        <v>5</v>
      </c>
      <c r="G1454" t="n">
        <v>1</v>
      </c>
      <c r="H1454" t="inlineStr">
        <is>
          <t>Player trade (max rank)</t>
        </is>
      </c>
      <c r="I1454" t="inlineStr">
        <is>
          <t>Yes</t>
        </is>
      </c>
      <c r="K1454" t="inlineStr">
        <is>
          <t>Collection</t>
        </is>
      </c>
      <c r="L1454" t="n">
        <v>70</v>
      </c>
      <c r="M1454" t="n">
        <v>85</v>
      </c>
      <c r="N1454" t="n">
        <v>188</v>
      </c>
      <c r="O1454" t="inlineStr">
        <is>
          <t>2026-10-05 UTC (WFM pull 02:52-04:00)</t>
        </is>
      </c>
      <c r="P1454" t="inlineStr">
        <is>
          <t>OK</t>
        </is>
      </c>
      <c r="R1454" t="inlineStr">
        <is>
          <t>Every current tradeable mod at MAX RANK (WFM catalogue, rivens/locators excluded)</t>
        </is>
      </c>
      <c r="S1454" t="inlineStr">
        <is>
          <t>split_flights</t>
        </is>
      </c>
      <c r="T1454" t="n">
        <v>6</v>
      </c>
      <c r="U1454" t="n">
        <v>6</v>
      </c>
      <c r="V1454" t="n">
        <v>65</v>
      </c>
      <c r="W1454" t="n">
        <v>50</v>
      </c>
      <c r="X1454" t="n">
        <v>53.2</v>
      </c>
      <c r="Y1454" t="n">
        <v>307</v>
      </c>
      <c r="Z1454" t="n">
        <v>2</v>
      </c>
      <c r="AN1454" t="inlineStr">
        <is>
          <t>Bow</t>
        </is>
      </c>
      <c r="AO1454" t="n">
        <v>930</v>
      </c>
      <c r="AP1454" t="n">
        <v>44919</v>
      </c>
      <c r="AQ1454" t="n">
        <v>67.5</v>
      </c>
      <c r="AS1454" t="inlineStr">
        <is>
          <t>Yes</t>
        </is>
      </c>
    </row>
    <row r="1455">
      <c r="A1455" t="inlineStr">
        <is>
          <t>Mod</t>
        </is>
      </c>
      <c r="B1455" t="inlineStr">
        <is>
          <t>Spoiled Strike</t>
        </is>
      </c>
      <c r="E1455" t="inlineStr">
        <is>
          <t>Melee</t>
        </is>
      </c>
      <c r="F1455" t="n">
        <v>3</v>
      </c>
      <c r="G1455" t="n">
        <v>1</v>
      </c>
      <c r="H1455" t="inlineStr">
        <is>
          <t>Player trade (max rank)</t>
        </is>
      </c>
      <c r="I1455" t="inlineStr">
        <is>
          <t>Yes</t>
        </is>
      </c>
      <c r="K1455" t="inlineStr">
        <is>
          <t>Collection</t>
        </is>
      </c>
      <c r="L1455" t="n">
        <v>9</v>
      </c>
      <c r="M1455" t="n">
        <v>10</v>
      </c>
      <c r="N1455" t="n">
        <v>11</v>
      </c>
      <c r="O1455" t="inlineStr">
        <is>
          <t>2026-10-05 UTC (WFM pull 02:52-04:00)</t>
        </is>
      </c>
      <c r="P1455" t="inlineStr">
        <is>
          <t>OK</t>
        </is>
      </c>
      <c r="R1455" t="inlineStr">
        <is>
          <t>Every current tradeable mod at MAX RANK (WFM catalogue, rivens/locators excluded)</t>
        </is>
      </c>
      <c r="S1455" t="inlineStr">
        <is>
          <t>spoiled_strike</t>
        </is>
      </c>
      <c r="T1455" t="n">
        <v>15</v>
      </c>
      <c r="U1455" t="n">
        <v>15</v>
      </c>
      <c r="V1455" t="n">
        <v>7.5</v>
      </c>
      <c r="W1455" t="n">
        <v>8</v>
      </c>
      <c r="X1455" t="n">
        <v>7.5</v>
      </c>
      <c r="Y1455" t="n">
        <v>378</v>
      </c>
      <c r="Z1455" t="n">
        <v>6</v>
      </c>
      <c r="AN1455" t="inlineStr">
        <is>
          <t>Melee</t>
        </is>
      </c>
      <c r="AO1455" t="n">
        <v>210</v>
      </c>
      <c r="AP1455" t="n">
        <v>10143</v>
      </c>
      <c r="AQ1455" t="n">
        <v>5</v>
      </c>
      <c r="AS1455" t="inlineStr">
        <is>
          <t>Yes</t>
        </is>
      </c>
    </row>
    <row r="1456">
      <c r="A1456" t="inlineStr">
        <is>
          <t>Mod</t>
        </is>
      </c>
      <c r="B1456" t="inlineStr">
        <is>
          <t>Spontaneous Singularity</t>
        </is>
      </c>
      <c r="E1456" t="inlineStr">
        <is>
          <t>Augment Simulor</t>
        </is>
      </c>
      <c r="F1456" t="n">
        <v>5</v>
      </c>
      <c r="G1456" t="n">
        <v>1</v>
      </c>
      <c r="H1456" t="inlineStr">
        <is>
          <t>Player trade (max rank)</t>
        </is>
      </c>
      <c r="I1456" t="inlineStr">
        <is>
          <t>Yes</t>
        </is>
      </c>
      <c r="K1456" t="inlineStr">
        <is>
          <t>Collection</t>
        </is>
      </c>
      <c r="L1456" t="n">
        <v>50</v>
      </c>
      <c r="M1456" t="n">
        <v>60</v>
      </c>
      <c r="N1456" t="n">
        <v>111</v>
      </c>
      <c r="O1456" t="inlineStr">
        <is>
          <t>2026-10-05 UTC (WFM pull 02:52-04:00)</t>
        </is>
      </c>
      <c r="P1456" t="inlineStr">
        <is>
          <t>OK</t>
        </is>
      </c>
      <c r="R1456" t="inlineStr">
        <is>
          <t>Every current tradeable mod at MAX RANK (WFM catalogue, rivens/locators excluded)</t>
        </is>
      </c>
      <c r="S1456" t="inlineStr">
        <is>
          <t>spontaneous_singularity</t>
        </is>
      </c>
      <c r="T1456" t="n">
        <v>4</v>
      </c>
      <c r="U1456" t="n">
        <v>4</v>
      </c>
      <c r="V1456" t="n">
        <v>40</v>
      </c>
      <c r="W1456" t="n">
        <v>40</v>
      </c>
      <c r="X1456" t="n">
        <v>43.9</v>
      </c>
      <c r="Y1456" t="n">
        <v>65</v>
      </c>
      <c r="Z1456" t="n">
        <v>1</v>
      </c>
      <c r="AN1456" t="inlineStr">
        <is>
          <t>Augment Simulor</t>
        </is>
      </c>
      <c r="AO1456" t="n">
        <v>930</v>
      </c>
      <c r="AP1456" t="n">
        <v>44919</v>
      </c>
      <c r="AQ1456" t="n">
        <v>57</v>
      </c>
      <c r="AS1456" t="inlineStr">
        <is>
          <t>Yes</t>
        </is>
      </c>
    </row>
    <row r="1457">
      <c r="A1457" t="inlineStr">
        <is>
          <t>Mod</t>
        </is>
      </c>
      <c r="B1457" t="inlineStr">
        <is>
          <t>Spring-Loaded Blade</t>
        </is>
      </c>
      <c r="E1457" t="inlineStr">
        <is>
          <t>Melee</t>
        </is>
      </c>
      <c r="F1457" t="n">
        <v>5</v>
      </c>
      <c r="G1457" t="n">
        <v>1</v>
      </c>
      <c r="H1457" t="inlineStr">
        <is>
          <t>Player trade (max rank)</t>
        </is>
      </c>
      <c r="I1457" t="inlineStr">
        <is>
          <t>Yes</t>
        </is>
      </c>
      <c r="K1457" t="inlineStr">
        <is>
          <t>Collection</t>
        </is>
      </c>
      <c r="L1457" t="n">
        <v>18</v>
      </c>
      <c r="M1457" t="n">
        <v>19</v>
      </c>
      <c r="N1457" t="n">
        <v>22</v>
      </c>
      <c r="O1457" t="inlineStr">
        <is>
          <t>2026-10-05 UTC (WFM pull 02:52-04:00)</t>
        </is>
      </c>
      <c r="P1457" t="inlineStr">
        <is>
          <t>OK</t>
        </is>
      </c>
      <c r="R1457" t="inlineStr">
        <is>
          <t>Every current tradeable mod at MAX RANK (WFM catalogue, rivens/locators excluded)</t>
        </is>
      </c>
      <c r="S1457" t="inlineStr">
        <is>
          <t>spring_loaded_blade</t>
        </is>
      </c>
      <c r="T1457" t="n">
        <v>19</v>
      </c>
      <c r="U1457" t="n">
        <v>19</v>
      </c>
      <c r="V1457" t="n">
        <v>18</v>
      </c>
      <c r="W1457" t="n">
        <v>19</v>
      </c>
      <c r="X1457" t="n">
        <v>18.2</v>
      </c>
      <c r="Y1457" t="n">
        <v>743</v>
      </c>
      <c r="Z1457" t="n">
        <v>7</v>
      </c>
      <c r="AN1457" t="inlineStr">
        <is>
          <t>Melee</t>
        </is>
      </c>
      <c r="AO1457" t="n">
        <v>930</v>
      </c>
      <c r="AP1457" t="n">
        <v>44919</v>
      </c>
      <c r="AQ1457" t="n">
        <v>15</v>
      </c>
      <c r="AS1457" t="inlineStr">
        <is>
          <t>Yes</t>
        </is>
      </c>
    </row>
    <row r="1458">
      <c r="A1458" t="inlineStr">
        <is>
          <t>Mod</t>
        </is>
      </c>
      <c r="B1458" t="inlineStr">
        <is>
          <t>Spring-Loaded Broadhead</t>
        </is>
      </c>
      <c r="E1458" t="inlineStr">
        <is>
          <t>Conclave (PvP)</t>
        </is>
      </c>
      <c r="F1458" t="n">
        <v>5</v>
      </c>
      <c r="G1458" t="n">
        <v>1</v>
      </c>
      <c r="H1458" t="inlineStr">
        <is>
          <t>Player trade (max rank)</t>
        </is>
      </c>
      <c r="I1458" t="inlineStr">
        <is>
          <t>Yes</t>
        </is>
      </c>
      <c r="K1458" t="inlineStr">
        <is>
          <t>Collection (PvP)</t>
        </is>
      </c>
      <c r="L1458" t="n">
        <v>3</v>
      </c>
      <c r="M1458" t="n">
        <v>4</v>
      </c>
      <c r="N1458" t="n">
        <v>9</v>
      </c>
      <c r="O1458" t="inlineStr">
        <is>
          <t>2026-10-05 UTC (WFM pull 02:52-04:00)</t>
        </is>
      </c>
      <c r="P1458" t="inlineStr">
        <is>
          <t>OK</t>
        </is>
      </c>
      <c r="R1458" t="inlineStr">
        <is>
          <t>Every current tradeable mod at MAX RANK (WFM catalogue, rivens/locators excluded)</t>
        </is>
      </c>
      <c r="S1458" t="inlineStr">
        <is>
          <t>spring_loaded_broadhead</t>
        </is>
      </c>
      <c r="T1458" t="n">
        <v>97</v>
      </c>
      <c r="U1458" t="n">
        <v>2</v>
      </c>
      <c r="V1458" t="n">
        <v>10</v>
      </c>
      <c r="W1458" t="n">
        <v>10</v>
      </c>
      <c r="X1458" t="n">
        <v>9.9</v>
      </c>
      <c r="Y1458" t="n">
        <v>73</v>
      </c>
      <c r="Z1458" t="n">
        <v>0</v>
      </c>
      <c r="AN1458" t="inlineStr">
        <is>
          <t>Conclave (PvP)</t>
        </is>
      </c>
      <c r="AO1458" t="n">
        <v>930</v>
      </c>
      <c r="AP1458" t="n">
        <v>44919</v>
      </c>
      <c r="AQ1458" t="n">
        <v>4</v>
      </c>
      <c r="AS1458" t="inlineStr">
        <is>
          <t>PvP subtotal</t>
        </is>
      </c>
    </row>
    <row r="1459">
      <c r="A1459" t="inlineStr">
        <is>
          <t>Mod</t>
        </is>
      </c>
      <c r="B1459" t="inlineStr">
        <is>
          <t>Spring-Loaded Chamber</t>
        </is>
      </c>
      <c r="E1459" t="inlineStr">
        <is>
          <t>Assault Rifle</t>
        </is>
      </c>
      <c r="F1459" t="n">
        <v>5</v>
      </c>
      <c r="G1459" t="n">
        <v>1</v>
      </c>
      <c r="H1459" t="inlineStr">
        <is>
          <t>Player trade (max rank)</t>
        </is>
      </c>
      <c r="I1459" t="inlineStr">
        <is>
          <t>Yes</t>
        </is>
      </c>
      <c r="K1459" t="inlineStr">
        <is>
          <t>Collection</t>
        </is>
      </c>
      <c r="L1459" t="n">
        <v>8</v>
      </c>
      <c r="M1459" t="n">
        <v>10</v>
      </c>
      <c r="N1459" t="n">
        <v>11</v>
      </c>
      <c r="O1459" t="inlineStr">
        <is>
          <t>2026-10-05 UTC (WFM pull 02:52-04:00)</t>
        </is>
      </c>
      <c r="P1459" t="inlineStr">
        <is>
          <t>OK</t>
        </is>
      </c>
      <c r="R1459" t="inlineStr">
        <is>
          <t>Every current tradeable mod at MAX RANK (WFM catalogue, rivens/locators excluded)</t>
        </is>
      </c>
      <c r="S1459" t="inlineStr">
        <is>
          <t>spring_loaded_chamber</t>
        </is>
      </c>
      <c r="T1459" t="n">
        <v>48</v>
      </c>
      <c r="U1459" t="n">
        <v>2</v>
      </c>
      <c r="V1459" t="n">
        <v>10</v>
      </c>
      <c r="W1459" t="n">
        <v>19</v>
      </c>
      <c r="X1459" t="n">
        <v>18</v>
      </c>
      <c r="Y1459" t="n">
        <v>9</v>
      </c>
      <c r="Z1459" t="n">
        <v>0</v>
      </c>
      <c r="AN1459" t="inlineStr">
        <is>
          <t>Assault Rifle</t>
        </is>
      </c>
      <c r="AO1459" t="n">
        <v>620</v>
      </c>
      <c r="AP1459" t="n">
        <v>29946</v>
      </c>
      <c r="AQ1459" t="n">
        <v>9</v>
      </c>
      <c r="AS1459" t="inlineStr">
        <is>
          <t>Yes</t>
        </is>
      </c>
    </row>
    <row r="1460">
      <c r="A1460" t="inlineStr">
        <is>
          <t>Mod</t>
        </is>
      </c>
      <c r="B1460" t="inlineStr">
        <is>
          <t>Sprint Boost</t>
        </is>
      </c>
      <c r="E1460" t="inlineStr">
        <is>
          <t>Aura</t>
        </is>
      </c>
      <c r="F1460" t="n">
        <v>5</v>
      </c>
      <c r="G1460" t="n">
        <v>1</v>
      </c>
      <c r="H1460" t="inlineStr">
        <is>
          <t>Player trade (max rank)</t>
        </is>
      </c>
      <c r="I1460" t="inlineStr">
        <is>
          <t>Yes</t>
        </is>
      </c>
      <c r="K1460" t="inlineStr">
        <is>
          <t>Collection</t>
        </is>
      </c>
      <c r="L1460" t="n">
        <v>25</v>
      </c>
      <c r="M1460" t="n">
        <v>30</v>
      </c>
      <c r="N1460" t="n">
        <v>66</v>
      </c>
      <c r="O1460" t="inlineStr">
        <is>
          <t>2026-10-05 UTC (WFM pull 02:52-04:00)</t>
        </is>
      </c>
      <c r="P1460" t="inlineStr">
        <is>
          <t>OK</t>
        </is>
      </c>
      <c r="R1460" t="inlineStr">
        <is>
          <t>Every current tradeable mod at MAX RANK (WFM catalogue, rivens/locators excluded)</t>
        </is>
      </c>
      <c r="S1460" t="inlineStr">
        <is>
          <t>sprint_boost</t>
        </is>
      </c>
      <c r="T1460" t="n">
        <v>5</v>
      </c>
      <c r="U1460" t="n">
        <v>5</v>
      </c>
      <c r="V1460" t="n">
        <v>21</v>
      </c>
      <c r="W1460" t="n">
        <v>25</v>
      </c>
      <c r="X1460" t="n">
        <v>25.8</v>
      </c>
      <c r="Y1460" t="n">
        <v>546</v>
      </c>
      <c r="Z1460" t="n">
        <v>11</v>
      </c>
      <c r="AN1460" t="inlineStr">
        <is>
          <t>Aura</t>
        </is>
      </c>
      <c r="AO1460" t="n">
        <v>620</v>
      </c>
      <c r="AP1460" t="n">
        <v>29946</v>
      </c>
      <c r="AQ1460" t="n">
        <v>25.5</v>
      </c>
      <c r="AS1460" t="inlineStr">
        <is>
          <t>Yes</t>
        </is>
      </c>
    </row>
    <row r="1461">
      <c r="A1461" t="inlineStr">
        <is>
          <t>Mod</t>
        </is>
      </c>
      <c r="B1461" t="inlineStr">
        <is>
          <t>Spry Sights</t>
        </is>
      </c>
      <c r="E1461" t="inlineStr">
        <is>
          <t>Conclave (PvP)</t>
        </is>
      </c>
      <c r="F1461" t="n">
        <v>3</v>
      </c>
      <c r="G1461" t="n">
        <v>1</v>
      </c>
      <c r="H1461" t="inlineStr">
        <is>
          <t>Player trade (max rank)</t>
        </is>
      </c>
      <c r="I1461" t="inlineStr">
        <is>
          <t>Yes</t>
        </is>
      </c>
      <c r="K1461" t="inlineStr">
        <is>
          <t>Collection (PvP)</t>
        </is>
      </c>
      <c r="L1461" t="n">
        <v>3</v>
      </c>
      <c r="M1461" t="n">
        <v>8</v>
      </c>
      <c r="N1461" t="n">
        <v>17</v>
      </c>
      <c r="O1461" t="inlineStr">
        <is>
          <t>2026-10-05 UTC (WFM pull 02:52-04:00)</t>
        </is>
      </c>
      <c r="P1461" t="inlineStr">
        <is>
          <t>OK</t>
        </is>
      </c>
      <c r="R1461" t="inlineStr">
        <is>
          <t>Every current tradeable mod at MAX RANK (WFM catalogue, rivens/locators excluded)</t>
        </is>
      </c>
      <c r="S1461" t="inlineStr">
        <is>
          <t>spry_sights</t>
        </is>
      </c>
      <c r="T1461" t="n">
        <v>49</v>
      </c>
      <c r="U1461" t="n">
        <v>1</v>
      </c>
      <c r="V1461" t="n">
        <v>15</v>
      </c>
      <c r="W1461" t="n">
        <v>10</v>
      </c>
      <c r="X1461" t="n">
        <v>11.8</v>
      </c>
      <c r="Y1461" t="n">
        <v>12</v>
      </c>
      <c r="Z1461" t="n">
        <v>1</v>
      </c>
      <c r="AN1461" t="inlineStr">
        <is>
          <t>Conclave (PvP)</t>
        </is>
      </c>
      <c r="AO1461" t="n">
        <v>140</v>
      </c>
      <c r="AP1461" t="n">
        <v>6762</v>
      </c>
      <c r="AQ1461" t="n">
        <v>6</v>
      </c>
      <c r="AS1461" t="inlineStr">
        <is>
          <t>PvP subtotal</t>
        </is>
      </c>
    </row>
    <row r="1462">
      <c r="A1462" t="inlineStr">
        <is>
          <t>Mod</t>
        </is>
      </c>
      <c r="B1462" t="inlineStr">
        <is>
          <t>Squad Renew</t>
        </is>
      </c>
      <c r="E1462" t="inlineStr">
        <is>
          <t>Railjack (Tactical, Slot 3)</t>
        </is>
      </c>
      <c r="F1462" t="n">
        <v>5</v>
      </c>
      <c r="G1462" t="n">
        <v>1</v>
      </c>
      <c r="H1462" t="inlineStr">
        <is>
          <t>Player trade (max rank)</t>
        </is>
      </c>
      <c r="I1462" t="inlineStr">
        <is>
          <t>Yes</t>
        </is>
      </c>
      <c r="K1462" t="inlineStr">
        <is>
          <t>Collection</t>
        </is>
      </c>
      <c r="L1462" t="n">
        <v>6</v>
      </c>
      <c r="M1462" t="n">
        <v>20</v>
      </c>
      <c r="N1462" t="n">
        <v>44</v>
      </c>
      <c r="O1462" t="inlineStr">
        <is>
          <t>2026-10-05 UTC (WFM pull 02:52-04:00)</t>
        </is>
      </c>
      <c r="P1462" t="inlineStr">
        <is>
          <t>OK</t>
        </is>
      </c>
      <c r="R1462" t="inlineStr">
        <is>
          <t>Every current tradeable mod at MAX RANK (WFM catalogue, rivens/locators excluded)</t>
        </is>
      </c>
      <c r="S1462" t="inlineStr">
        <is>
          <t>squad_renew</t>
        </is>
      </c>
      <c r="T1462" t="n">
        <v>41</v>
      </c>
      <c r="U1462" t="n">
        <v>2</v>
      </c>
      <c r="V1462" t="n">
        <v>72.5</v>
      </c>
      <c r="W1462" t="n">
        <v>20</v>
      </c>
      <c r="X1462" t="n">
        <v>28.9</v>
      </c>
      <c r="Y1462" t="n">
        <v>17</v>
      </c>
      <c r="Z1462" t="n">
        <v>0</v>
      </c>
      <c r="AN1462" t="inlineStr">
        <is>
          <t>Railjack (Tactical, Slot 3)</t>
        </is>
      </c>
      <c r="AO1462" t="n">
        <v>930</v>
      </c>
      <c r="AP1462" t="n">
        <v>44919</v>
      </c>
      <c r="AQ1462" t="n">
        <v>10</v>
      </c>
      <c r="AS1462" t="inlineStr">
        <is>
          <t>Yes</t>
        </is>
      </c>
    </row>
    <row r="1463">
      <c r="A1463" t="inlineStr">
        <is>
          <t>Mod</t>
        </is>
      </c>
      <c r="B1463" t="inlineStr">
        <is>
          <t>Stabilizer</t>
        </is>
      </c>
      <c r="E1463" t="inlineStr">
        <is>
          <t>Rifle</t>
        </is>
      </c>
      <c r="F1463" t="n">
        <v>3</v>
      </c>
      <c r="G1463" t="n">
        <v>1</v>
      </c>
      <c r="H1463" t="inlineStr">
        <is>
          <t>Player trade (max rank)</t>
        </is>
      </c>
      <c r="I1463" t="inlineStr">
        <is>
          <t>Yes</t>
        </is>
      </c>
      <c r="K1463" t="inlineStr">
        <is>
          <t>Collection</t>
        </is>
      </c>
      <c r="L1463" t="n">
        <v>15</v>
      </c>
      <c r="M1463" t="n">
        <v>15</v>
      </c>
      <c r="N1463" t="n">
        <v>33</v>
      </c>
      <c r="O1463" t="inlineStr">
        <is>
          <t>2026-10-05 UTC (WFM pull 02:52-04:00)</t>
        </is>
      </c>
      <c r="P1463" t="inlineStr">
        <is>
          <t>OK</t>
        </is>
      </c>
      <c r="R1463" t="inlineStr">
        <is>
          <t>Every current tradeable mod at MAX RANK (WFM catalogue, rivens/locators excluded)</t>
        </is>
      </c>
      <c r="S1463" t="inlineStr">
        <is>
          <t>stabilizer</t>
        </is>
      </c>
      <c r="T1463" t="n">
        <v>4</v>
      </c>
      <c r="U1463" t="n">
        <v>4</v>
      </c>
      <c r="V1463" t="n">
        <v>10</v>
      </c>
      <c r="W1463" t="n">
        <v>10</v>
      </c>
      <c r="X1463" t="n">
        <v>9.699999999999999</v>
      </c>
      <c r="Y1463" t="n">
        <v>82</v>
      </c>
      <c r="Z1463" t="n">
        <v>3</v>
      </c>
      <c r="AN1463" t="inlineStr">
        <is>
          <t>Rifle</t>
        </is>
      </c>
      <c r="AO1463" t="n">
        <v>210</v>
      </c>
      <c r="AP1463" t="n">
        <v>10143</v>
      </c>
      <c r="AQ1463" t="n">
        <v>5</v>
      </c>
      <c r="AS1463" t="inlineStr">
        <is>
          <t>Yes</t>
        </is>
      </c>
    </row>
    <row r="1464">
      <c r="A1464" t="inlineStr">
        <is>
          <t>Mod</t>
        </is>
      </c>
      <c r="B1464" t="inlineStr">
        <is>
          <t>Staggering Shield</t>
        </is>
      </c>
      <c r="E1464" t="inlineStr">
        <is>
          <t>Augment Mesa</t>
        </is>
      </c>
      <c r="F1464" t="n">
        <v>3</v>
      </c>
      <c r="G1464" t="n">
        <v>1</v>
      </c>
      <c r="H1464" t="inlineStr">
        <is>
          <t>Player trade (max rank)</t>
        </is>
      </c>
      <c r="I1464" t="inlineStr">
        <is>
          <t>Yes</t>
        </is>
      </c>
      <c r="K1464" t="inlineStr">
        <is>
          <t>Collection</t>
        </is>
      </c>
      <c r="L1464" t="n">
        <v>7</v>
      </c>
      <c r="M1464" t="n">
        <v>10</v>
      </c>
      <c r="N1464" t="n">
        <v>17</v>
      </c>
      <c r="O1464" t="inlineStr">
        <is>
          <t>2026-10-05 UTC (WFM pull 02:52-04:00)</t>
        </is>
      </c>
      <c r="P1464" t="inlineStr">
        <is>
          <t>OK</t>
        </is>
      </c>
      <c r="R1464" t="inlineStr">
        <is>
          <t>Every current tradeable mod at MAX RANK (WFM catalogue, rivens/locators excluded)</t>
        </is>
      </c>
      <c r="S1464" t="inlineStr">
        <is>
          <t>staggering_shield</t>
        </is>
      </c>
      <c r="T1464" t="n">
        <v>77</v>
      </c>
      <c r="U1464" t="n">
        <v>2</v>
      </c>
      <c r="V1464" t="n">
        <v>15</v>
      </c>
      <c r="W1464" t="n">
        <v>12.5</v>
      </c>
      <c r="X1464" t="n">
        <v>12.7</v>
      </c>
      <c r="Y1464" t="n">
        <v>40</v>
      </c>
      <c r="Z1464" t="n">
        <v>0</v>
      </c>
      <c r="AN1464" t="inlineStr">
        <is>
          <t>Augment Mesa</t>
        </is>
      </c>
      <c r="AO1464" t="n">
        <v>210</v>
      </c>
      <c r="AP1464" t="n">
        <v>10143</v>
      </c>
      <c r="AQ1464" t="n">
        <v>13.5</v>
      </c>
      <c r="AS1464" t="inlineStr">
        <is>
          <t>Yes</t>
        </is>
      </c>
    </row>
    <row r="1465">
      <c r="A1465" t="inlineStr">
        <is>
          <t>Mod</t>
        </is>
      </c>
      <c r="B1465" t="inlineStr">
        <is>
          <t>Stalk</t>
        </is>
      </c>
      <c r="E1465" t="inlineStr">
        <is>
          <t>Huras Kubrow</t>
        </is>
      </c>
      <c r="F1465" t="n">
        <v>5</v>
      </c>
      <c r="G1465" t="n">
        <v>1</v>
      </c>
      <c r="H1465" t="inlineStr">
        <is>
          <t>Player trade (max rank)</t>
        </is>
      </c>
      <c r="I1465" t="inlineStr">
        <is>
          <t>Yes</t>
        </is>
      </c>
      <c r="K1465" t="inlineStr">
        <is>
          <t>Collection</t>
        </is>
      </c>
      <c r="L1465" t="n">
        <v>6</v>
      </c>
      <c r="M1465" t="n">
        <v>10</v>
      </c>
      <c r="N1465" t="n">
        <v>15</v>
      </c>
      <c r="O1465" t="inlineStr">
        <is>
          <t>2026-10-05 UTC (WFM pull 02:52-04:00)</t>
        </is>
      </c>
      <c r="P1465" t="inlineStr">
        <is>
          <t>OK</t>
        </is>
      </c>
      <c r="R1465" t="inlineStr">
        <is>
          <t>Every current tradeable mod at MAX RANK (WFM catalogue, rivens/locators excluded)</t>
        </is>
      </c>
      <c r="S1465" t="inlineStr">
        <is>
          <t>stalk</t>
        </is>
      </c>
      <c r="T1465" t="n">
        <v>65</v>
      </c>
      <c r="U1465" t="n">
        <v>1</v>
      </c>
      <c r="V1465" t="n">
        <v>11</v>
      </c>
      <c r="W1465" t="n">
        <v>14</v>
      </c>
      <c r="X1465" t="n">
        <v>14.6</v>
      </c>
      <c r="Y1465" t="n">
        <v>60</v>
      </c>
      <c r="Z1465" t="n">
        <v>1</v>
      </c>
      <c r="AN1465" t="inlineStr">
        <is>
          <t>Huras Kubrow</t>
        </is>
      </c>
      <c r="AO1465" t="n">
        <v>930</v>
      </c>
      <c r="AP1465" t="n">
        <v>44919</v>
      </c>
      <c r="AQ1465" t="n">
        <v>8</v>
      </c>
      <c r="AS1465" t="inlineStr">
        <is>
          <t>Yes</t>
        </is>
      </c>
    </row>
    <row r="1466">
      <c r="A1466" t="inlineStr">
        <is>
          <t>Mod</t>
        </is>
      </c>
      <c r="B1466" t="inlineStr">
        <is>
          <t>Stalking Fan</t>
        </is>
      </c>
      <c r="E1466" t="inlineStr">
        <is>
          <t>Stance</t>
        </is>
      </c>
      <c r="F1466" t="n">
        <v>3</v>
      </c>
      <c r="G1466" t="n">
        <v>1</v>
      </c>
      <c r="H1466" t="inlineStr">
        <is>
          <t>Player trade (max rank)</t>
        </is>
      </c>
      <c r="I1466" t="inlineStr">
        <is>
          <t>Yes</t>
        </is>
      </c>
      <c r="K1466" t="inlineStr">
        <is>
          <t>Collection</t>
        </is>
      </c>
      <c r="L1466" t="n">
        <v>14</v>
      </c>
      <c r="M1466" t="n">
        <v>15</v>
      </c>
      <c r="N1466" t="n">
        <v>28</v>
      </c>
      <c r="O1466" t="inlineStr">
        <is>
          <t>2026-10-05 UTC (WFM pull 02:52-04:00)</t>
        </is>
      </c>
      <c r="P1466" t="inlineStr">
        <is>
          <t>OK</t>
        </is>
      </c>
      <c r="R1466" t="inlineStr">
        <is>
          <t>Every current tradeable mod at MAX RANK (WFM catalogue, rivens/locators excluded)</t>
        </is>
      </c>
      <c r="S1466" t="inlineStr">
        <is>
          <t>stalking_fan</t>
        </is>
      </c>
      <c r="T1466" t="n">
        <v>7</v>
      </c>
      <c r="U1466" t="n">
        <v>7</v>
      </c>
      <c r="V1466" t="n">
        <v>13</v>
      </c>
      <c r="W1466" t="n">
        <v>14</v>
      </c>
      <c r="X1466" t="n">
        <v>13.8</v>
      </c>
      <c r="Y1466" t="n">
        <v>114</v>
      </c>
      <c r="Z1466" t="n">
        <v>6</v>
      </c>
      <c r="AN1466" t="inlineStr">
        <is>
          <t>Stance</t>
        </is>
      </c>
      <c r="AO1466" t="n">
        <v>210</v>
      </c>
      <c r="AP1466" t="n">
        <v>10143</v>
      </c>
      <c r="AQ1466" t="n">
        <v>10</v>
      </c>
      <c r="AS1466" t="inlineStr">
        <is>
          <t>Yes</t>
        </is>
      </c>
    </row>
    <row r="1467">
      <c r="A1467" t="inlineStr">
        <is>
          <t>Mod</t>
        </is>
      </c>
      <c r="B1467" t="inlineStr">
        <is>
          <t>Stand Ground</t>
        </is>
      </c>
      <c r="E1467" t="inlineStr">
        <is>
          <t>Conclave (PvP)</t>
        </is>
      </c>
      <c r="F1467" t="n">
        <v>5</v>
      </c>
      <c r="G1467" t="n">
        <v>1</v>
      </c>
      <c r="H1467" t="inlineStr">
        <is>
          <t>Player trade (max rank)</t>
        </is>
      </c>
      <c r="I1467" t="inlineStr">
        <is>
          <t>Yes</t>
        </is>
      </c>
      <c r="K1467" t="inlineStr">
        <is>
          <t>Collection (PvP)</t>
        </is>
      </c>
      <c r="L1467" t="n">
        <v>350</v>
      </c>
      <c r="M1467" t="n">
        <v>350</v>
      </c>
      <c r="N1467" t="n">
        <v>386</v>
      </c>
      <c r="O1467" t="inlineStr">
        <is>
          <t>2026-10-05 UTC (WFM pull 02:52-04:00)</t>
        </is>
      </c>
      <c r="P1467" t="inlineStr">
        <is>
          <t>THIN</t>
        </is>
      </c>
      <c r="R1467" t="inlineStr">
        <is>
          <t>Every current tradeable mod at MAX RANK (WFM catalogue, rivens/locators excluded)</t>
        </is>
      </c>
      <c r="S1467" t="inlineStr">
        <is>
          <t>stand_ground</t>
        </is>
      </c>
      <c r="T1467" t="n">
        <v>1</v>
      </c>
      <c r="U1467" t="n">
        <v>0</v>
      </c>
      <c r="V1467" t="n">
        <v>50</v>
      </c>
      <c r="W1467" t="n">
        <v>50</v>
      </c>
      <c r="X1467" t="n">
        <v>50</v>
      </c>
      <c r="Y1467" t="n">
        <v>1</v>
      </c>
      <c r="Z1467" t="n">
        <v>0</v>
      </c>
      <c r="AN1467" t="inlineStr">
        <is>
          <t>Conclave (PvP)</t>
        </is>
      </c>
      <c r="AO1467" t="n">
        <v>930</v>
      </c>
      <c r="AP1467" t="n">
        <v>44919</v>
      </c>
      <c r="AQ1467" t="n">
        <v>90</v>
      </c>
      <c r="AS1467" t="inlineStr">
        <is>
          <t>PvP subtotal</t>
        </is>
      </c>
    </row>
    <row r="1468">
      <c r="A1468" t="inlineStr">
        <is>
          <t>Mod</t>
        </is>
      </c>
      <c r="B1468" t="inlineStr">
        <is>
          <t>Stand United</t>
        </is>
      </c>
      <c r="E1468" t="inlineStr">
        <is>
          <t>Aura</t>
        </is>
      </c>
      <c r="F1468" t="n">
        <v>5</v>
      </c>
      <c r="G1468" t="n">
        <v>1</v>
      </c>
      <c r="H1468" t="inlineStr">
        <is>
          <t>Player trade (max rank)</t>
        </is>
      </c>
      <c r="I1468" t="inlineStr">
        <is>
          <t>Yes</t>
        </is>
      </c>
      <c r="K1468" t="inlineStr">
        <is>
          <t>Collection</t>
        </is>
      </c>
      <c r="L1468" t="n">
        <v>30</v>
      </c>
      <c r="M1468" t="n">
        <v>30</v>
      </c>
      <c r="N1468" t="n">
        <v>66</v>
      </c>
      <c r="O1468" t="inlineStr">
        <is>
          <t>2026-10-05 UTC (WFM pull 02:52-04:00)</t>
        </is>
      </c>
      <c r="P1468" t="inlineStr">
        <is>
          <t>OK</t>
        </is>
      </c>
      <c r="R1468" t="inlineStr">
        <is>
          <t>Every current tradeable mod at MAX RANK (WFM catalogue, rivens/locators excluded)</t>
        </is>
      </c>
      <c r="S1468" t="inlineStr">
        <is>
          <t>stand_united</t>
        </is>
      </c>
      <c r="T1468" t="n">
        <v>5</v>
      </c>
      <c r="U1468" t="n">
        <v>5</v>
      </c>
      <c r="V1468" t="n">
        <v>10</v>
      </c>
      <c r="W1468" t="n">
        <v>11</v>
      </c>
      <c r="X1468" t="n">
        <v>11.8</v>
      </c>
      <c r="Y1468" t="n">
        <v>122</v>
      </c>
      <c r="Z1468" t="n">
        <v>9</v>
      </c>
      <c r="AN1468" t="inlineStr">
        <is>
          <t>Aura</t>
        </is>
      </c>
      <c r="AO1468" t="n">
        <v>620</v>
      </c>
      <c r="AP1468" t="n">
        <v>29946</v>
      </c>
      <c r="AQ1468" t="n">
        <v>10</v>
      </c>
      <c r="AS1468" t="inlineStr">
        <is>
          <t>Yes</t>
        </is>
      </c>
    </row>
    <row r="1469">
      <c r="A1469" t="inlineStr">
        <is>
          <t>Mod</t>
        </is>
      </c>
      <c r="B1469" t="inlineStr">
        <is>
          <t>Star Divide</t>
        </is>
      </c>
      <c r="E1469" t="inlineStr">
        <is>
          <t>Conclave (PvP)</t>
        </is>
      </c>
      <c r="F1469" t="n">
        <v>3</v>
      </c>
      <c r="G1469" t="n">
        <v>1</v>
      </c>
      <c r="H1469" t="inlineStr">
        <is>
          <t>Player trade (max rank)</t>
        </is>
      </c>
      <c r="I1469" t="inlineStr">
        <is>
          <t>Yes</t>
        </is>
      </c>
      <c r="K1469" t="inlineStr">
        <is>
          <t>Collection (PvP)</t>
        </is>
      </c>
      <c r="L1469" t="n">
        <v>100</v>
      </c>
      <c r="M1469" t="n">
        <v>100</v>
      </c>
      <c r="N1469" t="n">
        <v>221</v>
      </c>
      <c r="O1469" t="inlineStr">
        <is>
          <t>2026-10-05 UTC (WFM pull 02:52-04:00)</t>
        </is>
      </c>
      <c r="P1469" t="inlineStr">
        <is>
          <t>OK</t>
        </is>
      </c>
      <c r="R1469" t="inlineStr">
        <is>
          <t>Every current tradeable mod at MAX RANK (WFM catalogue, rivens/locators excluded)</t>
        </is>
      </c>
      <c r="S1469" t="inlineStr">
        <is>
          <t>star_divide</t>
        </is>
      </c>
      <c r="T1469" t="n">
        <v>3</v>
      </c>
      <c r="U1469" t="n">
        <v>0</v>
      </c>
      <c r="V1469" t="n">
        <v>20</v>
      </c>
      <c r="W1469" t="n">
        <v>20</v>
      </c>
      <c r="X1469" t="n">
        <v>20</v>
      </c>
      <c r="Y1469" t="n">
        <v>1</v>
      </c>
      <c r="Z1469" t="n">
        <v>0</v>
      </c>
      <c r="AN1469" t="inlineStr">
        <is>
          <t>Conclave (PvP)</t>
        </is>
      </c>
      <c r="AO1469" t="n">
        <v>140</v>
      </c>
      <c r="AP1469" t="n">
        <v>6762</v>
      </c>
      <c r="AQ1469" t="n">
        <v>20</v>
      </c>
      <c r="AS1469" t="inlineStr">
        <is>
          <t>PvP subtotal</t>
        </is>
      </c>
    </row>
    <row r="1470">
      <c r="A1470" t="inlineStr">
        <is>
          <t>Mod</t>
        </is>
      </c>
      <c r="B1470" t="inlineStr">
        <is>
          <t>Stasis Field</t>
        </is>
      </c>
      <c r="E1470" t="inlineStr">
        <is>
          <t>MOA</t>
        </is>
      </c>
      <c r="F1470" t="n">
        <v>5</v>
      </c>
      <c r="G1470" t="n">
        <v>1</v>
      </c>
      <c r="H1470" t="inlineStr">
        <is>
          <t>Player trade (max rank)</t>
        </is>
      </c>
      <c r="I1470" t="inlineStr">
        <is>
          <t>Yes</t>
        </is>
      </c>
      <c r="K1470" t="inlineStr">
        <is>
          <t>Collection</t>
        </is>
      </c>
      <c r="L1470" t="n">
        <v>45</v>
      </c>
      <c r="M1470" t="n">
        <v>50</v>
      </c>
      <c r="N1470" t="n">
        <v>88</v>
      </c>
      <c r="O1470" t="inlineStr">
        <is>
          <t>2026-10-05 UTC (WFM pull 02:52-04:00)</t>
        </is>
      </c>
      <c r="P1470" t="inlineStr">
        <is>
          <t>OK</t>
        </is>
      </c>
      <c r="R1470" t="inlineStr">
        <is>
          <t>Every current tradeable mod at MAX RANK (WFM catalogue, rivens/locators excluded)</t>
        </is>
      </c>
      <c r="S1470" t="inlineStr">
        <is>
          <t>stasis_field</t>
        </is>
      </c>
      <c r="T1470" t="n">
        <v>14</v>
      </c>
      <c r="U1470" t="n">
        <v>2</v>
      </c>
      <c r="V1470" t="n">
        <v>70</v>
      </c>
      <c r="W1470" t="n">
        <v>125</v>
      </c>
      <c r="X1470" t="n">
        <v>110.3</v>
      </c>
      <c r="Y1470" t="n">
        <v>16</v>
      </c>
      <c r="Z1470" t="n">
        <v>1</v>
      </c>
      <c r="AN1470" t="inlineStr">
        <is>
          <t>MOA</t>
        </is>
      </c>
      <c r="AO1470" t="n">
        <v>310</v>
      </c>
      <c r="AP1470" t="n">
        <v>14973</v>
      </c>
      <c r="AQ1470" t="n">
        <v>200</v>
      </c>
      <c r="AS1470" t="inlineStr">
        <is>
          <t>Yes</t>
        </is>
      </c>
    </row>
    <row r="1471">
      <c r="A1471" t="inlineStr">
        <is>
          <t>Mod</t>
        </is>
      </c>
      <c r="B1471" t="inlineStr">
        <is>
          <t>Static Alacrity</t>
        </is>
      </c>
      <c r="E1471" t="inlineStr">
        <is>
          <t>Conclave (PvP)</t>
        </is>
      </c>
      <c r="F1471" t="n">
        <v>3</v>
      </c>
      <c r="G1471" t="n">
        <v>1</v>
      </c>
      <c r="H1471" t="inlineStr">
        <is>
          <t>Player trade (max rank)</t>
        </is>
      </c>
      <c r="I1471" t="inlineStr">
        <is>
          <t>Yes</t>
        </is>
      </c>
      <c r="K1471" t="inlineStr">
        <is>
          <t>Collection (PvP)</t>
        </is>
      </c>
      <c r="L1471" t="n">
        <v>15</v>
      </c>
      <c r="M1471" t="n">
        <v>15</v>
      </c>
      <c r="N1471" t="n">
        <v>33</v>
      </c>
      <c r="O1471" t="inlineStr">
        <is>
          <t>2026-10-05 UTC (WFM pull 02:52-04:00)</t>
        </is>
      </c>
      <c r="P1471" t="inlineStr">
        <is>
          <t>OK</t>
        </is>
      </c>
      <c r="R1471" t="inlineStr">
        <is>
          <t>Every current tradeable mod at MAX RANK (WFM catalogue, rivens/locators excluded)</t>
        </is>
      </c>
      <c r="S1471" t="inlineStr">
        <is>
          <t>static_alacrity</t>
        </is>
      </c>
      <c r="T1471" t="n">
        <v>17</v>
      </c>
      <c r="U1471" t="n">
        <v>0</v>
      </c>
      <c r="Y1471" t="n">
        <v>0</v>
      </c>
      <c r="Z1471" t="n">
        <v>0</v>
      </c>
      <c r="AN1471" t="inlineStr">
        <is>
          <t>Conclave (PvP)</t>
        </is>
      </c>
      <c r="AO1471" t="n">
        <v>210</v>
      </c>
      <c r="AP1471" t="n">
        <v>10143</v>
      </c>
      <c r="AQ1471" t="n">
        <v>10</v>
      </c>
      <c r="AS1471" t="inlineStr">
        <is>
          <t>PvP subtotal</t>
        </is>
      </c>
    </row>
    <row r="1472">
      <c r="A1472" t="inlineStr">
        <is>
          <t>Mod</t>
        </is>
      </c>
      <c r="B1472" t="inlineStr">
        <is>
          <t>Static Discharge</t>
        </is>
      </c>
      <c r="E1472" t="inlineStr">
        <is>
          <t>Augment Prova</t>
        </is>
      </c>
      <c r="F1472" t="n">
        <v>5</v>
      </c>
      <c r="G1472" t="n">
        <v>1</v>
      </c>
      <c r="H1472" t="inlineStr">
        <is>
          <t>Player trade (max rank)</t>
        </is>
      </c>
      <c r="I1472" t="inlineStr">
        <is>
          <t>Yes</t>
        </is>
      </c>
      <c r="K1472" t="inlineStr">
        <is>
          <t>Collection</t>
        </is>
      </c>
      <c r="L1472" t="n">
        <v>10</v>
      </c>
      <c r="M1472" t="n">
        <v>10.5</v>
      </c>
      <c r="N1472" t="n">
        <v>24</v>
      </c>
      <c r="O1472" t="inlineStr">
        <is>
          <t>2026-10-05 UTC (WFM pull 02:52-04:00)</t>
        </is>
      </c>
      <c r="P1472" t="inlineStr">
        <is>
          <t>OK</t>
        </is>
      </c>
      <c r="R1472" t="inlineStr">
        <is>
          <t>Every current tradeable mod at MAX RANK (WFM catalogue, rivens/locators excluded)</t>
        </is>
      </c>
      <c r="S1472" t="inlineStr">
        <is>
          <t>static_discharge</t>
        </is>
      </c>
      <c r="T1472" t="n">
        <v>3</v>
      </c>
      <c r="U1472" t="n">
        <v>3</v>
      </c>
      <c r="V1472" t="n">
        <v>7</v>
      </c>
      <c r="W1472" t="n">
        <v>5</v>
      </c>
      <c r="X1472" t="n">
        <v>5.9</v>
      </c>
      <c r="Y1472" t="n">
        <v>10</v>
      </c>
      <c r="Z1472" t="n">
        <v>0</v>
      </c>
      <c r="AN1472" t="inlineStr">
        <is>
          <t>Augment Prova</t>
        </is>
      </c>
      <c r="AO1472" t="n">
        <v>930</v>
      </c>
      <c r="AP1472" t="n">
        <v>44919</v>
      </c>
      <c r="AQ1472" t="n">
        <v>1.5</v>
      </c>
      <c r="AS1472" t="inlineStr">
        <is>
          <t>Yes</t>
        </is>
      </c>
    </row>
    <row r="1473">
      <c r="A1473" t="inlineStr">
        <is>
          <t>Mod</t>
        </is>
      </c>
      <c r="B1473" t="inlineStr">
        <is>
          <t>Steady Hands</t>
        </is>
      </c>
      <c r="E1473" t="inlineStr">
        <is>
          <t>Pistol</t>
        </is>
      </c>
      <c r="F1473" t="n">
        <v>3</v>
      </c>
      <c r="G1473" t="n">
        <v>1</v>
      </c>
      <c r="H1473" t="inlineStr">
        <is>
          <t>Player trade (max rank)</t>
        </is>
      </c>
      <c r="I1473" t="inlineStr">
        <is>
          <t>Yes</t>
        </is>
      </c>
      <c r="K1473" t="inlineStr">
        <is>
          <t>Collection</t>
        </is>
      </c>
      <c r="L1473" t="n">
        <v>6</v>
      </c>
      <c r="M1473" t="n">
        <v>9</v>
      </c>
      <c r="N1473" t="n">
        <v>20</v>
      </c>
      <c r="O1473" t="inlineStr">
        <is>
          <t>2026-10-05 UTC (WFM pull 02:52-04:00)</t>
        </is>
      </c>
      <c r="P1473" t="inlineStr">
        <is>
          <t>OK</t>
        </is>
      </c>
      <c r="R1473" t="inlineStr">
        <is>
          <t>Every current tradeable mod at MAX RANK (WFM catalogue, rivens/locators excluded)</t>
        </is>
      </c>
      <c r="S1473" t="inlineStr">
        <is>
          <t>steady_hands</t>
        </is>
      </c>
      <c r="T1473" t="n">
        <v>6</v>
      </c>
      <c r="U1473" t="n">
        <v>6</v>
      </c>
      <c r="V1473" t="n">
        <v>7</v>
      </c>
      <c r="W1473" t="n">
        <v>10</v>
      </c>
      <c r="X1473" t="n">
        <v>8</v>
      </c>
      <c r="Y1473" t="n">
        <v>51</v>
      </c>
      <c r="Z1473" t="n">
        <v>0</v>
      </c>
      <c r="AN1473" t="inlineStr">
        <is>
          <t>Pistol</t>
        </is>
      </c>
      <c r="AO1473" t="n">
        <v>210</v>
      </c>
      <c r="AP1473" t="n">
        <v>10143</v>
      </c>
      <c r="AQ1473" t="n">
        <v>3</v>
      </c>
      <c r="AS1473" t="inlineStr">
        <is>
          <t>Yes</t>
        </is>
      </c>
    </row>
    <row r="1474">
      <c r="A1474" t="inlineStr">
        <is>
          <t>Mod</t>
        </is>
      </c>
      <c r="B1474" t="inlineStr">
        <is>
          <t>Stealth Drift</t>
        </is>
      </c>
      <c r="E1474" t="inlineStr">
        <is>
          <t>Warframe</t>
        </is>
      </c>
      <c r="F1474" t="n">
        <v>5</v>
      </c>
      <c r="G1474" t="n">
        <v>1</v>
      </c>
      <c r="H1474" t="inlineStr">
        <is>
          <t>Player trade (max rank)</t>
        </is>
      </c>
      <c r="I1474" t="inlineStr">
        <is>
          <t>Yes</t>
        </is>
      </c>
      <c r="K1474" t="inlineStr">
        <is>
          <t>Collection</t>
        </is>
      </c>
      <c r="L1474" t="n">
        <v>8</v>
      </c>
      <c r="M1474" t="n">
        <v>12</v>
      </c>
      <c r="N1474" t="n">
        <v>27</v>
      </c>
      <c r="O1474" t="inlineStr">
        <is>
          <t>2026-10-05 UTC (WFM pull 02:52-04:00)</t>
        </is>
      </c>
      <c r="P1474" t="inlineStr">
        <is>
          <t>OK</t>
        </is>
      </c>
      <c r="R1474" t="inlineStr">
        <is>
          <t>Every current tradeable mod at MAX RANK (WFM catalogue, rivens/locators excluded)</t>
        </is>
      </c>
      <c r="S1474" t="inlineStr">
        <is>
          <t>stealth_drift</t>
        </is>
      </c>
      <c r="T1474" t="n">
        <v>5</v>
      </c>
      <c r="U1474" t="n">
        <v>5</v>
      </c>
      <c r="V1474" t="n">
        <v>8</v>
      </c>
      <c r="W1474" t="n">
        <v>8</v>
      </c>
      <c r="X1474" t="n">
        <v>8.1</v>
      </c>
      <c r="Y1474" t="n">
        <v>34</v>
      </c>
      <c r="Z1474" t="n">
        <v>0</v>
      </c>
      <c r="AN1474" t="inlineStr">
        <is>
          <t>Warframe</t>
        </is>
      </c>
      <c r="AO1474" t="n">
        <v>930</v>
      </c>
      <c r="AP1474" t="n">
        <v>44919</v>
      </c>
      <c r="AQ1474" t="n">
        <v>3</v>
      </c>
      <c r="AS1474" t="inlineStr">
        <is>
          <t>Yes</t>
        </is>
      </c>
    </row>
    <row r="1475">
      <c r="A1475" t="inlineStr">
        <is>
          <t>Mod</t>
        </is>
      </c>
      <c r="B1475" t="inlineStr">
        <is>
          <t>Steel Charge</t>
        </is>
      </c>
      <c r="E1475" t="inlineStr">
        <is>
          <t>Aura</t>
        </is>
      </c>
      <c r="F1475" t="n">
        <v>5</v>
      </c>
      <c r="G1475" t="n">
        <v>1</v>
      </c>
      <c r="H1475" t="inlineStr">
        <is>
          <t>Player trade (max rank)</t>
        </is>
      </c>
      <c r="I1475" t="inlineStr">
        <is>
          <t>Yes</t>
        </is>
      </c>
      <c r="K1475" t="inlineStr">
        <is>
          <t>Collection</t>
        </is>
      </c>
      <c r="L1475" t="n">
        <v>19</v>
      </c>
      <c r="M1475" t="n">
        <v>20</v>
      </c>
      <c r="N1475" t="n">
        <v>38</v>
      </c>
      <c r="O1475" t="inlineStr">
        <is>
          <t>2026-10-05 UTC (WFM pull 02:52-04:00)</t>
        </is>
      </c>
      <c r="P1475" t="inlineStr">
        <is>
          <t>OK</t>
        </is>
      </c>
      <c r="R1475" t="inlineStr">
        <is>
          <t>Every current tradeable mod at MAX RANK (WFM catalogue, rivens/locators excluded)</t>
        </is>
      </c>
      <c r="S1475" t="inlineStr">
        <is>
          <t>steel_charge</t>
        </is>
      </c>
      <c r="T1475" t="n">
        <v>10</v>
      </c>
      <c r="U1475" t="n">
        <v>10</v>
      </c>
      <c r="V1475" t="n">
        <v>20</v>
      </c>
      <c r="W1475" t="n">
        <v>20</v>
      </c>
      <c r="X1475" t="n">
        <v>21.5</v>
      </c>
      <c r="Y1475" t="n">
        <v>1094</v>
      </c>
      <c r="Z1475" t="n">
        <v>9</v>
      </c>
      <c r="AN1475" t="inlineStr">
        <is>
          <t>Aura</t>
        </is>
      </c>
      <c r="AO1475" t="n">
        <v>620</v>
      </c>
      <c r="AP1475" t="n">
        <v>29946</v>
      </c>
      <c r="AQ1475" t="n">
        <v>14</v>
      </c>
      <c r="AS1475" t="inlineStr">
        <is>
          <t>Yes</t>
        </is>
      </c>
    </row>
    <row r="1476">
      <c r="A1476" t="inlineStr">
        <is>
          <t>Mod</t>
        </is>
      </c>
      <c r="B1476" t="inlineStr">
        <is>
          <t>Steel Fiber</t>
        </is>
      </c>
      <c r="E1476" t="inlineStr">
        <is>
          <t>Warframe</t>
        </is>
      </c>
      <c r="F1476" t="n">
        <v>10</v>
      </c>
      <c r="G1476" t="n">
        <v>1</v>
      </c>
      <c r="H1476" t="inlineStr">
        <is>
          <t>Player trade (max rank)</t>
        </is>
      </c>
      <c r="I1476" t="inlineStr">
        <is>
          <t>Yes</t>
        </is>
      </c>
      <c r="K1476" t="inlineStr">
        <is>
          <t>Collection</t>
        </is>
      </c>
      <c r="L1476" t="n">
        <v>28</v>
      </c>
      <c r="M1476" t="n">
        <v>40</v>
      </c>
      <c r="N1476" t="n">
        <v>88</v>
      </c>
      <c r="O1476" t="inlineStr">
        <is>
          <t>2026-10-05 UTC (WFM pull 02:52-04:00)</t>
        </is>
      </c>
      <c r="P1476" t="inlineStr">
        <is>
          <t>OK</t>
        </is>
      </c>
      <c r="R1476" t="inlineStr">
        <is>
          <t>Every current tradeable mod at MAX RANK (WFM catalogue, rivens/locators excluded)</t>
        </is>
      </c>
      <c r="S1476" t="inlineStr">
        <is>
          <t>steel_fiber</t>
        </is>
      </c>
      <c r="T1476" t="n">
        <v>6</v>
      </c>
      <c r="U1476" t="n">
        <v>6</v>
      </c>
      <c r="V1476" t="n">
        <v>29</v>
      </c>
      <c r="W1476" t="n">
        <v>30</v>
      </c>
      <c r="X1476" t="n">
        <v>29.9</v>
      </c>
      <c r="Y1476" t="n">
        <v>65</v>
      </c>
      <c r="Z1476" t="n">
        <v>0</v>
      </c>
      <c r="AN1476" t="inlineStr">
        <is>
          <t>Warframe</t>
        </is>
      </c>
      <c r="AO1476" t="n">
        <v>10230</v>
      </c>
      <c r="AP1476" t="n">
        <v>494109</v>
      </c>
      <c r="AQ1476" t="n">
        <v>4</v>
      </c>
      <c r="AS1476" t="inlineStr">
        <is>
          <t>Yes</t>
        </is>
      </c>
    </row>
    <row r="1477">
      <c r="A1477" t="inlineStr">
        <is>
          <t>Mod</t>
        </is>
      </c>
      <c r="B1477" t="inlineStr">
        <is>
          <t>Stinging Thorn</t>
        </is>
      </c>
      <c r="E1477" t="inlineStr">
        <is>
          <t>Stance</t>
        </is>
      </c>
      <c r="F1477" t="n">
        <v>3</v>
      </c>
      <c r="G1477" t="n">
        <v>1</v>
      </c>
      <c r="H1477" t="inlineStr">
        <is>
          <t>Player trade (max rank)</t>
        </is>
      </c>
      <c r="I1477" t="inlineStr">
        <is>
          <t>Yes</t>
        </is>
      </c>
      <c r="K1477" t="inlineStr">
        <is>
          <t>Collection</t>
        </is>
      </c>
      <c r="L1477" t="n">
        <v>10</v>
      </c>
      <c r="M1477" t="n">
        <v>15</v>
      </c>
      <c r="N1477" t="n">
        <v>17</v>
      </c>
      <c r="O1477" t="inlineStr">
        <is>
          <t>2026-10-05 UTC (WFM pull 02:52-04:00)</t>
        </is>
      </c>
      <c r="P1477" t="inlineStr">
        <is>
          <t>OK</t>
        </is>
      </c>
      <c r="R1477" t="inlineStr">
        <is>
          <t>Every current tradeable mod at MAX RANK (WFM catalogue, rivens/locators excluded)</t>
        </is>
      </c>
      <c r="S1477" t="inlineStr">
        <is>
          <t>stinging_thorn</t>
        </is>
      </c>
      <c r="T1477" t="n">
        <v>51</v>
      </c>
      <c r="U1477" t="n">
        <v>1</v>
      </c>
      <c r="V1477" t="n">
        <v>15</v>
      </c>
      <c r="W1477" t="n">
        <v>12.5</v>
      </c>
      <c r="X1477" t="n">
        <v>13.8</v>
      </c>
      <c r="Y1477" t="n">
        <v>85</v>
      </c>
      <c r="Z1477" t="n">
        <v>6</v>
      </c>
      <c r="AN1477" t="inlineStr">
        <is>
          <t>Stance</t>
        </is>
      </c>
      <c r="AO1477" t="n">
        <v>210</v>
      </c>
      <c r="AP1477" t="n">
        <v>10143</v>
      </c>
      <c r="AQ1477" t="n">
        <v>12</v>
      </c>
      <c r="AS1477" t="inlineStr">
        <is>
          <t>Yes</t>
        </is>
      </c>
    </row>
    <row r="1478">
      <c r="A1478" t="inlineStr">
        <is>
          <t>Mod</t>
        </is>
      </c>
      <c r="B1478" t="inlineStr">
        <is>
          <t>Stinging Truth</t>
        </is>
      </c>
      <c r="E1478" t="inlineStr">
        <is>
          <t>Augment Viper</t>
        </is>
      </c>
      <c r="F1478" t="n">
        <v>3</v>
      </c>
      <c r="G1478" t="n">
        <v>1</v>
      </c>
      <c r="H1478" t="inlineStr">
        <is>
          <t>Player trade (max rank)</t>
        </is>
      </c>
      <c r="I1478" t="inlineStr">
        <is>
          <t>Yes</t>
        </is>
      </c>
      <c r="K1478" t="inlineStr">
        <is>
          <t>Collection</t>
        </is>
      </c>
      <c r="L1478" t="n">
        <v>10</v>
      </c>
      <c r="M1478" t="n">
        <v>14</v>
      </c>
      <c r="N1478" t="n">
        <v>17</v>
      </c>
      <c r="O1478" t="inlineStr">
        <is>
          <t>2026-10-05 UTC (WFM pull 02:52-04:00)</t>
        </is>
      </c>
      <c r="P1478" t="inlineStr">
        <is>
          <t>OK</t>
        </is>
      </c>
      <c r="R1478" t="inlineStr">
        <is>
          <t>Every current tradeable mod at MAX RANK (WFM catalogue, rivens/locators excluded)</t>
        </is>
      </c>
      <c r="S1478" t="inlineStr">
        <is>
          <t>stinging_truth</t>
        </is>
      </c>
      <c r="T1478" t="n">
        <v>39</v>
      </c>
      <c r="U1478" t="n">
        <v>2</v>
      </c>
      <c r="V1478" t="n">
        <v>15</v>
      </c>
      <c r="W1478" t="n">
        <v>15</v>
      </c>
      <c r="X1478" t="n">
        <v>17.1</v>
      </c>
      <c r="Y1478" t="n">
        <v>8</v>
      </c>
      <c r="Z1478" t="n">
        <v>0</v>
      </c>
      <c r="AN1478" t="inlineStr">
        <is>
          <t>Augment Viper</t>
        </is>
      </c>
      <c r="AO1478" t="n">
        <v>210</v>
      </c>
      <c r="AP1478" t="n">
        <v>10143</v>
      </c>
      <c r="AQ1478" t="n">
        <v>9</v>
      </c>
      <c r="AS1478" t="inlineStr">
        <is>
          <t>Yes</t>
        </is>
      </c>
    </row>
    <row r="1479">
      <c r="A1479" t="inlineStr">
        <is>
          <t>Mod</t>
        </is>
      </c>
      <c r="B1479" t="inlineStr">
        <is>
          <t>Stockpiled Blight</t>
        </is>
      </c>
      <c r="E1479" t="inlineStr">
        <is>
          <t>Augment Kunai</t>
        </is>
      </c>
      <c r="F1479" t="n">
        <v>3</v>
      </c>
      <c r="G1479" t="n">
        <v>1</v>
      </c>
      <c r="H1479" t="inlineStr">
        <is>
          <t>Player trade (max rank)</t>
        </is>
      </c>
      <c r="I1479" t="inlineStr">
        <is>
          <t>Yes</t>
        </is>
      </c>
      <c r="K1479" t="inlineStr">
        <is>
          <t>Collection</t>
        </is>
      </c>
      <c r="L1479" t="n">
        <v>15</v>
      </c>
      <c r="M1479" t="n">
        <v>15</v>
      </c>
      <c r="N1479" t="n">
        <v>33</v>
      </c>
      <c r="O1479" t="inlineStr">
        <is>
          <t>2026-10-05 UTC (WFM pull 02:52-04:00)</t>
        </is>
      </c>
      <c r="P1479" t="inlineStr">
        <is>
          <t>OK</t>
        </is>
      </c>
      <c r="R1479" t="inlineStr">
        <is>
          <t>Every current tradeable mod at MAX RANK (WFM catalogue, rivens/locators excluded)</t>
        </is>
      </c>
      <c r="S1479" t="inlineStr">
        <is>
          <t>stockpiled_blight</t>
        </is>
      </c>
      <c r="T1479" t="n">
        <v>4</v>
      </c>
      <c r="U1479" t="n">
        <v>4</v>
      </c>
      <c r="V1479" t="n">
        <v>10</v>
      </c>
      <c r="W1479" t="n">
        <v>14</v>
      </c>
      <c r="X1479" t="n">
        <v>14.5</v>
      </c>
      <c r="Y1479" t="n">
        <v>12</v>
      </c>
      <c r="Z1479" t="n">
        <v>0</v>
      </c>
      <c r="AN1479" t="inlineStr">
        <is>
          <t>Augment Kunai</t>
        </is>
      </c>
      <c r="AO1479" t="n">
        <v>210</v>
      </c>
      <c r="AP1479" t="n">
        <v>10143</v>
      </c>
      <c r="AQ1479" t="n">
        <v>11</v>
      </c>
      <c r="AS1479" t="inlineStr">
        <is>
          <t>Yes</t>
        </is>
      </c>
    </row>
    <row r="1480">
      <c r="A1480" t="inlineStr">
        <is>
          <t>Mod</t>
        </is>
      </c>
      <c r="B1480" t="inlineStr">
        <is>
          <t>Stormbringer</t>
        </is>
      </c>
      <c r="E1480" t="inlineStr">
        <is>
          <t>Rifle</t>
        </is>
      </c>
      <c r="F1480" t="n">
        <v>5</v>
      </c>
      <c r="G1480" t="n">
        <v>1</v>
      </c>
      <c r="H1480" t="inlineStr">
        <is>
          <t>Player trade (max rank)</t>
        </is>
      </c>
      <c r="I1480" t="inlineStr">
        <is>
          <t>Yes</t>
        </is>
      </c>
      <c r="K1480" t="inlineStr">
        <is>
          <t>Collection</t>
        </is>
      </c>
      <c r="L1480" t="n">
        <v>5</v>
      </c>
      <c r="M1480" t="n">
        <v>9</v>
      </c>
      <c r="N1480" t="n">
        <v>20</v>
      </c>
      <c r="O1480" t="inlineStr">
        <is>
          <t>2026-10-05 UTC (WFM pull 02:52-04:00)</t>
        </is>
      </c>
      <c r="P1480" t="inlineStr">
        <is>
          <t>OK</t>
        </is>
      </c>
      <c r="R1480" t="inlineStr">
        <is>
          <t>Every current tradeable mod at MAX RANK (WFM catalogue, rivens/locators excluded)</t>
        </is>
      </c>
      <c r="S1480" t="inlineStr">
        <is>
          <t>stormbringer</t>
        </is>
      </c>
      <c r="T1480" t="n">
        <v>6</v>
      </c>
      <c r="U1480" t="n">
        <v>6</v>
      </c>
      <c r="V1480" t="n">
        <v>9</v>
      </c>
      <c r="W1480" t="n">
        <v>7.5</v>
      </c>
      <c r="X1480" t="n">
        <v>7.1</v>
      </c>
      <c r="Y1480" t="n">
        <v>19</v>
      </c>
      <c r="Z1480" t="n">
        <v>1</v>
      </c>
      <c r="AN1480" t="inlineStr">
        <is>
          <t>Rifle</t>
        </is>
      </c>
      <c r="AO1480" t="n">
        <v>620</v>
      </c>
      <c r="AP1480" t="n">
        <v>29946</v>
      </c>
      <c r="AQ1480" t="n">
        <v>5</v>
      </c>
      <c r="AS1480" t="inlineStr">
        <is>
          <t>Yes</t>
        </is>
      </c>
    </row>
    <row r="1481">
      <c r="A1481" t="inlineStr">
        <is>
          <t>Mod</t>
        </is>
      </c>
      <c r="B1481" t="inlineStr">
        <is>
          <t>Strafing Slide</t>
        </is>
      </c>
      <c r="E1481" t="inlineStr">
        <is>
          <t>Conclave (PvP)</t>
        </is>
      </c>
      <c r="F1481" t="n">
        <v>3</v>
      </c>
      <c r="G1481" t="n">
        <v>1</v>
      </c>
      <c r="H1481" t="inlineStr">
        <is>
          <t>Player trade (max rank)</t>
        </is>
      </c>
      <c r="I1481" t="inlineStr">
        <is>
          <t>Yes</t>
        </is>
      </c>
      <c r="K1481" t="inlineStr">
        <is>
          <t>Collection (PvP)</t>
        </is>
      </c>
      <c r="L1481" t="n">
        <v>7</v>
      </c>
      <c r="M1481" t="n">
        <v>8</v>
      </c>
      <c r="N1481" t="n">
        <v>18</v>
      </c>
      <c r="O1481" t="inlineStr">
        <is>
          <t>2026-10-05 UTC (WFM pull 02:52-04:00)</t>
        </is>
      </c>
      <c r="P1481" t="inlineStr">
        <is>
          <t>OK</t>
        </is>
      </c>
      <c r="R1481" t="inlineStr">
        <is>
          <t>Every current tradeable mod at MAX RANK (WFM catalogue, rivens/locators excluded)</t>
        </is>
      </c>
      <c r="S1481" t="inlineStr">
        <is>
          <t>strafing_slide</t>
        </is>
      </c>
      <c r="T1481" t="n">
        <v>5</v>
      </c>
      <c r="U1481" t="n">
        <v>5</v>
      </c>
      <c r="V1481" t="n">
        <v>13</v>
      </c>
      <c r="W1481" t="n">
        <v>10</v>
      </c>
      <c r="X1481" t="n">
        <v>12</v>
      </c>
      <c r="Y1481" t="n">
        <v>4</v>
      </c>
      <c r="Z1481" t="n">
        <v>0</v>
      </c>
      <c r="AN1481" t="inlineStr">
        <is>
          <t>Conclave (PvP)</t>
        </is>
      </c>
      <c r="AO1481" t="n">
        <v>210</v>
      </c>
      <c r="AP1481" t="n">
        <v>10143</v>
      </c>
      <c r="AQ1481" t="n">
        <v>7.5</v>
      </c>
      <c r="AS1481" t="inlineStr">
        <is>
          <t>PvP subtotal</t>
        </is>
      </c>
    </row>
    <row r="1482">
      <c r="A1482" t="inlineStr">
        <is>
          <t>Mod</t>
        </is>
      </c>
      <c r="B1482" t="inlineStr">
        <is>
          <t>Strain Consume</t>
        </is>
      </c>
      <c r="E1482" t="inlineStr">
        <is>
          <t>Warframe</t>
        </is>
      </c>
      <c r="F1482" t="n">
        <v>3</v>
      </c>
      <c r="G1482" t="n">
        <v>1</v>
      </c>
      <c r="H1482" t="inlineStr">
        <is>
          <t>Player trade (max rank)</t>
        </is>
      </c>
      <c r="I1482" t="inlineStr">
        <is>
          <t>Yes</t>
        </is>
      </c>
      <c r="K1482" t="inlineStr">
        <is>
          <t>Collection</t>
        </is>
      </c>
      <c r="L1482" t="n">
        <v>12</v>
      </c>
      <c r="M1482" t="n">
        <v>15</v>
      </c>
      <c r="N1482" t="n">
        <v>22</v>
      </c>
      <c r="O1482" t="inlineStr">
        <is>
          <t>2026-10-05 UTC (WFM pull 02:52-04:00)</t>
        </is>
      </c>
      <c r="P1482" t="inlineStr">
        <is>
          <t>OK</t>
        </is>
      </c>
      <c r="R1482" t="inlineStr">
        <is>
          <t>Every current tradeable mod at MAX RANK (WFM catalogue, rivens/locators excluded)</t>
        </is>
      </c>
      <c r="S1482" t="inlineStr">
        <is>
          <t>strain_consume</t>
        </is>
      </c>
      <c r="T1482" t="n">
        <v>10</v>
      </c>
      <c r="U1482" t="n">
        <v>10</v>
      </c>
      <c r="V1482" t="n">
        <v>10</v>
      </c>
      <c r="W1482" t="n">
        <v>10</v>
      </c>
      <c r="X1482" t="n">
        <v>10.4</v>
      </c>
      <c r="Y1482" t="n">
        <v>31</v>
      </c>
      <c r="Z1482" t="n">
        <v>0</v>
      </c>
      <c r="AN1482" t="inlineStr">
        <is>
          <t>Warframe</t>
        </is>
      </c>
      <c r="AO1482" t="n">
        <v>210</v>
      </c>
      <c r="AP1482" t="n">
        <v>10143</v>
      </c>
      <c r="AQ1482" t="n">
        <v>8</v>
      </c>
      <c r="AS1482" t="inlineStr">
        <is>
          <t>Yes</t>
        </is>
      </c>
    </row>
    <row r="1483">
      <c r="A1483" t="inlineStr">
        <is>
          <t>Mod</t>
        </is>
      </c>
      <c r="B1483" t="inlineStr">
        <is>
          <t>Strain Eruption</t>
        </is>
      </c>
      <c r="E1483" t="inlineStr">
        <is>
          <t>Helminth Charger</t>
        </is>
      </c>
      <c r="F1483" t="n">
        <v>3</v>
      </c>
      <c r="G1483" t="n">
        <v>1</v>
      </c>
      <c r="H1483" t="inlineStr">
        <is>
          <t>Player trade (max rank)</t>
        </is>
      </c>
      <c r="I1483" t="inlineStr">
        <is>
          <t>Yes</t>
        </is>
      </c>
      <c r="K1483" t="inlineStr">
        <is>
          <t>Collection</t>
        </is>
      </c>
      <c r="L1483" t="n">
        <v>10</v>
      </c>
      <c r="M1483" t="n">
        <v>15</v>
      </c>
      <c r="N1483" t="n">
        <v>22</v>
      </c>
      <c r="O1483" t="inlineStr">
        <is>
          <t>2026-10-05 UTC (WFM pull 02:52-04:00)</t>
        </is>
      </c>
      <c r="P1483" t="inlineStr">
        <is>
          <t>OK</t>
        </is>
      </c>
      <c r="R1483" t="inlineStr">
        <is>
          <t>Every current tradeable mod at MAX RANK (WFM catalogue, rivens/locators excluded)</t>
        </is>
      </c>
      <c r="S1483" t="inlineStr">
        <is>
          <t>strain_eruption</t>
        </is>
      </c>
      <c r="T1483" t="n">
        <v>73</v>
      </c>
      <c r="U1483" t="n">
        <v>2</v>
      </c>
      <c r="V1483" t="n">
        <v>19.5</v>
      </c>
      <c r="W1483" t="n">
        <v>15.5</v>
      </c>
      <c r="X1483" t="n">
        <v>16.1</v>
      </c>
      <c r="Y1483" t="n">
        <v>79</v>
      </c>
      <c r="Z1483" t="n">
        <v>1</v>
      </c>
      <c r="AN1483" t="inlineStr">
        <is>
          <t>Helminth Charger</t>
        </is>
      </c>
      <c r="AO1483" t="n">
        <v>210</v>
      </c>
      <c r="AP1483" t="n">
        <v>10143</v>
      </c>
      <c r="AQ1483" t="n">
        <v>15</v>
      </c>
      <c r="AS1483" t="inlineStr">
        <is>
          <t>Yes</t>
        </is>
      </c>
    </row>
    <row r="1484">
      <c r="A1484" t="inlineStr">
        <is>
          <t>Mod</t>
        </is>
      </c>
      <c r="B1484" t="inlineStr">
        <is>
          <t>Strain Fever</t>
        </is>
      </c>
      <c r="E1484" t="inlineStr">
        <is>
          <t>Helminth Charger</t>
        </is>
      </c>
      <c r="F1484" t="n">
        <v>3</v>
      </c>
      <c r="G1484" t="n">
        <v>1</v>
      </c>
      <c r="H1484" t="inlineStr">
        <is>
          <t>Player trade (max rank)</t>
        </is>
      </c>
      <c r="I1484" t="inlineStr">
        <is>
          <t>Yes</t>
        </is>
      </c>
      <c r="K1484" t="inlineStr">
        <is>
          <t>Collection</t>
        </is>
      </c>
      <c r="L1484" t="n">
        <v>10</v>
      </c>
      <c r="M1484" t="n">
        <v>12</v>
      </c>
      <c r="N1484" t="n">
        <v>15</v>
      </c>
      <c r="O1484" t="inlineStr">
        <is>
          <t>2026-10-05 UTC (WFM pull 02:52-04:00)</t>
        </is>
      </c>
      <c r="P1484" t="inlineStr">
        <is>
          <t>OK</t>
        </is>
      </c>
      <c r="R1484" t="inlineStr">
        <is>
          <t>Every current tradeable mod at MAX RANK (WFM catalogue, rivens/locators excluded)</t>
        </is>
      </c>
      <c r="S1484" t="inlineStr">
        <is>
          <t>strain_fever</t>
        </is>
      </c>
      <c r="T1484" t="n">
        <v>71</v>
      </c>
      <c r="U1484" t="n">
        <v>2</v>
      </c>
      <c r="V1484" t="n">
        <v>13.5</v>
      </c>
      <c r="W1484" t="n">
        <v>15</v>
      </c>
      <c r="X1484" t="n">
        <v>14.2</v>
      </c>
      <c r="Y1484" t="n">
        <v>64</v>
      </c>
      <c r="Z1484" t="n">
        <v>0</v>
      </c>
      <c r="AN1484" t="inlineStr">
        <is>
          <t>Helminth Charger</t>
        </is>
      </c>
      <c r="AO1484" t="n">
        <v>210</v>
      </c>
      <c r="AP1484" t="n">
        <v>10143</v>
      </c>
      <c r="AQ1484" t="n">
        <v>15</v>
      </c>
      <c r="AS1484" t="inlineStr">
        <is>
          <t>Yes</t>
        </is>
      </c>
    </row>
    <row r="1485">
      <c r="A1485" t="inlineStr">
        <is>
          <t>Mod</t>
        </is>
      </c>
      <c r="B1485" t="inlineStr">
        <is>
          <t>Strain Infection</t>
        </is>
      </c>
      <c r="E1485" t="inlineStr">
        <is>
          <t>Melee</t>
        </is>
      </c>
      <c r="F1485" t="n">
        <v>3</v>
      </c>
      <c r="G1485" t="n">
        <v>1</v>
      </c>
      <c r="H1485" t="inlineStr">
        <is>
          <t>Player trade (max rank)</t>
        </is>
      </c>
      <c r="I1485" t="inlineStr">
        <is>
          <t>Yes</t>
        </is>
      </c>
      <c r="K1485" t="inlineStr">
        <is>
          <t>Collection</t>
        </is>
      </c>
      <c r="L1485" t="n">
        <v>10</v>
      </c>
      <c r="M1485" t="n">
        <v>14</v>
      </c>
      <c r="N1485" t="n">
        <v>17</v>
      </c>
      <c r="O1485" t="inlineStr">
        <is>
          <t>2026-10-05 UTC (WFM pull 02:52-04:00)</t>
        </is>
      </c>
      <c r="P1485" t="inlineStr">
        <is>
          <t>OK</t>
        </is>
      </c>
      <c r="R1485" t="inlineStr">
        <is>
          <t>Every current tradeable mod at MAX RANK (WFM catalogue, rivens/locators excluded)</t>
        </is>
      </c>
      <c r="S1485" t="inlineStr">
        <is>
          <t>strain_infection</t>
        </is>
      </c>
      <c r="T1485" t="n">
        <v>62</v>
      </c>
      <c r="U1485" t="n">
        <v>1</v>
      </c>
      <c r="V1485" t="n">
        <v>10</v>
      </c>
      <c r="W1485" t="n">
        <v>15</v>
      </c>
      <c r="X1485" t="n">
        <v>14</v>
      </c>
      <c r="Y1485" t="n">
        <v>54</v>
      </c>
      <c r="Z1485" t="n">
        <v>0</v>
      </c>
      <c r="AN1485" t="inlineStr">
        <is>
          <t>Melee</t>
        </is>
      </c>
      <c r="AO1485" t="n">
        <v>210</v>
      </c>
      <c r="AP1485" t="n">
        <v>10143</v>
      </c>
      <c r="AQ1485" t="n">
        <v>11.5</v>
      </c>
      <c r="AS1485" t="inlineStr">
        <is>
          <t>Yes</t>
        </is>
      </c>
    </row>
    <row r="1486">
      <c r="A1486" t="inlineStr">
        <is>
          <t>Mod</t>
        </is>
      </c>
      <c r="B1486" t="inlineStr">
        <is>
          <t>Streamline</t>
        </is>
      </c>
      <c r="E1486" t="inlineStr">
        <is>
          <t>Warframe</t>
        </is>
      </c>
      <c r="F1486" t="n">
        <v>5</v>
      </c>
      <c r="G1486" t="n">
        <v>1</v>
      </c>
      <c r="H1486" t="inlineStr">
        <is>
          <t>Player trade (max rank)</t>
        </is>
      </c>
      <c r="I1486" t="inlineStr">
        <is>
          <t>Yes</t>
        </is>
      </c>
      <c r="K1486" t="inlineStr">
        <is>
          <t>Collection</t>
        </is>
      </c>
      <c r="L1486" t="n">
        <v>4</v>
      </c>
      <c r="M1486" t="n">
        <v>7</v>
      </c>
      <c r="N1486" t="n">
        <v>11</v>
      </c>
      <c r="O1486" t="inlineStr">
        <is>
          <t>2026-10-05 UTC (WFM pull 02:52-04:00)</t>
        </is>
      </c>
      <c r="P1486" t="inlineStr">
        <is>
          <t>OK</t>
        </is>
      </c>
      <c r="R1486" t="inlineStr">
        <is>
          <t>Every current tradeable mod at MAX RANK (WFM catalogue, rivens/locators excluded)</t>
        </is>
      </c>
      <c r="S1486" t="inlineStr">
        <is>
          <t>streamline</t>
        </is>
      </c>
      <c r="T1486" t="n">
        <v>15</v>
      </c>
      <c r="U1486" t="n">
        <v>15</v>
      </c>
      <c r="V1486" t="n">
        <v>6</v>
      </c>
      <c r="W1486" t="n">
        <v>6.5</v>
      </c>
      <c r="X1486" t="n">
        <v>6.9</v>
      </c>
      <c r="Y1486" t="n">
        <v>104</v>
      </c>
      <c r="Z1486" t="n">
        <v>5</v>
      </c>
      <c r="AN1486" t="inlineStr">
        <is>
          <t>Warframe</t>
        </is>
      </c>
      <c r="AO1486" t="n">
        <v>930</v>
      </c>
      <c r="AP1486" t="n">
        <v>44919</v>
      </c>
      <c r="AQ1486" t="n">
        <v>3</v>
      </c>
      <c r="AS1486" t="inlineStr">
        <is>
          <t>Yes</t>
        </is>
      </c>
    </row>
    <row r="1487">
      <c r="A1487" t="inlineStr">
        <is>
          <t>Mod</t>
        </is>
      </c>
      <c r="B1487" t="inlineStr">
        <is>
          <t>Streamlined Form</t>
        </is>
      </c>
      <c r="E1487" t="inlineStr">
        <is>
          <t>Warframe</t>
        </is>
      </c>
      <c r="F1487" t="n">
        <v>5</v>
      </c>
      <c r="G1487" t="n">
        <v>1</v>
      </c>
      <c r="H1487" t="inlineStr">
        <is>
          <t>Player trade (max rank)</t>
        </is>
      </c>
      <c r="I1487" t="inlineStr">
        <is>
          <t>Yes</t>
        </is>
      </c>
      <c r="K1487" t="inlineStr">
        <is>
          <t>Collection</t>
        </is>
      </c>
      <c r="L1487" t="n">
        <v>9</v>
      </c>
      <c r="M1487" t="n">
        <v>15</v>
      </c>
      <c r="N1487" t="n">
        <v>33</v>
      </c>
      <c r="O1487" t="inlineStr">
        <is>
          <t>2026-10-05 UTC (WFM pull 02:52-04:00)</t>
        </is>
      </c>
      <c r="P1487" t="inlineStr">
        <is>
          <t>OK</t>
        </is>
      </c>
      <c r="R1487" t="inlineStr">
        <is>
          <t>Every current tradeable mod at MAX RANK (WFM catalogue, rivens/locators excluded)</t>
        </is>
      </c>
      <c r="S1487" t="inlineStr">
        <is>
          <t>streamlined_form</t>
        </is>
      </c>
      <c r="T1487" t="n">
        <v>6</v>
      </c>
      <c r="U1487" t="n">
        <v>6</v>
      </c>
      <c r="V1487" t="n">
        <v>10</v>
      </c>
      <c r="W1487" t="n">
        <v>10</v>
      </c>
      <c r="X1487" t="n">
        <v>9.1</v>
      </c>
      <c r="Y1487" t="n">
        <v>21</v>
      </c>
      <c r="Z1487" t="n">
        <v>1</v>
      </c>
      <c r="AN1487" t="inlineStr">
        <is>
          <t>Warframe</t>
        </is>
      </c>
      <c r="AO1487" t="n">
        <v>930</v>
      </c>
      <c r="AP1487" t="n">
        <v>44919</v>
      </c>
      <c r="AQ1487" t="n">
        <v>5</v>
      </c>
      <c r="AS1487" t="inlineStr">
        <is>
          <t>Yes</t>
        </is>
      </c>
    </row>
    <row r="1488">
      <c r="A1488" t="inlineStr">
        <is>
          <t>Mod</t>
        </is>
      </c>
      <c r="B1488" t="inlineStr">
        <is>
          <t>Stretch</t>
        </is>
      </c>
      <c r="E1488" t="inlineStr">
        <is>
          <t>Warframe</t>
        </is>
      </c>
      <c r="F1488" t="n">
        <v>5</v>
      </c>
      <c r="G1488" t="n">
        <v>1</v>
      </c>
      <c r="H1488" t="inlineStr">
        <is>
          <t>Player trade (max rank)</t>
        </is>
      </c>
      <c r="I1488" t="inlineStr">
        <is>
          <t>Yes</t>
        </is>
      </c>
      <c r="K1488" t="inlineStr">
        <is>
          <t>Collection</t>
        </is>
      </c>
      <c r="L1488" t="n">
        <v>8</v>
      </c>
      <c r="M1488" t="n">
        <v>13.5</v>
      </c>
      <c r="N1488" t="n">
        <v>22</v>
      </c>
      <c r="O1488" t="inlineStr">
        <is>
          <t>2026-10-05 UTC (WFM pull 02:52-04:00)</t>
        </is>
      </c>
      <c r="P1488" t="inlineStr">
        <is>
          <t>OK</t>
        </is>
      </c>
      <c r="R1488" t="inlineStr">
        <is>
          <t>Every current tradeable mod at MAX RANK (WFM catalogue, rivens/locators excluded)</t>
        </is>
      </c>
      <c r="S1488" t="inlineStr">
        <is>
          <t>stretch</t>
        </is>
      </c>
      <c r="T1488" t="n">
        <v>7</v>
      </c>
      <c r="U1488" t="n">
        <v>7</v>
      </c>
      <c r="V1488" t="n">
        <v>9</v>
      </c>
      <c r="W1488" t="n">
        <v>8</v>
      </c>
      <c r="X1488" t="n">
        <v>8</v>
      </c>
      <c r="Y1488" t="n">
        <v>133</v>
      </c>
      <c r="Z1488" t="n">
        <v>2</v>
      </c>
      <c r="AN1488" t="inlineStr">
        <is>
          <t>Warframe</t>
        </is>
      </c>
      <c r="AO1488" t="n">
        <v>620</v>
      </c>
      <c r="AP1488" t="n">
        <v>29946</v>
      </c>
      <c r="AQ1488" t="n">
        <v>1</v>
      </c>
      <c r="AS1488" t="inlineStr">
        <is>
          <t>Yes</t>
        </is>
      </c>
    </row>
    <row r="1489">
      <c r="A1489" t="inlineStr">
        <is>
          <t>Mod</t>
        </is>
      </c>
      <c r="B1489" t="inlineStr">
        <is>
          <t>Stunning Speed</t>
        </is>
      </c>
      <c r="E1489" t="inlineStr">
        <is>
          <t>Pistol</t>
        </is>
      </c>
      <c r="F1489" t="n">
        <v>3</v>
      </c>
      <c r="G1489" t="n">
        <v>1</v>
      </c>
      <c r="H1489" t="inlineStr">
        <is>
          <t>Player trade (max rank)</t>
        </is>
      </c>
      <c r="I1489" t="inlineStr">
        <is>
          <t>Yes</t>
        </is>
      </c>
      <c r="K1489" t="inlineStr">
        <is>
          <t>Collection</t>
        </is>
      </c>
      <c r="L1489" t="n">
        <v>5</v>
      </c>
      <c r="M1489" t="n">
        <v>8</v>
      </c>
      <c r="N1489" t="n">
        <v>11</v>
      </c>
      <c r="O1489" t="inlineStr">
        <is>
          <t>2026-10-05 UTC (WFM pull 02:52-04:00)</t>
        </is>
      </c>
      <c r="P1489" t="inlineStr">
        <is>
          <t>OK</t>
        </is>
      </c>
      <c r="R1489" t="inlineStr">
        <is>
          <t>Every current tradeable mod at MAX RANK (WFM catalogue, rivens/locators excluded)</t>
        </is>
      </c>
      <c r="S1489" t="inlineStr">
        <is>
          <t>stunning_speed</t>
        </is>
      </c>
      <c r="T1489" t="n">
        <v>13</v>
      </c>
      <c r="U1489" t="n">
        <v>13</v>
      </c>
      <c r="V1489" t="n">
        <v>6</v>
      </c>
      <c r="W1489" t="n">
        <v>5</v>
      </c>
      <c r="X1489" t="n">
        <v>5.9</v>
      </c>
      <c r="Y1489" t="n">
        <v>54</v>
      </c>
      <c r="Z1489" t="n">
        <v>0</v>
      </c>
      <c r="AN1489" t="inlineStr">
        <is>
          <t>Pistol</t>
        </is>
      </c>
      <c r="AO1489" t="n">
        <v>210</v>
      </c>
      <c r="AP1489" t="n">
        <v>10143</v>
      </c>
      <c r="AQ1489" t="n">
        <v>3</v>
      </c>
      <c r="AS1489" t="inlineStr">
        <is>
          <t>Yes</t>
        </is>
      </c>
    </row>
    <row r="1490">
      <c r="A1490" t="inlineStr">
        <is>
          <t>Mod</t>
        </is>
      </c>
      <c r="B1490" t="inlineStr">
        <is>
          <t>Sudden Impact</t>
        </is>
      </c>
      <c r="E1490" t="inlineStr">
        <is>
          <t>Archmelee</t>
        </is>
      </c>
      <c r="F1490" t="n">
        <v>5</v>
      </c>
      <c r="G1490" t="n">
        <v>1</v>
      </c>
      <c r="H1490" t="inlineStr">
        <is>
          <t>Player trade (max rank)</t>
        </is>
      </c>
      <c r="I1490" t="inlineStr">
        <is>
          <t>Yes</t>
        </is>
      </c>
      <c r="K1490" t="inlineStr">
        <is>
          <t>Collection</t>
        </is>
      </c>
      <c r="L1490" t="n">
        <v>10</v>
      </c>
      <c r="M1490" t="n">
        <v>28.5</v>
      </c>
      <c r="N1490" t="n">
        <v>63</v>
      </c>
      <c r="O1490" t="inlineStr">
        <is>
          <t>2026-10-05 UTC (WFM pull 02:52-04:00)</t>
        </is>
      </c>
      <c r="P1490" t="inlineStr">
        <is>
          <t>OK</t>
        </is>
      </c>
      <c r="R1490" t="inlineStr">
        <is>
          <t>Every current tradeable mod at MAX RANK (WFM catalogue, rivens/locators excluded)</t>
        </is>
      </c>
      <c r="S1490" t="inlineStr">
        <is>
          <t>sudden_impact</t>
        </is>
      </c>
      <c r="T1490" t="n">
        <v>3</v>
      </c>
      <c r="U1490" t="n">
        <v>3</v>
      </c>
      <c r="V1490" t="n">
        <v>19</v>
      </c>
      <c r="W1490" t="n">
        <v>10</v>
      </c>
      <c r="X1490" t="n">
        <v>14.5</v>
      </c>
      <c r="Y1490" t="n">
        <v>2</v>
      </c>
      <c r="Z1490" t="n">
        <v>0</v>
      </c>
      <c r="AN1490" t="inlineStr">
        <is>
          <t>Archmelee</t>
        </is>
      </c>
      <c r="AO1490" t="n">
        <v>310</v>
      </c>
      <c r="AP1490" t="n">
        <v>14973</v>
      </c>
      <c r="AQ1490" t="n">
        <v>2</v>
      </c>
      <c r="AS1490" t="inlineStr">
        <is>
          <t>Yes</t>
        </is>
      </c>
    </row>
    <row r="1491">
      <c r="A1491" t="inlineStr">
        <is>
          <t>Mod</t>
        </is>
      </c>
      <c r="B1491" t="inlineStr">
        <is>
          <t>Sudden Justice</t>
        </is>
      </c>
      <c r="E1491" t="inlineStr">
        <is>
          <t>Conclave (PvP)</t>
        </is>
      </c>
      <c r="F1491" t="n">
        <v>3</v>
      </c>
      <c r="G1491" t="n">
        <v>1</v>
      </c>
      <c r="H1491" t="inlineStr">
        <is>
          <t>Player trade (max rank)</t>
        </is>
      </c>
      <c r="I1491" t="inlineStr">
        <is>
          <t>Yes</t>
        </is>
      </c>
      <c r="K1491" t="inlineStr">
        <is>
          <t>Collection (PvP)</t>
        </is>
      </c>
      <c r="L1491" t="n">
        <v>29</v>
      </c>
      <c r="M1491" t="n">
        <v>39</v>
      </c>
      <c r="N1491" t="n">
        <v>56</v>
      </c>
      <c r="O1491" t="inlineStr">
        <is>
          <t>2026-10-05 UTC (WFM pull 02:52-04:00)</t>
        </is>
      </c>
      <c r="P1491" t="inlineStr">
        <is>
          <t>OK</t>
        </is>
      </c>
      <c r="R1491" t="inlineStr">
        <is>
          <t>Every current tradeable mod at MAX RANK (WFM catalogue, rivens/locators excluded)</t>
        </is>
      </c>
      <c r="S1491" t="inlineStr">
        <is>
          <t>sudden_justice</t>
        </is>
      </c>
      <c r="T1491" t="n">
        <v>12</v>
      </c>
      <c r="U1491" t="n">
        <v>0</v>
      </c>
      <c r="Y1491" t="n">
        <v>0</v>
      </c>
      <c r="Z1491" t="n">
        <v>0</v>
      </c>
      <c r="AN1491" t="inlineStr">
        <is>
          <t>Conclave (PvP)</t>
        </is>
      </c>
      <c r="AO1491" t="n">
        <v>210</v>
      </c>
      <c r="AP1491" t="n">
        <v>10143</v>
      </c>
      <c r="AQ1491" t="n">
        <v>10</v>
      </c>
      <c r="AS1491" t="inlineStr">
        <is>
          <t>PvP subtotal</t>
        </is>
      </c>
    </row>
    <row r="1492">
      <c r="A1492" t="inlineStr">
        <is>
          <t>Mod</t>
        </is>
      </c>
      <c r="B1492" t="inlineStr">
        <is>
          <t>Summoner's Wrath</t>
        </is>
      </c>
      <c r="E1492" t="inlineStr">
        <is>
          <t>Aura</t>
        </is>
      </c>
      <c r="F1492" t="n">
        <v>5</v>
      </c>
      <c r="G1492" t="n">
        <v>1</v>
      </c>
      <c r="H1492" t="inlineStr">
        <is>
          <t>Player trade (max rank)</t>
        </is>
      </c>
      <c r="I1492" t="inlineStr">
        <is>
          <t>Yes</t>
        </is>
      </c>
      <c r="K1492" t="inlineStr">
        <is>
          <t>Collection</t>
        </is>
      </c>
      <c r="L1492" t="n">
        <v>8</v>
      </c>
      <c r="M1492" t="n">
        <v>10</v>
      </c>
      <c r="N1492" t="n">
        <v>11</v>
      </c>
      <c r="O1492" t="inlineStr">
        <is>
          <t>2026-10-05 UTC (WFM pull 02:52-04:00)</t>
        </is>
      </c>
      <c r="P1492" t="inlineStr">
        <is>
          <t>OK</t>
        </is>
      </c>
      <c r="R1492" t="inlineStr">
        <is>
          <t>Every current tradeable mod at MAX RANK (WFM catalogue, rivens/locators excluded)</t>
        </is>
      </c>
      <c r="S1492" t="inlineStr">
        <is>
          <t>summoners_wrath</t>
        </is>
      </c>
      <c r="T1492" t="n">
        <v>11</v>
      </c>
      <c r="U1492" t="n">
        <v>11</v>
      </c>
      <c r="V1492" t="n">
        <v>10</v>
      </c>
      <c r="W1492" t="n">
        <v>10</v>
      </c>
      <c r="X1492" t="n">
        <v>9.699999999999999</v>
      </c>
      <c r="Y1492" t="n">
        <v>1289</v>
      </c>
      <c r="Z1492" t="n">
        <v>26</v>
      </c>
      <c r="AN1492" t="inlineStr">
        <is>
          <t>Aura</t>
        </is>
      </c>
      <c r="AO1492" t="n">
        <v>620</v>
      </c>
      <c r="AP1492" t="n">
        <v>29946</v>
      </c>
      <c r="AQ1492" t="n">
        <v>5</v>
      </c>
      <c r="AS1492" t="inlineStr">
        <is>
          <t>Yes</t>
        </is>
      </c>
    </row>
    <row r="1493">
      <c r="A1493" t="inlineStr">
        <is>
          <t>Mod</t>
        </is>
      </c>
      <c r="B1493" t="inlineStr">
        <is>
          <t>Sundering Strike</t>
        </is>
      </c>
      <c r="E1493" t="inlineStr">
        <is>
          <t>Melee</t>
        </is>
      </c>
      <c r="F1493" t="n">
        <v>5</v>
      </c>
      <c r="G1493" t="n">
        <v>1</v>
      </c>
      <c r="H1493" t="inlineStr">
        <is>
          <t>Player trade (max rank)</t>
        </is>
      </c>
      <c r="I1493" t="inlineStr">
        <is>
          <t>Yes</t>
        </is>
      </c>
      <c r="K1493" t="inlineStr">
        <is>
          <t>Collection</t>
        </is>
      </c>
      <c r="L1493" t="n">
        <v>15</v>
      </c>
      <c r="M1493" t="n">
        <v>15</v>
      </c>
      <c r="N1493" t="n">
        <v>33</v>
      </c>
      <c r="O1493" t="inlineStr">
        <is>
          <t>2026-10-05 UTC (WFM pull 02:52-04:00)</t>
        </is>
      </c>
      <c r="P1493" t="inlineStr">
        <is>
          <t>OK</t>
        </is>
      </c>
      <c r="R1493" t="inlineStr">
        <is>
          <t>Every current tradeable mod at MAX RANK (WFM catalogue, rivens/locators excluded)</t>
        </is>
      </c>
      <c r="S1493" t="inlineStr">
        <is>
          <t>sundering_strike</t>
        </is>
      </c>
      <c r="T1493" t="n">
        <v>4</v>
      </c>
      <c r="U1493" t="n">
        <v>4</v>
      </c>
      <c r="V1493" t="n">
        <v>8</v>
      </c>
      <c r="W1493" t="n">
        <v>9</v>
      </c>
      <c r="X1493" t="n">
        <v>9.199999999999999</v>
      </c>
      <c r="Y1493" t="n">
        <v>5</v>
      </c>
      <c r="Z1493" t="n">
        <v>0</v>
      </c>
      <c r="AN1493" t="inlineStr">
        <is>
          <t>Melee</t>
        </is>
      </c>
      <c r="AO1493" t="n">
        <v>930</v>
      </c>
      <c r="AP1493" t="n">
        <v>44919</v>
      </c>
      <c r="AQ1493" t="n">
        <v>3.5</v>
      </c>
      <c r="AS1493" t="inlineStr">
        <is>
          <t>Yes</t>
        </is>
      </c>
    </row>
    <row r="1494">
      <c r="A1494" t="inlineStr">
        <is>
          <t>Mod</t>
        </is>
      </c>
      <c r="B1494" t="inlineStr">
        <is>
          <t>Sundering Weave</t>
        </is>
      </c>
      <c r="E1494" t="inlineStr">
        <is>
          <t>Stance</t>
        </is>
      </c>
      <c r="F1494" t="n">
        <v>3</v>
      </c>
      <c r="G1494" t="n">
        <v>1</v>
      </c>
      <c r="H1494" t="inlineStr">
        <is>
          <t>Player trade (max rank)</t>
        </is>
      </c>
      <c r="I1494" t="inlineStr">
        <is>
          <t>Yes</t>
        </is>
      </c>
      <c r="K1494" t="inlineStr">
        <is>
          <t>Collection</t>
        </is>
      </c>
      <c r="L1494" t="n">
        <v>2</v>
      </c>
      <c r="M1494" t="n">
        <v>4</v>
      </c>
      <c r="N1494" t="n">
        <v>6</v>
      </c>
      <c r="O1494" t="inlineStr">
        <is>
          <t>2026-10-05 UTC (WFM pull 02:52-04:00)</t>
        </is>
      </c>
      <c r="P1494" t="inlineStr">
        <is>
          <t>OK</t>
        </is>
      </c>
      <c r="R1494" t="inlineStr">
        <is>
          <t>Every current tradeable mod at MAX RANK (WFM catalogue, rivens/locators excluded)</t>
        </is>
      </c>
      <c r="S1494" t="inlineStr">
        <is>
          <t>sundering_weave</t>
        </is>
      </c>
      <c r="T1494" t="n">
        <v>74</v>
      </c>
      <c r="U1494" t="n">
        <v>0</v>
      </c>
      <c r="V1494" t="n">
        <v>5</v>
      </c>
      <c r="W1494" t="n">
        <v>8</v>
      </c>
      <c r="X1494" t="n">
        <v>7.5</v>
      </c>
      <c r="Y1494" t="n">
        <v>23</v>
      </c>
      <c r="Z1494" t="n">
        <v>0</v>
      </c>
      <c r="AN1494" t="inlineStr">
        <is>
          <t>Stance</t>
        </is>
      </c>
      <c r="AO1494" t="n">
        <v>140</v>
      </c>
      <c r="AP1494" t="n">
        <v>6762</v>
      </c>
      <c r="AQ1494" t="n">
        <v>1</v>
      </c>
      <c r="AS1494" t="inlineStr">
        <is>
          <t>Yes</t>
        </is>
      </c>
    </row>
    <row r="1495">
      <c r="A1495" t="inlineStr">
        <is>
          <t>Mod</t>
        </is>
      </c>
      <c r="B1495" t="inlineStr">
        <is>
          <t>Superior Defenses</t>
        </is>
      </c>
      <c r="E1495" t="inlineStr">
        <is>
          <t>Archwing</t>
        </is>
      </c>
      <c r="F1495" t="n">
        <v>3</v>
      </c>
      <c r="G1495" t="n">
        <v>1</v>
      </c>
      <c r="H1495" t="inlineStr">
        <is>
          <t>Player trade (max rank)</t>
        </is>
      </c>
      <c r="I1495" t="inlineStr">
        <is>
          <t>Yes</t>
        </is>
      </c>
      <c r="K1495" t="inlineStr">
        <is>
          <t>Collection</t>
        </is>
      </c>
      <c r="L1495" t="n">
        <v>9</v>
      </c>
      <c r="M1495" t="n">
        <v>10</v>
      </c>
      <c r="N1495" t="n">
        <v>22</v>
      </c>
      <c r="O1495" t="inlineStr">
        <is>
          <t>2026-10-05 UTC (WFM pull 02:52-04:00)</t>
        </is>
      </c>
      <c r="P1495" t="inlineStr">
        <is>
          <t>OK</t>
        </is>
      </c>
      <c r="R1495" t="inlineStr">
        <is>
          <t>Every current tradeable mod at MAX RANK (WFM catalogue, rivens/locators excluded)</t>
        </is>
      </c>
      <c r="S1495" t="inlineStr">
        <is>
          <t>superior_defenses</t>
        </is>
      </c>
      <c r="T1495" t="n">
        <v>7</v>
      </c>
      <c r="U1495" t="n">
        <v>7</v>
      </c>
      <c r="V1495" t="n">
        <v>10</v>
      </c>
      <c r="W1495" t="n">
        <v>10</v>
      </c>
      <c r="X1495" t="n">
        <v>11.6</v>
      </c>
      <c r="Y1495" t="n">
        <v>13</v>
      </c>
      <c r="Z1495" t="n">
        <v>0</v>
      </c>
      <c r="AN1495" t="inlineStr">
        <is>
          <t>Archwing</t>
        </is>
      </c>
      <c r="AO1495" t="n">
        <v>140</v>
      </c>
      <c r="AP1495" t="n">
        <v>6762</v>
      </c>
      <c r="AQ1495" t="n">
        <v>6</v>
      </c>
      <c r="AS1495" t="inlineStr">
        <is>
          <t>Yes</t>
        </is>
      </c>
    </row>
    <row r="1496">
      <c r="A1496" t="inlineStr">
        <is>
          <t>Mod</t>
        </is>
      </c>
      <c r="B1496" t="inlineStr">
        <is>
          <t>Suppress</t>
        </is>
      </c>
      <c r="E1496" t="inlineStr">
        <is>
          <t>Pistol</t>
        </is>
      </c>
      <c r="F1496" t="n">
        <v>3</v>
      </c>
      <c r="G1496" t="n">
        <v>1</v>
      </c>
      <c r="H1496" t="inlineStr">
        <is>
          <t>Player trade (max rank)</t>
        </is>
      </c>
      <c r="I1496" t="inlineStr">
        <is>
          <t>Yes</t>
        </is>
      </c>
      <c r="K1496" t="inlineStr">
        <is>
          <t>Collection</t>
        </is>
      </c>
      <c r="L1496" t="n">
        <v>8</v>
      </c>
      <c r="M1496" t="n">
        <v>13.5</v>
      </c>
      <c r="N1496" t="n">
        <v>30</v>
      </c>
      <c r="O1496" t="inlineStr">
        <is>
          <t>2026-10-05 UTC (WFM pull 02:52-04:00)</t>
        </is>
      </c>
      <c r="P1496" t="inlineStr">
        <is>
          <t>OK</t>
        </is>
      </c>
      <c r="R1496" t="inlineStr">
        <is>
          <t>Every current tradeable mod at MAX RANK (WFM catalogue, rivens/locators excluded)</t>
        </is>
      </c>
      <c r="S1496" t="inlineStr">
        <is>
          <t>suppress</t>
        </is>
      </c>
      <c r="T1496" t="n">
        <v>5</v>
      </c>
      <c r="U1496" t="n">
        <v>5</v>
      </c>
      <c r="V1496" t="n">
        <v>9</v>
      </c>
      <c r="W1496" t="n">
        <v>10</v>
      </c>
      <c r="X1496" t="n">
        <v>14</v>
      </c>
      <c r="Y1496" t="n">
        <v>32</v>
      </c>
      <c r="Z1496" t="n">
        <v>0</v>
      </c>
      <c r="AN1496" t="inlineStr">
        <is>
          <t>Pistol</t>
        </is>
      </c>
      <c r="AO1496" t="n">
        <v>70</v>
      </c>
      <c r="AP1496" t="n">
        <v>3381</v>
      </c>
      <c r="AQ1496" t="n">
        <v>4.5</v>
      </c>
      <c r="AS1496" t="inlineStr">
        <is>
          <t>Yes</t>
        </is>
      </c>
    </row>
    <row r="1497">
      <c r="A1497" t="inlineStr">
        <is>
          <t>Mod</t>
        </is>
      </c>
      <c r="B1497" t="inlineStr">
        <is>
          <t>Sure Footed</t>
        </is>
      </c>
      <c r="E1497" t="inlineStr">
        <is>
          <t>Warframe</t>
        </is>
      </c>
      <c r="F1497" t="n">
        <v>3</v>
      </c>
      <c r="G1497" t="n">
        <v>1</v>
      </c>
      <c r="H1497" t="inlineStr">
        <is>
          <t>Player trade (max rank)</t>
        </is>
      </c>
      <c r="I1497" t="inlineStr">
        <is>
          <t>Yes</t>
        </is>
      </c>
      <c r="K1497" t="inlineStr">
        <is>
          <t>Collection</t>
        </is>
      </c>
      <c r="L1497" t="n">
        <v>10</v>
      </c>
      <c r="M1497" t="n">
        <v>14</v>
      </c>
      <c r="N1497" t="n">
        <v>16</v>
      </c>
      <c r="O1497" t="inlineStr">
        <is>
          <t>2026-10-05 UTC (WFM pull 02:52-04:00)</t>
        </is>
      </c>
      <c r="P1497" t="inlineStr">
        <is>
          <t>OK</t>
        </is>
      </c>
      <c r="R1497" t="inlineStr">
        <is>
          <t>Every current tradeable mod at MAX RANK (WFM catalogue, rivens/locators excluded)</t>
        </is>
      </c>
      <c r="S1497" t="inlineStr">
        <is>
          <t>sure_footed</t>
        </is>
      </c>
      <c r="T1497" t="n">
        <v>13</v>
      </c>
      <c r="U1497" t="n">
        <v>13</v>
      </c>
      <c r="V1497" t="n">
        <v>10</v>
      </c>
      <c r="W1497" t="n">
        <v>11.5</v>
      </c>
      <c r="X1497" t="n">
        <v>11.6</v>
      </c>
      <c r="Y1497" t="n">
        <v>539</v>
      </c>
      <c r="Z1497" t="n">
        <v>16</v>
      </c>
      <c r="AN1497" t="inlineStr">
        <is>
          <t>Warframe</t>
        </is>
      </c>
      <c r="AO1497" t="n">
        <v>210</v>
      </c>
      <c r="AP1497" t="n">
        <v>10143</v>
      </c>
      <c r="AQ1497" t="n">
        <v>9</v>
      </c>
      <c r="AS1497" t="inlineStr">
        <is>
          <t>Yes</t>
        </is>
      </c>
    </row>
    <row r="1498">
      <c r="A1498" t="inlineStr">
        <is>
          <t>Mod</t>
        </is>
      </c>
      <c r="B1498" t="inlineStr">
        <is>
          <t>Sure Shot</t>
        </is>
      </c>
      <c r="E1498" t="inlineStr">
        <is>
          <t>Pistol</t>
        </is>
      </c>
      <c r="F1498" t="n">
        <v>5</v>
      </c>
      <c r="G1498" t="n">
        <v>1</v>
      </c>
      <c r="H1498" t="inlineStr">
        <is>
          <t>Player trade (max rank)</t>
        </is>
      </c>
      <c r="I1498" t="inlineStr">
        <is>
          <t>Yes</t>
        </is>
      </c>
      <c r="K1498" t="inlineStr">
        <is>
          <t>Collection</t>
        </is>
      </c>
      <c r="L1498" t="n">
        <v>4</v>
      </c>
      <c r="M1498" t="n">
        <v>9</v>
      </c>
      <c r="N1498" t="n">
        <v>12</v>
      </c>
      <c r="O1498" t="inlineStr">
        <is>
          <t>2026-10-05 UTC (WFM pull 02:52-04:00)</t>
        </is>
      </c>
      <c r="P1498" t="inlineStr">
        <is>
          <t>OK</t>
        </is>
      </c>
      <c r="R1498" t="inlineStr">
        <is>
          <t>Every current tradeable mod at MAX RANK (WFM catalogue, rivens/locators excluded)</t>
        </is>
      </c>
      <c r="S1498" t="inlineStr">
        <is>
          <t>sure_shot</t>
        </is>
      </c>
      <c r="T1498" t="n">
        <v>79</v>
      </c>
      <c r="U1498" t="n">
        <v>2</v>
      </c>
      <c r="V1498" t="n">
        <v>10.5</v>
      </c>
      <c r="W1498" t="n">
        <v>10</v>
      </c>
      <c r="X1498" t="n">
        <v>10.8</v>
      </c>
      <c r="Y1498" t="n">
        <v>55</v>
      </c>
      <c r="Z1498" t="n">
        <v>1</v>
      </c>
      <c r="AN1498" t="inlineStr">
        <is>
          <t>Pistol</t>
        </is>
      </c>
      <c r="AO1498" t="n">
        <v>620</v>
      </c>
      <c r="AP1498" t="n">
        <v>29946</v>
      </c>
      <c r="AQ1498" t="n">
        <v>5</v>
      </c>
      <c r="AS1498" t="inlineStr">
        <is>
          <t>Yes</t>
        </is>
      </c>
    </row>
    <row r="1499">
      <c r="A1499" t="inlineStr">
        <is>
          <t>Mod</t>
        </is>
      </c>
      <c r="B1499" t="inlineStr">
        <is>
          <t>Surging Blades</t>
        </is>
      </c>
      <c r="E1499" t="inlineStr">
        <is>
          <t>Augment Yareli</t>
        </is>
      </c>
      <c r="F1499" t="n">
        <v>3</v>
      </c>
      <c r="G1499" t="n">
        <v>1</v>
      </c>
      <c r="H1499" t="inlineStr">
        <is>
          <t>Player trade (max rank)</t>
        </is>
      </c>
      <c r="I1499" t="inlineStr">
        <is>
          <t>Yes</t>
        </is>
      </c>
      <c r="K1499" t="inlineStr">
        <is>
          <t>Collection</t>
        </is>
      </c>
      <c r="L1499" t="n">
        <v>30</v>
      </c>
      <c r="M1499" t="n">
        <v>30</v>
      </c>
      <c r="N1499" t="n">
        <v>66</v>
      </c>
      <c r="O1499" t="inlineStr">
        <is>
          <t>2026-10-05 UTC (WFM pull 02:52-04:00)</t>
        </is>
      </c>
      <c r="P1499" t="inlineStr">
        <is>
          <t>OK</t>
        </is>
      </c>
      <c r="R1499" t="inlineStr">
        <is>
          <t>Every current tradeable mod at MAX RANK (WFM catalogue, rivens/locators excluded)</t>
        </is>
      </c>
      <c r="S1499" t="inlineStr">
        <is>
          <t>surging_blades</t>
        </is>
      </c>
      <c r="T1499" t="n">
        <v>5</v>
      </c>
      <c r="U1499" t="n">
        <v>5</v>
      </c>
      <c r="V1499" t="n">
        <v>14.5</v>
      </c>
      <c r="W1499" t="n">
        <v>15</v>
      </c>
      <c r="X1499" t="n">
        <v>14.3</v>
      </c>
      <c r="Y1499" t="n">
        <v>81</v>
      </c>
      <c r="Z1499" t="n">
        <v>2</v>
      </c>
      <c r="AN1499" t="inlineStr">
        <is>
          <t>Augment Yareli</t>
        </is>
      </c>
      <c r="AO1499" t="n">
        <v>210</v>
      </c>
      <c r="AP1499" t="n">
        <v>10143</v>
      </c>
      <c r="AQ1499" t="n">
        <v>10</v>
      </c>
      <c r="AS1499" t="inlineStr">
        <is>
          <t>Yes</t>
        </is>
      </c>
    </row>
    <row r="1500">
      <c r="A1500" t="inlineStr">
        <is>
          <t>Mod</t>
        </is>
      </c>
      <c r="B1500" t="inlineStr">
        <is>
          <t>Surging Dash</t>
        </is>
      </c>
      <c r="E1500" t="inlineStr">
        <is>
          <t>Augment Excalibur</t>
        </is>
      </c>
      <c r="F1500" t="n">
        <v>3</v>
      </c>
      <c r="G1500" t="n">
        <v>1</v>
      </c>
      <c r="H1500" t="inlineStr">
        <is>
          <t>Player trade (max rank)</t>
        </is>
      </c>
      <c r="I1500" t="inlineStr">
        <is>
          <t>Yes</t>
        </is>
      </c>
      <c r="K1500" t="inlineStr">
        <is>
          <t>Collection</t>
        </is>
      </c>
      <c r="L1500" t="n">
        <v>15</v>
      </c>
      <c r="M1500" t="n">
        <v>22.5</v>
      </c>
      <c r="N1500" t="n">
        <v>44</v>
      </c>
      <c r="O1500" t="inlineStr">
        <is>
          <t>2026-10-05 UTC (WFM pull 02:52-04:00)</t>
        </is>
      </c>
      <c r="P1500" t="inlineStr">
        <is>
          <t>OK</t>
        </is>
      </c>
      <c r="R1500" t="inlineStr">
        <is>
          <t>Every current tradeable mod at MAX RANK (WFM catalogue, rivens/locators excluded)</t>
        </is>
      </c>
      <c r="S1500" t="inlineStr">
        <is>
          <t>surging_dash</t>
        </is>
      </c>
      <c r="T1500" t="n">
        <v>6</v>
      </c>
      <c r="U1500" t="n">
        <v>6</v>
      </c>
      <c r="V1500" t="n">
        <v>15</v>
      </c>
      <c r="W1500" t="n">
        <v>15</v>
      </c>
      <c r="X1500" t="n">
        <v>14.9</v>
      </c>
      <c r="Y1500" t="n">
        <v>22</v>
      </c>
      <c r="Z1500" t="n">
        <v>0</v>
      </c>
      <c r="AN1500" t="inlineStr">
        <is>
          <t>Augment Excalibur</t>
        </is>
      </c>
      <c r="AO1500" t="n">
        <v>210</v>
      </c>
      <c r="AP1500" t="n">
        <v>10143</v>
      </c>
      <c r="AQ1500" t="n">
        <v>14</v>
      </c>
      <c r="AS1500" t="inlineStr">
        <is>
          <t>Yes</t>
        </is>
      </c>
    </row>
    <row r="1501">
      <c r="A1501" t="inlineStr">
        <is>
          <t>Mod</t>
        </is>
      </c>
      <c r="B1501" t="inlineStr">
        <is>
          <t>Surplus Diverters</t>
        </is>
      </c>
      <c r="E1501" t="inlineStr">
        <is>
          <t>Conclave (PvP)</t>
        </is>
      </c>
      <c r="F1501" t="n">
        <v>5</v>
      </c>
      <c r="G1501" t="n">
        <v>1</v>
      </c>
      <c r="H1501" t="inlineStr">
        <is>
          <t>Player trade (max rank)</t>
        </is>
      </c>
      <c r="I1501" t="inlineStr">
        <is>
          <t>Yes</t>
        </is>
      </c>
      <c r="K1501" t="inlineStr">
        <is>
          <t>Collection (PvP)</t>
        </is>
      </c>
      <c r="L1501" t="n">
        <v>150</v>
      </c>
      <c r="M1501" t="n">
        <v>150</v>
      </c>
      <c r="N1501" t="n">
        <v>330</v>
      </c>
      <c r="O1501" t="inlineStr">
        <is>
          <t>2026-10-05 UTC (WFM pull 02:52-04:00)</t>
        </is>
      </c>
      <c r="P1501" t="inlineStr">
        <is>
          <t>OK</t>
        </is>
      </c>
      <c r="R1501" t="inlineStr">
        <is>
          <t>Every current tradeable mod at MAX RANK (WFM catalogue, rivens/locators excluded)</t>
        </is>
      </c>
      <c r="S1501" t="inlineStr">
        <is>
          <t>surplus_diverters</t>
        </is>
      </c>
      <c r="T1501" t="n">
        <v>3</v>
      </c>
      <c r="U1501" t="n">
        <v>0</v>
      </c>
      <c r="W1501" t="n">
        <v>30</v>
      </c>
      <c r="X1501" t="n">
        <v>30</v>
      </c>
      <c r="Y1501" t="n">
        <v>2</v>
      </c>
      <c r="Z1501" t="n">
        <v>0</v>
      </c>
      <c r="AN1501" t="inlineStr">
        <is>
          <t>Conclave (PvP)</t>
        </is>
      </c>
      <c r="AO1501" t="n">
        <v>930</v>
      </c>
      <c r="AP1501" t="n">
        <v>44919</v>
      </c>
      <c r="AQ1501" t="n">
        <v>50</v>
      </c>
      <c r="AS1501" t="inlineStr">
        <is>
          <t>PvP subtotal</t>
        </is>
      </c>
    </row>
    <row r="1502">
      <c r="A1502" t="inlineStr">
        <is>
          <t>Mod</t>
        </is>
      </c>
      <c r="B1502" t="inlineStr">
        <is>
          <t>Survival Instinct</t>
        </is>
      </c>
      <c r="E1502" t="inlineStr">
        <is>
          <t>Sly Vulpaphyla</t>
        </is>
      </c>
      <c r="F1502" t="n">
        <v>3</v>
      </c>
      <c r="G1502" t="n">
        <v>1</v>
      </c>
      <c r="H1502" t="inlineStr">
        <is>
          <t>Player trade (max rank)</t>
        </is>
      </c>
      <c r="I1502" t="inlineStr">
        <is>
          <t>Yes</t>
        </is>
      </c>
      <c r="K1502" t="inlineStr">
        <is>
          <t>Collection</t>
        </is>
      </c>
      <c r="L1502" t="n">
        <v>15</v>
      </c>
      <c r="M1502" t="n">
        <v>15</v>
      </c>
      <c r="N1502" t="n">
        <v>33</v>
      </c>
      <c r="O1502" t="inlineStr">
        <is>
          <t>2026-10-05 UTC (WFM pull 02:52-04:00)</t>
        </is>
      </c>
      <c r="P1502" t="inlineStr">
        <is>
          <t>OK</t>
        </is>
      </c>
      <c r="R1502" t="inlineStr">
        <is>
          <t>Every current tradeable mod at MAX RANK (WFM catalogue, rivens/locators excluded)</t>
        </is>
      </c>
      <c r="S1502" t="inlineStr">
        <is>
          <t>survival_instinct</t>
        </is>
      </c>
      <c r="T1502" t="n">
        <v>12</v>
      </c>
      <c r="U1502" t="n">
        <v>0</v>
      </c>
      <c r="W1502" t="n">
        <v>10</v>
      </c>
      <c r="X1502" t="n">
        <v>10</v>
      </c>
      <c r="Y1502" t="n">
        <v>1</v>
      </c>
      <c r="Z1502" t="n">
        <v>0</v>
      </c>
      <c r="AN1502" t="inlineStr">
        <is>
          <t>Sly Vulpaphyla</t>
        </is>
      </c>
      <c r="AO1502" t="n">
        <v>210</v>
      </c>
      <c r="AP1502" t="n">
        <v>10143</v>
      </c>
      <c r="AQ1502" t="n">
        <v>10</v>
      </c>
      <c r="AS1502" t="inlineStr">
        <is>
          <t>Yes</t>
        </is>
      </c>
    </row>
    <row r="1503">
      <c r="A1503" t="inlineStr">
        <is>
          <t>Mod</t>
        </is>
      </c>
      <c r="B1503" t="inlineStr">
        <is>
          <t>Sweeping Serration</t>
        </is>
      </c>
      <c r="E1503" t="inlineStr">
        <is>
          <t>Shotgun</t>
        </is>
      </c>
      <c r="F1503" t="n">
        <v>5</v>
      </c>
      <c r="G1503" t="n">
        <v>1</v>
      </c>
      <c r="H1503" t="inlineStr">
        <is>
          <t>Player trade (max rank)</t>
        </is>
      </c>
      <c r="I1503" t="inlineStr">
        <is>
          <t>Yes</t>
        </is>
      </c>
      <c r="K1503" t="inlineStr">
        <is>
          <t>Collection</t>
        </is>
      </c>
      <c r="L1503" t="n">
        <v>10</v>
      </c>
      <c r="M1503" t="n">
        <v>20</v>
      </c>
      <c r="N1503" t="n">
        <v>33</v>
      </c>
      <c r="O1503" t="inlineStr">
        <is>
          <t>2026-10-05 UTC (WFM pull 02:52-04:00)</t>
        </is>
      </c>
      <c r="P1503" t="inlineStr">
        <is>
          <t>OK</t>
        </is>
      </c>
      <c r="R1503" t="inlineStr">
        <is>
          <t>Every current tradeable mod at MAX RANK (WFM catalogue, rivens/locators excluded)</t>
        </is>
      </c>
      <c r="S1503" t="inlineStr">
        <is>
          <t>sweeping_serration</t>
        </is>
      </c>
      <c r="T1503" t="n">
        <v>8</v>
      </c>
      <c r="U1503" t="n">
        <v>8</v>
      </c>
      <c r="V1503" t="n">
        <v>15</v>
      </c>
      <c r="W1503" t="n">
        <v>14</v>
      </c>
      <c r="X1503" t="n">
        <v>13.7</v>
      </c>
      <c r="Y1503" t="n">
        <v>36</v>
      </c>
      <c r="Z1503" t="n">
        <v>1</v>
      </c>
      <c r="AN1503" t="inlineStr">
        <is>
          <t>Shotgun</t>
        </is>
      </c>
      <c r="AO1503" t="n">
        <v>930</v>
      </c>
      <c r="AP1503" t="n">
        <v>44919</v>
      </c>
      <c r="AQ1503" t="n">
        <v>9.800000000000001</v>
      </c>
      <c r="AS1503" t="inlineStr">
        <is>
          <t>Yes</t>
        </is>
      </c>
    </row>
    <row r="1504">
      <c r="A1504" t="inlineStr">
        <is>
          <t>Mod</t>
        </is>
      </c>
      <c r="B1504" t="inlineStr">
        <is>
          <t>Swift Bite</t>
        </is>
      </c>
      <c r="E1504" t="inlineStr">
        <is>
          <t>Augment Lavos</t>
        </is>
      </c>
      <c r="F1504" t="n">
        <v>3</v>
      </c>
      <c r="G1504" t="n">
        <v>1</v>
      </c>
      <c r="H1504" t="inlineStr">
        <is>
          <t>Player trade (max rank)</t>
        </is>
      </c>
      <c r="I1504" t="inlineStr">
        <is>
          <t>Yes</t>
        </is>
      </c>
      <c r="K1504" t="inlineStr">
        <is>
          <t>Collection</t>
        </is>
      </c>
      <c r="L1504" t="n">
        <v>12</v>
      </c>
      <c r="M1504" t="n">
        <v>12</v>
      </c>
      <c r="N1504" t="n">
        <v>17</v>
      </c>
      <c r="O1504" t="inlineStr">
        <is>
          <t>2026-10-05 UTC (WFM pull 02:52-04:00)</t>
        </is>
      </c>
      <c r="P1504" t="inlineStr">
        <is>
          <t>OK</t>
        </is>
      </c>
      <c r="R1504" t="inlineStr">
        <is>
          <t>Every current tradeable mod at MAX RANK (WFM catalogue, rivens/locators excluded)</t>
        </is>
      </c>
      <c r="S1504" t="inlineStr">
        <is>
          <t>swift_bite</t>
        </is>
      </c>
      <c r="T1504" t="n">
        <v>75</v>
      </c>
      <c r="U1504" t="n">
        <v>2</v>
      </c>
      <c r="V1504" t="n">
        <v>15</v>
      </c>
      <c r="W1504" t="n">
        <v>15</v>
      </c>
      <c r="X1504" t="n">
        <v>15.6</v>
      </c>
      <c r="Y1504" t="n">
        <v>152</v>
      </c>
      <c r="Z1504" t="n">
        <v>1</v>
      </c>
      <c r="AN1504" t="inlineStr">
        <is>
          <t>Augment Lavos</t>
        </is>
      </c>
      <c r="AO1504" t="n">
        <v>210</v>
      </c>
      <c r="AP1504" t="n">
        <v>10143</v>
      </c>
      <c r="AQ1504" t="n">
        <v>17</v>
      </c>
      <c r="AS1504" t="inlineStr">
        <is>
          <t>Yes</t>
        </is>
      </c>
    </row>
    <row r="1505">
      <c r="A1505" t="inlineStr">
        <is>
          <t>Mod</t>
        </is>
      </c>
      <c r="B1505" t="inlineStr">
        <is>
          <t>Swift Mercy</t>
        </is>
      </c>
      <c r="E1505" t="inlineStr">
        <is>
          <t>Parazon</t>
        </is>
      </c>
      <c r="G1505" t="n">
        <v>1</v>
      </c>
      <c r="H1505" t="inlineStr">
        <is>
          <t>Player trade (max rank)</t>
        </is>
      </c>
      <c r="I1505" t="inlineStr">
        <is>
          <t>Yes</t>
        </is>
      </c>
      <c r="K1505" t="inlineStr">
        <is>
          <t>Collection</t>
        </is>
      </c>
      <c r="L1505" t="n">
        <v>9</v>
      </c>
      <c r="M1505" t="n">
        <v>9</v>
      </c>
      <c r="N1505" t="n">
        <v>11</v>
      </c>
      <c r="O1505" t="inlineStr">
        <is>
          <t>2026-10-05 UTC (WFM pull 02:52-04:00)</t>
        </is>
      </c>
      <c r="P1505" t="inlineStr">
        <is>
          <t>OK</t>
        </is>
      </c>
      <c r="R1505" t="inlineStr">
        <is>
          <t>Every current tradeable mod at MAX RANK (WFM catalogue, rivens/locators excluded)</t>
        </is>
      </c>
      <c r="S1505" t="inlineStr">
        <is>
          <t>swift_mercy</t>
        </is>
      </c>
      <c r="T1505" t="n">
        <v>4</v>
      </c>
      <c r="U1505" t="n">
        <v>4</v>
      </c>
      <c r="V1505" t="n">
        <v>7</v>
      </c>
      <c r="W1505" t="n">
        <v>8</v>
      </c>
      <c r="X1505" t="n">
        <v>7.9</v>
      </c>
      <c r="Y1505" t="n">
        <v>293</v>
      </c>
      <c r="Z1505" t="n">
        <v>9</v>
      </c>
      <c r="AN1505" t="inlineStr">
        <is>
          <t>Parazon</t>
        </is>
      </c>
      <c r="AO1505" t="n">
        <v>0</v>
      </c>
      <c r="AP1505" t="n">
        <v>0</v>
      </c>
      <c r="AS1505" t="inlineStr">
        <is>
          <t>Yes</t>
        </is>
      </c>
    </row>
    <row r="1506">
      <c r="A1506" t="inlineStr">
        <is>
          <t>Mod</t>
        </is>
      </c>
      <c r="B1506" t="inlineStr">
        <is>
          <t>Swift Momentum</t>
        </is>
      </c>
      <c r="E1506" t="inlineStr">
        <is>
          <t>Aura</t>
        </is>
      </c>
      <c r="F1506" t="n">
        <v>5</v>
      </c>
      <c r="G1506" t="n">
        <v>1</v>
      </c>
      <c r="H1506" t="inlineStr">
        <is>
          <t>Player trade (max rank)</t>
        </is>
      </c>
      <c r="I1506" t="inlineStr">
        <is>
          <t>Yes</t>
        </is>
      </c>
      <c r="K1506" t="inlineStr">
        <is>
          <t>Collection</t>
        </is>
      </c>
      <c r="L1506" t="n">
        <v>20</v>
      </c>
      <c r="M1506" t="n">
        <v>20</v>
      </c>
      <c r="N1506" t="n">
        <v>44</v>
      </c>
      <c r="O1506" t="inlineStr">
        <is>
          <t>2026-10-05 UTC (WFM pull 02:52-04:00)</t>
        </is>
      </c>
      <c r="P1506" t="inlineStr">
        <is>
          <t>OK</t>
        </is>
      </c>
      <c r="R1506" t="inlineStr">
        <is>
          <t>Every current tradeable mod at MAX RANK (WFM catalogue, rivens/locators excluded)</t>
        </is>
      </c>
      <c r="S1506" t="inlineStr">
        <is>
          <t>swift_momentum</t>
        </is>
      </c>
      <c r="T1506" t="n">
        <v>5</v>
      </c>
      <c r="U1506" t="n">
        <v>5</v>
      </c>
      <c r="V1506" t="n">
        <v>10</v>
      </c>
      <c r="W1506" t="n">
        <v>10</v>
      </c>
      <c r="X1506" t="n">
        <v>9.800000000000001</v>
      </c>
      <c r="Y1506" t="n">
        <v>140</v>
      </c>
      <c r="Z1506" t="n">
        <v>8</v>
      </c>
      <c r="AN1506" t="inlineStr">
        <is>
          <t>Aura</t>
        </is>
      </c>
      <c r="AO1506" t="n">
        <v>930</v>
      </c>
      <c r="AP1506" t="n">
        <v>44919</v>
      </c>
      <c r="AQ1506" t="n">
        <v>5</v>
      </c>
      <c r="AS1506" t="inlineStr">
        <is>
          <t>Yes</t>
        </is>
      </c>
    </row>
    <row r="1507">
      <c r="A1507" t="inlineStr">
        <is>
          <t>Mod</t>
        </is>
      </c>
      <c r="B1507" t="inlineStr">
        <is>
          <t>Swing Line</t>
        </is>
      </c>
      <c r="E1507" t="inlineStr">
        <is>
          <t>Augment Valkyr</t>
        </is>
      </c>
      <c r="F1507" t="n">
        <v>3</v>
      </c>
      <c r="G1507" t="n">
        <v>1</v>
      </c>
      <c r="H1507" t="inlineStr">
        <is>
          <t>Player trade (max rank)</t>
        </is>
      </c>
      <c r="I1507" t="inlineStr">
        <is>
          <t>Yes</t>
        </is>
      </c>
      <c r="K1507" t="inlineStr">
        <is>
          <t>Collection</t>
        </is>
      </c>
      <c r="L1507" t="n">
        <v>35</v>
      </c>
      <c r="M1507" t="n">
        <v>35</v>
      </c>
      <c r="N1507" t="n">
        <v>44</v>
      </c>
      <c r="O1507" t="inlineStr">
        <is>
          <t>2026-10-05 UTC (WFM pull 02:52-04:00)</t>
        </is>
      </c>
      <c r="P1507" t="inlineStr">
        <is>
          <t>OK</t>
        </is>
      </c>
      <c r="R1507" t="inlineStr">
        <is>
          <t>Every current tradeable mod at MAX RANK (WFM catalogue, rivens/locators excluded)</t>
        </is>
      </c>
      <c r="S1507" t="inlineStr">
        <is>
          <t>swing_line</t>
        </is>
      </c>
      <c r="T1507" t="n">
        <v>4</v>
      </c>
      <c r="U1507" t="n">
        <v>4</v>
      </c>
      <c r="V1507" t="n">
        <v>22.5</v>
      </c>
      <c r="W1507" t="n">
        <v>24</v>
      </c>
      <c r="X1507" t="n">
        <v>22.8</v>
      </c>
      <c r="Y1507" t="n">
        <v>356</v>
      </c>
      <c r="Z1507" t="n">
        <v>2</v>
      </c>
      <c r="AN1507" t="inlineStr">
        <is>
          <t>Augment Valkyr</t>
        </is>
      </c>
      <c r="AO1507" t="n">
        <v>210</v>
      </c>
      <c r="AP1507" t="n">
        <v>10143</v>
      </c>
      <c r="AQ1507" t="n">
        <v>20</v>
      </c>
      <c r="AS1507" t="inlineStr">
        <is>
          <t>Yes</t>
        </is>
      </c>
    </row>
    <row r="1508">
      <c r="A1508" t="inlineStr">
        <is>
          <t>Mod</t>
        </is>
      </c>
      <c r="B1508" t="inlineStr">
        <is>
          <t>Swipe</t>
        </is>
      </c>
      <c r="E1508" t="inlineStr">
        <is>
          <t>Kavat Claws</t>
        </is>
      </c>
      <c r="F1508" t="n">
        <v>3</v>
      </c>
      <c r="G1508" t="n">
        <v>1</v>
      </c>
      <c r="H1508" t="inlineStr">
        <is>
          <t>Player trade (max rank)</t>
        </is>
      </c>
      <c r="I1508" t="inlineStr">
        <is>
          <t>Yes</t>
        </is>
      </c>
      <c r="K1508" t="inlineStr">
        <is>
          <t>Collection</t>
        </is>
      </c>
      <c r="L1508" t="n">
        <v>10</v>
      </c>
      <c r="M1508" t="n">
        <v>14.2</v>
      </c>
      <c r="N1508" t="n">
        <v>32</v>
      </c>
      <c r="O1508" t="inlineStr">
        <is>
          <t>2026-10-05 UTC (WFM pull 02:52-04:00)</t>
        </is>
      </c>
      <c r="P1508" t="inlineStr">
        <is>
          <t>OK</t>
        </is>
      </c>
      <c r="R1508" t="inlineStr">
        <is>
          <t>Every current tradeable mod at MAX RANK (WFM catalogue, rivens/locators excluded)</t>
        </is>
      </c>
      <c r="S1508" t="inlineStr">
        <is>
          <t>swipe</t>
        </is>
      </c>
      <c r="T1508" t="n">
        <v>3</v>
      </c>
      <c r="U1508" t="n">
        <v>3</v>
      </c>
      <c r="V1508" t="n">
        <v>9.5</v>
      </c>
      <c r="W1508" t="n">
        <v>9</v>
      </c>
      <c r="X1508" t="n">
        <v>8.699999999999999</v>
      </c>
      <c r="Y1508" t="n">
        <v>66</v>
      </c>
      <c r="Z1508" t="n">
        <v>1</v>
      </c>
      <c r="AN1508" t="inlineStr">
        <is>
          <t>Kavat Claws</t>
        </is>
      </c>
      <c r="AO1508" t="n">
        <v>140</v>
      </c>
      <c r="AP1508" t="n">
        <v>6762</v>
      </c>
      <c r="AQ1508" t="n">
        <v>4.5</v>
      </c>
      <c r="AS1508" t="inlineStr">
        <is>
          <t>Yes</t>
        </is>
      </c>
    </row>
    <row r="1509">
      <c r="A1509" t="inlineStr">
        <is>
          <t>Mod</t>
        </is>
      </c>
      <c r="B1509" t="inlineStr">
        <is>
          <t>Swirling Tiger</t>
        </is>
      </c>
      <c r="E1509" t="inlineStr">
        <is>
          <t>Stance</t>
        </is>
      </c>
      <c r="F1509" t="n">
        <v>3</v>
      </c>
      <c r="G1509" t="n">
        <v>1</v>
      </c>
      <c r="H1509" t="inlineStr">
        <is>
          <t>Player trade (max rank)</t>
        </is>
      </c>
      <c r="I1509" t="inlineStr">
        <is>
          <t>Yes</t>
        </is>
      </c>
      <c r="K1509" t="inlineStr">
        <is>
          <t>Collection</t>
        </is>
      </c>
      <c r="L1509" t="n">
        <v>8</v>
      </c>
      <c r="M1509" t="n">
        <v>10.5</v>
      </c>
      <c r="N1509" t="n">
        <v>24</v>
      </c>
      <c r="O1509" t="inlineStr">
        <is>
          <t>2026-10-05 UTC (WFM pull 02:52-04:00)</t>
        </is>
      </c>
      <c r="P1509" t="inlineStr">
        <is>
          <t>OK</t>
        </is>
      </c>
      <c r="R1509" t="inlineStr">
        <is>
          <t>Every current tradeable mod at MAX RANK (WFM catalogue, rivens/locators excluded)</t>
        </is>
      </c>
      <c r="S1509" t="inlineStr">
        <is>
          <t>swirling_tiger</t>
        </is>
      </c>
      <c r="T1509" t="n">
        <v>6</v>
      </c>
      <c r="U1509" t="n">
        <v>6</v>
      </c>
      <c r="V1509" t="n">
        <v>7</v>
      </c>
      <c r="W1509" t="n">
        <v>7</v>
      </c>
      <c r="X1509" t="n">
        <v>6.8</v>
      </c>
      <c r="Y1509" t="n">
        <v>12</v>
      </c>
      <c r="Z1509" t="n">
        <v>0</v>
      </c>
      <c r="AN1509" t="inlineStr">
        <is>
          <t>Stance</t>
        </is>
      </c>
      <c r="AO1509" t="n">
        <v>140</v>
      </c>
      <c r="AP1509" t="n">
        <v>6762</v>
      </c>
      <c r="AQ1509" t="n">
        <v>4</v>
      </c>
      <c r="AS1509" t="inlineStr">
        <is>
          <t>Yes</t>
        </is>
      </c>
    </row>
    <row r="1510">
      <c r="A1510" t="inlineStr">
        <is>
          <t>Mod</t>
        </is>
      </c>
      <c r="B1510" t="inlineStr">
        <is>
          <t>Swooping Falcon</t>
        </is>
      </c>
      <c r="E1510" t="inlineStr">
        <is>
          <t>Stance</t>
        </is>
      </c>
      <c r="F1510" t="n">
        <v>3</v>
      </c>
      <c r="G1510" t="n">
        <v>1</v>
      </c>
      <c r="H1510" t="inlineStr">
        <is>
          <t>Player trade (max rank)</t>
        </is>
      </c>
      <c r="I1510" t="inlineStr">
        <is>
          <t>Yes</t>
        </is>
      </c>
      <c r="K1510" t="inlineStr">
        <is>
          <t>Collection</t>
        </is>
      </c>
      <c r="L1510" t="n">
        <v>10</v>
      </c>
      <c r="M1510" t="n">
        <v>10.5</v>
      </c>
      <c r="N1510" t="n">
        <v>17</v>
      </c>
      <c r="O1510" t="inlineStr">
        <is>
          <t>2026-10-05 UTC (WFM pull 02:52-04:00)</t>
        </is>
      </c>
      <c r="P1510" t="inlineStr">
        <is>
          <t>OK</t>
        </is>
      </c>
      <c r="R1510" t="inlineStr">
        <is>
          <t>Every current tradeable mod at MAX RANK (WFM catalogue, rivens/locators excluded)</t>
        </is>
      </c>
      <c r="S1510" t="inlineStr">
        <is>
          <t>swooping_falcon</t>
        </is>
      </c>
      <c r="T1510" t="n">
        <v>8</v>
      </c>
      <c r="U1510" t="n">
        <v>8</v>
      </c>
      <c r="V1510" t="n">
        <v>7</v>
      </c>
      <c r="W1510" t="n">
        <v>9</v>
      </c>
      <c r="X1510" t="n">
        <v>9.6</v>
      </c>
      <c r="Y1510" t="n">
        <v>39</v>
      </c>
      <c r="Z1510" t="n">
        <v>0</v>
      </c>
      <c r="AN1510" t="inlineStr">
        <is>
          <t>Stance</t>
        </is>
      </c>
      <c r="AO1510" t="n">
        <v>210</v>
      </c>
      <c r="AP1510" t="n">
        <v>10143</v>
      </c>
      <c r="AQ1510" t="n">
        <v>5</v>
      </c>
      <c r="AS1510" t="inlineStr">
        <is>
          <t>Yes</t>
        </is>
      </c>
    </row>
    <row r="1511">
      <c r="A1511" t="inlineStr">
        <is>
          <t>Mod</t>
        </is>
      </c>
      <c r="B1511" t="inlineStr">
        <is>
          <t>Sword Alone</t>
        </is>
      </c>
      <c r="E1511" t="inlineStr">
        <is>
          <t>Conclave (PvP)</t>
        </is>
      </c>
      <c r="F1511" t="n">
        <v>3</v>
      </c>
      <c r="G1511" t="n">
        <v>1</v>
      </c>
      <c r="H1511" t="inlineStr">
        <is>
          <t>Player trade (max rank)</t>
        </is>
      </c>
      <c r="I1511" t="inlineStr">
        <is>
          <t>Yes</t>
        </is>
      </c>
      <c r="K1511" t="inlineStr">
        <is>
          <t>Collection (PvP)</t>
        </is>
      </c>
      <c r="L1511" t="n">
        <v>125</v>
      </c>
      <c r="M1511" t="n">
        <v>125</v>
      </c>
      <c r="N1511" t="n">
        <v>275</v>
      </c>
      <c r="O1511" t="inlineStr">
        <is>
          <t>2026-10-05 UTC (WFM pull 02:52-04:00)</t>
        </is>
      </c>
      <c r="P1511" t="inlineStr">
        <is>
          <t>OK</t>
        </is>
      </c>
      <c r="R1511" t="inlineStr">
        <is>
          <t>Every current tradeable mod at MAX RANK (WFM catalogue, rivens/locators excluded)</t>
        </is>
      </c>
      <c r="S1511" t="inlineStr">
        <is>
          <t>sword_alone</t>
        </is>
      </c>
      <c r="T1511" t="n">
        <v>6</v>
      </c>
      <c r="U1511" t="n">
        <v>0</v>
      </c>
      <c r="V1511" t="n">
        <v>30</v>
      </c>
      <c r="W1511" t="n">
        <v>30</v>
      </c>
      <c r="X1511" t="n">
        <v>30</v>
      </c>
      <c r="Y1511" t="n">
        <v>1</v>
      </c>
      <c r="Z1511" t="n">
        <v>0</v>
      </c>
      <c r="AN1511" t="inlineStr">
        <is>
          <t>Conclave (PvP)</t>
        </is>
      </c>
      <c r="AO1511" t="n">
        <v>210</v>
      </c>
      <c r="AP1511" t="n">
        <v>10143</v>
      </c>
      <c r="AQ1511" t="n">
        <v>50</v>
      </c>
      <c r="AS1511" t="inlineStr">
        <is>
          <t>PvP subtotal</t>
        </is>
      </c>
    </row>
    <row r="1512">
      <c r="A1512" t="inlineStr">
        <is>
          <t>Mod</t>
        </is>
      </c>
      <c r="B1512" t="inlineStr">
        <is>
          <t>Synergized Prospectus</t>
        </is>
      </c>
      <c r="E1512" t="inlineStr">
        <is>
          <t>Hound</t>
        </is>
      </c>
      <c r="F1512" t="n">
        <v>5</v>
      </c>
      <c r="G1512" t="n">
        <v>1</v>
      </c>
      <c r="H1512" t="inlineStr">
        <is>
          <t>Player trade (max rank)</t>
        </is>
      </c>
      <c r="I1512" t="inlineStr">
        <is>
          <t>Yes</t>
        </is>
      </c>
      <c r="K1512" t="inlineStr">
        <is>
          <t>Collection</t>
        </is>
      </c>
      <c r="L1512" t="n">
        <v>55</v>
      </c>
      <c r="M1512" t="n">
        <v>67.5</v>
      </c>
      <c r="N1512" t="n">
        <v>100</v>
      </c>
      <c r="O1512" t="inlineStr">
        <is>
          <t>2026-10-05 UTC (WFM pull 02:52-04:00)</t>
        </is>
      </c>
      <c r="P1512" t="inlineStr">
        <is>
          <t>OK</t>
        </is>
      </c>
      <c r="R1512" t="inlineStr">
        <is>
          <t>Every current tradeable mod at MAX RANK (WFM catalogue, rivens/locators excluded)</t>
        </is>
      </c>
      <c r="S1512" t="inlineStr">
        <is>
          <t>synergized_prospectus</t>
        </is>
      </c>
      <c r="T1512" t="n">
        <v>4</v>
      </c>
      <c r="U1512" t="n">
        <v>4</v>
      </c>
      <c r="V1512" t="n">
        <v>45</v>
      </c>
      <c r="W1512" t="n">
        <v>40</v>
      </c>
      <c r="X1512" t="n">
        <v>38.8</v>
      </c>
      <c r="Y1512" t="n">
        <v>203</v>
      </c>
      <c r="Z1512" t="n">
        <v>4</v>
      </c>
      <c r="AN1512" t="inlineStr">
        <is>
          <t>Hound</t>
        </is>
      </c>
      <c r="AO1512" t="n">
        <v>930</v>
      </c>
      <c r="AP1512" t="n">
        <v>44919</v>
      </c>
      <c r="AQ1512" t="n">
        <v>35</v>
      </c>
      <c r="AS1512" t="inlineStr">
        <is>
          <t>Yes</t>
        </is>
      </c>
    </row>
    <row r="1513">
      <c r="A1513" t="inlineStr">
        <is>
          <t>Mod</t>
        </is>
      </c>
      <c r="B1513" t="inlineStr">
        <is>
          <t>Synth Charge</t>
        </is>
      </c>
      <c r="E1513" t="inlineStr">
        <is>
          <t>Pistol</t>
        </is>
      </c>
      <c r="F1513" t="n">
        <v>3</v>
      </c>
      <c r="G1513" t="n">
        <v>1</v>
      </c>
      <c r="H1513" t="inlineStr">
        <is>
          <t>Player trade (max rank)</t>
        </is>
      </c>
      <c r="I1513" t="inlineStr">
        <is>
          <t>Yes</t>
        </is>
      </c>
      <c r="K1513" t="inlineStr">
        <is>
          <t>Collection</t>
        </is>
      </c>
      <c r="L1513" t="n">
        <v>8</v>
      </c>
      <c r="M1513" t="n">
        <v>10</v>
      </c>
      <c r="N1513" t="n">
        <v>22</v>
      </c>
      <c r="O1513" t="inlineStr">
        <is>
          <t>2026-10-05 UTC (WFM pull 02:52-04:00)</t>
        </is>
      </c>
      <c r="P1513" t="inlineStr">
        <is>
          <t>OK</t>
        </is>
      </c>
      <c r="R1513" t="inlineStr">
        <is>
          <t>Every current tradeable mod at MAX RANK (WFM catalogue, rivens/locators excluded)</t>
        </is>
      </c>
      <c r="S1513" t="inlineStr">
        <is>
          <t>synth_charge</t>
        </is>
      </c>
      <c r="T1513" t="n">
        <v>8</v>
      </c>
      <c r="U1513" t="n">
        <v>8</v>
      </c>
      <c r="V1513" t="n">
        <v>9</v>
      </c>
      <c r="W1513" t="n">
        <v>9</v>
      </c>
      <c r="X1513" t="n">
        <v>10.2</v>
      </c>
      <c r="Y1513" t="n">
        <v>68</v>
      </c>
      <c r="Z1513" t="n">
        <v>1</v>
      </c>
      <c r="AN1513" t="inlineStr">
        <is>
          <t>Pistol</t>
        </is>
      </c>
      <c r="AO1513" t="n">
        <v>210</v>
      </c>
      <c r="AP1513" t="n">
        <v>10143</v>
      </c>
      <c r="AQ1513" t="n">
        <v>8</v>
      </c>
      <c r="AS1513" t="inlineStr">
        <is>
          <t>Yes</t>
        </is>
      </c>
    </row>
    <row r="1514">
      <c r="A1514" t="inlineStr">
        <is>
          <t>Mod</t>
        </is>
      </c>
      <c r="B1514" t="inlineStr">
        <is>
          <t>Synth Deconstruct</t>
        </is>
      </c>
      <c r="E1514" t="inlineStr">
        <is>
          <t>Companion</t>
        </is>
      </c>
      <c r="F1514" t="n">
        <v>5</v>
      </c>
      <c r="G1514" t="n">
        <v>1</v>
      </c>
      <c r="H1514" t="inlineStr">
        <is>
          <t>Player trade (max rank)</t>
        </is>
      </c>
      <c r="I1514" t="inlineStr">
        <is>
          <t>Yes</t>
        </is>
      </c>
      <c r="K1514" t="inlineStr">
        <is>
          <t>Collection</t>
        </is>
      </c>
      <c r="L1514" t="n">
        <v>40</v>
      </c>
      <c r="M1514" t="n">
        <v>40</v>
      </c>
      <c r="N1514" t="n">
        <v>56</v>
      </c>
      <c r="O1514" t="inlineStr">
        <is>
          <t>2026-10-05 UTC (WFM pull 02:52-04:00)</t>
        </is>
      </c>
      <c r="P1514" t="inlineStr">
        <is>
          <t>OK</t>
        </is>
      </c>
      <c r="R1514" t="inlineStr">
        <is>
          <t>Every current tradeable mod at MAX RANK (WFM catalogue, rivens/locators excluded)</t>
        </is>
      </c>
      <c r="S1514" t="inlineStr">
        <is>
          <t>synth_deconstruct</t>
        </is>
      </c>
      <c r="T1514" t="n">
        <v>7</v>
      </c>
      <c r="U1514" t="n">
        <v>7</v>
      </c>
      <c r="V1514" t="n">
        <v>25</v>
      </c>
      <c r="W1514" t="n">
        <v>25</v>
      </c>
      <c r="X1514" t="n">
        <v>23.6</v>
      </c>
      <c r="Y1514" t="n">
        <v>2100</v>
      </c>
      <c r="Z1514" t="n">
        <v>43</v>
      </c>
      <c r="AA1514" t="n">
        <v>15</v>
      </c>
      <c r="AB1514" t="n">
        <v>25</v>
      </c>
      <c r="AN1514" t="inlineStr">
        <is>
          <t>Companion</t>
        </is>
      </c>
      <c r="AO1514" t="n">
        <v>930</v>
      </c>
      <c r="AP1514" t="n">
        <v>44919</v>
      </c>
      <c r="AQ1514" t="n">
        <v>20</v>
      </c>
      <c r="AS1514" t="inlineStr">
        <is>
          <t>Yes</t>
        </is>
      </c>
    </row>
    <row r="1515">
      <c r="A1515" t="inlineStr">
        <is>
          <t>Mod</t>
        </is>
      </c>
      <c r="B1515" t="inlineStr">
        <is>
          <t>Synth Fiber</t>
        </is>
      </c>
      <c r="E1515" t="inlineStr">
        <is>
          <t>Companion</t>
        </is>
      </c>
      <c r="F1515" t="n">
        <v>3</v>
      </c>
      <c r="G1515" t="n">
        <v>1</v>
      </c>
      <c r="H1515" t="inlineStr">
        <is>
          <t>Player trade (max rank)</t>
        </is>
      </c>
      <c r="I1515" t="inlineStr">
        <is>
          <t>Yes</t>
        </is>
      </c>
      <c r="K1515" t="inlineStr">
        <is>
          <t>Collection</t>
        </is>
      </c>
      <c r="L1515" t="n">
        <v>12</v>
      </c>
      <c r="M1515" t="n">
        <v>15</v>
      </c>
      <c r="N1515" t="n">
        <v>22</v>
      </c>
      <c r="O1515" t="inlineStr">
        <is>
          <t>2026-10-05 UTC (WFM pull 02:52-04:00)</t>
        </is>
      </c>
      <c r="P1515" t="inlineStr">
        <is>
          <t>OK</t>
        </is>
      </c>
      <c r="R1515" t="inlineStr">
        <is>
          <t>Every current tradeable mod at MAX RANK (WFM catalogue, rivens/locators excluded)</t>
        </is>
      </c>
      <c r="S1515" t="inlineStr">
        <is>
          <t>synth_fiber</t>
        </is>
      </c>
      <c r="T1515" t="n">
        <v>8</v>
      </c>
      <c r="U1515" t="n">
        <v>8</v>
      </c>
      <c r="V1515" t="n">
        <v>12</v>
      </c>
      <c r="W1515" t="n">
        <v>10</v>
      </c>
      <c r="X1515" t="n">
        <v>11.4</v>
      </c>
      <c r="Y1515" t="n">
        <v>183</v>
      </c>
      <c r="Z1515" t="n">
        <v>3</v>
      </c>
      <c r="AN1515" t="inlineStr">
        <is>
          <t>Companion</t>
        </is>
      </c>
      <c r="AO1515" t="n">
        <v>210</v>
      </c>
      <c r="AP1515" t="n">
        <v>10143</v>
      </c>
      <c r="AQ1515" t="n">
        <v>10</v>
      </c>
      <c r="AS1515" t="inlineStr">
        <is>
          <t>Yes</t>
        </is>
      </c>
    </row>
    <row r="1516">
      <c r="A1516" t="inlineStr">
        <is>
          <t>Mod</t>
        </is>
      </c>
      <c r="B1516" t="inlineStr">
        <is>
          <t>Synth Reflex</t>
        </is>
      </c>
      <c r="E1516" t="inlineStr">
        <is>
          <t>Warframe</t>
        </is>
      </c>
      <c r="F1516" t="n">
        <v>3</v>
      </c>
      <c r="G1516" t="n">
        <v>1</v>
      </c>
      <c r="H1516" t="inlineStr">
        <is>
          <t>Player trade (max rank)</t>
        </is>
      </c>
      <c r="I1516" t="inlineStr">
        <is>
          <t>Yes</t>
        </is>
      </c>
      <c r="K1516" t="inlineStr">
        <is>
          <t>Collection</t>
        </is>
      </c>
      <c r="L1516" t="n">
        <v>7</v>
      </c>
      <c r="M1516" t="n">
        <v>12</v>
      </c>
      <c r="N1516" t="n">
        <v>22</v>
      </c>
      <c r="O1516" t="inlineStr">
        <is>
          <t>2026-10-05 UTC (WFM pull 02:52-04:00)</t>
        </is>
      </c>
      <c r="P1516" t="inlineStr">
        <is>
          <t>OK</t>
        </is>
      </c>
      <c r="R1516" t="inlineStr">
        <is>
          <t>Every current tradeable mod at MAX RANK (WFM catalogue, rivens/locators excluded)</t>
        </is>
      </c>
      <c r="S1516" t="inlineStr">
        <is>
          <t>synth_reflex</t>
        </is>
      </c>
      <c r="T1516" t="n">
        <v>8</v>
      </c>
      <c r="U1516" t="n">
        <v>8</v>
      </c>
      <c r="V1516" t="n">
        <v>8</v>
      </c>
      <c r="W1516" t="n">
        <v>10</v>
      </c>
      <c r="X1516" t="n">
        <v>8.300000000000001</v>
      </c>
      <c r="Y1516" t="n">
        <v>31</v>
      </c>
      <c r="Z1516" t="n">
        <v>0</v>
      </c>
      <c r="AN1516" t="inlineStr">
        <is>
          <t>Warframe</t>
        </is>
      </c>
      <c r="AO1516" t="n">
        <v>210</v>
      </c>
      <c r="AP1516" t="n">
        <v>10143</v>
      </c>
      <c r="AQ1516" t="n">
        <v>4</v>
      </c>
      <c r="AS1516" t="inlineStr">
        <is>
          <t>Yes</t>
        </is>
      </c>
    </row>
    <row r="1517">
      <c r="A1517" t="inlineStr">
        <is>
          <t>Mod</t>
        </is>
      </c>
      <c r="B1517" t="inlineStr">
        <is>
          <t>System Reroute</t>
        </is>
      </c>
      <c r="E1517" t="inlineStr">
        <is>
          <t>Archwing</t>
        </is>
      </c>
      <c r="F1517" t="n">
        <v>10</v>
      </c>
      <c r="G1517" t="n">
        <v>1</v>
      </c>
      <c r="H1517" t="inlineStr">
        <is>
          <t>Player trade (max rank)</t>
        </is>
      </c>
      <c r="I1517" t="inlineStr">
        <is>
          <t>Yes</t>
        </is>
      </c>
      <c r="K1517" t="inlineStr">
        <is>
          <t>Collection</t>
        </is>
      </c>
      <c r="L1517" t="n">
        <v>70</v>
      </c>
      <c r="M1517" t="n">
        <v>75</v>
      </c>
      <c r="N1517" t="n">
        <v>88</v>
      </c>
      <c r="O1517" t="inlineStr">
        <is>
          <t>2026-10-05 UTC (WFM pull 02:52-04:00)</t>
        </is>
      </c>
      <c r="P1517" t="inlineStr">
        <is>
          <t>OK</t>
        </is>
      </c>
      <c r="R1517" t="inlineStr">
        <is>
          <t>Every current tradeable mod at MAX RANK (WFM catalogue, rivens/locators excluded)</t>
        </is>
      </c>
      <c r="S1517" t="inlineStr">
        <is>
          <t>system_reroute</t>
        </is>
      </c>
      <c r="T1517" t="n">
        <v>14</v>
      </c>
      <c r="U1517" t="n">
        <v>14</v>
      </c>
      <c r="V1517" t="n">
        <v>70</v>
      </c>
      <c r="W1517" t="n">
        <v>74</v>
      </c>
      <c r="X1517" t="n">
        <v>73.90000000000001</v>
      </c>
      <c r="Y1517" t="n">
        <v>193</v>
      </c>
      <c r="Z1517" t="n">
        <v>5</v>
      </c>
      <c r="AA1517" t="n">
        <v>35</v>
      </c>
      <c r="AB1517" t="n">
        <v>35</v>
      </c>
      <c r="AN1517" t="inlineStr">
        <is>
          <t>Archwing</t>
        </is>
      </c>
      <c r="AO1517" t="n">
        <v>30690</v>
      </c>
      <c r="AP1517" t="n">
        <v>1482327</v>
      </c>
      <c r="AQ1517" t="n">
        <v>9</v>
      </c>
      <c r="AS1517" t="inlineStr">
        <is>
          <t>Yes</t>
        </is>
      </c>
    </row>
    <row r="1518">
      <c r="A1518" t="inlineStr">
        <is>
          <t>Mod</t>
        </is>
      </c>
      <c r="B1518" t="inlineStr">
        <is>
          <t>Tactical Pump</t>
        </is>
      </c>
      <c r="E1518" t="inlineStr">
        <is>
          <t>Shotgun</t>
        </is>
      </c>
      <c r="F1518" t="n">
        <v>5</v>
      </c>
      <c r="G1518" t="n">
        <v>1</v>
      </c>
      <c r="H1518" t="inlineStr">
        <is>
          <t>Player trade (max rank)</t>
        </is>
      </c>
      <c r="I1518" t="inlineStr">
        <is>
          <t>Yes</t>
        </is>
      </c>
      <c r="K1518" t="inlineStr">
        <is>
          <t>Collection</t>
        </is>
      </c>
      <c r="L1518" t="n">
        <v>5</v>
      </c>
      <c r="M1518" t="n">
        <v>9</v>
      </c>
      <c r="N1518" t="n">
        <v>20</v>
      </c>
      <c r="O1518" t="inlineStr">
        <is>
          <t>2026-10-05 UTC (WFM pull 02:52-04:00)</t>
        </is>
      </c>
      <c r="P1518" t="inlineStr">
        <is>
          <t>OK</t>
        </is>
      </c>
      <c r="R1518" t="inlineStr">
        <is>
          <t>Every current tradeable mod at MAX RANK (WFM catalogue, rivens/locators excluded)</t>
        </is>
      </c>
      <c r="S1518" t="inlineStr">
        <is>
          <t>tactical_pump</t>
        </is>
      </c>
      <c r="T1518" t="n">
        <v>6</v>
      </c>
      <c r="U1518" t="n">
        <v>6</v>
      </c>
      <c r="V1518" t="n">
        <v>7</v>
      </c>
      <c r="W1518" t="n">
        <v>10</v>
      </c>
      <c r="X1518" t="n">
        <v>12.5</v>
      </c>
      <c r="Y1518" t="n">
        <v>14</v>
      </c>
      <c r="Z1518" t="n">
        <v>0</v>
      </c>
      <c r="AN1518" t="inlineStr">
        <is>
          <t>Shotgun</t>
        </is>
      </c>
      <c r="AO1518" t="n">
        <v>620</v>
      </c>
      <c r="AP1518" t="n">
        <v>29946</v>
      </c>
      <c r="AQ1518" t="n">
        <v>5</v>
      </c>
      <c r="AS1518" t="inlineStr">
        <is>
          <t>Yes</t>
        </is>
      </c>
    </row>
    <row r="1519">
      <c r="A1519" t="inlineStr">
        <is>
          <t>Mod</t>
        </is>
      </c>
      <c r="B1519" t="inlineStr">
        <is>
          <t>Tactical Reload</t>
        </is>
      </c>
      <c r="E1519" t="inlineStr">
        <is>
          <t>Conclave (PvP)</t>
        </is>
      </c>
      <c r="F1519" t="n">
        <v>3</v>
      </c>
      <c r="G1519" t="n">
        <v>1</v>
      </c>
      <c r="H1519" t="inlineStr">
        <is>
          <t>Player trade (max rank)</t>
        </is>
      </c>
      <c r="I1519" t="inlineStr">
        <is>
          <t>Yes</t>
        </is>
      </c>
      <c r="K1519" t="inlineStr">
        <is>
          <t>Collection (PvP)</t>
        </is>
      </c>
      <c r="L1519" t="n">
        <v>5</v>
      </c>
      <c r="M1519" t="n">
        <v>6.5</v>
      </c>
      <c r="N1519" t="n">
        <v>11</v>
      </c>
      <c r="O1519" t="inlineStr">
        <is>
          <t>2026-10-05 UTC (WFM pull 02:52-04:00)</t>
        </is>
      </c>
      <c r="P1519" t="inlineStr">
        <is>
          <t>OK</t>
        </is>
      </c>
      <c r="R1519" t="inlineStr">
        <is>
          <t>Every current tradeable mod at MAX RANK (WFM catalogue, rivens/locators excluded)</t>
        </is>
      </c>
      <c r="S1519" t="inlineStr">
        <is>
          <t>tactical_reload</t>
        </is>
      </c>
      <c r="T1519" t="n">
        <v>4</v>
      </c>
      <c r="U1519" t="n">
        <v>4</v>
      </c>
      <c r="V1519" t="n">
        <v>10</v>
      </c>
      <c r="W1519" t="n">
        <v>10</v>
      </c>
      <c r="X1519" t="n">
        <v>10.9</v>
      </c>
      <c r="Y1519" t="n">
        <v>19</v>
      </c>
      <c r="Z1519" t="n">
        <v>0</v>
      </c>
      <c r="AN1519" t="inlineStr">
        <is>
          <t>Conclave (PvP)</t>
        </is>
      </c>
      <c r="AO1519" t="n">
        <v>210</v>
      </c>
      <c r="AP1519" t="n">
        <v>10143</v>
      </c>
      <c r="AQ1519" t="n">
        <v>3</v>
      </c>
      <c r="AS1519" t="inlineStr">
        <is>
          <t>PvP subtotal</t>
        </is>
      </c>
    </row>
    <row r="1520">
      <c r="A1520" t="inlineStr">
        <is>
          <t>Mod</t>
        </is>
      </c>
      <c r="B1520" t="inlineStr">
        <is>
          <t>Tactical Retreat</t>
        </is>
      </c>
      <c r="E1520" t="inlineStr">
        <is>
          <t>Conclave (PvP)</t>
        </is>
      </c>
      <c r="F1520" t="n">
        <v>3</v>
      </c>
      <c r="G1520" t="n">
        <v>1</v>
      </c>
      <c r="H1520" t="inlineStr">
        <is>
          <t>Player trade (max rank)</t>
        </is>
      </c>
      <c r="I1520" t="inlineStr">
        <is>
          <t>Yes</t>
        </is>
      </c>
      <c r="K1520" t="inlineStr">
        <is>
          <t>Collection (PvP)</t>
        </is>
      </c>
      <c r="L1520" t="n">
        <v>15</v>
      </c>
      <c r="M1520" t="n">
        <v>30</v>
      </c>
      <c r="N1520" t="n">
        <v>53</v>
      </c>
      <c r="O1520" t="inlineStr">
        <is>
          <t>2026-10-05 UTC (WFM pull 02:52-04:00)</t>
        </is>
      </c>
      <c r="P1520" t="inlineStr">
        <is>
          <t>OK</t>
        </is>
      </c>
      <c r="R1520" t="inlineStr">
        <is>
          <t>Every current tradeable mod at MAX RANK (WFM catalogue, rivens/locators excluded)</t>
        </is>
      </c>
      <c r="S1520" t="inlineStr">
        <is>
          <t>tactical_retreat</t>
        </is>
      </c>
      <c r="T1520" t="n">
        <v>11</v>
      </c>
      <c r="U1520" t="n">
        <v>0</v>
      </c>
      <c r="Y1520" t="n">
        <v>0</v>
      </c>
      <c r="Z1520" t="n">
        <v>0</v>
      </c>
      <c r="AN1520" t="inlineStr">
        <is>
          <t>Conclave (PvP)</t>
        </is>
      </c>
      <c r="AO1520" t="n">
        <v>210</v>
      </c>
      <c r="AP1520" t="n">
        <v>10143</v>
      </c>
      <c r="AQ1520" t="n">
        <v>18.8</v>
      </c>
      <c r="AS1520" t="inlineStr">
        <is>
          <t>PvP subtotal</t>
        </is>
      </c>
    </row>
    <row r="1521">
      <c r="A1521" t="inlineStr">
        <is>
          <t>Mod</t>
        </is>
      </c>
      <c r="B1521" t="inlineStr">
        <is>
          <t>Tainted Clip</t>
        </is>
      </c>
      <c r="E1521" t="inlineStr">
        <is>
          <t>Pistol</t>
        </is>
      </c>
      <c r="F1521" t="n">
        <v>5</v>
      </c>
      <c r="G1521" t="n">
        <v>1</v>
      </c>
      <c r="H1521" t="inlineStr">
        <is>
          <t>Player trade (max rank)</t>
        </is>
      </c>
      <c r="I1521" t="inlineStr">
        <is>
          <t>Yes</t>
        </is>
      </c>
      <c r="K1521" t="inlineStr">
        <is>
          <t>Collection</t>
        </is>
      </c>
      <c r="L1521" t="n">
        <v>5</v>
      </c>
      <c r="M1521" t="n">
        <v>10</v>
      </c>
      <c r="N1521" t="n">
        <v>17</v>
      </c>
      <c r="O1521" t="inlineStr">
        <is>
          <t>2026-10-05 UTC (WFM pull 02:52-04:00)</t>
        </is>
      </c>
      <c r="P1521" t="inlineStr">
        <is>
          <t>OK</t>
        </is>
      </c>
      <c r="R1521" t="inlineStr">
        <is>
          <t>Every current tradeable mod at MAX RANK (WFM catalogue, rivens/locators excluded)</t>
        </is>
      </c>
      <c r="S1521" t="inlineStr">
        <is>
          <t>tainted_clip</t>
        </is>
      </c>
      <c r="T1521" t="n">
        <v>9</v>
      </c>
      <c r="U1521" t="n">
        <v>9</v>
      </c>
      <c r="V1521" t="n">
        <v>10</v>
      </c>
      <c r="W1521" t="n">
        <v>9</v>
      </c>
      <c r="X1521" t="n">
        <v>7.9</v>
      </c>
      <c r="Y1521" t="n">
        <v>38</v>
      </c>
      <c r="Z1521" t="n">
        <v>1</v>
      </c>
      <c r="AN1521" t="inlineStr">
        <is>
          <t>Pistol</t>
        </is>
      </c>
      <c r="AO1521" t="n">
        <v>930</v>
      </c>
      <c r="AP1521" t="n">
        <v>44919</v>
      </c>
      <c r="AQ1521" t="n">
        <v>3</v>
      </c>
      <c r="AS1521" t="inlineStr">
        <is>
          <t>Yes</t>
        </is>
      </c>
    </row>
    <row r="1522">
      <c r="A1522" t="inlineStr">
        <is>
          <t>Mod</t>
        </is>
      </c>
      <c r="B1522" t="inlineStr">
        <is>
          <t>Tainted Hydra</t>
        </is>
      </c>
      <c r="E1522" t="inlineStr">
        <is>
          <t>Conclave (PvP)</t>
        </is>
      </c>
      <c r="F1522" t="n">
        <v>3</v>
      </c>
      <c r="G1522" t="n">
        <v>1</v>
      </c>
      <c r="H1522" t="inlineStr">
        <is>
          <t>Player trade (max rank)</t>
        </is>
      </c>
      <c r="I1522" t="inlineStr">
        <is>
          <t>Yes</t>
        </is>
      </c>
      <c r="K1522" t="inlineStr">
        <is>
          <t>Collection (PvP)</t>
        </is>
      </c>
      <c r="L1522" t="n">
        <v>100</v>
      </c>
      <c r="M1522" t="n">
        <v>100</v>
      </c>
      <c r="N1522" t="n">
        <v>221</v>
      </c>
      <c r="O1522" t="inlineStr">
        <is>
          <t>2026-10-05 UTC (WFM pull 02:52-04:00)</t>
        </is>
      </c>
      <c r="P1522" t="inlineStr">
        <is>
          <t>OK</t>
        </is>
      </c>
      <c r="R1522" t="inlineStr">
        <is>
          <t>Every current tradeable mod at MAX RANK (WFM catalogue, rivens/locators excluded)</t>
        </is>
      </c>
      <c r="S1522" t="inlineStr">
        <is>
          <t>tainted_hydra</t>
        </is>
      </c>
      <c r="T1522" t="n">
        <v>3</v>
      </c>
      <c r="U1522" t="n">
        <v>0</v>
      </c>
      <c r="V1522" t="n">
        <v>10</v>
      </c>
      <c r="W1522" t="n">
        <v>10</v>
      </c>
      <c r="X1522" t="n">
        <v>10</v>
      </c>
      <c r="Y1522" t="n">
        <v>1</v>
      </c>
      <c r="Z1522" t="n">
        <v>0</v>
      </c>
      <c r="AN1522" t="inlineStr">
        <is>
          <t>Conclave (PvP)</t>
        </is>
      </c>
      <c r="AO1522" t="n">
        <v>140</v>
      </c>
      <c r="AP1522" t="n">
        <v>6762</v>
      </c>
      <c r="AQ1522" t="n">
        <v>20</v>
      </c>
      <c r="AS1522" t="inlineStr">
        <is>
          <t>PvP subtotal</t>
        </is>
      </c>
    </row>
    <row r="1523">
      <c r="A1523" t="inlineStr">
        <is>
          <t>Mod</t>
        </is>
      </c>
      <c r="B1523" t="inlineStr">
        <is>
          <t>Tainted Mag</t>
        </is>
      </c>
      <c r="E1523" t="inlineStr">
        <is>
          <t>Assault Rifle</t>
        </is>
      </c>
      <c r="F1523" t="n">
        <v>10</v>
      </c>
      <c r="G1523" t="n">
        <v>1</v>
      </c>
      <c r="H1523" t="inlineStr">
        <is>
          <t>Player trade (max rank)</t>
        </is>
      </c>
      <c r="I1523" t="inlineStr">
        <is>
          <t>Yes</t>
        </is>
      </c>
      <c r="K1523" t="inlineStr">
        <is>
          <t>Collection</t>
        </is>
      </c>
      <c r="L1523" t="n">
        <v>70</v>
      </c>
      <c r="M1523" t="n">
        <v>75</v>
      </c>
      <c r="N1523" t="n">
        <v>100</v>
      </c>
      <c r="O1523" t="inlineStr">
        <is>
          <t>2026-10-05 UTC (WFM pull 02:52-04:00)</t>
        </is>
      </c>
      <c r="P1523" t="inlineStr">
        <is>
          <t>OK</t>
        </is>
      </c>
      <c r="R1523" t="inlineStr">
        <is>
          <t>Every current tradeable mod at MAX RANK (WFM catalogue, rivens/locators excluded)</t>
        </is>
      </c>
      <c r="S1523" t="inlineStr">
        <is>
          <t>tainted_mag</t>
        </is>
      </c>
      <c r="T1523" t="n">
        <v>10</v>
      </c>
      <c r="U1523" t="n">
        <v>10</v>
      </c>
      <c r="V1523" t="n">
        <v>75</v>
      </c>
      <c r="W1523" t="n">
        <v>72.5</v>
      </c>
      <c r="X1523" t="n">
        <v>71.59999999999999</v>
      </c>
      <c r="Y1523" t="n">
        <v>178</v>
      </c>
      <c r="Z1523" t="n">
        <v>6</v>
      </c>
      <c r="AA1523" t="n">
        <v>55</v>
      </c>
      <c r="AB1523" t="n">
        <v>15</v>
      </c>
      <c r="AN1523" t="inlineStr">
        <is>
          <t>Assault Rifle</t>
        </is>
      </c>
      <c r="AO1523" t="n">
        <v>30690</v>
      </c>
      <c r="AP1523" t="n">
        <v>1482327</v>
      </c>
      <c r="AQ1523" t="n">
        <v>4</v>
      </c>
      <c r="AS1523" t="inlineStr">
        <is>
          <t>Yes</t>
        </is>
      </c>
    </row>
    <row r="1524">
      <c r="A1524" t="inlineStr">
        <is>
          <t>Mod</t>
        </is>
      </c>
      <c r="B1524" t="inlineStr">
        <is>
          <t>Tainted Shell</t>
        </is>
      </c>
      <c r="E1524" t="inlineStr">
        <is>
          <t>Shotgun</t>
        </is>
      </c>
      <c r="F1524" t="n">
        <v>10</v>
      </c>
      <c r="G1524" t="n">
        <v>1</v>
      </c>
      <c r="H1524" t="inlineStr">
        <is>
          <t>Player trade (max rank)</t>
        </is>
      </c>
      <c r="I1524" t="inlineStr">
        <is>
          <t>Yes</t>
        </is>
      </c>
      <c r="K1524" t="inlineStr">
        <is>
          <t>Collection</t>
        </is>
      </c>
      <c r="L1524" t="n">
        <v>50</v>
      </c>
      <c r="M1524" t="n">
        <v>59</v>
      </c>
      <c r="N1524" t="n">
        <v>80</v>
      </c>
      <c r="O1524" t="inlineStr">
        <is>
          <t>2026-10-05 UTC (WFM pull 02:52-04:00)</t>
        </is>
      </c>
      <c r="P1524" t="inlineStr">
        <is>
          <t>OK</t>
        </is>
      </c>
      <c r="R1524" t="inlineStr">
        <is>
          <t>Every current tradeable mod at MAX RANK (WFM catalogue, rivens/locators excluded)</t>
        </is>
      </c>
      <c r="S1524" t="inlineStr">
        <is>
          <t>tainted_shell</t>
        </is>
      </c>
      <c r="T1524" t="n">
        <v>110</v>
      </c>
      <c r="U1524" t="n">
        <v>1</v>
      </c>
      <c r="V1524" t="n">
        <v>72</v>
      </c>
      <c r="W1524" t="n">
        <v>65</v>
      </c>
      <c r="X1524" t="n">
        <v>64.5</v>
      </c>
      <c r="Y1524" t="n">
        <v>70</v>
      </c>
      <c r="Z1524" t="n">
        <v>2</v>
      </c>
      <c r="AA1524" t="n">
        <v>30</v>
      </c>
      <c r="AB1524" t="n">
        <v>20</v>
      </c>
      <c r="AN1524" t="inlineStr">
        <is>
          <t>Shotgun</t>
        </is>
      </c>
      <c r="AO1524" t="n">
        <v>30690</v>
      </c>
      <c r="AP1524" t="n">
        <v>1482327</v>
      </c>
      <c r="AQ1524" t="n">
        <v>3</v>
      </c>
      <c r="AS1524" t="inlineStr">
        <is>
          <t>Yes</t>
        </is>
      </c>
    </row>
    <row r="1525">
      <c r="A1525" t="inlineStr">
        <is>
          <t>Mod</t>
        </is>
      </c>
      <c r="B1525" t="inlineStr">
        <is>
          <t>Talsek-An</t>
        </is>
      </c>
      <c r="E1525" t="inlineStr">
        <is>
          <t>Antique</t>
        </is>
      </c>
      <c r="F1525" t="n">
        <v>5</v>
      </c>
      <c r="G1525" t="n">
        <v>1</v>
      </c>
      <c r="H1525" t="inlineStr">
        <is>
          <t>Player trade (max rank)</t>
        </is>
      </c>
      <c r="I1525" t="inlineStr">
        <is>
          <t>Yes</t>
        </is>
      </c>
      <c r="K1525" t="inlineStr">
        <is>
          <t>Collection</t>
        </is>
      </c>
      <c r="L1525" t="n">
        <v>35</v>
      </c>
      <c r="M1525" t="n">
        <v>37.5</v>
      </c>
      <c r="N1525" t="n">
        <v>83</v>
      </c>
      <c r="O1525" t="inlineStr">
        <is>
          <t>2026-10-05 UTC (WFM pull 02:52-04:00)</t>
        </is>
      </c>
      <c r="P1525" t="inlineStr">
        <is>
          <t>OK</t>
        </is>
      </c>
      <c r="R1525" t="inlineStr">
        <is>
          <t>Every current tradeable mod at MAX RANK (WFM catalogue, rivens/locators excluded)</t>
        </is>
      </c>
      <c r="S1525" t="inlineStr">
        <is>
          <t>talsek_an</t>
        </is>
      </c>
      <c r="T1525" t="n">
        <v>4</v>
      </c>
      <c r="U1525" t="n">
        <v>4</v>
      </c>
      <c r="V1525" t="n">
        <v>29.5</v>
      </c>
      <c r="W1525" t="n">
        <v>27.5</v>
      </c>
      <c r="X1525" t="n">
        <v>28.1</v>
      </c>
      <c r="Y1525" t="n">
        <v>141</v>
      </c>
      <c r="Z1525" t="n">
        <v>3</v>
      </c>
      <c r="AN1525" t="inlineStr">
        <is>
          <t>Antique</t>
        </is>
      </c>
      <c r="AO1525" t="n">
        <v>310</v>
      </c>
      <c r="AP1525" t="n">
        <v>14973</v>
      </c>
      <c r="AQ1525" t="n">
        <v>10</v>
      </c>
      <c r="AS1525" t="inlineStr">
        <is>
          <t>Yes</t>
        </is>
      </c>
    </row>
    <row r="1526">
      <c r="A1526" t="inlineStr">
        <is>
          <t>Mod</t>
        </is>
      </c>
      <c r="B1526" t="inlineStr">
        <is>
          <t>Tandem Bond</t>
        </is>
      </c>
      <c r="E1526" t="inlineStr">
        <is>
          <t>Beast</t>
        </is>
      </c>
      <c r="F1526" t="n">
        <v>5</v>
      </c>
      <c r="G1526" t="n">
        <v>1</v>
      </c>
      <c r="H1526" t="inlineStr">
        <is>
          <t>Player trade (max rank)</t>
        </is>
      </c>
      <c r="I1526" t="inlineStr">
        <is>
          <t>Yes</t>
        </is>
      </c>
      <c r="K1526" t="inlineStr">
        <is>
          <t>Collection</t>
        </is>
      </c>
      <c r="L1526" t="n">
        <v>19</v>
      </c>
      <c r="M1526" t="n">
        <v>23</v>
      </c>
      <c r="N1526" t="n">
        <v>27</v>
      </c>
      <c r="O1526" t="inlineStr">
        <is>
          <t>2026-10-05 UTC (WFM pull 02:52-04:00)</t>
        </is>
      </c>
      <c r="P1526" t="inlineStr">
        <is>
          <t>OK</t>
        </is>
      </c>
      <c r="R1526" t="inlineStr">
        <is>
          <t>Every current tradeable mod at MAX RANK (WFM catalogue, rivens/locators excluded)</t>
        </is>
      </c>
      <c r="S1526" t="inlineStr">
        <is>
          <t>tandem_bond</t>
        </is>
      </c>
      <c r="T1526" t="n">
        <v>12</v>
      </c>
      <c r="U1526" t="n">
        <v>12</v>
      </c>
      <c r="V1526" t="n">
        <v>19.5</v>
      </c>
      <c r="W1526" t="n">
        <v>20</v>
      </c>
      <c r="X1526" t="n">
        <v>19.5</v>
      </c>
      <c r="Y1526" t="n">
        <v>243</v>
      </c>
      <c r="Z1526" t="n">
        <v>9</v>
      </c>
      <c r="AN1526" t="inlineStr">
        <is>
          <t>Beast</t>
        </is>
      </c>
      <c r="AO1526" t="n">
        <v>930</v>
      </c>
      <c r="AP1526" t="n">
        <v>44919</v>
      </c>
      <c r="AQ1526" t="n">
        <v>17.5</v>
      </c>
      <c r="AS1526" t="inlineStr">
        <is>
          <t>Yes</t>
        </is>
      </c>
    </row>
    <row r="1527">
      <c r="A1527" t="inlineStr">
        <is>
          <t>Mod</t>
        </is>
      </c>
      <c r="B1527" t="inlineStr">
        <is>
          <t>Target Acquired</t>
        </is>
      </c>
      <c r="E1527" t="inlineStr">
        <is>
          <t>Sniper</t>
        </is>
      </c>
      <c r="F1527" t="n">
        <v>5</v>
      </c>
      <c r="G1527" t="n">
        <v>1</v>
      </c>
      <c r="H1527" t="inlineStr">
        <is>
          <t>Player trade (max rank)</t>
        </is>
      </c>
      <c r="I1527" t="inlineStr">
        <is>
          <t>Yes</t>
        </is>
      </c>
      <c r="K1527" t="inlineStr">
        <is>
          <t>Collection</t>
        </is>
      </c>
      <c r="L1527" t="n">
        <v>30</v>
      </c>
      <c r="M1527" t="n">
        <v>30</v>
      </c>
      <c r="N1527" t="n">
        <v>66</v>
      </c>
      <c r="O1527" t="inlineStr">
        <is>
          <t>2026-10-05 UTC (WFM pull 02:52-04:00)</t>
        </is>
      </c>
      <c r="P1527" t="inlineStr">
        <is>
          <t>OK</t>
        </is>
      </c>
      <c r="R1527" t="inlineStr">
        <is>
          <t>Every current tradeable mod at MAX RANK (WFM catalogue, rivens/locators excluded)</t>
        </is>
      </c>
      <c r="S1527" t="inlineStr">
        <is>
          <t>target_acquired</t>
        </is>
      </c>
      <c r="T1527" t="n">
        <v>4</v>
      </c>
      <c r="U1527" t="n">
        <v>4</v>
      </c>
      <c r="V1527" t="n">
        <v>20</v>
      </c>
      <c r="W1527" t="n">
        <v>20</v>
      </c>
      <c r="X1527" t="n">
        <v>19.9</v>
      </c>
      <c r="Y1527" t="n">
        <v>212</v>
      </c>
      <c r="Z1527" t="n">
        <v>4</v>
      </c>
      <c r="AN1527" t="inlineStr">
        <is>
          <t>Sniper</t>
        </is>
      </c>
      <c r="AO1527" t="n">
        <v>930</v>
      </c>
      <c r="AP1527" t="n">
        <v>44919</v>
      </c>
      <c r="AQ1527" t="n">
        <v>14</v>
      </c>
      <c r="AS1527" t="inlineStr">
        <is>
          <t>Yes</t>
        </is>
      </c>
    </row>
    <row r="1528">
      <c r="A1528" t="inlineStr">
        <is>
          <t>Mod</t>
        </is>
      </c>
      <c r="B1528" t="inlineStr">
        <is>
          <t>Target Cracker</t>
        </is>
      </c>
      <c r="E1528" t="inlineStr">
        <is>
          <t>Pistol</t>
        </is>
      </c>
      <c r="F1528" t="n">
        <v>5</v>
      </c>
      <c r="G1528" t="n">
        <v>1</v>
      </c>
      <c r="H1528" t="inlineStr">
        <is>
          <t>Player trade (max rank)</t>
        </is>
      </c>
      <c r="I1528" t="inlineStr">
        <is>
          <t>Yes</t>
        </is>
      </c>
      <c r="K1528" t="inlineStr">
        <is>
          <t>Collection</t>
        </is>
      </c>
      <c r="L1528" t="n">
        <v>7</v>
      </c>
      <c r="M1528" t="n">
        <v>10</v>
      </c>
      <c r="N1528" t="n">
        <v>11</v>
      </c>
      <c r="O1528" t="inlineStr">
        <is>
          <t>2026-10-05 UTC (WFM pull 02:52-04:00)</t>
        </is>
      </c>
      <c r="P1528" t="inlineStr">
        <is>
          <t>OK</t>
        </is>
      </c>
      <c r="R1528" t="inlineStr">
        <is>
          <t>Every current tradeable mod at MAX RANK (WFM catalogue, rivens/locators excluded)</t>
        </is>
      </c>
      <c r="S1528" t="inlineStr">
        <is>
          <t>target_cracker</t>
        </is>
      </c>
      <c r="T1528" t="n">
        <v>8</v>
      </c>
      <c r="U1528" t="n">
        <v>8</v>
      </c>
      <c r="V1528" t="n">
        <v>9.5</v>
      </c>
      <c r="W1528" t="n">
        <v>9.5</v>
      </c>
      <c r="X1528" t="n">
        <v>9.5</v>
      </c>
      <c r="Y1528" t="n">
        <v>114</v>
      </c>
      <c r="Z1528" t="n">
        <v>2</v>
      </c>
      <c r="AN1528" t="inlineStr">
        <is>
          <t>Pistol</t>
        </is>
      </c>
      <c r="AO1528" t="n">
        <v>620</v>
      </c>
      <c r="AP1528" t="n">
        <v>29946</v>
      </c>
      <c r="AQ1528" t="n">
        <v>4</v>
      </c>
      <c r="AS1528" t="inlineStr">
        <is>
          <t>Yes</t>
        </is>
      </c>
    </row>
    <row r="1529">
      <c r="A1529" t="inlineStr">
        <is>
          <t>Mod</t>
        </is>
      </c>
      <c r="B1529" t="inlineStr">
        <is>
          <t>Target Fixation</t>
        </is>
      </c>
      <c r="E1529" t="inlineStr">
        <is>
          <t>Augment Zephyr</t>
        </is>
      </c>
      <c r="F1529" t="n">
        <v>3</v>
      </c>
      <c r="G1529" t="n">
        <v>1</v>
      </c>
      <c r="H1529" t="inlineStr">
        <is>
          <t>Player trade (max rank)</t>
        </is>
      </c>
      <c r="I1529" t="inlineStr">
        <is>
          <t>Yes</t>
        </is>
      </c>
      <c r="K1529" t="inlineStr">
        <is>
          <t>Collection</t>
        </is>
      </c>
      <c r="L1529" t="n">
        <v>10</v>
      </c>
      <c r="M1529" t="n">
        <v>12</v>
      </c>
      <c r="N1529" t="n">
        <v>17</v>
      </c>
      <c r="O1529" t="inlineStr">
        <is>
          <t>2026-10-05 UTC (WFM pull 02:52-04:00)</t>
        </is>
      </c>
      <c r="P1529" t="inlineStr">
        <is>
          <t>OK</t>
        </is>
      </c>
      <c r="R1529" t="inlineStr">
        <is>
          <t>Every current tradeable mod at MAX RANK (WFM catalogue, rivens/locators excluded)</t>
        </is>
      </c>
      <c r="S1529" t="inlineStr">
        <is>
          <t>target_fixation</t>
        </is>
      </c>
      <c r="T1529" t="n">
        <v>57</v>
      </c>
      <c r="U1529" t="n">
        <v>2</v>
      </c>
      <c r="V1529" t="n">
        <v>15</v>
      </c>
      <c r="W1529" t="n">
        <v>15</v>
      </c>
      <c r="X1529" t="n">
        <v>15.5</v>
      </c>
      <c r="Y1529" t="n">
        <v>52</v>
      </c>
      <c r="Z1529" t="n">
        <v>0</v>
      </c>
      <c r="AN1529" t="inlineStr">
        <is>
          <t>Augment Zephyr</t>
        </is>
      </c>
      <c r="AO1529" t="n">
        <v>210</v>
      </c>
      <c r="AP1529" t="n">
        <v>10143</v>
      </c>
      <c r="AQ1529" t="n">
        <v>20</v>
      </c>
      <c r="AS1529" t="inlineStr">
        <is>
          <t>Yes</t>
        </is>
      </c>
    </row>
    <row r="1530">
      <c r="A1530" t="inlineStr">
        <is>
          <t>Mod</t>
        </is>
      </c>
      <c r="B1530" t="inlineStr">
        <is>
          <t>Targeting Receptor</t>
        </is>
      </c>
      <c r="E1530" t="inlineStr">
        <is>
          <t>Helios</t>
        </is>
      </c>
      <c r="F1530" t="n">
        <v>3</v>
      </c>
      <c r="G1530" t="n">
        <v>1</v>
      </c>
      <c r="H1530" t="inlineStr">
        <is>
          <t>Player trade (max rank)</t>
        </is>
      </c>
      <c r="I1530" t="inlineStr">
        <is>
          <t>Yes</t>
        </is>
      </c>
      <c r="K1530" t="inlineStr">
        <is>
          <t>Collection</t>
        </is>
      </c>
      <c r="L1530" t="n">
        <v>10</v>
      </c>
      <c r="M1530" t="n">
        <v>15</v>
      </c>
      <c r="N1530" t="n">
        <v>17</v>
      </c>
      <c r="O1530" t="inlineStr">
        <is>
          <t>2026-10-05 UTC (WFM pull 02:52-04:00)</t>
        </is>
      </c>
      <c r="P1530" t="inlineStr">
        <is>
          <t>OK</t>
        </is>
      </c>
      <c r="R1530" t="inlineStr">
        <is>
          <t>Every current tradeable mod at MAX RANK (WFM catalogue, rivens/locators excluded)</t>
        </is>
      </c>
      <c r="S1530" t="inlineStr">
        <is>
          <t>targeting_receptor</t>
        </is>
      </c>
      <c r="T1530" t="n">
        <v>5</v>
      </c>
      <c r="U1530" t="n">
        <v>5</v>
      </c>
      <c r="Y1530" t="n">
        <v>0</v>
      </c>
      <c r="Z1530" t="n">
        <v>0</v>
      </c>
      <c r="AN1530" t="inlineStr">
        <is>
          <t>Helios</t>
        </is>
      </c>
      <c r="AO1530" t="n">
        <v>70</v>
      </c>
      <c r="AP1530" t="n">
        <v>3381</v>
      </c>
      <c r="AQ1530" t="n">
        <v>6</v>
      </c>
      <c r="AS1530" t="inlineStr">
        <is>
          <t>Yes</t>
        </is>
      </c>
    </row>
    <row r="1531">
      <c r="A1531" t="inlineStr">
        <is>
          <t>Mod</t>
        </is>
      </c>
      <c r="B1531" t="inlineStr">
        <is>
          <t>Targeting Subsystem</t>
        </is>
      </c>
      <c r="E1531" t="inlineStr">
        <is>
          <t>Pistol</t>
        </is>
      </c>
      <c r="F1531" t="n">
        <v>5</v>
      </c>
      <c r="G1531" t="n">
        <v>1</v>
      </c>
      <c r="H1531" t="inlineStr">
        <is>
          <t>Player trade (max rank)</t>
        </is>
      </c>
      <c r="I1531" t="inlineStr">
        <is>
          <t>Yes</t>
        </is>
      </c>
      <c r="K1531" t="inlineStr">
        <is>
          <t>Collection</t>
        </is>
      </c>
      <c r="L1531" t="n">
        <v>20</v>
      </c>
      <c r="M1531" t="n">
        <v>21</v>
      </c>
      <c r="N1531" t="n">
        <v>40</v>
      </c>
      <c r="O1531" t="inlineStr">
        <is>
          <t>2026-10-05 UTC (WFM pull 02:52-04:00)</t>
        </is>
      </c>
      <c r="P1531" t="inlineStr">
        <is>
          <t>OK</t>
        </is>
      </c>
      <c r="R1531" t="inlineStr">
        <is>
          <t>Every current tradeable mod at MAX RANK (WFM catalogue, rivens/locators excluded)</t>
        </is>
      </c>
      <c r="S1531" t="inlineStr">
        <is>
          <t>targeting_subsystem</t>
        </is>
      </c>
      <c r="T1531" t="n">
        <v>43</v>
      </c>
      <c r="U1531" t="n">
        <v>2</v>
      </c>
      <c r="V1531" t="n">
        <v>36</v>
      </c>
      <c r="W1531" t="n">
        <v>32.5</v>
      </c>
      <c r="X1531" t="n">
        <v>38.4</v>
      </c>
      <c r="Y1531" t="n">
        <v>238</v>
      </c>
      <c r="Z1531" t="n">
        <v>6</v>
      </c>
      <c r="AN1531" t="inlineStr">
        <is>
          <t>Pistol</t>
        </is>
      </c>
      <c r="AO1531" t="n">
        <v>620</v>
      </c>
      <c r="AP1531" t="n">
        <v>29946</v>
      </c>
      <c r="AQ1531" t="n">
        <v>19</v>
      </c>
      <c r="AS1531" t="inlineStr">
        <is>
          <t>Yes</t>
        </is>
      </c>
    </row>
    <row r="1532">
      <c r="A1532" t="inlineStr">
        <is>
          <t>Mod</t>
        </is>
      </c>
      <c r="B1532" t="inlineStr">
        <is>
          <t>Tear Gas</t>
        </is>
      </c>
      <c r="E1532" t="inlineStr">
        <is>
          <t>Augment Ash</t>
        </is>
      </c>
      <c r="F1532" t="n">
        <v>3</v>
      </c>
      <c r="G1532" t="n">
        <v>1</v>
      </c>
      <c r="H1532" t="inlineStr">
        <is>
          <t>Player trade (max rank)</t>
        </is>
      </c>
      <c r="I1532" t="inlineStr">
        <is>
          <t>Yes</t>
        </is>
      </c>
      <c r="K1532" t="inlineStr">
        <is>
          <t>Collection</t>
        </is>
      </c>
      <c r="L1532" t="n">
        <v>50</v>
      </c>
      <c r="M1532" t="n">
        <v>75</v>
      </c>
      <c r="N1532" t="n">
        <v>165</v>
      </c>
      <c r="O1532" t="inlineStr">
        <is>
          <t>2026-10-05 UTC (WFM pull 02:52-04:00)</t>
        </is>
      </c>
      <c r="P1532" t="inlineStr">
        <is>
          <t>THIN</t>
        </is>
      </c>
      <c r="R1532" t="inlineStr">
        <is>
          <t>Every current tradeable mod at MAX RANK (WFM catalogue, rivens/locators excluded)</t>
        </is>
      </c>
      <c r="S1532" t="inlineStr">
        <is>
          <t>tear_gas</t>
        </is>
      </c>
      <c r="T1532" t="n">
        <v>2</v>
      </c>
      <c r="U1532" t="n">
        <v>0</v>
      </c>
      <c r="W1532" t="n">
        <v>50</v>
      </c>
      <c r="X1532" t="n">
        <v>46.7</v>
      </c>
      <c r="Y1532" t="n">
        <v>3</v>
      </c>
      <c r="Z1532" t="n">
        <v>0</v>
      </c>
      <c r="AN1532" t="inlineStr">
        <is>
          <t>Augment Ash</t>
        </is>
      </c>
      <c r="AO1532" t="n">
        <v>210</v>
      </c>
      <c r="AP1532" t="n">
        <v>10143</v>
      </c>
      <c r="AQ1532" t="n">
        <v>90</v>
      </c>
      <c r="AS1532" t="inlineStr">
        <is>
          <t>Yes</t>
        </is>
      </c>
    </row>
    <row r="1533">
      <c r="A1533" t="inlineStr">
        <is>
          <t>Mod</t>
        </is>
      </c>
      <c r="B1533" t="inlineStr">
        <is>
          <t>Tectonic Fracture</t>
        </is>
      </c>
      <c r="E1533" t="inlineStr">
        <is>
          <t>Augment Atlas</t>
        </is>
      </c>
      <c r="F1533" t="n">
        <v>3</v>
      </c>
      <c r="G1533" t="n">
        <v>1</v>
      </c>
      <c r="H1533" t="inlineStr">
        <is>
          <t>Player trade (max rank)</t>
        </is>
      </c>
      <c r="I1533" t="inlineStr">
        <is>
          <t>Yes</t>
        </is>
      </c>
      <c r="K1533" t="inlineStr">
        <is>
          <t>Collection</t>
        </is>
      </c>
      <c r="L1533" t="n">
        <v>10</v>
      </c>
      <c r="M1533" t="n">
        <v>15</v>
      </c>
      <c r="N1533" t="n">
        <v>33</v>
      </c>
      <c r="O1533" t="inlineStr">
        <is>
          <t>2026-10-05 UTC (WFM pull 02:52-04:00)</t>
        </is>
      </c>
      <c r="P1533" t="inlineStr">
        <is>
          <t>OK</t>
        </is>
      </c>
      <c r="R1533" t="inlineStr">
        <is>
          <t>Every current tradeable mod at MAX RANK (WFM catalogue, rivens/locators excluded)</t>
        </is>
      </c>
      <c r="S1533" t="inlineStr">
        <is>
          <t>tectonic_fracture</t>
        </is>
      </c>
      <c r="T1533" t="n">
        <v>6</v>
      </c>
      <c r="U1533" t="n">
        <v>6</v>
      </c>
      <c r="V1533" t="n">
        <v>15</v>
      </c>
      <c r="W1533" t="n">
        <v>15</v>
      </c>
      <c r="X1533" t="n">
        <v>16.7</v>
      </c>
      <c r="Y1533" t="n">
        <v>3</v>
      </c>
      <c r="Z1533" t="n">
        <v>0</v>
      </c>
      <c r="AN1533" t="inlineStr">
        <is>
          <t>Augment Atlas</t>
        </is>
      </c>
      <c r="AO1533" t="n">
        <v>210</v>
      </c>
      <c r="AP1533" t="n">
        <v>10143</v>
      </c>
      <c r="AQ1533" t="n">
        <v>14</v>
      </c>
      <c r="AS1533" t="inlineStr">
        <is>
          <t>Yes</t>
        </is>
      </c>
    </row>
    <row r="1534">
      <c r="A1534" t="inlineStr">
        <is>
          <t>Mod</t>
        </is>
      </c>
      <c r="B1534" t="inlineStr">
        <is>
          <t>Teeming Virulence</t>
        </is>
      </c>
      <c r="E1534" t="inlineStr">
        <is>
          <t>Augment Nidus</t>
        </is>
      </c>
      <c r="F1534" t="n">
        <v>3</v>
      </c>
      <c r="G1534" t="n">
        <v>1</v>
      </c>
      <c r="H1534" t="inlineStr">
        <is>
          <t>Player trade (max rank)</t>
        </is>
      </c>
      <c r="I1534" t="inlineStr">
        <is>
          <t>Yes</t>
        </is>
      </c>
      <c r="K1534" t="inlineStr">
        <is>
          <t>Collection</t>
        </is>
      </c>
      <c r="L1534" t="n">
        <v>15</v>
      </c>
      <c r="M1534" t="n">
        <v>22.5</v>
      </c>
      <c r="N1534" t="n">
        <v>42</v>
      </c>
      <c r="O1534" t="inlineStr">
        <is>
          <t>2026-10-05 UTC (WFM pull 02:52-04:00)</t>
        </is>
      </c>
      <c r="P1534" t="inlineStr">
        <is>
          <t>OK</t>
        </is>
      </c>
      <c r="R1534" t="inlineStr">
        <is>
          <t>Every current tradeable mod at MAX RANK (WFM catalogue, rivens/locators excluded)</t>
        </is>
      </c>
      <c r="S1534" t="inlineStr">
        <is>
          <t>teeming_virulence</t>
        </is>
      </c>
      <c r="T1534" t="n">
        <v>3</v>
      </c>
      <c r="U1534" t="n">
        <v>3</v>
      </c>
      <c r="V1534" t="n">
        <v>15</v>
      </c>
      <c r="W1534" t="n">
        <v>15</v>
      </c>
      <c r="X1534" t="n">
        <v>15.4</v>
      </c>
      <c r="Y1534" t="n">
        <v>379</v>
      </c>
      <c r="Z1534" t="n">
        <v>3</v>
      </c>
      <c r="AN1534" t="inlineStr">
        <is>
          <t>Augment Nidus</t>
        </is>
      </c>
      <c r="AO1534" t="n">
        <v>210</v>
      </c>
      <c r="AP1534" t="n">
        <v>10143</v>
      </c>
      <c r="AQ1534" t="n">
        <v>15</v>
      </c>
      <c r="AS1534" t="inlineStr">
        <is>
          <t>Yes</t>
        </is>
      </c>
    </row>
    <row r="1535">
      <c r="A1535" t="inlineStr">
        <is>
          <t>Mod</t>
        </is>
      </c>
      <c r="B1535" t="inlineStr">
        <is>
          <t>Tek Assault</t>
        </is>
      </c>
      <c r="E1535" t="inlineStr">
        <is>
          <t>Kavat</t>
        </is>
      </c>
      <c r="F1535" t="n">
        <v>3</v>
      </c>
      <c r="G1535" t="n">
        <v>1</v>
      </c>
      <c r="H1535" t="inlineStr">
        <is>
          <t>Player trade (max rank)</t>
        </is>
      </c>
      <c r="I1535" t="inlineStr">
        <is>
          <t>Yes</t>
        </is>
      </c>
      <c r="K1535" t="inlineStr">
        <is>
          <t>Collection</t>
        </is>
      </c>
      <c r="L1535" t="n">
        <v>20</v>
      </c>
      <c r="M1535" t="n">
        <v>26.2</v>
      </c>
      <c r="N1535" t="n">
        <v>58</v>
      </c>
      <c r="O1535" t="inlineStr">
        <is>
          <t>2026-10-05 UTC (WFM pull 02:52-04:00)</t>
        </is>
      </c>
      <c r="P1535" t="inlineStr">
        <is>
          <t>OK</t>
        </is>
      </c>
      <c r="R1535" t="inlineStr">
        <is>
          <t>Every current tradeable mod at MAX RANK (WFM catalogue, rivens/locators excluded)</t>
        </is>
      </c>
      <c r="S1535" t="inlineStr">
        <is>
          <t>tek_assault</t>
        </is>
      </c>
      <c r="T1535" t="n">
        <v>5</v>
      </c>
      <c r="U1535" t="n">
        <v>5</v>
      </c>
      <c r="V1535" t="n">
        <v>17.5</v>
      </c>
      <c r="W1535" t="n">
        <v>18</v>
      </c>
      <c r="X1535" t="n">
        <v>18.5</v>
      </c>
      <c r="Y1535" t="n">
        <v>388</v>
      </c>
      <c r="Z1535" t="n">
        <v>6</v>
      </c>
      <c r="AN1535" t="inlineStr">
        <is>
          <t>Kavat</t>
        </is>
      </c>
      <c r="AO1535" t="n">
        <v>210</v>
      </c>
      <c r="AP1535" t="n">
        <v>10143</v>
      </c>
      <c r="AQ1535" t="n">
        <v>10</v>
      </c>
      <c r="AS1535" t="inlineStr">
        <is>
          <t>Yes</t>
        </is>
      </c>
    </row>
    <row r="1536">
      <c r="A1536" t="inlineStr">
        <is>
          <t>Mod</t>
        </is>
      </c>
      <c r="B1536" t="inlineStr">
        <is>
          <t>Tek Collateral</t>
        </is>
      </c>
      <c r="E1536" t="inlineStr">
        <is>
          <t>Warframe</t>
        </is>
      </c>
      <c r="F1536" t="n">
        <v>3</v>
      </c>
      <c r="G1536" t="n">
        <v>1</v>
      </c>
      <c r="H1536" t="inlineStr">
        <is>
          <t>Player trade (max rank)</t>
        </is>
      </c>
      <c r="I1536" t="inlineStr">
        <is>
          <t>Yes</t>
        </is>
      </c>
      <c r="K1536" t="inlineStr">
        <is>
          <t>Collection</t>
        </is>
      </c>
      <c r="L1536" t="n">
        <v>20</v>
      </c>
      <c r="M1536" t="n">
        <v>20</v>
      </c>
      <c r="N1536" t="n">
        <v>44</v>
      </c>
      <c r="O1536" t="inlineStr">
        <is>
          <t>2026-10-05 UTC (WFM pull 02:52-04:00)</t>
        </is>
      </c>
      <c r="P1536" t="inlineStr">
        <is>
          <t>OK</t>
        </is>
      </c>
      <c r="R1536" t="inlineStr">
        <is>
          <t>Every current tradeable mod at MAX RANK (WFM catalogue, rivens/locators excluded)</t>
        </is>
      </c>
      <c r="S1536" t="inlineStr">
        <is>
          <t>tek_collateral</t>
        </is>
      </c>
      <c r="T1536" t="n">
        <v>5</v>
      </c>
      <c r="U1536" t="n">
        <v>5</v>
      </c>
      <c r="V1536" t="n">
        <v>8</v>
      </c>
      <c r="W1536" t="n">
        <v>5</v>
      </c>
      <c r="X1536" t="n">
        <v>5.7</v>
      </c>
      <c r="Y1536" t="n">
        <v>22</v>
      </c>
      <c r="Z1536" t="n">
        <v>1</v>
      </c>
      <c r="AN1536" t="inlineStr">
        <is>
          <t>Warframe</t>
        </is>
      </c>
      <c r="AO1536" t="n">
        <v>210</v>
      </c>
      <c r="AP1536" t="n">
        <v>10143</v>
      </c>
      <c r="AQ1536" t="n">
        <v>4</v>
      </c>
      <c r="AS1536" t="inlineStr">
        <is>
          <t>Yes</t>
        </is>
      </c>
    </row>
    <row r="1537">
      <c r="A1537" t="inlineStr">
        <is>
          <t>Mod</t>
        </is>
      </c>
      <c r="B1537" t="inlineStr">
        <is>
          <t>Tek Enhance</t>
        </is>
      </c>
      <c r="E1537" t="inlineStr">
        <is>
          <t>Kavat</t>
        </is>
      </c>
      <c r="F1537" t="n">
        <v>5</v>
      </c>
      <c r="G1537" t="n">
        <v>1</v>
      </c>
      <c r="H1537" t="inlineStr">
        <is>
          <t>Player trade (max rank)</t>
        </is>
      </c>
      <c r="I1537" t="inlineStr">
        <is>
          <t>Yes</t>
        </is>
      </c>
      <c r="K1537" t="inlineStr">
        <is>
          <t>Collection</t>
        </is>
      </c>
      <c r="L1537" t="n">
        <v>25</v>
      </c>
      <c r="M1537" t="n">
        <v>28.5</v>
      </c>
      <c r="N1537" t="n">
        <v>63</v>
      </c>
      <c r="O1537" t="inlineStr">
        <is>
          <t>2026-10-05 UTC (WFM pull 02:52-04:00)</t>
        </is>
      </c>
      <c r="P1537" t="inlineStr">
        <is>
          <t>OK</t>
        </is>
      </c>
      <c r="R1537" t="inlineStr">
        <is>
          <t>Every current tradeable mod at MAX RANK (WFM catalogue, rivens/locators excluded)</t>
        </is>
      </c>
      <c r="S1537" t="inlineStr">
        <is>
          <t>tek_enhance</t>
        </is>
      </c>
      <c r="T1537" t="n">
        <v>6</v>
      </c>
      <c r="U1537" t="n">
        <v>6</v>
      </c>
      <c r="V1537" t="n">
        <v>19</v>
      </c>
      <c r="W1537" t="n">
        <v>18</v>
      </c>
      <c r="X1537" t="n">
        <v>17.8</v>
      </c>
      <c r="Y1537" t="n">
        <v>313</v>
      </c>
      <c r="Z1537" t="n">
        <v>11</v>
      </c>
      <c r="AN1537" t="inlineStr">
        <is>
          <t>Kavat</t>
        </is>
      </c>
      <c r="AO1537" t="n">
        <v>930</v>
      </c>
      <c r="AP1537" t="n">
        <v>44919</v>
      </c>
      <c r="AQ1537" t="n">
        <v>13</v>
      </c>
      <c r="AS1537" t="inlineStr">
        <is>
          <t>Yes</t>
        </is>
      </c>
    </row>
    <row r="1538">
      <c r="A1538" t="inlineStr">
        <is>
          <t>Mod</t>
        </is>
      </c>
      <c r="B1538" t="inlineStr">
        <is>
          <t>Tek Gravity</t>
        </is>
      </c>
      <c r="E1538" t="inlineStr">
        <is>
          <t>Melee</t>
        </is>
      </c>
      <c r="F1538" t="n">
        <v>3</v>
      </c>
      <c r="G1538" t="n">
        <v>1</v>
      </c>
      <c r="H1538" t="inlineStr">
        <is>
          <t>Player trade (max rank)</t>
        </is>
      </c>
      <c r="I1538" t="inlineStr">
        <is>
          <t>Yes</t>
        </is>
      </c>
      <c r="K1538" t="inlineStr">
        <is>
          <t>Collection</t>
        </is>
      </c>
      <c r="L1538" t="n">
        <v>10</v>
      </c>
      <c r="M1538" t="n">
        <v>12</v>
      </c>
      <c r="N1538" t="n">
        <v>27</v>
      </c>
      <c r="O1538" t="inlineStr">
        <is>
          <t>2026-10-05 UTC (WFM pull 02:52-04:00)</t>
        </is>
      </c>
      <c r="P1538" t="inlineStr">
        <is>
          <t>OK</t>
        </is>
      </c>
      <c r="R1538" t="inlineStr">
        <is>
          <t>Every current tradeable mod at MAX RANK (WFM catalogue, rivens/locators excluded)</t>
        </is>
      </c>
      <c r="S1538" t="inlineStr">
        <is>
          <t>tek_gravity</t>
        </is>
      </c>
      <c r="T1538" t="n">
        <v>6</v>
      </c>
      <c r="U1538" t="n">
        <v>6</v>
      </c>
      <c r="V1538" t="n">
        <v>8</v>
      </c>
      <c r="W1538" t="n">
        <v>8.5</v>
      </c>
      <c r="X1538" t="n">
        <v>9.1</v>
      </c>
      <c r="Y1538" t="n">
        <v>19</v>
      </c>
      <c r="Z1538" t="n">
        <v>0</v>
      </c>
      <c r="AN1538" t="inlineStr">
        <is>
          <t>Melee</t>
        </is>
      </c>
      <c r="AO1538" t="n">
        <v>210</v>
      </c>
      <c r="AP1538" t="n">
        <v>10143</v>
      </c>
      <c r="AQ1538" t="n">
        <v>5</v>
      </c>
      <c r="AS1538" t="inlineStr">
        <is>
          <t>Yes</t>
        </is>
      </c>
    </row>
    <row r="1539">
      <c r="A1539" t="inlineStr">
        <is>
          <t>Mod</t>
        </is>
      </c>
      <c r="B1539" t="inlineStr">
        <is>
          <t>Teleport Rush</t>
        </is>
      </c>
      <c r="E1539" t="inlineStr">
        <is>
          <t>Augment Ash</t>
        </is>
      </c>
      <c r="F1539" t="n">
        <v>3</v>
      </c>
      <c r="G1539" t="n">
        <v>1</v>
      </c>
      <c r="H1539" t="inlineStr">
        <is>
          <t>Player trade (max rank)</t>
        </is>
      </c>
      <c r="I1539" t="inlineStr">
        <is>
          <t>Yes</t>
        </is>
      </c>
      <c r="K1539" t="inlineStr">
        <is>
          <t>Collection</t>
        </is>
      </c>
      <c r="L1539" t="n">
        <v>25</v>
      </c>
      <c r="M1539" t="n">
        <v>25</v>
      </c>
      <c r="N1539" t="n">
        <v>56</v>
      </c>
      <c r="O1539" t="inlineStr">
        <is>
          <t>2026-10-05 UTC (WFM pull 02:52-04:00)</t>
        </is>
      </c>
      <c r="P1539" t="inlineStr">
        <is>
          <t>OK</t>
        </is>
      </c>
      <c r="R1539" t="inlineStr">
        <is>
          <t>Every current tradeable mod at MAX RANK (WFM catalogue, rivens/locators excluded)</t>
        </is>
      </c>
      <c r="S1539" t="inlineStr">
        <is>
          <t>teleport_rush</t>
        </is>
      </c>
      <c r="T1539" t="n">
        <v>4</v>
      </c>
      <c r="U1539" t="n">
        <v>4</v>
      </c>
      <c r="V1539" t="n">
        <v>15</v>
      </c>
      <c r="W1539" t="n">
        <v>15</v>
      </c>
      <c r="X1539" t="n">
        <v>16.1</v>
      </c>
      <c r="Y1539" t="n">
        <v>75</v>
      </c>
      <c r="Z1539" t="n">
        <v>2</v>
      </c>
      <c r="AN1539" t="inlineStr">
        <is>
          <t>Augment Ash</t>
        </is>
      </c>
      <c r="AO1539" t="n">
        <v>210</v>
      </c>
      <c r="AP1539" t="n">
        <v>10143</v>
      </c>
      <c r="AQ1539" t="n">
        <v>16</v>
      </c>
      <c r="AS1539" t="inlineStr">
        <is>
          <t>Yes</t>
        </is>
      </c>
    </row>
    <row r="1540">
      <c r="A1540" t="inlineStr">
        <is>
          <t>Mod</t>
        </is>
      </c>
      <c r="B1540" t="inlineStr">
        <is>
          <t>Tempered Blade</t>
        </is>
      </c>
      <c r="E1540" t="inlineStr">
        <is>
          <t>Archmelee</t>
        </is>
      </c>
      <c r="F1540" t="n">
        <v>5</v>
      </c>
      <c r="G1540" t="n">
        <v>1</v>
      </c>
      <c r="H1540" t="inlineStr">
        <is>
          <t>Player trade (max rank)</t>
        </is>
      </c>
      <c r="I1540" t="inlineStr">
        <is>
          <t>Yes</t>
        </is>
      </c>
      <c r="K1540" t="inlineStr">
        <is>
          <t>Collection</t>
        </is>
      </c>
      <c r="L1540" t="n">
        <v>9</v>
      </c>
      <c r="M1540" t="n">
        <v>12</v>
      </c>
      <c r="N1540" t="n">
        <v>27</v>
      </c>
      <c r="O1540" t="inlineStr">
        <is>
          <t>2026-10-05 UTC (WFM pull 02:52-04:00)</t>
        </is>
      </c>
      <c r="P1540" t="inlineStr">
        <is>
          <t>OK</t>
        </is>
      </c>
      <c r="R1540" t="inlineStr">
        <is>
          <t>Every current tradeable mod at MAX RANK (WFM catalogue, rivens/locators excluded)</t>
        </is>
      </c>
      <c r="S1540" t="inlineStr">
        <is>
          <t>tempered_blade</t>
        </is>
      </c>
      <c r="T1540" t="n">
        <v>4</v>
      </c>
      <c r="U1540" t="n">
        <v>4</v>
      </c>
      <c r="V1540" t="n">
        <v>8</v>
      </c>
      <c r="W1540" t="n">
        <v>9</v>
      </c>
      <c r="X1540" t="n">
        <v>9.800000000000001</v>
      </c>
      <c r="Y1540" t="n">
        <v>5</v>
      </c>
      <c r="Z1540" t="n">
        <v>0</v>
      </c>
      <c r="AN1540" t="inlineStr">
        <is>
          <t>Archmelee</t>
        </is>
      </c>
      <c r="AO1540" t="n">
        <v>310</v>
      </c>
      <c r="AP1540" t="n">
        <v>14973</v>
      </c>
      <c r="AQ1540" t="n">
        <v>2</v>
      </c>
      <c r="AS1540" t="inlineStr">
        <is>
          <t>Yes</t>
        </is>
      </c>
    </row>
    <row r="1541">
      <c r="A1541" t="inlineStr">
        <is>
          <t>Mod</t>
        </is>
      </c>
      <c r="B1541" t="inlineStr">
        <is>
          <t>Tempered Bound</t>
        </is>
      </c>
      <c r="E1541" t="inlineStr">
        <is>
          <t>Conclave (PvP)</t>
        </is>
      </c>
      <c r="F1541" t="n">
        <v>3</v>
      </c>
      <c r="G1541" t="n">
        <v>1</v>
      </c>
      <c r="H1541" t="inlineStr">
        <is>
          <t>Player trade (max rank)</t>
        </is>
      </c>
      <c r="I1541" t="inlineStr">
        <is>
          <t>Yes</t>
        </is>
      </c>
      <c r="K1541" t="inlineStr">
        <is>
          <t>Collection (PvP)</t>
        </is>
      </c>
      <c r="L1541" t="n">
        <v>100</v>
      </c>
      <c r="M1541" t="n">
        <v>100</v>
      </c>
      <c r="N1541" t="n">
        <v>221</v>
      </c>
      <c r="O1541" t="inlineStr">
        <is>
          <t>2026-10-05 UTC (WFM pull 02:52-04:00)</t>
        </is>
      </c>
      <c r="P1541" t="inlineStr">
        <is>
          <t>OK</t>
        </is>
      </c>
      <c r="R1541" t="inlineStr">
        <is>
          <t>Every current tradeable mod at MAX RANK (WFM catalogue, rivens/locators excluded)</t>
        </is>
      </c>
      <c r="S1541" t="inlineStr">
        <is>
          <t>tempered_bound</t>
        </is>
      </c>
      <c r="T1541" t="n">
        <v>3</v>
      </c>
      <c r="U1541" t="n">
        <v>0</v>
      </c>
      <c r="W1541" t="n">
        <v>10</v>
      </c>
      <c r="X1541" t="n">
        <v>10</v>
      </c>
      <c r="Y1541" t="n">
        <v>1</v>
      </c>
      <c r="Z1541" t="n">
        <v>0</v>
      </c>
      <c r="AN1541" t="inlineStr">
        <is>
          <t>Conclave (PvP)</t>
        </is>
      </c>
      <c r="AO1541" t="n">
        <v>140</v>
      </c>
      <c r="AP1541" t="n">
        <v>6762</v>
      </c>
      <c r="AQ1541" t="n">
        <v>50</v>
      </c>
      <c r="AS1541" t="inlineStr">
        <is>
          <t>PvP subtotal</t>
        </is>
      </c>
    </row>
    <row r="1542">
      <c r="A1542" t="inlineStr">
        <is>
          <t>Mod</t>
        </is>
      </c>
      <c r="B1542" t="inlineStr">
        <is>
          <t>Tempo Royale</t>
        </is>
      </c>
      <c r="E1542" t="inlineStr">
        <is>
          <t>Stance</t>
        </is>
      </c>
      <c r="F1542" t="n">
        <v>3</v>
      </c>
      <c r="G1542" t="n">
        <v>1</v>
      </c>
      <c r="H1542" t="inlineStr">
        <is>
          <t>Player trade (max rank)</t>
        </is>
      </c>
      <c r="I1542" t="inlineStr">
        <is>
          <t>Yes</t>
        </is>
      </c>
      <c r="K1542" t="inlineStr">
        <is>
          <t>Collection</t>
        </is>
      </c>
      <c r="L1542" t="n">
        <v>19</v>
      </c>
      <c r="M1542" t="n">
        <v>20</v>
      </c>
      <c r="N1542" t="n">
        <v>33</v>
      </c>
      <c r="O1542" t="inlineStr">
        <is>
          <t>2026-10-05 UTC (WFM pull 02:52-04:00)</t>
        </is>
      </c>
      <c r="P1542" t="inlineStr">
        <is>
          <t>OK</t>
        </is>
      </c>
      <c r="R1542" t="inlineStr">
        <is>
          <t>Every current tradeable mod at MAX RANK (WFM catalogue, rivens/locators excluded)</t>
        </is>
      </c>
      <c r="S1542" t="inlineStr">
        <is>
          <t>tempo_royale</t>
        </is>
      </c>
      <c r="T1542" t="n">
        <v>113</v>
      </c>
      <c r="U1542" t="n">
        <v>2</v>
      </c>
      <c r="V1542" t="n">
        <v>30</v>
      </c>
      <c r="W1542" t="n">
        <v>35</v>
      </c>
      <c r="X1542" t="n">
        <v>34.3</v>
      </c>
      <c r="Y1542" t="n">
        <v>527</v>
      </c>
      <c r="Z1542" t="n">
        <v>10</v>
      </c>
      <c r="AN1542" t="inlineStr">
        <is>
          <t>Stance</t>
        </is>
      </c>
      <c r="AO1542" t="n">
        <v>210</v>
      </c>
      <c r="AP1542" t="n">
        <v>10143</v>
      </c>
      <c r="AQ1542" t="n">
        <v>25</v>
      </c>
      <c r="AS1542" t="inlineStr">
        <is>
          <t>Yes</t>
        </is>
      </c>
    </row>
    <row r="1543">
      <c r="A1543" t="inlineStr">
        <is>
          <t>Mod</t>
        </is>
      </c>
      <c r="B1543" t="inlineStr">
        <is>
          <t>Temporal Artillery</t>
        </is>
      </c>
      <c r="E1543" t="inlineStr">
        <is>
          <t>Augment Protea</t>
        </is>
      </c>
      <c r="F1543" t="n">
        <v>3</v>
      </c>
      <c r="G1543" t="n">
        <v>1</v>
      </c>
      <c r="H1543" t="inlineStr">
        <is>
          <t>Player trade (max rank)</t>
        </is>
      </c>
      <c r="I1543" t="inlineStr">
        <is>
          <t>Yes</t>
        </is>
      </c>
      <c r="K1543" t="inlineStr">
        <is>
          <t>Collection</t>
        </is>
      </c>
      <c r="L1543" t="n">
        <v>25</v>
      </c>
      <c r="M1543" t="n">
        <v>25</v>
      </c>
      <c r="N1543" t="n">
        <v>56</v>
      </c>
      <c r="O1543" t="inlineStr">
        <is>
          <t>2026-10-05 UTC (WFM pull 02:52-04:00)</t>
        </is>
      </c>
      <c r="P1543" t="inlineStr">
        <is>
          <t>OK</t>
        </is>
      </c>
      <c r="R1543" t="inlineStr">
        <is>
          <t>Every current tradeable mod at MAX RANK (WFM catalogue, rivens/locators excluded)</t>
        </is>
      </c>
      <c r="S1543" t="inlineStr">
        <is>
          <t>temporal_artillery</t>
        </is>
      </c>
      <c r="T1543" t="n">
        <v>3</v>
      </c>
      <c r="U1543" t="n">
        <v>3</v>
      </c>
      <c r="V1543" t="n">
        <v>15.5</v>
      </c>
      <c r="W1543" t="n">
        <v>15</v>
      </c>
      <c r="X1543" t="n">
        <v>15.6</v>
      </c>
      <c r="Y1543" t="n">
        <v>390</v>
      </c>
      <c r="Z1543" t="n">
        <v>12</v>
      </c>
      <c r="AN1543" t="inlineStr">
        <is>
          <t>Augment Protea</t>
        </is>
      </c>
      <c r="AO1543" t="n">
        <v>210</v>
      </c>
      <c r="AP1543" t="n">
        <v>10143</v>
      </c>
      <c r="AQ1543" t="n">
        <v>15</v>
      </c>
      <c r="AS1543" t="inlineStr">
        <is>
          <t>Yes</t>
        </is>
      </c>
    </row>
    <row r="1544">
      <c r="A1544" t="inlineStr">
        <is>
          <t>Mod</t>
        </is>
      </c>
      <c r="B1544" t="inlineStr">
        <is>
          <t>Temporal Erosion</t>
        </is>
      </c>
      <c r="E1544" t="inlineStr">
        <is>
          <t>Augment Protea</t>
        </is>
      </c>
      <c r="F1544" t="n">
        <v>3</v>
      </c>
      <c r="G1544" t="n">
        <v>1</v>
      </c>
      <c r="H1544" t="inlineStr">
        <is>
          <t>Player trade (max rank)</t>
        </is>
      </c>
      <c r="I1544" t="inlineStr">
        <is>
          <t>Yes</t>
        </is>
      </c>
      <c r="K1544" t="inlineStr">
        <is>
          <t>Collection</t>
        </is>
      </c>
      <c r="L1544" t="n">
        <v>25</v>
      </c>
      <c r="M1544" t="n">
        <v>25</v>
      </c>
      <c r="N1544" t="n">
        <v>56</v>
      </c>
      <c r="O1544" t="inlineStr">
        <is>
          <t>2026-10-05 UTC (WFM pull 02:52-04:00)</t>
        </is>
      </c>
      <c r="P1544" t="inlineStr">
        <is>
          <t>OK</t>
        </is>
      </c>
      <c r="R1544" t="inlineStr">
        <is>
          <t>Every current tradeable mod at MAX RANK (WFM catalogue, rivens/locators excluded)</t>
        </is>
      </c>
      <c r="S1544" t="inlineStr">
        <is>
          <t>temporal_erosion</t>
        </is>
      </c>
      <c r="T1544" t="n">
        <v>3</v>
      </c>
      <c r="U1544" t="n">
        <v>3</v>
      </c>
      <c r="V1544" t="n">
        <v>15</v>
      </c>
      <c r="W1544" t="n">
        <v>17</v>
      </c>
      <c r="X1544" t="n">
        <v>16.6</v>
      </c>
      <c r="Y1544" t="n">
        <v>304</v>
      </c>
      <c r="Z1544" t="n">
        <v>11</v>
      </c>
      <c r="AN1544" t="inlineStr">
        <is>
          <t>Augment Protea</t>
        </is>
      </c>
      <c r="AO1544" t="n">
        <v>210</v>
      </c>
      <c r="AP1544" t="n">
        <v>10143</v>
      </c>
      <c r="AQ1544" t="n">
        <v>15</v>
      </c>
      <c r="AS1544" t="inlineStr">
        <is>
          <t>Yes</t>
        </is>
      </c>
    </row>
    <row r="1545">
      <c r="A1545" t="inlineStr">
        <is>
          <t>Mod</t>
        </is>
      </c>
      <c r="B1545" t="inlineStr">
        <is>
          <t>Tenacious Bond</t>
        </is>
      </c>
      <c r="E1545" t="inlineStr">
        <is>
          <t>Companion</t>
        </is>
      </c>
      <c r="F1545" t="n">
        <v>5</v>
      </c>
      <c r="G1545" t="n">
        <v>1</v>
      </c>
      <c r="H1545" t="inlineStr">
        <is>
          <t>Player trade (max rank)</t>
        </is>
      </c>
      <c r="I1545" t="inlineStr">
        <is>
          <t>Yes</t>
        </is>
      </c>
      <c r="K1545" t="inlineStr">
        <is>
          <t>Collection</t>
        </is>
      </c>
      <c r="L1545" t="n">
        <v>19</v>
      </c>
      <c r="M1545" t="n">
        <v>20</v>
      </c>
      <c r="N1545" t="n">
        <v>28</v>
      </c>
      <c r="O1545" t="inlineStr">
        <is>
          <t>2026-10-05 UTC (WFM pull 02:52-04:00)</t>
        </is>
      </c>
      <c r="P1545" t="inlineStr">
        <is>
          <t>OK</t>
        </is>
      </c>
      <c r="R1545" t="inlineStr">
        <is>
          <t>Every current tradeable mod at MAX RANK (WFM catalogue, rivens/locators excluded)</t>
        </is>
      </c>
      <c r="S1545" t="inlineStr">
        <is>
          <t>tenacious_bond</t>
        </is>
      </c>
      <c r="T1545" t="n">
        <v>17</v>
      </c>
      <c r="U1545" t="n">
        <v>17</v>
      </c>
      <c r="V1545" t="n">
        <v>20</v>
      </c>
      <c r="W1545" t="n">
        <v>20</v>
      </c>
      <c r="X1545" t="n">
        <v>19.9</v>
      </c>
      <c r="Y1545" t="n">
        <v>1461</v>
      </c>
      <c r="Z1545" t="n">
        <v>32</v>
      </c>
      <c r="AN1545" t="inlineStr">
        <is>
          <t>Companion</t>
        </is>
      </c>
      <c r="AO1545" t="n">
        <v>930</v>
      </c>
      <c r="AP1545" t="n">
        <v>44919</v>
      </c>
      <c r="AQ1545" t="n">
        <v>15</v>
      </c>
      <c r="AS1545" t="inlineStr">
        <is>
          <t>Yes</t>
        </is>
      </c>
    </row>
    <row r="1546">
      <c r="A1546" t="inlineStr">
        <is>
          <t>Mod</t>
        </is>
      </c>
      <c r="B1546" t="inlineStr">
        <is>
          <t>Terminal Velocity</t>
        </is>
      </c>
      <c r="E1546" t="inlineStr">
        <is>
          <t>Rifle</t>
        </is>
      </c>
      <c r="F1546" t="n">
        <v>3</v>
      </c>
      <c r="G1546" t="n">
        <v>1</v>
      </c>
      <c r="H1546" t="inlineStr">
        <is>
          <t>Player trade (max rank)</t>
        </is>
      </c>
      <c r="I1546" t="inlineStr">
        <is>
          <t>Yes</t>
        </is>
      </c>
      <c r="K1546" t="inlineStr">
        <is>
          <t>Collection</t>
        </is>
      </c>
      <c r="L1546" t="n">
        <v>7</v>
      </c>
      <c r="M1546" t="n">
        <v>10</v>
      </c>
      <c r="N1546" t="n">
        <v>17</v>
      </c>
      <c r="O1546" t="inlineStr">
        <is>
          <t>2026-10-05 UTC (WFM pull 02:52-04:00)</t>
        </is>
      </c>
      <c r="P1546" t="inlineStr">
        <is>
          <t>OK</t>
        </is>
      </c>
      <c r="R1546" t="inlineStr">
        <is>
          <t>Every current tradeable mod at MAX RANK (WFM catalogue, rivens/locators excluded)</t>
        </is>
      </c>
      <c r="S1546" t="inlineStr">
        <is>
          <t>terminal_velocity</t>
        </is>
      </c>
      <c r="T1546" t="n">
        <v>7</v>
      </c>
      <c r="U1546" t="n">
        <v>7</v>
      </c>
      <c r="V1546" t="n">
        <v>9</v>
      </c>
      <c r="W1546" t="n">
        <v>8.5</v>
      </c>
      <c r="X1546" t="n">
        <v>8</v>
      </c>
      <c r="Y1546" t="n">
        <v>127</v>
      </c>
      <c r="Z1546" t="n">
        <v>4</v>
      </c>
      <c r="AN1546" t="inlineStr">
        <is>
          <t>Rifle</t>
        </is>
      </c>
      <c r="AO1546" t="n">
        <v>140</v>
      </c>
      <c r="AP1546" t="n">
        <v>6762</v>
      </c>
      <c r="AQ1546" t="n">
        <v>3</v>
      </c>
      <c r="AS1546" t="inlineStr">
        <is>
          <t>Yes</t>
        </is>
      </c>
    </row>
    <row r="1547">
      <c r="A1547" t="inlineStr">
        <is>
          <t>Mod</t>
        </is>
      </c>
      <c r="B1547" t="inlineStr">
        <is>
          <t>Territorial Aggression</t>
        </is>
      </c>
      <c r="E1547" t="inlineStr">
        <is>
          <t>Kavat</t>
        </is>
      </c>
      <c r="F1547" t="n">
        <v>3</v>
      </c>
      <c r="G1547" t="n">
        <v>1</v>
      </c>
      <c r="H1547" t="inlineStr">
        <is>
          <t>Player trade (max rank)</t>
        </is>
      </c>
      <c r="I1547" t="inlineStr">
        <is>
          <t>Yes</t>
        </is>
      </c>
      <c r="K1547" t="inlineStr">
        <is>
          <t>Collection</t>
        </is>
      </c>
      <c r="L1547" t="n">
        <v>8</v>
      </c>
      <c r="M1547" t="n">
        <v>8</v>
      </c>
      <c r="N1547" t="n">
        <v>10</v>
      </c>
      <c r="O1547" t="inlineStr">
        <is>
          <t>2026-10-05 UTC (WFM pull 02:52-04:00)</t>
        </is>
      </c>
      <c r="P1547" t="inlineStr">
        <is>
          <t>OK</t>
        </is>
      </c>
      <c r="R1547" t="inlineStr">
        <is>
          <t>Every current tradeable mod at MAX RANK (WFM catalogue, rivens/locators excluded)</t>
        </is>
      </c>
      <c r="S1547" t="inlineStr">
        <is>
          <t>territorial_aggression</t>
        </is>
      </c>
      <c r="T1547" t="n">
        <v>64</v>
      </c>
      <c r="U1547" t="n">
        <v>1</v>
      </c>
      <c r="V1547" t="n">
        <v>9</v>
      </c>
      <c r="W1547" t="n">
        <v>9.5</v>
      </c>
      <c r="X1547" t="n">
        <v>9.1</v>
      </c>
      <c r="Y1547" t="n">
        <v>10</v>
      </c>
      <c r="Z1547" t="n">
        <v>0</v>
      </c>
      <c r="AN1547" t="inlineStr">
        <is>
          <t>Kavat</t>
        </is>
      </c>
      <c r="AO1547" t="n">
        <v>140</v>
      </c>
      <c r="AP1547" t="n">
        <v>6762</v>
      </c>
      <c r="AQ1547" t="n">
        <v>4</v>
      </c>
      <c r="AS1547" t="inlineStr">
        <is>
          <t>Yes</t>
        </is>
      </c>
    </row>
    <row r="1548">
      <c r="A1548" t="inlineStr">
        <is>
          <t>Mod</t>
        </is>
      </c>
      <c r="B1548" t="inlineStr">
        <is>
          <t>Tesla Bank</t>
        </is>
      </c>
      <c r="E1548" t="inlineStr">
        <is>
          <t>Augment Vauban</t>
        </is>
      </c>
      <c r="F1548" t="n">
        <v>3</v>
      </c>
      <c r="G1548" t="n">
        <v>1</v>
      </c>
      <c r="H1548" t="inlineStr">
        <is>
          <t>Player trade (max rank)</t>
        </is>
      </c>
      <c r="I1548" t="inlineStr">
        <is>
          <t>Yes</t>
        </is>
      </c>
      <c r="K1548" t="inlineStr">
        <is>
          <t>Collection</t>
        </is>
      </c>
      <c r="L1548" t="n">
        <v>15</v>
      </c>
      <c r="M1548" t="n">
        <v>22.5</v>
      </c>
      <c r="N1548" t="n">
        <v>50</v>
      </c>
      <c r="O1548" t="inlineStr">
        <is>
          <t>2026-10-05 UTC (WFM pull 02:52-04:00)</t>
        </is>
      </c>
      <c r="P1548" t="inlineStr">
        <is>
          <t>OK</t>
        </is>
      </c>
      <c r="R1548" t="inlineStr">
        <is>
          <t>Every current tradeable mod at MAX RANK (WFM catalogue, rivens/locators excluded)</t>
        </is>
      </c>
      <c r="S1548" t="inlineStr">
        <is>
          <t>tesla_bank</t>
        </is>
      </c>
      <c r="T1548" t="n">
        <v>4</v>
      </c>
      <c r="U1548" t="n">
        <v>4</v>
      </c>
      <c r="V1548" t="n">
        <v>15</v>
      </c>
      <c r="W1548" t="n">
        <v>15</v>
      </c>
      <c r="X1548" t="n">
        <v>15.7</v>
      </c>
      <c r="Y1548" t="n">
        <v>91</v>
      </c>
      <c r="Z1548" t="n">
        <v>2</v>
      </c>
      <c r="AN1548" t="inlineStr">
        <is>
          <t>Augment Vauban</t>
        </is>
      </c>
      <c r="AO1548" t="n">
        <v>210</v>
      </c>
      <c r="AP1548" t="n">
        <v>10143</v>
      </c>
      <c r="AQ1548" t="n">
        <v>18</v>
      </c>
      <c r="AS1548" t="inlineStr">
        <is>
          <t>Yes</t>
        </is>
      </c>
    </row>
    <row r="1549">
      <c r="A1549" t="inlineStr">
        <is>
          <t>Mod</t>
        </is>
      </c>
      <c r="B1549" t="inlineStr">
        <is>
          <t>Tether</t>
        </is>
      </c>
      <c r="E1549" t="inlineStr">
        <is>
          <t>Railjack (Battle, Slot 2)</t>
        </is>
      </c>
      <c r="F1549" t="n">
        <v>5</v>
      </c>
      <c r="G1549" t="n">
        <v>1</v>
      </c>
      <c r="H1549" t="inlineStr">
        <is>
          <t>Player trade (max rank)</t>
        </is>
      </c>
      <c r="I1549" t="inlineStr">
        <is>
          <t>Yes</t>
        </is>
      </c>
      <c r="K1549" t="inlineStr">
        <is>
          <t>Collection</t>
        </is>
      </c>
      <c r="L1549" t="n">
        <v>5</v>
      </c>
      <c r="M1549" t="n">
        <v>15</v>
      </c>
      <c r="N1549" t="n">
        <v>20</v>
      </c>
      <c r="O1549" t="inlineStr">
        <is>
          <t>2026-10-05 UTC (WFM pull 02:52-04:00)</t>
        </is>
      </c>
      <c r="P1549" t="inlineStr">
        <is>
          <t>OK</t>
        </is>
      </c>
      <c r="R1549" t="inlineStr">
        <is>
          <t>Every current tradeable mod at MAX RANK (WFM catalogue, rivens/locators excluded)</t>
        </is>
      </c>
      <c r="S1549" t="inlineStr">
        <is>
          <t>tether</t>
        </is>
      </c>
      <c r="T1549" t="n">
        <v>53</v>
      </c>
      <c r="U1549" t="n">
        <v>0</v>
      </c>
      <c r="V1549" t="n">
        <v>17.5</v>
      </c>
      <c r="W1549" t="n">
        <v>18.5</v>
      </c>
      <c r="X1549" t="n">
        <v>19.8</v>
      </c>
      <c r="Y1549" t="n">
        <v>40</v>
      </c>
      <c r="Z1549" t="n">
        <v>1</v>
      </c>
      <c r="AN1549" t="inlineStr">
        <is>
          <t>Railjack (Battle, Slot 2)</t>
        </is>
      </c>
      <c r="AO1549" t="n">
        <v>620</v>
      </c>
      <c r="AP1549" t="n">
        <v>29946</v>
      </c>
      <c r="AQ1549" t="n">
        <v>10</v>
      </c>
      <c r="AS1549" t="inlineStr">
        <is>
          <t>Yes</t>
        </is>
      </c>
    </row>
    <row r="1550">
      <c r="A1550" t="inlineStr">
        <is>
          <t>Mod</t>
        </is>
      </c>
      <c r="B1550" t="inlineStr">
        <is>
          <t>Tether Grenades</t>
        </is>
      </c>
      <c r="E1550" t="inlineStr">
        <is>
          <t>Augment Penta</t>
        </is>
      </c>
      <c r="F1550" t="n">
        <v>5</v>
      </c>
      <c r="G1550" t="n">
        <v>1</v>
      </c>
      <c r="H1550" t="inlineStr">
        <is>
          <t>Player trade (max rank)</t>
        </is>
      </c>
      <c r="I1550" t="inlineStr">
        <is>
          <t>Yes</t>
        </is>
      </c>
      <c r="K1550" t="inlineStr">
        <is>
          <t>Collection</t>
        </is>
      </c>
      <c r="L1550" t="n">
        <v>5</v>
      </c>
      <c r="M1550" t="n">
        <v>9</v>
      </c>
      <c r="N1550" t="n">
        <v>20</v>
      </c>
      <c r="O1550" t="inlineStr">
        <is>
          <t>2026-10-05 UTC (WFM pull 02:52-04:00)</t>
        </is>
      </c>
      <c r="P1550" t="inlineStr">
        <is>
          <t>OK</t>
        </is>
      </c>
      <c r="R1550" t="inlineStr">
        <is>
          <t>Every current tradeable mod at MAX RANK (WFM catalogue, rivens/locators excluded)</t>
        </is>
      </c>
      <c r="S1550" t="inlineStr">
        <is>
          <t>tether_grenades</t>
        </is>
      </c>
      <c r="T1550" t="n">
        <v>3</v>
      </c>
      <c r="U1550" t="n">
        <v>3</v>
      </c>
      <c r="V1550" t="n">
        <v>7</v>
      </c>
      <c r="W1550" t="n">
        <v>15</v>
      </c>
      <c r="X1550" t="n">
        <v>13.3</v>
      </c>
      <c r="Y1550" t="n">
        <v>3</v>
      </c>
      <c r="Z1550" t="n">
        <v>0</v>
      </c>
      <c r="AN1550" t="inlineStr">
        <is>
          <t>Augment Penta</t>
        </is>
      </c>
      <c r="AO1550" t="n">
        <v>930</v>
      </c>
      <c r="AP1550" t="n">
        <v>44919</v>
      </c>
      <c r="AQ1550" t="n">
        <v>1</v>
      </c>
      <c r="AS1550" t="inlineStr">
        <is>
          <t>Yes</t>
        </is>
      </c>
    </row>
    <row r="1551">
      <c r="A1551" t="inlineStr">
        <is>
          <t>Mod</t>
        </is>
      </c>
      <c r="B1551" t="inlineStr">
        <is>
          <t>Tharros Lethality</t>
        </is>
      </c>
      <c r="E1551" t="inlineStr">
        <is>
          <t>Augment Styanax</t>
        </is>
      </c>
      <c r="F1551" t="n">
        <v>3</v>
      </c>
      <c r="G1551" t="n">
        <v>1</v>
      </c>
      <c r="H1551" t="inlineStr">
        <is>
          <t>Player trade (max rank)</t>
        </is>
      </c>
      <c r="I1551" t="inlineStr">
        <is>
          <t>Yes</t>
        </is>
      </c>
      <c r="K1551" t="inlineStr">
        <is>
          <t>Collection</t>
        </is>
      </c>
      <c r="L1551" t="n">
        <v>15</v>
      </c>
      <c r="M1551" t="n">
        <v>26.2</v>
      </c>
      <c r="N1551" t="n">
        <v>58</v>
      </c>
      <c r="O1551" t="inlineStr">
        <is>
          <t>2026-10-05 UTC (WFM pull 02:52-04:00)</t>
        </is>
      </c>
      <c r="P1551" t="inlineStr">
        <is>
          <t>OK</t>
        </is>
      </c>
      <c r="R1551" t="inlineStr">
        <is>
          <t>Every current tradeable mod at MAX RANK (WFM catalogue, rivens/locators excluded)</t>
        </is>
      </c>
      <c r="S1551" t="inlineStr">
        <is>
          <t>tharros_lethality</t>
        </is>
      </c>
      <c r="T1551" t="n">
        <v>3</v>
      </c>
      <c r="U1551" t="n">
        <v>3</v>
      </c>
      <c r="V1551" t="n">
        <v>17.5</v>
      </c>
      <c r="W1551" t="n">
        <v>16</v>
      </c>
      <c r="X1551" t="n">
        <v>16.5</v>
      </c>
      <c r="Y1551" t="n">
        <v>422</v>
      </c>
      <c r="Z1551" t="n">
        <v>3</v>
      </c>
      <c r="AN1551" t="inlineStr">
        <is>
          <t>Augment Styanax</t>
        </is>
      </c>
      <c r="AO1551" t="n">
        <v>210</v>
      </c>
      <c r="AP1551" t="n">
        <v>10143</v>
      </c>
      <c r="AQ1551" t="n">
        <v>10</v>
      </c>
      <c r="AS1551" t="inlineStr">
        <is>
          <t>Yes</t>
        </is>
      </c>
    </row>
    <row r="1552">
      <c r="A1552" t="inlineStr">
        <is>
          <t>Mod</t>
        </is>
      </c>
      <c r="B1552" t="inlineStr">
        <is>
          <t>The Relentless Lost</t>
        </is>
      </c>
      <c r="E1552" t="inlineStr">
        <is>
          <t>Augment Xaku</t>
        </is>
      </c>
      <c r="F1552" t="n">
        <v>3</v>
      </c>
      <c r="G1552" t="n">
        <v>1</v>
      </c>
      <c r="H1552" t="inlineStr">
        <is>
          <t>Player trade (max rank)</t>
        </is>
      </c>
      <c r="I1552" t="inlineStr">
        <is>
          <t>Yes</t>
        </is>
      </c>
      <c r="K1552" t="inlineStr">
        <is>
          <t>Collection</t>
        </is>
      </c>
      <c r="L1552" t="n">
        <v>10</v>
      </c>
      <c r="M1552" t="n">
        <v>15</v>
      </c>
      <c r="N1552" t="n">
        <v>33</v>
      </c>
      <c r="O1552" t="inlineStr">
        <is>
          <t>2026-10-05 UTC (WFM pull 02:52-04:00)</t>
        </is>
      </c>
      <c r="P1552" t="inlineStr">
        <is>
          <t>OK</t>
        </is>
      </c>
      <c r="R1552" t="inlineStr">
        <is>
          <t>Every current tradeable mod at MAX RANK (WFM catalogue, rivens/locators excluded)</t>
        </is>
      </c>
      <c r="S1552" t="inlineStr">
        <is>
          <t>the_relentless_lost</t>
        </is>
      </c>
      <c r="T1552" t="n">
        <v>5</v>
      </c>
      <c r="U1552" t="n">
        <v>5</v>
      </c>
      <c r="V1552" t="n">
        <v>10</v>
      </c>
      <c r="W1552" t="n">
        <v>10</v>
      </c>
      <c r="X1552" t="n">
        <v>11.6</v>
      </c>
      <c r="Y1552" t="n">
        <v>21</v>
      </c>
      <c r="Z1552" t="n">
        <v>0</v>
      </c>
      <c r="AN1552" t="inlineStr">
        <is>
          <t>Augment Xaku</t>
        </is>
      </c>
      <c r="AO1552" t="n">
        <v>210</v>
      </c>
      <c r="AP1552" t="n">
        <v>10143</v>
      </c>
      <c r="AQ1552" t="n">
        <v>10</v>
      </c>
      <c r="AS1552" t="inlineStr">
        <is>
          <t>Yes</t>
        </is>
      </c>
    </row>
    <row r="1553">
      <c r="A1553" t="inlineStr">
        <is>
          <t>Mod</t>
        </is>
      </c>
      <c r="B1553" t="inlineStr">
        <is>
          <t>Thermagnetic Shells</t>
        </is>
      </c>
      <c r="E1553" t="inlineStr">
        <is>
          <t>Augment Detron</t>
        </is>
      </c>
      <c r="F1553" t="n">
        <v>3</v>
      </c>
      <c r="G1553" t="n">
        <v>1</v>
      </c>
      <c r="H1553" t="inlineStr">
        <is>
          <t>Player trade (max rank)</t>
        </is>
      </c>
      <c r="I1553" t="inlineStr">
        <is>
          <t>Yes</t>
        </is>
      </c>
      <c r="K1553" t="inlineStr">
        <is>
          <t>Collection</t>
        </is>
      </c>
      <c r="L1553" t="n">
        <v>8</v>
      </c>
      <c r="M1553" t="n">
        <v>12</v>
      </c>
      <c r="N1553" t="n">
        <v>27</v>
      </c>
      <c r="O1553" t="inlineStr">
        <is>
          <t>2026-10-05 UTC (WFM pull 02:52-04:00)</t>
        </is>
      </c>
      <c r="P1553" t="inlineStr">
        <is>
          <t>OK</t>
        </is>
      </c>
      <c r="R1553" t="inlineStr">
        <is>
          <t>Every current tradeable mod at MAX RANK (WFM catalogue, rivens/locators excluded)</t>
        </is>
      </c>
      <c r="S1553" t="inlineStr">
        <is>
          <t>thermagnetic_shells</t>
        </is>
      </c>
      <c r="T1553" t="n">
        <v>3</v>
      </c>
      <c r="U1553" t="n">
        <v>3</v>
      </c>
      <c r="V1553" t="n">
        <v>8</v>
      </c>
      <c r="W1553" t="n">
        <v>20</v>
      </c>
      <c r="X1553" t="n">
        <v>14.1</v>
      </c>
      <c r="Y1553" t="n">
        <v>35</v>
      </c>
      <c r="Z1553" t="n">
        <v>0</v>
      </c>
      <c r="AN1553" t="inlineStr">
        <is>
          <t>Augment Detron</t>
        </is>
      </c>
      <c r="AO1553" t="n">
        <v>210</v>
      </c>
      <c r="AP1553" t="n">
        <v>10143</v>
      </c>
      <c r="AQ1553" t="n">
        <v>2</v>
      </c>
      <c r="AS1553" t="inlineStr">
        <is>
          <t>Yes</t>
        </is>
      </c>
    </row>
    <row r="1554">
      <c r="A1554" t="inlineStr">
        <is>
          <t>Mod</t>
        </is>
      </c>
      <c r="B1554" t="inlineStr">
        <is>
          <t>Thermal Transfer</t>
        </is>
      </c>
      <c r="E1554" t="inlineStr">
        <is>
          <t>Augment Gauss</t>
        </is>
      </c>
      <c r="F1554" t="n">
        <v>3</v>
      </c>
      <c r="G1554" t="n">
        <v>1</v>
      </c>
      <c r="H1554" t="inlineStr">
        <is>
          <t>Player trade (max rank)</t>
        </is>
      </c>
      <c r="I1554" t="inlineStr">
        <is>
          <t>Yes</t>
        </is>
      </c>
      <c r="K1554" t="inlineStr">
        <is>
          <t>Collection</t>
        </is>
      </c>
      <c r="L1554" t="n">
        <v>25</v>
      </c>
      <c r="M1554" t="n">
        <v>25</v>
      </c>
      <c r="N1554" t="n">
        <v>56</v>
      </c>
      <c r="O1554" t="inlineStr">
        <is>
          <t>2026-10-05 UTC (WFM pull 02:52-04:00)</t>
        </is>
      </c>
      <c r="P1554" t="inlineStr">
        <is>
          <t>OK</t>
        </is>
      </c>
      <c r="R1554" t="inlineStr">
        <is>
          <t>Every current tradeable mod at MAX RANK (WFM catalogue, rivens/locators excluded)</t>
        </is>
      </c>
      <c r="S1554" t="inlineStr">
        <is>
          <t>thermal_transfer</t>
        </is>
      </c>
      <c r="T1554" t="n">
        <v>3</v>
      </c>
      <c r="U1554" t="n">
        <v>3</v>
      </c>
      <c r="V1554" t="n">
        <v>15</v>
      </c>
      <c r="W1554" t="n">
        <v>15</v>
      </c>
      <c r="X1554" t="n">
        <v>14.5</v>
      </c>
      <c r="Y1554" t="n">
        <v>596</v>
      </c>
      <c r="Z1554" t="n">
        <v>4</v>
      </c>
      <c r="AN1554" t="inlineStr">
        <is>
          <t>Augment Gauss</t>
        </is>
      </c>
      <c r="AO1554" t="n">
        <v>210</v>
      </c>
      <c r="AP1554" t="n">
        <v>10143</v>
      </c>
      <c r="AQ1554" t="n">
        <v>14</v>
      </c>
      <c r="AS1554" t="inlineStr">
        <is>
          <t>Yes</t>
        </is>
      </c>
    </row>
    <row r="1555">
      <c r="A1555" t="inlineStr">
        <is>
          <t>Mod</t>
        </is>
      </c>
      <c r="B1555" t="inlineStr">
        <is>
          <t>Thermite Rounds</t>
        </is>
      </c>
      <c r="E1555" t="inlineStr">
        <is>
          <t>Rifle</t>
        </is>
      </c>
      <c r="F1555" t="n">
        <v>3</v>
      </c>
      <c r="G1555" t="n">
        <v>1</v>
      </c>
      <c r="H1555" t="inlineStr">
        <is>
          <t>Player trade (max rank)</t>
        </is>
      </c>
      <c r="I1555" t="inlineStr">
        <is>
          <t>Yes</t>
        </is>
      </c>
      <c r="K1555" t="inlineStr">
        <is>
          <t>Collection</t>
        </is>
      </c>
      <c r="L1555" t="n">
        <v>40</v>
      </c>
      <c r="M1555" t="n">
        <v>40</v>
      </c>
      <c r="N1555" t="n">
        <v>61</v>
      </c>
      <c r="O1555" t="inlineStr">
        <is>
          <t>2026-10-05 UTC (WFM pull 02:52-04:00)</t>
        </is>
      </c>
      <c r="P1555" t="inlineStr">
        <is>
          <t>OK</t>
        </is>
      </c>
      <c r="R1555" t="inlineStr">
        <is>
          <t>Every current tradeable mod at MAX RANK (WFM catalogue, rivens/locators excluded)</t>
        </is>
      </c>
      <c r="S1555" t="inlineStr">
        <is>
          <t>thermite_rounds</t>
        </is>
      </c>
      <c r="T1555" t="n">
        <v>9</v>
      </c>
      <c r="U1555" t="n">
        <v>9</v>
      </c>
      <c r="V1555" t="n">
        <v>24</v>
      </c>
      <c r="W1555" t="n">
        <v>20</v>
      </c>
      <c r="X1555" t="n">
        <v>22.1</v>
      </c>
      <c r="Y1555" t="n">
        <v>2347</v>
      </c>
      <c r="Z1555" t="n">
        <v>82</v>
      </c>
      <c r="AN1555" t="inlineStr">
        <is>
          <t>Rifle</t>
        </is>
      </c>
      <c r="AO1555" t="n">
        <v>210</v>
      </c>
      <c r="AP1555" t="n">
        <v>10143</v>
      </c>
      <c r="AQ1555" t="n">
        <v>30</v>
      </c>
      <c r="AS1555" t="inlineStr">
        <is>
          <t>Yes</t>
        </is>
      </c>
    </row>
    <row r="1556">
      <c r="A1556" t="inlineStr">
        <is>
          <t>Mod</t>
        </is>
      </c>
      <c r="B1556" t="inlineStr">
        <is>
          <t>Thief's Wit</t>
        </is>
      </c>
      <c r="E1556" t="inlineStr">
        <is>
          <t>Warframe</t>
        </is>
      </c>
      <c r="F1556" t="n">
        <v>5</v>
      </c>
      <c r="G1556" t="n">
        <v>1</v>
      </c>
      <c r="H1556" t="inlineStr">
        <is>
          <t>Player trade (max rank)</t>
        </is>
      </c>
      <c r="I1556" t="inlineStr">
        <is>
          <t>Yes</t>
        </is>
      </c>
      <c r="K1556" t="inlineStr">
        <is>
          <t>Collection</t>
        </is>
      </c>
      <c r="L1556" t="n">
        <v>1</v>
      </c>
      <c r="M1556" t="n">
        <v>5</v>
      </c>
      <c r="N1556" t="n">
        <v>8</v>
      </c>
      <c r="O1556" t="inlineStr">
        <is>
          <t>2026-10-05 UTC (WFM pull 02:52-04:00)</t>
        </is>
      </c>
      <c r="P1556" t="inlineStr">
        <is>
          <t>OK</t>
        </is>
      </c>
      <c r="R1556" t="inlineStr">
        <is>
          <t>Every current tradeable mod at MAX RANK (WFM catalogue, rivens/locators excluded)</t>
        </is>
      </c>
      <c r="S1556" t="inlineStr">
        <is>
          <t>thiefs_wit</t>
        </is>
      </c>
      <c r="T1556" t="n">
        <v>75</v>
      </c>
      <c r="U1556" t="n">
        <v>1</v>
      </c>
      <c r="V1556" t="n">
        <v>7</v>
      </c>
      <c r="W1556" t="n">
        <v>8</v>
      </c>
      <c r="X1556" t="n">
        <v>7.7</v>
      </c>
      <c r="Y1556" t="n">
        <v>29</v>
      </c>
      <c r="Z1556" t="n">
        <v>1</v>
      </c>
      <c r="AN1556" t="inlineStr">
        <is>
          <t>Warframe</t>
        </is>
      </c>
      <c r="AO1556" t="n">
        <v>310</v>
      </c>
      <c r="AP1556" t="n">
        <v>14973</v>
      </c>
      <c r="AQ1556" t="n">
        <v>1</v>
      </c>
      <c r="AS1556" t="inlineStr">
        <is>
          <t>Yes</t>
        </is>
      </c>
    </row>
    <row r="1557">
      <c r="A1557" t="inlineStr">
        <is>
          <t>Mod</t>
        </is>
      </c>
      <c r="B1557" t="inlineStr">
        <is>
          <t>Thrall Pact</t>
        </is>
      </c>
      <c r="E1557" t="inlineStr">
        <is>
          <t>Augment Revenant</t>
        </is>
      </c>
      <c r="F1557" t="n">
        <v>3</v>
      </c>
      <c r="G1557" t="n">
        <v>1</v>
      </c>
      <c r="H1557" t="inlineStr">
        <is>
          <t>Player trade (max rank)</t>
        </is>
      </c>
      <c r="I1557" t="inlineStr">
        <is>
          <t>Yes</t>
        </is>
      </c>
      <c r="K1557" t="inlineStr">
        <is>
          <t>Collection</t>
        </is>
      </c>
      <c r="L1557" t="n">
        <v>9</v>
      </c>
      <c r="M1557" t="n">
        <v>10</v>
      </c>
      <c r="N1557" t="n">
        <v>21</v>
      </c>
      <c r="O1557" t="inlineStr">
        <is>
          <t>2026-10-05 UTC (WFM pull 02:52-04:00)</t>
        </is>
      </c>
      <c r="P1557" t="inlineStr">
        <is>
          <t>OK</t>
        </is>
      </c>
      <c r="R1557" t="inlineStr">
        <is>
          <t>Every current tradeable mod at MAX RANK (WFM catalogue, rivens/locators excluded)</t>
        </is>
      </c>
      <c r="S1557" t="inlineStr">
        <is>
          <t>thrall_pact</t>
        </is>
      </c>
      <c r="T1557" t="n">
        <v>73</v>
      </c>
      <c r="U1557" t="n">
        <v>2</v>
      </c>
      <c r="V1557" t="n">
        <v>19</v>
      </c>
      <c r="W1557" t="n">
        <v>16.5</v>
      </c>
      <c r="X1557" t="n">
        <v>16.7</v>
      </c>
      <c r="Y1557" t="n">
        <v>437</v>
      </c>
      <c r="Z1557" t="n">
        <v>9</v>
      </c>
      <c r="AN1557" t="inlineStr">
        <is>
          <t>Augment Revenant</t>
        </is>
      </c>
      <c r="AO1557" t="n">
        <v>210</v>
      </c>
      <c r="AP1557" t="n">
        <v>10143</v>
      </c>
      <c r="AQ1557" t="n">
        <v>16</v>
      </c>
      <c r="AS1557" t="inlineStr">
        <is>
          <t>Yes</t>
        </is>
      </c>
    </row>
    <row r="1558">
      <c r="A1558" t="inlineStr">
        <is>
          <t>Mod</t>
        </is>
      </c>
      <c r="B1558" t="inlineStr">
        <is>
          <t>Thrash Landing</t>
        </is>
      </c>
      <c r="E1558" t="inlineStr">
        <is>
          <t>K-Drive</t>
        </is>
      </c>
      <c r="F1558" t="n">
        <v>3</v>
      </c>
      <c r="G1558" t="n">
        <v>1</v>
      </c>
      <c r="H1558" t="inlineStr">
        <is>
          <t>Player trade (max rank)</t>
        </is>
      </c>
      <c r="I1558" t="inlineStr">
        <is>
          <t>Yes</t>
        </is>
      </c>
      <c r="K1558" t="inlineStr">
        <is>
          <t>Collection</t>
        </is>
      </c>
      <c r="L1558" t="n">
        <v>27</v>
      </c>
      <c r="M1558" t="n">
        <v>40</v>
      </c>
      <c r="N1558" t="n">
        <v>53</v>
      </c>
      <c r="O1558" t="inlineStr">
        <is>
          <t>2026-10-05 UTC (WFM pull 02:52-04:00)</t>
        </is>
      </c>
      <c r="P1558" t="inlineStr">
        <is>
          <t>OK</t>
        </is>
      </c>
      <c r="R1558" t="inlineStr">
        <is>
          <t>Every current tradeable mod at MAX RANK (WFM catalogue, rivens/locators excluded)</t>
        </is>
      </c>
      <c r="S1558" t="inlineStr">
        <is>
          <t>thrash_landing</t>
        </is>
      </c>
      <c r="T1558" t="n">
        <v>3</v>
      </c>
      <c r="U1558" t="n">
        <v>3</v>
      </c>
      <c r="V1558" t="n">
        <v>30</v>
      </c>
      <c r="W1558" t="n">
        <v>30</v>
      </c>
      <c r="X1558" t="n">
        <v>35</v>
      </c>
      <c r="Y1558" t="n">
        <v>2</v>
      </c>
      <c r="Z1558" t="n">
        <v>0</v>
      </c>
      <c r="AN1558" t="inlineStr">
        <is>
          <t>K-Drive</t>
        </is>
      </c>
      <c r="AO1558" t="n">
        <v>210</v>
      </c>
      <c r="AP1558" t="n">
        <v>10143</v>
      </c>
      <c r="AQ1558" t="n">
        <v>23</v>
      </c>
      <c r="AS1558" t="inlineStr">
        <is>
          <t>Yes</t>
        </is>
      </c>
    </row>
    <row r="1559">
      <c r="A1559" t="inlineStr">
        <is>
          <t>Mod</t>
        </is>
      </c>
      <c r="B1559" t="inlineStr">
        <is>
          <t>Threat Blocker</t>
        </is>
      </c>
      <c r="E1559" t="inlineStr">
        <is>
          <t>Parazon</t>
        </is>
      </c>
      <c r="F1559" t="n">
        <v>3</v>
      </c>
      <c r="G1559" t="n">
        <v>1</v>
      </c>
      <c r="H1559" t="inlineStr">
        <is>
          <t>Player trade (max rank)</t>
        </is>
      </c>
      <c r="I1559" t="inlineStr">
        <is>
          <t>Yes</t>
        </is>
      </c>
      <c r="K1559" t="inlineStr">
        <is>
          <t>Collection</t>
        </is>
      </c>
      <c r="L1559" t="n">
        <v>3</v>
      </c>
      <c r="M1559" t="n">
        <v>4</v>
      </c>
      <c r="N1559" t="n">
        <v>9</v>
      </c>
      <c r="O1559" t="inlineStr">
        <is>
          <t>2026-10-05 UTC (WFM pull 02:52-04:00)</t>
        </is>
      </c>
      <c r="P1559" t="inlineStr">
        <is>
          <t>OK</t>
        </is>
      </c>
      <c r="R1559" t="inlineStr">
        <is>
          <t>Every current tradeable mod at MAX RANK (WFM catalogue, rivens/locators excluded)</t>
        </is>
      </c>
      <c r="S1559" t="inlineStr">
        <is>
          <t>threat_blocker</t>
        </is>
      </c>
      <c r="T1559" t="n">
        <v>5</v>
      </c>
      <c r="U1559" t="n">
        <v>5</v>
      </c>
      <c r="V1559" t="n">
        <v>3</v>
      </c>
      <c r="W1559" t="n">
        <v>3</v>
      </c>
      <c r="X1559" t="n">
        <v>3.5</v>
      </c>
      <c r="Y1559" t="n">
        <v>25</v>
      </c>
      <c r="Z1559" t="n">
        <v>4</v>
      </c>
      <c r="AN1559" t="inlineStr">
        <is>
          <t>Parazon</t>
        </is>
      </c>
      <c r="AO1559" t="n">
        <v>140</v>
      </c>
      <c r="AP1559" t="n">
        <v>6762</v>
      </c>
      <c r="AQ1559" t="n">
        <v>2</v>
      </c>
      <c r="AS1559" t="inlineStr">
        <is>
          <t>Yes</t>
        </is>
      </c>
    </row>
    <row r="1560">
      <c r="A1560" t="inlineStr">
        <is>
          <t>Mod</t>
        </is>
      </c>
      <c r="B1560" t="inlineStr">
        <is>
          <t>Thumper</t>
        </is>
      </c>
      <c r="E1560" t="inlineStr">
        <is>
          <t>Djinn</t>
        </is>
      </c>
      <c r="F1560" t="n">
        <v>5</v>
      </c>
      <c r="G1560" t="n">
        <v>1</v>
      </c>
      <c r="H1560" t="inlineStr">
        <is>
          <t>Player trade (max rank)</t>
        </is>
      </c>
      <c r="I1560" t="inlineStr">
        <is>
          <t>Yes</t>
        </is>
      </c>
      <c r="K1560" t="inlineStr">
        <is>
          <t>Collection</t>
        </is>
      </c>
      <c r="L1560" t="n">
        <v>6</v>
      </c>
      <c r="M1560" t="n">
        <v>20</v>
      </c>
      <c r="N1560" t="n">
        <v>44</v>
      </c>
      <c r="O1560" t="inlineStr">
        <is>
          <t>2026-10-05 UTC (WFM pull 02:52-04:00)</t>
        </is>
      </c>
      <c r="P1560" t="inlineStr">
        <is>
          <t>OK</t>
        </is>
      </c>
      <c r="R1560" t="inlineStr">
        <is>
          <t>Every current tradeable mod at MAX RANK (WFM catalogue, rivens/locators excluded)</t>
        </is>
      </c>
      <c r="S1560" t="inlineStr">
        <is>
          <t>thumper</t>
        </is>
      </c>
      <c r="T1560" t="n">
        <v>3</v>
      </c>
      <c r="U1560" t="n">
        <v>3</v>
      </c>
      <c r="V1560" t="n">
        <v>400</v>
      </c>
      <c r="W1560" t="n">
        <v>10</v>
      </c>
      <c r="X1560" t="n">
        <v>139.8</v>
      </c>
      <c r="Y1560" t="n">
        <v>6</v>
      </c>
      <c r="Z1560" t="n">
        <v>0</v>
      </c>
      <c r="AN1560" t="inlineStr">
        <is>
          <t>Djinn</t>
        </is>
      </c>
      <c r="AO1560" t="n">
        <v>310</v>
      </c>
      <c r="AP1560" t="n">
        <v>14973</v>
      </c>
      <c r="AQ1560" t="n">
        <v>3</v>
      </c>
      <c r="AS1560" t="inlineStr">
        <is>
          <t>Yes</t>
        </is>
      </c>
    </row>
    <row r="1561">
      <c r="A1561" t="inlineStr">
        <is>
          <t>Mod</t>
        </is>
      </c>
      <c r="B1561" t="inlineStr">
        <is>
          <t>Thunderbolt</t>
        </is>
      </c>
      <c r="E1561" t="inlineStr">
        <is>
          <t>Bow</t>
        </is>
      </c>
      <c r="F1561" t="n">
        <v>3</v>
      </c>
      <c r="G1561" t="n">
        <v>1</v>
      </c>
      <c r="H1561" t="inlineStr">
        <is>
          <t>Player trade (max rank)</t>
        </is>
      </c>
      <c r="I1561" t="inlineStr">
        <is>
          <t>Yes</t>
        </is>
      </c>
      <c r="K1561" t="inlineStr">
        <is>
          <t>Collection</t>
        </is>
      </c>
      <c r="L1561" t="n">
        <v>4</v>
      </c>
      <c r="M1561" t="n">
        <v>7</v>
      </c>
      <c r="N1561" t="n">
        <v>16</v>
      </c>
      <c r="O1561" t="inlineStr">
        <is>
          <t>2026-10-05 UTC (WFM pull 02:52-04:00)</t>
        </is>
      </c>
      <c r="P1561" t="inlineStr">
        <is>
          <t>OK</t>
        </is>
      </c>
      <c r="R1561" t="inlineStr">
        <is>
          <t>Every current tradeable mod at MAX RANK (WFM catalogue, rivens/locators excluded)</t>
        </is>
      </c>
      <c r="S1561" t="inlineStr">
        <is>
          <t>thunderbolt</t>
        </is>
      </c>
      <c r="T1561" t="n">
        <v>6</v>
      </c>
      <c r="U1561" t="n">
        <v>6</v>
      </c>
      <c r="V1561" t="n">
        <v>5</v>
      </c>
      <c r="W1561" t="n">
        <v>6</v>
      </c>
      <c r="X1561" t="n">
        <v>6.2</v>
      </c>
      <c r="Y1561" t="n">
        <v>9</v>
      </c>
      <c r="Z1561" t="n">
        <v>0</v>
      </c>
      <c r="AN1561" t="inlineStr">
        <is>
          <t>Bow</t>
        </is>
      </c>
      <c r="AO1561" t="n">
        <v>210</v>
      </c>
      <c r="AP1561" t="n">
        <v>10143</v>
      </c>
      <c r="AQ1561" t="n">
        <v>2</v>
      </c>
      <c r="AS1561" t="inlineStr">
        <is>
          <t>Yes</t>
        </is>
      </c>
    </row>
    <row r="1562">
      <c r="A1562" t="inlineStr">
        <is>
          <t>Mod</t>
        </is>
      </c>
      <c r="B1562" t="inlineStr">
        <is>
          <t>Thundermiter</t>
        </is>
      </c>
      <c r="E1562" t="inlineStr">
        <is>
          <t>Conclave (PvP)</t>
        </is>
      </c>
      <c r="F1562" t="n">
        <v>3</v>
      </c>
      <c r="G1562" t="n">
        <v>1</v>
      </c>
      <c r="H1562" t="inlineStr">
        <is>
          <t>Player trade (max rank)</t>
        </is>
      </c>
      <c r="I1562" t="inlineStr">
        <is>
          <t>Yes</t>
        </is>
      </c>
      <c r="K1562" t="inlineStr">
        <is>
          <t>Collection (PvP)</t>
        </is>
      </c>
      <c r="L1562" t="n">
        <v>15</v>
      </c>
      <c r="M1562" t="n">
        <v>30</v>
      </c>
      <c r="N1562" t="n">
        <v>50</v>
      </c>
      <c r="O1562" t="inlineStr">
        <is>
          <t>2026-10-05 UTC (WFM pull 02:52-04:00)</t>
        </is>
      </c>
      <c r="P1562" t="inlineStr">
        <is>
          <t>OK</t>
        </is>
      </c>
      <c r="R1562" t="inlineStr">
        <is>
          <t>Every current tradeable mod at MAX RANK (WFM catalogue, rivens/locators excluded)</t>
        </is>
      </c>
      <c r="S1562" t="inlineStr">
        <is>
          <t>thundermiter</t>
        </is>
      </c>
      <c r="T1562" t="n">
        <v>17</v>
      </c>
      <c r="U1562" t="n">
        <v>0</v>
      </c>
      <c r="Y1562" t="n">
        <v>0</v>
      </c>
      <c r="Z1562" t="n">
        <v>0</v>
      </c>
      <c r="AN1562" t="inlineStr">
        <is>
          <t>Conclave (PvP)</t>
        </is>
      </c>
      <c r="AO1562" t="n">
        <v>210</v>
      </c>
      <c r="AP1562" t="n">
        <v>10143</v>
      </c>
      <c r="AQ1562" t="n">
        <v>15</v>
      </c>
      <c r="AS1562" t="inlineStr">
        <is>
          <t>PvP subtotal</t>
        </is>
      </c>
    </row>
    <row r="1563">
      <c r="A1563" t="inlineStr">
        <is>
          <t>Mod</t>
        </is>
      </c>
      <c r="B1563" t="inlineStr">
        <is>
          <t>Tidal Impunity</t>
        </is>
      </c>
      <c r="E1563" t="inlineStr">
        <is>
          <t>Augment Hydroid</t>
        </is>
      </c>
      <c r="F1563" t="n">
        <v>3</v>
      </c>
      <c r="G1563" t="n">
        <v>1</v>
      </c>
      <c r="H1563" t="inlineStr">
        <is>
          <t>Player trade (max rank)</t>
        </is>
      </c>
      <c r="I1563" t="inlineStr">
        <is>
          <t>Yes</t>
        </is>
      </c>
      <c r="K1563" t="inlineStr">
        <is>
          <t>Collection</t>
        </is>
      </c>
      <c r="L1563" t="n">
        <v>15</v>
      </c>
      <c r="M1563" t="n">
        <v>24</v>
      </c>
      <c r="N1563" t="n">
        <v>44</v>
      </c>
      <c r="O1563" t="inlineStr">
        <is>
          <t>2026-10-05 UTC (WFM pull 02:52-04:00)</t>
        </is>
      </c>
      <c r="P1563" t="inlineStr">
        <is>
          <t>OK</t>
        </is>
      </c>
      <c r="R1563" t="inlineStr">
        <is>
          <t>Every current tradeable mod at MAX RANK (WFM catalogue, rivens/locators excluded)</t>
        </is>
      </c>
      <c r="S1563" t="inlineStr">
        <is>
          <t>tidal_impunity</t>
        </is>
      </c>
      <c r="T1563" t="n">
        <v>6</v>
      </c>
      <c r="U1563" t="n">
        <v>6</v>
      </c>
      <c r="V1563" t="n">
        <v>20</v>
      </c>
      <c r="W1563" t="n">
        <v>20</v>
      </c>
      <c r="X1563" t="n">
        <v>19.3</v>
      </c>
      <c r="Y1563" t="n">
        <v>122</v>
      </c>
      <c r="Z1563" t="n">
        <v>0</v>
      </c>
      <c r="AN1563" t="inlineStr">
        <is>
          <t>Augment Hydroid</t>
        </is>
      </c>
      <c r="AO1563" t="n">
        <v>210</v>
      </c>
      <c r="AP1563" t="n">
        <v>10143</v>
      </c>
      <c r="AQ1563" t="n">
        <v>20</v>
      </c>
      <c r="AS1563" t="inlineStr">
        <is>
          <t>Yes</t>
        </is>
      </c>
    </row>
    <row r="1564">
      <c r="A1564" t="inlineStr">
        <is>
          <t>Mod</t>
        </is>
      </c>
      <c r="B1564" t="inlineStr">
        <is>
          <t>Titanic Rumbler</t>
        </is>
      </c>
      <c r="E1564" t="inlineStr">
        <is>
          <t>Augment Atlas</t>
        </is>
      </c>
      <c r="F1564" t="n">
        <v>3</v>
      </c>
      <c r="G1564" t="n">
        <v>1</v>
      </c>
      <c r="H1564" t="inlineStr">
        <is>
          <t>Player trade (max rank)</t>
        </is>
      </c>
      <c r="I1564" t="inlineStr">
        <is>
          <t>Yes</t>
        </is>
      </c>
      <c r="K1564" t="inlineStr">
        <is>
          <t>Collection</t>
        </is>
      </c>
      <c r="L1564" t="n">
        <v>10</v>
      </c>
      <c r="M1564" t="n">
        <v>10</v>
      </c>
      <c r="N1564" t="n">
        <v>16</v>
      </c>
      <c r="O1564" t="inlineStr">
        <is>
          <t>2026-10-05 UTC (WFM pull 02:52-04:00)</t>
        </is>
      </c>
      <c r="P1564" t="inlineStr">
        <is>
          <t>OK</t>
        </is>
      </c>
      <c r="R1564" t="inlineStr">
        <is>
          <t>Every current tradeable mod at MAX RANK (WFM catalogue, rivens/locators excluded)</t>
        </is>
      </c>
      <c r="S1564" t="inlineStr">
        <is>
          <t>titanic_rumbler</t>
        </is>
      </c>
      <c r="T1564" t="n">
        <v>76</v>
      </c>
      <c r="U1564" t="n">
        <v>2</v>
      </c>
      <c r="V1564" t="n">
        <v>10</v>
      </c>
      <c r="W1564" t="n">
        <v>14</v>
      </c>
      <c r="X1564" t="n">
        <v>16.4</v>
      </c>
      <c r="Y1564" t="n">
        <v>14</v>
      </c>
      <c r="Z1564" t="n">
        <v>1</v>
      </c>
      <c r="AN1564" t="inlineStr">
        <is>
          <t>Augment Atlas</t>
        </is>
      </c>
      <c r="AO1564" t="n">
        <v>210</v>
      </c>
      <c r="AP1564" t="n">
        <v>10143</v>
      </c>
      <c r="AQ1564" t="n">
        <v>11</v>
      </c>
      <c r="AS1564" t="inlineStr">
        <is>
          <t>Yes</t>
        </is>
      </c>
    </row>
    <row r="1565">
      <c r="A1565" t="inlineStr">
        <is>
          <t>Mod</t>
        </is>
      </c>
      <c r="B1565" t="inlineStr">
        <is>
          <t>Total Eclipse</t>
        </is>
      </c>
      <c r="E1565" t="inlineStr">
        <is>
          <t>Augment Mirage</t>
        </is>
      </c>
      <c r="F1565" t="n">
        <v>3</v>
      </c>
      <c r="G1565" t="n">
        <v>1</v>
      </c>
      <c r="H1565" t="inlineStr">
        <is>
          <t>Player trade (max rank)</t>
        </is>
      </c>
      <c r="I1565" t="inlineStr">
        <is>
          <t>Yes</t>
        </is>
      </c>
      <c r="K1565" t="inlineStr">
        <is>
          <t>Collection</t>
        </is>
      </c>
      <c r="L1565" t="n">
        <v>20</v>
      </c>
      <c r="M1565" t="n">
        <v>21</v>
      </c>
      <c r="N1565" t="n">
        <v>47</v>
      </c>
      <c r="O1565" t="inlineStr">
        <is>
          <t>2026-10-05 UTC (WFM pull 02:52-04:00)</t>
        </is>
      </c>
      <c r="P1565" t="inlineStr">
        <is>
          <t>OK</t>
        </is>
      </c>
      <c r="R1565" t="inlineStr">
        <is>
          <t>Every current tradeable mod at MAX RANK (WFM catalogue, rivens/locators excluded)</t>
        </is>
      </c>
      <c r="S1565" t="inlineStr">
        <is>
          <t>total_eclipse</t>
        </is>
      </c>
      <c r="T1565" t="n">
        <v>5</v>
      </c>
      <c r="U1565" t="n">
        <v>5</v>
      </c>
      <c r="V1565" t="n">
        <v>14</v>
      </c>
      <c r="W1565" t="n">
        <v>14</v>
      </c>
      <c r="X1565" t="n">
        <v>13.5</v>
      </c>
      <c r="Y1565" t="n">
        <v>685</v>
      </c>
      <c r="Z1565" t="n">
        <v>12</v>
      </c>
      <c r="AN1565" t="inlineStr">
        <is>
          <t>Augment Mirage</t>
        </is>
      </c>
      <c r="AO1565" t="n">
        <v>210</v>
      </c>
      <c r="AP1565" t="n">
        <v>10143</v>
      </c>
      <c r="AQ1565" t="n">
        <v>14</v>
      </c>
      <c r="AS1565" t="inlineStr">
        <is>
          <t>Yes</t>
        </is>
      </c>
    </row>
    <row r="1566">
      <c r="A1566" t="inlineStr">
        <is>
          <t>Mod</t>
        </is>
      </c>
      <c r="B1566" t="inlineStr">
        <is>
          <t>Toxic Barrage</t>
        </is>
      </c>
      <c r="E1566" t="inlineStr">
        <is>
          <t>Shotgun</t>
        </is>
      </c>
      <c r="F1566" t="n">
        <v>3</v>
      </c>
      <c r="G1566" t="n">
        <v>1</v>
      </c>
      <c r="H1566" t="inlineStr">
        <is>
          <t>Player trade (max rank)</t>
        </is>
      </c>
      <c r="I1566" t="inlineStr">
        <is>
          <t>Yes</t>
        </is>
      </c>
      <c r="K1566" t="inlineStr">
        <is>
          <t>Collection</t>
        </is>
      </c>
      <c r="L1566" t="n">
        <v>10</v>
      </c>
      <c r="M1566" t="n">
        <v>15</v>
      </c>
      <c r="N1566" t="n">
        <v>17</v>
      </c>
      <c r="O1566" t="inlineStr">
        <is>
          <t>2026-10-05 UTC (WFM pull 02:52-04:00)</t>
        </is>
      </c>
      <c r="P1566" t="inlineStr">
        <is>
          <t>OK</t>
        </is>
      </c>
      <c r="R1566" t="inlineStr">
        <is>
          <t>Every current tradeable mod at MAX RANK (WFM catalogue, rivens/locators excluded)</t>
        </is>
      </c>
      <c r="S1566" t="inlineStr">
        <is>
          <t>toxic_barrage</t>
        </is>
      </c>
      <c r="T1566" t="n">
        <v>10</v>
      </c>
      <c r="U1566" t="n">
        <v>10</v>
      </c>
      <c r="V1566" t="n">
        <v>10</v>
      </c>
      <c r="W1566" t="n">
        <v>10</v>
      </c>
      <c r="X1566" t="n">
        <v>9.9</v>
      </c>
      <c r="Y1566" t="n">
        <v>821</v>
      </c>
      <c r="Z1566" t="n">
        <v>16</v>
      </c>
      <c r="AN1566" t="inlineStr">
        <is>
          <t>Shotgun</t>
        </is>
      </c>
      <c r="AO1566" t="n">
        <v>210</v>
      </c>
      <c r="AP1566" t="n">
        <v>10143</v>
      </c>
      <c r="AQ1566" t="n">
        <v>10</v>
      </c>
      <c r="AS1566" t="inlineStr">
        <is>
          <t>Yes</t>
        </is>
      </c>
    </row>
    <row r="1567">
      <c r="A1567" t="inlineStr">
        <is>
          <t>Mod</t>
        </is>
      </c>
      <c r="B1567" t="inlineStr">
        <is>
          <t>Toxic Blight</t>
        </is>
      </c>
      <c r="E1567" t="inlineStr">
        <is>
          <t>Augment Mire</t>
        </is>
      </c>
      <c r="F1567" t="n">
        <v>3</v>
      </c>
      <c r="G1567" t="n">
        <v>1</v>
      </c>
      <c r="H1567" t="inlineStr">
        <is>
          <t>Player trade (max rank)</t>
        </is>
      </c>
      <c r="I1567" t="inlineStr">
        <is>
          <t>Yes</t>
        </is>
      </c>
      <c r="K1567" t="inlineStr">
        <is>
          <t>Collection</t>
        </is>
      </c>
      <c r="L1567" t="n">
        <v>20</v>
      </c>
      <c r="M1567" t="n">
        <v>21</v>
      </c>
      <c r="N1567" t="n">
        <v>47</v>
      </c>
      <c r="O1567" t="inlineStr">
        <is>
          <t>2026-10-05 UTC (WFM pull 02:52-04:00)</t>
        </is>
      </c>
      <c r="P1567" t="inlineStr">
        <is>
          <t>OK</t>
        </is>
      </c>
      <c r="R1567" t="inlineStr">
        <is>
          <t>Every current tradeable mod at MAX RANK (WFM catalogue, rivens/locators excluded)</t>
        </is>
      </c>
      <c r="S1567" t="inlineStr">
        <is>
          <t>toxic_blight</t>
        </is>
      </c>
      <c r="T1567" t="n">
        <v>6</v>
      </c>
      <c r="U1567" t="n">
        <v>6</v>
      </c>
      <c r="V1567" t="n">
        <v>14</v>
      </c>
      <c r="W1567" t="n">
        <v>12</v>
      </c>
      <c r="X1567" t="n">
        <v>12.4</v>
      </c>
      <c r="Y1567" t="n">
        <v>61</v>
      </c>
      <c r="Z1567" t="n">
        <v>0</v>
      </c>
      <c r="AN1567" t="inlineStr">
        <is>
          <t>Augment Mire</t>
        </is>
      </c>
      <c r="AO1567" t="n">
        <v>210</v>
      </c>
      <c r="AP1567" t="n">
        <v>10143</v>
      </c>
      <c r="AQ1567" t="n">
        <v>10</v>
      </c>
      <c r="AS1567" t="inlineStr">
        <is>
          <t>Yes</t>
        </is>
      </c>
    </row>
    <row r="1568">
      <c r="A1568" t="inlineStr">
        <is>
          <t>Mod</t>
        </is>
      </c>
      <c r="B1568" t="inlineStr">
        <is>
          <t>Toxic Flight</t>
        </is>
      </c>
      <c r="E1568" t="inlineStr">
        <is>
          <t>Warframe</t>
        </is>
      </c>
      <c r="F1568" t="n">
        <v>10</v>
      </c>
      <c r="G1568" t="n">
        <v>1</v>
      </c>
      <c r="H1568" t="inlineStr">
        <is>
          <t>Player trade (max rank)</t>
        </is>
      </c>
      <c r="I1568" t="inlineStr">
        <is>
          <t>Yes</t>
        </is>
      </c>
      <c r="K1568" t="inlineStr">
        <is>
          <t>Collection</t>
        </is>
      </c>
      <c r="L1568" t="n">
        <v>60</v>
      </c>
      <c r="M1568" t="n">
        <v>70</v>
      </c>
      <c r="N1568" t="n">
        <v>83</v>
      </c>
      <c r="O1568" t="inlineStr">
        <is>
          <t>2026-10-05 UTC (WFM pull 02:52-04:00)</t>
        </is>
      </c>
      <c r="P1568" t="inlineStr">
        <is>
          <t>OK</t>
        </is>
      </c>
      <c r="R1568" t="inlineStr">
        <is>
          <t>Every current tradeable mod at MAX RANK (WFM catalogue, rivens/locators excluded)</t>
        </is>
      </c>
      <c r="S1568" t="inlineStr">
        <is>
          <t>toxic_flight</t>
        </is>
      </c>
      <c r="T1568" t="n">
        <v>10</v>
      </c>
      <c r="U1568" t="n">
        <v>10</v>
      </c>
      <c r="V1568" t="n">
        <v>59</v>
      </c>
      <c r="W1568" t="n">
        <v>62.5</v>
      </c>
      <c r="X1568" t="n">
        <v>61.2</v>
      </c>
      <c r="Y1568" t="n">
        <v>179</v>
      </c>
      <c r="Z1568" t="n">
        <v>4</v>
      </c>
      <c r="AA1568" t="n">
        <v>35</v>
      </c>
      <c r="AB1568" t="n">
        <v>25</v>
      </c>
      <c r="AN1568" t="inlineStr">
        <is>
          <t>Warframe</t>
        </is>
      </c>
      <c r="AO1568" t="n">
        <v>30690</v>
      </c>
      <c r="AP1568" t="n">
        <v>1482327</v>
      </c>
      <c r="AQ1568" t="n">
        <v>5</v>
      </c>
      <c r="AS1568" t="inlineStr">
        <is>
          <t>Yes</t>
        </is>
      </c>
    </row>
    <row r="1569">
      <c r="A1569" t="inlineStr">
        <is>
          <t>Mod</t>
        </is>
      </c>
      <c r="B1569" t="inlineStr">
        <is>
          <t>Toxic Sequence</t>
        </is>
      </c>
      <c r="E1569" t="inlineStr">
        <is>
          <t>Augment Acrid</t>
        </is>
      </c>
      <c r="F1569" t="n">
        <v>3</v>
      </c>
      <c r="G1569" t="n">
        <v>1</v>
      </c>
      <c r="H1569" t="inlineStr">
        <is>
          <t>Player trade (max rank)</t>
        </is>
      </c>
      <c r="I1569" t="inlineStr">
        <is>
          <t>Yes</t>
        </is>
      </c>
      <c r="K1569" t="inlineStr">
        <is>
          <t>Collection</t>
        </is>
      </c>
      <c r="L1569" t="n">
        <v>29</v>
      </c>
      <c r="M1569" t="n">
        <v>30</v>
      </c>
      <c r="N1569" t="n">
        <v>66</v>
      </c>
      <c r="O1569" t="inlineStr">
        <is>
          <t>2026-10-05 UTC (WFM pull 02:52-04:00)</t>
        </is>
      </c>
      <c r="P1569" t="inlineStr">
        <is>
          <t>OK</t>
        </is>
      </c>
      <c r="R1569" t="inlineStr">
        <is>
          <t>Every current tradeable mod at MAX RANK (WFM catalogue, rivens/locators excluded)</t>
        </is>
      </c>
      <c r="S1569" t="inlineStr">
        <is>
          <t>toxic_sequence</t>
        </is>
      </c>
      <c r="T1569" t="n">
        <v>4</v>
      </c>
      <c r="U1569" t="n">
        <v>4</v>
      </c>
      <c r="V1569" t="n">
        <v>20</v>
      </c>
      <c r="W1569" t="n">
        <v>20</v>
      </c>
      <c r="X1569" t="n">
        <v>24.2</v>
      </c>
      <c r="Y1569" t="n">
        <v>8</v>
      </c>
      <c r="Z1569" t="n">
        <v>0</v>
      </c>
      <c r="AN1569" t="inlineStr">
        <is>
          <t>Augment Acrid</t>
        </is>
      </c>
      <c r="AO1569" t="n">
        <v>210</v>
      </c>
      <c r="AP1569" t="n">
        <v>10143</v>
      </c>
      <c r="AQ1569" t="n">
        <v>10</v>
      </c>
      <c r="AS1569" t="inlineStr">
        <is>
          <t>Yes</t>
        </is>
      </c>
    </row>
    <row r="1570">
      <c r="A1570" t="inlineStr">
        <is>
          <t>Mod</t>
        </is>
      </c>
      <c r="B1570" t="inlineStr">
        <is>
          <t>Toxin Resistance</t>
        </is>
      </c>
      <c r="E1570" t="inlineStr">
        <is>
          <t>Aura</t>
        </is>
      </c>
      <c r="F1570" t="n">
        <v>5</v>
      </c>
      <c r="G1570" t="n">
        <v>1</v>
      </c>
      <c r="H1570" t="inlineStr">
        <is>
          <t>Player trade (max rank)</t>
        </is>
      </c>
      <c r="I1570" t="inlineStr">
        <is>
          <t>Yes</t>
        </is>
      </c>
      <c r="K1570" t="inlineStr">
        <is>
          <t>Collection</t>
        </is>
      </c>
      <c r="L1570" t="n">
        <v>10</v>
      </c>
      <c r="M1570" t="n">
        <v>15</v>
      </c>
      <c r="N1570" t="n">
        <v>33</v>
      </c>
      <c r="O1570" t="inlineStr">
        <is>
          <t>2026-10-05 UTC (WFM pull 02:52-04:00)</t>
        </is>
      </c>
      <c r="P1570" t="inlineStr">
        <is>
          <t>OK</t>
        </is>
      </c>
      <c r="R1570" t="inlineStr">
        <is>
          <t>Every current tradeable mod at MAX RANK (WFM catalogue, rivens/locators excluded)</t>
        </is>
      </c>
      <c r="S1570" t="inlineStr">
        <is>
          <t>toxin_resistance</t>
        </is>
      </c>
      <c r="T1570" t="n">
        <v>5</v>
      </c>
      <c r="U1570" t="n">
        <v>5</v>
      </c>
      <c r="V1570" t="n">
        <v>15</v>
      </c>
      <c r="W1570" t="n">
        <v>15</v>
      </c>
      <c r="X1570" t="n">
        <v>16.2</v>
      </c>
      <c r="Y1570" t="n">
        <v>11</v>
      </c>
      <c r="Z1570" t="n">
        <v>0</v>
      </c>
      <c r="AN1570" t="inlineStr">
        <is>
          <t>Aura</t>
        </is>
      </c>
      <c r="AO1570" t="n">
        <v>620</v>
      </c>
      <c r="AP1570" t="n">
        <v>29946</v>
      </c>
      <c r="AQ1570" t="n">
        <v>5</v>
      </c>
      <c r="AS1570" t="inlineStr">
        <is>
          <t>Yes</t>
        </is>
      </c>
    </row>
    <row r="1571">
      <c r="A1571" t="inlineStr">
        <is>
          <t>Mod</t>
        </is>
      </c>
      <c r="B1571" t="inlineStr">
        <is>
          <t>Tractor Beam</t>
        </is>
      </c>
      <c r="E1571" t="inlineStr">
        <is>
          <t>MOA</t>
        </is>
      </c>
      <c r="F1571" t="n">
        <v>3</v>
      </c>
      <c r="G1571" t="n">
        <v>1</v>
      </c>
      <c r="H1571" t="inlineStr">
        <is>
          <t>Player trade (max rank)</t>
        </is>
      </c>
      <c r="I1571" t="inlineStr">
        <is>
          <t>Yes</t>
        </is>
      </c>
      <c r="K1571" t="inlineStr">
        <is>
          <t>Collection</t>
        </is>
      </c>
      <c r="L1571" t="n">
        <v>35</v>
      </c>
      <c r="M1571" t="n">
        <v>40</v>
      </c>
      <c r="N1571" t="n">
        <v>56</v>
      </c>
      <c r="O1571" t="inlineStr">
        <is>
          <t>2026-10-05 UTC (WFM pull 02:52-04:00)</t>
        </is>
      </c>
      <c r="P1571" t="inlineStr">
        <is>
          <t>OK</t>
        </is>
      </c>
      <c r="R1571" t="inlineStr">
        <is>
          <t>Every current tradeable mod at MAX RANK (WFM catalogue, rivens/locators excluded)</t>
        </is>
      </c>
      <c r="S1571" t="inlineStr">
        <is>
          <t>tractor_beam</t>
        </is>
      </c>
      <c r="T1571" t="n">
        <v>31</v>
      </c>
      <c r="U1571" t="n">
        <v>0</v>
      </c>
      <c r="V1571" t="n">
        <v>29</v>
      </c>
      <c r="W1571" t="n">
        <v>65</v>
      </c>
      <c r="X1571" t="n">
        <v>97.3</v>
      </c>
      <c r="Y1571" t="n">
        <v>6</v>
      </c>
      <c r="Z1571" t="n">
        <v>0</v>
      </c>
      <c r="AN1571" t="inlineStr">
        <is>
          <t>MOA</t>
        </is>
      </c>
      <c r="AO1571" t="n">
        <v>70</v>
      </c>
      <c r="AP1571" t="n">
        <v>3381</v>
      </c>
      <c r="AQ1571" t="n">
        <v>75</v>
      </c>
      <c r="AS1571" t="inlineStr">
        <is>
          <t>Yes</t>
        </is>
      </c>
    </row>
    <row r="1572">
      <c r="A1572" t="inlineStr">
        <is>
          <t>Mod</t>
        </is>
      </c>
      <c r="B1572" t="inlineStr">
        <is>
          <t>Trail Blazer</t>
        </is>
      </c>
      <c r="E1572" t="inlineStr">
        <is>
          <t>K-Drive</t>
        </is>
      </c>
      <c r="F1572" t="n">
        <v>3</v>
      </c>
      <c r="G1572" t="n">
        <v>1</v>
      </c>
      <c r="H1572" t="inlineStr">
        <is>
          <t>Player trade (max rank)</t>
        </is>
      </c>
      <c r="I1572" t="inlineStr">
        <is>
          <t>Yes</t>
        </is>
      </c>
      <c r="K1572" t="inlineStr">
        <is>
          <t>Collection</t>
        </is>
      </c>
      <c r="L1572" t="n">
        <v>20</v>
      </c>
      <c r="M1572" t="n">
        <v>20</v>
      </c>
      <c r="N1572" t="n">
        <v>31</v>
      </c>
      <c r="O1572" t="inlineStr">
        <is>
          <t>2026-10-05 UTC (WFM pull 02:52-04:00)</t>
        </is>
      </c>
      <c r="P1572" t="inlineStr">
        <is>
          <t>OK</t>
        </is>
      </c>
      <c r="R1572" t="inlineStr">
        <is>
          <t>Every current tradeable mod at MAX RANK (WFM catalogue, rivens/locators excluded)</t>
        </is>
      </c>
      <c r="S1572" t="inlineStr">
        <is>
          <t>trail_blazer</t>
        </is>
      </c>
      <c r="T1572" t="n">
        <v>23</v>
      </c>
      <c r="U1572" t="n">
        <v>1</v>
      </c>
      <c r="Y1572" t="n">
        <v>0</v>
      </c>
      <c r="Z1572" t="n">
        <v>0</v>
      </c>
      <c r="AN1572" t="inlineStr">
        <is>
          <t>K-Drive</t>
        </is>
      </c>
      <c r="AO1572" t="n">
        <v>70</v>
      </c>
      <c r="AP1572" t="n">
        <v>3381</v>
      </c>
      <c r="AQ1572" t="n">
        <v>20</v>
      </c>
      <c r="AS1572" t="inlineStr">
        <is>
          <t>Yes</t>
        </is>
      </c>
    </row>
    <row r="1573">
      <c r="A1573" t="inlineStr">
        <is>
          <t>Mod</t>
        </is>
      </c>
      <c r="B1573" t="inlineStr">
        <is>
          <t>Trample</t>
        </is>
      </c>
      <c r="E1573" t="inlineStr">
        <is>
          <t>Helminth Charger</t>
        </is>
      </c>
      <c r="F1573" t="n">
        <v>5</v>
      </c>
      <c r="G1573" t="n">
        <v>1</v>
      </c>
      <c r="H1573" t="inlineStr">
        <is>
          <t>Player trade (max rank)</t>
        </is>
      </c>
      <c r="I1573" t="inlineStr">
        <is>
          <t>Yes</t>
        </is>
      </c>
      <c r="K1573" t="inlineStr">
        <is>
          <t>Collection</t>
        </is>
      </c>
      <c r="L1573" t="n">
        <v>10</v>
      </c>
      <c r="M1573" t="n">
        <v>20</v>
      </c>
      <c r="N1573" t="n">
        <v>28</v>
      </c>
      <c r="O1573" t="inlineStr">
        <is>
          <t>2026-10-05 UTC (WFM pull 02:52-04:00)</t>
        </is>
      </c>
      <c r="P1573" t="inlineStr">
        <is>
          <t>OK</t>
        </is>
      </c>
      <c r="R1573" t="inlineStr">
        <is>
          <t>Every current tradeable mod at MAX RANK (WFM catalogue, rivens/locators excluded)</t>
        </is>
      </c>
      <c r="S1573" t="inlineStr">
        <is>
          <t>trample</t>
        </is>
      </c>
      <c r="T1573" t="n">
        <v>27</v>
      </c>
      <c r="U1573" t="n">
        <v>1</v>
      </c>
      <c r="V1573" t="n">
        <v>25</v>
      </c>
      <c r="W1573" t="n">
        <v>10</v>
      </c>
      <c r="X1573" t="n">
        <v>12.5</v>
      </c>
      <c r="Y1573" t="n">
        <v>12</v>
      </c>
      <c r="Z1573" t="n">
        <v>0</v>
      </c>
      <c r="AN1573" t="inlineStr">
        <is>
          <t>Helminth Charger</t>
        </is>
      </c>
      <c r="AO1573" t="n">
        <v>930</v>
      </c>
      <c r="AP1573" t="n">
        <v>44919</v>
      </c>
      <c r="AQ1573" t="n">
        <v>4</v>
      </c>
      <c r="AS1573" t="inlineStr">
        <is>
          <t>Yes</t>
        </is>
      </c>
    </row>
    <row r="1574">
      <c r="A1574" t="inlineStr">
        <is>
          <t>Mod</t>
        </is>
      </c>
      <c r="B1574" t="inlineStr">
        <is>
          <t>Tranquil Cleave</t>
        </is>
      </c>
      <c r="E1574" t="inlineStr">
        <is>
          <t>Stance</t>
        </is>
      </c>
      <c r="F1574" t="n">
        <v>3</v>
      </c>
      <c r="G1574" t="n">
        <v>1</v>
      </c>
      <c r="H1574" t="inlineStr">
        <is>
          <t>Player trade (max rank)</t>
        </is>
      </c>
      <c r="I1574" t="inlineStr">
        <is>
          <t>Yes</t>
        </is>
      </c>
      <c r="K1574" t="inlineStr">
        <is>
          <t>Collection</t>
        </is>
      </c>
      <c r="L1574" t="n">
        <v>9</v>
      </c>
      <c r="M1574" t="n">
        <v>13.5</v>
      </c>
      <c r="N1574" t="n">
        <v>30</v>
      </c>
      <c r="O1574" t="inlineStr">
        <is>
          <t>2026-10-05 UTC (WFM pull 02:52-04:00)</t>
        </is>
      </c>
      <c r="P1574" t="inlineStr">
        <is>
          <t>OK</t>
        </is>
      </c>
      <c r="R1574" t="inlineStr">
        <is>
          <t>Every current tradeable mod at MAX RANK (WFM catalogue, rivens/locators excluded)</t>
        </is>
      </c>
      <c r="S1574" t="inlineStr">
        <is>
          <t>tranquil_cleave</t>
        </is>
      </c>
      <c r="T1574" t="n">
        <v>4</v>
      </c>
      <c r="U1574" t="n">
        <v>4</v>
      </c>
      <c r="V1574" t="n">
        <v>9</v>
      </c>
      <c r="W1574" t="n">
        <v>9</v>
      </c>
      <c r="X1574" t="n">
        <v>8.699999999999999</v>
      </c>
      <c r="Y1574" t="n">
        <v>19</v>
      </c>
      <c r="Z1574" t="n">
        <v>0</v>
      </c>
      <c r="AN1574" t="inlineStr">
        <is>
          <t>Stance</t>
        </is>
      </c>
      <c r="AO1574" t="n">
        <v>210</v>
      </c>
      <c r="AP1574" t="n">
        <v>10143</v>
      </c>
      <c r="AQ1574" t="n">
        <v>5</v>
      </c>
      <c r="AS1574" t="inlineStr">
        <is>
          <t>Yes</t>
        </is>
      </c>
    </row>
    <row r="1575">
      <c r="A1575" t="inlineStr">
        <is>
          <t>Mod</t>
        </is>
      </c>
      <c r="B1575" t="inlineStr">
        <is>
          <t>Transfusion</t>
        </is>
      </c>
      <c r="E1575" t="inlineStr">
        <is>
          <t>Vasca Kavat</t>
        </is>
      </c>
      <c r="F1575" t="n">
        <v>3</v>
      </c>
      <c r="G1575" t="n">
        <v>1</v>
      </c>
      <c r="H1575" t="inlineStr">
        <is>
          <t>Player trade (max rank)</t>
        </is>
      </c>
      <c r="I1575" t="inlineStr">
        <is>
          <t>Yes</t>
        </is>
      </c>
      <c r="K1575" t="inlineStr">
        <is>
          <t>Collection</t>
        </is>
      </c>
      <c r="L1575" t="n">
        <v>29</v>
      </c>
      <c r="M1575" t="n">
        <v>39</v>
      </c>
      <c r="N1575" t="n">
        <v>54</v>
      </c>
      <c r="O1575" t="inlineStr">
        <is>
          <t>2026-10-05 UTC (WFM pull 02:52-04:00)</t>
        </is>
      </c>
      <c r="P1575" t="inlineStr">
        <is>
          <t>OK</t>
        </is>
      </c>
      <c r="R1575" t="inlineStr">
        <is>
          <t>Every current tradeable mod at MAX RANK (WFM catalogue, rivens/locators excluded)</t>
        </is>
      </c>
      <c r="S1575" t="inlineStr">
        <is>
          <t>transfusion</t>
        </is>
      </c>
      <c r="T1575" t="n">
        <v>17</v>
      </c>
      <c r="U1575" t="n">
        <v>0</v>
      </c>
      <c r="V1575" t="n">
        <v>35</v>
      </c>
      <c r="W1575" t="n">
        <v>39</v>
      </c>
      <c r="X1575" t="n">
        <v>44.5</v>
      </c>
      <c r="Y1575" t="n">
        <v>4</v>
      </c>
      <c r="Z1575" t="n">
        <v>0</v>
      </c>
      <c r="AN1575" t="inlineStr">
        <is>
          <t>Vasca Kavat</t>
        </is>
      </c>
      <c r="AO1575" t="n">
        <v>210</v>
      </c>
      <c r="AP1575" t="n">
        <v>10143</v>
      </c>
      <c r="AQ1575" t="n">
        <v>15</v>
      </c>
      <c r="AS1575" t="inlineStr">
        <is>
          <t>Yes</t>
        </is>
      </c>
    </row>
    <row r="1576">
      <c r="A1576" t="inlineStr">
        <is>
          <t>Mod</t>
        </is>
      </c>
      <c r="B1576" t="inlineStr">
        <is>
          <t>Transient Fortitude</t>
        </is>
      </c>
      <c r="E1576" t="inlineStr">
        <is>
          <t>Warframe</t>
        </is>
      </c>
      <c r="F1576" t="n">
        <v>10</v>
      </c>
      <c r="G1576" t="n">
        <v>1</v>
      </c>
      <c r="H1576" t="inlineStr">
        <is>
          <t>Player trade (max rank)</t>
        </is>
      </c>
      <c r="I1576" t="inlineStr">
        <is>
          <t>Yes</t>
        </is>
      </c>
      <c r="K1576" t="inlineStr">
        <is>
          <t>Collection</t>
        </is>
      </c>
      <c r="L1576" t="n">
        <v>75</v>
      </c>
      <c r="M1576" t="n">
        <v>78</v>
      </c>
      <c r="N1576" t="n">
        <v>88</v>
      </c>
      <c r="O1576" t="inlineStr">
        <is>
          <t>2026-10-05 UTC (WFM pull 02:52-04:00)</t>
        </is>
      </c>
      <c r="P1576" t="inlineStr">
        <is>
          <t>OK</t>
        </is>
      </c>
      <c r="R1576" t="inlineStr">
        <is>
          <t>Every current tradeable mod at MAX RANK (WFM catalogue, rivens/locators excluded)</t>
        </is>
      </c>
      <c r="S1576" t="inlineStr">
        <is>
          <t>transient_fortitude</t>
        </is>
      </c>
      <c r="T1576" t="n">
        <v>17</v>
      </c>
      <c r="U1576" t="n">
        <v>17</v>
      </c>
      <c r="V1576" t="n">
        <v>70</v>
      </c>
      <c r="W1576" t="n">
        <v>70</v>
      </c>
      <c r="X1576" t="n">
        <v>70</v>
      </c>
      <c r="Y1576" t="n">
        <v>5433</v>
      </c>
      <c r="Z1576" t="n">
        <v>75</v>
      </c>
      <c r="AA1576" t="n">
        <v>60</v>
      </c>
      <c r="AB1576" t="n">
        <v>15</v>
      </c>
      <c r="AN1576" t="inlineStr">
        <is>
          <t>Warframe</t>
        </is>
      </c>
      <c r="AO1576" t="n">
        <v>30690</v>
      </c>
      <c r="AP1576" t="n">
        <v>1482327</v>
      </c>
      <c r="AQ1576" t="n">
        <v>15</v>
      </c>
      <c r="AS1576" t="inlineStr">
        <is>
          <t>Yes</t>
        </is>
      </c>
    </row>
    <row r="1577">
      <c r="A1577" t="inlineStr">
        <is>
          <t>Mod</t>
        </is>
      </c>
      <c r="B1577" t="inlineStr">
        <is>
          <t>Transistor Shield</t>
        </is>
      </c>
      <c r="E1577" t="inlineStr">
        <is>
          <t>Augment Volt</t>
        </is>
      </c>
      <c r="F1577" t="n">
        <v>3</v>
      </c>
      <c r="G1577" t="n">
        <v>1</v>
      </c>
      <c r="H1577" t="inlineStr">
        <is>
          <t>Player trade (max rank)</t>
        </is>
      </c>
      <c r="I1577" t="inlineStr">
        <is>
          <t>Yes</t>
        </is>
      </c>
      <c r="K1577" t="inlineStr">
        <is>
          <t>Collection</t>
        </is>
      </c>
      <c r="L1577" t="n">
        <v>8</v>
      </c>
      <c r="M1577" t="n">
        <v>10</v>
      </c>
      <c r="N1577" t="n">
        <v>17</v>
      </c>
      <c r="O1577" t="inlineStr">
        <is>
          <t>2026-10-05 UTC (WFM pull 02:52-04:00)</t>
        </is>
      </c>
      <c r="P1577" t="inlineStr">
        <is>
          <t>OK</t>
        </is>
      </c>
      <c r="R1577" t="inlineStr">
        <is>
          <t>Every current tradeable mod at MAX RANK (WFM catalogue, rivens/locators excluded)</t>
        </is>
      </c>
      <c r="S1577" t="inlineStr">
        <is>
          <t>transistor_shield</t>
        </is>
      </c>
      <c r="T1577" t="n">
        <v>100</v>
      </c>
      <c r="U1577" t="n">
        <v>2</v>
      </c>
      <c r="V1577" t="n">
        <v>15</v>
      </c>
      <c r="W1577" t="n">
        <v>13</v>
      </c>
      <c r="X1577" t="n">
        <v>15.3</v>
      </c>
      <c r="Y1577" t="n">
        <v>20</v>
      </c>
      <c r="Z1577" t="n">
        <v>1</v>
      </c>
      <c r="AN1577" t="inlineStr">
        <is>
          <t>Augment Volt</t>
        </is>
      </c>
      <c r="AO1577" t="n">
        <v>210</v>
      </c>
      <c r="AP1577" t="n">
        <v>10143</v>
      </c>
      <c r="AQ1577" t="n">
        <v>15</v>
      </c>
      <c r="AS1577" t="inlineStr">
        <is>
          <t>Yes</t>
        </is>
      </c>
    </row>
    <row r="1578">
      <c r="A1578" t="inlineStr">
        <is>
          <t>Mod</t>
        </is>
      </c>
      <c r="B1578" t="inlineStr">
        <is>
          <t>Tribunal</t>
        </is>
      </c>
      <c r="E1578" t="inlineStr">
        <is>
          <t>Augment Harrow</t>
        </is>
      </c>
      <c r="F1578" t="n">
        <v>3</v>
      </c>
      <c r="G1578" t="n">
        <v>1</v>
      </c>
      <c r="H1578" t="inlineStr">
        <is>
          <t>Player trade (max rank)</t>
        </is>
      </c>
      <c r="I1578" t="inlineStr">
        <is>
          <t>Yes</t>
        </is>
      </c>
      <c r="K1578" t="inlineStr">
        <is>
          <t>Collection</t>
        </is>
      </c>
      <c r="L1578" t="n">
        <v>18</v>
      </c>
      <c r="M1578" t="n">
        <v>22.5</v>
      </c>
      <c r="N1578" t="n">
        <v>50</v>
      </c>
      <c r="O1578" t="inlineStr">
        <is>
          <t>2026-10-05 UTC (WFM pull 02:52-04:00)</t>
        </is>
      </c>
      <c r="P1578" t="inlineStr">
        <is>
          <t>OK</t>
        </is>
      </c>
      <c r="R1578" t="inlineStr">
        <is>
          <t>Every current tradeable mod at MAX RANK (WFM catalogue, rivens/locators excluded)</t>
        </is>
      </c>
      <c r="S1578" t="inlineStr">
        <is>
          <t>tribunal</t>
        </is>
      </c>
      <c r="T1578" t="n">
        <v>5</v>
      </c>
      <c r="U1578" t="n">
        <v>5</v>
      </c>
      <c r="V1578" t="n">
        <v>15</v>
      </c>
      <c r="W1578" t="n">
        <v>15</v>
      </c>
      <c r="X1578" t="n">
        <v>13.5</v>
      </c>
      <c r="Y1578" t="n">
        <v>22</v>
      </c>
      <c r="Z1578" t="n">
        <v>0</v>
      </c>
      <c r="AN1578" t="inlineStr">
        <is>
          <t>Augment Harrow</t>
        </is>
      </c>
      <c r="AO1578" t="n">
        <v>210</v>
      </c>
      <c r="AP1578" t="n">
        <v>10143</v>
      </c>
      <c r="AQ1578" t="n">
        <v>16</v>
      </c>
      <c r="AS1578" t="inlineStr">
        <is>
          <t>Yes</t>
        </is>
      </c>
    </row>
    <row r="1579">
      <c r="A1579" t="inlineStr">
        <is>
          <t>Mod</t>
        </is>
      </c>
      <c r="B1579" t="inlineStr">
        <is>
          <t>Trick Mag</t>
        </is>
      </c>
      <c r="E1579" t="inlineStr">
        <is>
          <t>Pistol</t>
        </is>
      </c>
      <c r="F1579" t="n">
        <v>5</v>
      </c>
      <c r="G1579" t="n">
        <v>1</v>
      </c>
      <c r="H1579" t="inlineStr">
        <is>
          <t>Player trade (max rank)</t>
        </is>
      </c>
      <c r="I1579" t="inlineStr">
        <is>
          <t>Yes</t>
        </is>
      </c>
      <c r="K1579" t="inlineStr">
        <is>
          <t>Collection</t>
        </is>
      </c>
      <c r="L1579" t="n">
        <v>4</v>
      </c>
      <c r="M1579" t="n">
        <v>7</v>
      </c>
      <c r="N1579" t="n">
        <v>10</v>
      </c>
      <c r="O1579" t="inlineStr">
        <is>
          <t>2026-10-05 UTC (WFM pull 02:52-04:00)</t>
        </is>
      </c>
      <c r="P1579" t="inlineStr">
        <is>
          <t>OK</t>
        </is>
      </c>
      <c r="R1579" t="inlineStr">
        <is>
          <t>Every current tradeable mod at MAX RANK (WFM catalogue, rivens/locators excluded)</t>
        </is>
      </c>
      <c r="S1579" t="inlineStr">
        <is>
          <t>trick_mag</t>
        </is>
      </c>
      <c r="T1579" t="n">
        <v>49</v>
      </c>
      <c r="U1579" t="n">
        <v>2</v>
      </c>
      <c r="V1579" t="n">
        <v>9</v>
      </c>
      <c r="W1579" t="n">
        <v>9</v>
      </c>
      <c r="X1579" t="n">
        <v>8.199999999999999</v>
      </c>
      <c r="Y1579" t="n">
        <v>4</v>
      </c>
      <c r="Z1579" t="n">
        <v>0</v>
      </c>
      <c r="AN1579" t="inlineStr">
        <is>
          <t>Pistol</t>
        </is>
      </c>
      <c r="AO1579" t="n">
        <v>310</v>
      </c>
      <c r="AP1579" t="n">
        <v>14973</v>
      </c>
      <c r="AQ1579" t="n">
        <v>4</v>
      </c>
      <c r="AS1579" t="inlineStr">
        <is>
          <t>Yes</t>
        </is>
      </c>
    </row>
    <row r="1580">
      <c r="A1580" t="inlineStr">
        <is>
          <t>Mod</t>
        </is>
      </c>
      <c r="B1580" t="inlineStr">
        <is>
          <t>Triple Tap</t>
        </is>
      </c>
      <c r="E1580" t="inlineStr">
        <is>
          <t>Conclave (PvP)</t>
        </is>
      </c>
      <c r="F1580" t="n">
        <v>3</v>
      </c>
      <c r="G1580" t="n">
        <v>1</v>
      </c>
      <c r="H1580" t="inlineStr">
        <is>
          <t>Player trade (max rank)</t>
        </is>
      </c>
      <c r="I1580" t="inlineStr">
        <is>
          <t>Yes</t>
        </is>
      </c>
      <c r="K1580" t="inlineStr">
        <is>
          <t>Collection (PvP)</t>
        </is>
      </c>
      <c r="L1580" t="n">
        <v>15</v>
      </c>
      <c r="M1580" t="n">
        <v>15</v>
      </c>
      <c r="N1580" t="n">
        <v>33</v>
      </c>
      <c r="O1580" t="inlineStr">
        <is>
          <t>2026-10-05 UTC (WFM pull 02:52-04:00)</t>
        </is>
      </c>
      <c r="P1580" t="inlineStr">
        <is>
          <t>OK</t>
        </is>
      </c>
      <c r="R1580" t="inlineStr">
        <is>
          <t>Every current tradeable mod at MAX RANK (WFM catalogue, rivens/locators excluded)</t>
        </is>
      </c>
      <c r="S1580" t="inlineStr">
        <is>
          <t>triple_tap</t>
        </is>
      </c>
      <c r="T1580" t="n">
        <v>14</v>
      </c>
      <c r="U1580" t="n">
        <v>1</v>
      </c>
      <c r="V1580" t="n">
        <v>10</v>
      </c>
      <c r="W1580" t="n">
        <v>10</v>
      </c>
      <c r="X1580" t="n">
        <v>10</v>
      </c>
      <c r="Y1580" t="n">
        <v>2</v>
      </c>
      <c r="Z1580" t="n">
        <v>0</v>
      </c>
      <c r="AN1580" t="inlineStr">
        <is>
          <t>Conclave (PvP)</t>
        </is>
      </c>
      <c r="AO1580" t="n">
        <v>210</v>
      </c>
      <c r="AP1580" t="n">
        <v>10143</v>
      </c>
      <c r="AQ1580" t="n">
        <v>15</v>
      </c>
      <c r="AS1580" t="inlineStr">
        <is>
          <t>PvP subtotal</t>
        </is>
      </c>
    </row>
    <row r="1581">
      <c r="A1581" t="inlineStr">
        <is>
          <t>Mod</t>
        </is>
      </c>
      <c r="B1581" t="inlineStr">
        <is>
          <t>Trojan Tracker</t>
        </is>
      </c>
      <c r="E1581" t="inlineStr">
        <is>
          <t>Parazon</t>
        </is>
      </c>
      <c r="F1581" t="n">
        <v>3</v>
      </c>
      <c r="G1581" t="n">
        <v>1</v>
      </c>
      <c r="H1581" t="inlineStr">
        <is>
          <t>Player trade (max rank)</t>
        </is>
      </c>
      <c r="I1581" t="inlineStr">
        <is>
          <t>Yes</t>
        </is>
      </c>
      <c r="K1581" t="inlineStr">
        <is>
          <t>Collection</t>
        </is>
      </c>
      <c r="L1581" t="n">
        <v>4</v>
      </c>
      <c r="M1581" t="n">
        <v>5</v>
      </c>
      <c r="N1581" t="n">
        <v>6</v>
      </c>
      <c r="O1581" t="inlineStr">
        <is>
          <t>2026-10-05 UTC (WFM pull 02:52-04:00)</t>
        </is>
      </c>
      <c r="P1581" t="inlineStr">
        <is>
          <t>OK</t>
        </is>
      </c>
      <c r="R1581" t="inlineStr">
        <is>
          <t>Every current tradeable mod at MAX RANK (WFM catalogue, rivens/locators excluded)</t>
        </is>
      </c>
      <c r="S1581" t="inlineStr">
        <is>
          <t>trojan_tracker</t>
        </is>
      </c>
      <c r="T1581" t="n">
        <v>7</v>
      </c>
      <c r="U1581" t="n">
        <v>7</v>
      </c>
      <c r="V1581" t="n">
        <v>5</v>
      </c>
      <c r="W1581" t="n">
        <v>5</v>
      </c>
      <c r="X1581" t="n">
        <v>4.9</v>
      </c>
      <c r="Y1581" t="n">
        <v>1142</v>
      </c>
      <c r="Z1581" t="n">
        <v>32</v>
      </c>
      <c r="AN1581" t="inlineStr">
        <is>
          <t>Parazon</t>
        </is>
      </c>
      <c r="AO1581" t="n">
        <v>210</v>
      </c>
      <c r="AP1581" t="n">
        <v>10143</v>
      </c>
      <c r="AQ1581" t="n">
        <v>5</v>
      </c>
      <c r="AS1581" t="inlineStr">
        <is>
          <t>Yes</t>
        </is>
      </c>
    </row>
    <row r="1582">
      <c r="A1582" t="inlineStr">
        <is>
          <t>Mod</t>
        </is>
      </c>
      <c r="B1582" t="inlineStr">
        <is>
          <t>True Punishment</t>
        </is>
      </c>
      <c r="E1582" t="inlineStr">
        <is>
          <t>Melee</t>
        </is>
      </c>
      <c r="F1582" t="n">
        <v>3</v>
      </c>
      <c r="G1582" t="n">
        <v>1</v>
      </c>
      <c r="H1582" t="inlineStr">
        <is>
          <t>Player trade (max rank)</t>
        </is>
      </c>
      <c r="I1582" t="inlineStr">
        <is>
          <t>Yes</t>
        </is>
      </c>
      <c r="K1582" t="inlineStr">
        <is>
          <t>Collection</t>
        </is>
      </c>
      <c r="L1582" t="n">
        <v>15</v>
      </c>
      <c r="M1582" t="n">
        <v>15</v>
      </c>
      <c r="N1582" t="n">
        <v>33</v>
      </c>
      <c r="O1582" t="inlineStr">
        <is>
          <t>2026-10-05 UTC (WFM pull 02:52-04:00)</t>
        </is>
      </c>
      <c r="P1582" t="inlineStr">
        <is>
          <t>OK</t>
        </is>
      </c>
      <c r="R1582" t="inlineStr">
        <is>
          <t>Every current tradeable mod at MAX RANK (WFM catalogue, rivens/locators excluded)</t>
        </is>
      </c>
      <c r="S1582" t="inlineStr">
        <is>
          <t>true_punishment</t>
        </is>
      </c>
      <c r="T1582" t="n">
        <v>3</v>
      </c>
      <c r="U1582" t="n">
        <v>3</v>
      </c>
      <c r="V1582" t="n">
        <v>10</v>
      </c>
      <c r="W1582" t="n">
        <v>10</v>
      </c>
      <c r="X1582" t="n">
        <v>12.3</v>
      </c>
      <c r="Y1582" t="n">
        <v>80</v>
      </c>
      <c r="Z1582" t="n">
        <v>0</v>
      </c>
      <c r="AN1582" t="inlineStr">
        <is>
          <t>Melee</t>
        </is>
      </c>
      <c r="AO1582" t="n">
        <v>70</v>
      </c>
      <c r="AP1582" t="n">
        <v>3381</v>
      </c>
      <c r="AQ1582" t="n">
        <v>10</v>
      </c>
      <c r="AS1582" t="inlineStr">
        <is>
          <t>Yes</t>
        </is>
      </c>
    </row>
    <row r="1583">
      <c r="A1583" t="inlineStr">
        <is>
          <t>Mod</t>
        </is>
      </c>
      <c r="B1583" t="inlineStr">
        <is>
          <t>True Steel</t>
        </is>
      </c>
      <c r="E1583" t="inlineStr">
        <is>
          <t>Melee</t>
        </is>
      </c>
      <c r="F1583" t="n">
        <v>5</v>
      </c>
      <c r="G1583" t="n">
        <v>1</v>
      </c>
      <c r="H1583" t="inlineStr">
        <is>
          <t>Player trade (max rank)</t>
        </is>
      </c>
      <c r="I1583" t="inlineStr">
        <is>
          <t>Yes</t>
        </is>
      </c>
      <c r="K1583" t="inlineStr">
        <is>
          <t>Collection</t>
        </is>
      </c>
      <c r="L1583" t="n">
        <v>8</v>
      </c>
      <c r="M1583" t="n">
        <v>13.5</v>
      </c>
      <c r="N1583" t="n">
        <v>30</v>
      </c>
      <c r="O1583" t="inlineStr">
        <is>
          <t>2026-10-05 UTC (WFM pull 02:52-04:00)</t>
        </is>
      </c>
      <c r="P1583" t="inlineStr">
        <is>
          <t>OK</t>
        </is>
      </c>
      <c r="R1583" t="inlineStr">
        <is>
          <t>Every current tradeable mod at MAX RANK (WFM catalogue, rivens/locators excluded)</t>
        </is>
      </c>
      <c r="S1583" t="inlineStr">
        <is>
          <t>true_steel</t>
        </is>
      </c>
      <c r="T1583" t="n">
        <v>4</v>
      </c>
      <c r="U1583" t="n">
        <v>4</v>
      </c>
      <c r="V1583" t="n">
        <v>9</v>
      </c>
      <c r="W1583" t="n">
        <v>7</v>
      </c>
      <c r="X1583" t="n">
        <v>7.3</v>
      </c>
      <c r="Y1583" t="n">
        <v>36</v>
      </c>
      <c r="Z1583" t="n">
        <v>0</v>
      </c>
      <c r="AN1583" t="inlineStr">
        <is>
          <t>Melee</t>
        </is>
      </c>
      <c r="AO1583" t="n">
        <v>310</v>
      </c>
      <c r="AP1583" t="n">
        <v>14973</v>
      </c>
      <c r="AQ1583" t="n">
        <v>3.5</v>
      </c>
      <c r="AS1583" t="inlineStr">
        <is>
          <t>Yes</t>
        </is>
      </c>
    </row>
    <row r="1584">
      <c r="A1584" t="inlineStr">
        <is>
          <t>Mod</t>
        </is>
      </c>
      <c r="B1584" t="inlineStr">
        <is>
          <t>Truth's Flame</t>
        </is>
      </c>
      <c r="E1584" t="inlineStr">
        <is>
          <t>Melee</t>
        </is>
      </c>
      <c r="F1584" t="n">
        <v>3</v>
      </c>
      <c r="G1584" t="n">
        <v>1</v>
      </c>
      <c r="H1584" t="inlineStr">
        <is>
          <t>Player trade (max rank)</t>
        </is>
      </c>
      <c r="I1584" t="inlineStr">
        <is>
          <t>Yes</t>
        </is>
      </c>
      <c r="K1584" t="inlineStr">
        <is>
          <t>Collection</t>
        </is>
      </c>
      <c r="L1584" t="n">
        <v>50</v>
      </c>
      <c r="M1584" t="n">
        <v>60</v>
      </c>
      <c r="N1584" t="n">
        <v>132</v>
      </c>
      <c r="O1584" t="inlineStr">
        <is>
          <t>2026-10-05 UTC (WFM pull 02:52-04:00)</t>
        </is>
      </c>
      <c r="P1584" t="inlineStr">
        <is>
          <t>OK</t>
        </is>
      </c>
      <c r="R1584" t="inlineStr">
        <is>
          <t>Every current tradeable mod at MAX RANK (WFM catalogue, rivens/locators excluded)</t>
        </is>
      </c>
      <c r="S1584" t="inlineStr">
        <is>
          <t>truths_flame</t>
        </is>
      </c>
      <c r="T1584" t="n">
        <v>3</v>
      </c>
      <c r="U1584" t="n">
        <v>3</v>
      </c>
      <c r="V1584" t="n">
        <v>40</v>
      </c>
      <c r="W1584" t="n">
        <v>40</v>
      </c>
      <c r="X1584" t="n">
        <v>41.3</v>
      </c>
      <c r="Y1584" t="n">
        <v>961</v>
      </c>
      <c r="Z1584" t="n">
        <v>27</v>
      </c>
      <c r="AA1584" t="n">
        <v>25</v>
      </c>
      <c r="AB1584" t="n">
        <v>25</v>
      </c>
      <c r="AN1584" t="inlineStr">
        <is>
          <t>Melee</t>
        </is>
      </c>
      <c r="AO1584" t="n">
        <v>210</v>
      </c>
      <c r="AP1584" t="n">
        <v>10143</v>
      </c>
      <c r="AQ1584" t="n">
        <v>35</v>
      </c>
      <c r="AS1584" t="inlineStr">
        <is>
          <t>Yes</t>
        </is>
      </c>
    </row>
    <row r="1585">
      <c r="A1585" t="inlineStr">
        <is>
          <t>Mod</t>
        </is>
      </c>
      <c r="B1585" t="inlineStr">
        <is>
          <t>Turbo Protect</t>
        </is>
      </c>
      <c r="E1585" t="inlineStr">
        <is>
          <t>Parazon</t>
        </is>
      </c>
      <c r="F1585" t="n">
        <v>3</v>
      </c>
      <c r="G1585" t="n">
        <v>1</v>
      </c>
      <c r="H1585" t="inlineStr">
        <is>
          <t>Player trade (max rank)</t>
        </is>
      </c>
      <c r="I1585" t="inlineStr">
        <is>
          <t>Yes</t>
        </is>
      </c>
      <c r="K1585" t="inlineStr">
        <is>
          <t>Collection</t>
        </is>
      </c>
      <c r="L1585" t="n">
        <v>8</v>
      </c>
      <c r="M1585" t="n">
        <v>10</v>
      </c>
      <c r="N1585" t="n">
        <v>22</v>
      </c>
      <c r="O1585" t="inlineStr">
        <is>
          <t>2026-10-05 UTC (WFM pull 02:52-04:00)</t>
        </is>
      </c>
      <c r="P1585" t="inlineStr">
        <is>
          <t>OK</t>
        </is>
      </c>
      <c r="R1585" t="inlineStr">
        <is>
          <t>Every current tradeable mod at MAX RANK (WFM catalogue, rivens/locators excluded)</t>
        </is>
      </c>
      <c r="S1585" t="inlineStr">
        <is>
          <t>turbo_protect</t>
        </is>
      </c>
      <c r="T1585" t="n">
        <v>3</v>
      </c>
      <c r="U1585" t="n">
        <v>3</v>
      </c>
      <c r="V1585" t="n">
        <v>7</v>
      </c>
      <c r="W1585" t="n">
        <v>5</v>
      </c>
      <c r="X1585" t="n">
        <v>7</v>
      </c>
      <c r="Y1585" t="n">
        <v>22</v>
      </c>
      <c r="Z1585" t="n">
        <v>4</v>
      </c>
      <c r="AN1585" t="inlineStr">
        <is>
          <t>Parazon</t>
        </is>
      </c>
      <c r="AO1585" t="n">
        <v>210</v>
      </c>
      <c r="AP1585" t="n">
        <v>10143</v>
      </c>
      <c r="AQ1585" t="n">
        <v>5</v>
      </c>
      <c r="AS1585" t="inlineStr">
        <is>
          <t>Yes</t>
        </is>
      </c>
    </row>
    <row r="1586">
      <c r="A1586" t="inlineStr">
        <is>
          <t>Mod</t>
        </is>
      </c>
      <c r="B1586" t="inlineStr">
        <is>
          <t>Turret Velocity</t>
        </is>
      </c>
      <c r="E1586" t="inlineStr">
        <is>
          <t>Plexus</t>
        </is>
      </c>
      <c r="F1586" t="n">
        <v>10</v>
      </c>
      <c r="G1586" t="n">
        <v>1</v>
      </c>
      <c r="H1586" t="inlineStr">
        <is>
          <t>Player trade (max rank)</t>
        </is>
      </c>
      <c r="I1586" t="inlineStr">
        <is>
          <t>Yes</t>
        </is>
      </c>
      <c r="K1586" t="inlineStr">
        <is>
          <t>Collection</t>
        </is>
      </c>
      <c r="L1586" t="n">
        <v>75</v>
      </c>
      <c r="M1586" t="n">
        <v>80</v>
      </c>
      <c r="N1586" t="n">
        <v>88</v>
      </c>
      <c r="O1586" t="inlineStr">
        <is>
          <t>2026-10-05 UTC (WFM pull 02:52-04:00)</t>
        </is>
      </c>
      <c r="P1586" t="inlineStr">
        <is>
          <t>OK</t>
        </is>
      </c>
      <c r="R1586" t="inlineStr">
        <is>
          <t>Every current tradeable mod at MAX RANK (WFM catalogue, rivens/locators excluded)</t>
        </is>
      </c>
      <c r="S1586" t="inlineStr">
        <is>
          <t>turret_velocity</t>
        </is>
      </c>
      <c r="T1586" t="n">
        <v>15</v>
      </c>
      <c r="U1586" t="n">
        <v>15</v>
      </c>
      <c r="V1586" t="n">
        <v>75</v>
      </c>
      <c r="W1586" t="n">
        <v>78</v>
      </c>
      <c r="X1586" t="n">
        <v>77.40000000000001</v>
      </c>
      <c r="Y1586" t="n">
        <v>56</v>
      </c>
      <c r="Z1586" t="n">
        <v>0</v>
      </c>
      <c r="AA1586" t="n">
        <v>55</v>
      </c>
      <c r="AB1586" t="n">
        <v>20</v>
      </c>
      <c r="AN1586" t="inlineStr">
        <is>
          <t>Plexus</t>
        </is>
      </c>
      <c r="AO1586" t="n">
        <v>30690</v>
      </c>
      <c r="AP1586" t="n">
        <v>1482327</v>
      </c>
      <c r="AQ1586" t="n">
        <v>28</v>
      </c>
      <c r="AS1586" t="inlineStr">
        <is>
          <t>Yes</t>
        </is>
      </c>
    </row>
    <row r="1587">
      <c r="A1587" t="inlineStr">
        <is>
          <t>Mod</t>
        </is>
      </c>
      <c r="B1587" t="inlineStr">
        <is>
          <t>Twirling Spire</t>
        </is>
      </c>
      <c r="E1587" t="inlineStr">
        <is>
          <t>Stance</t>
        </is>
      </c>
      <c r="F1587" t="n">
        <v>3</v>
      </c>
      <c r="G1587" t="n">
        <v>1</v>
      </c>
      <c r="H1587" t="inlineStr">
        <is>
          <t>Player trade (max rank)</t>
        </is>
      </c>
      <c r="I1587" t="inlineStr">
        <is>
          <t>Yes</t>
        </is>
      </c>
      <c r="K1587" t="inlineStr">
        <is>
          <t>Collection</t>
        </is>
      </c>
      <c r="L1587" t="n">
        <v>5</v>
      </c>
      <c r="M1587" t="n">
        <v>6</v>
      </c>
      <c r="N1587" t="n">
        <v>11</v>
      </c>
      <c r="O1587" t="inlineStr">
        <is>
          <t>2026-10-05 UTC (WFM pull 02:52-04:00)</t>
        </is>
      </c>
      <c r="P1587" t="inlineStr">
        <is>
          <t>OK</t>
        </is>
      </c>
      <c r="R1587" t="inlineStr">
        <is>
          <t>Every current tradeable mod at MAX RANK (WFM catalogue, rivens/locators excluded)</t>
        </is>
      </c>
      <c r="S1587" t="inlineStr">
        <is>
          <t>twirling_spire</t>
        </is>
      </c>
      <c r="T1587" t="n">
        <v>70</v>
      </c>
      <c r="U1587" t="n">
        <v>2</v>
      </c>
      <c r="V1587" t="n">
        <v>10</v>
      </c>
      <c r="W1587" t="n">
        <v>10</v>
      </c>
      <c r="X1587" t="n">
        <v>9.699999999999999</v>
      </c>
      <c r="Y1587" t="n">
        <v>56</v>
      </c>
      <c r="Z1587" t="n">
        <v>1</v>
      </c>
      <c r="AN1587" t="inlineStr">
        <is>
          <t>Stance</t>
        </is>
      </c>
      <c r="AO1587" t="n">
        <v>210</v>
      </c>
      <c r="AP1587" t="n">
        <v>10143</v>
      </c>
      <c r="AQ1587" t="n">
        <v>7.5</v>
      </c>
      <c r="AS1587" t="inlineStr">
        <is>
          <t>Yes</t>
        </is>
      </c>
    </row>
    <row r="1588">
      <c r="A1588" t="inlineStr">
        <is>
          <t>Mod</t>
        </is>
      </c>
      <c r="B1588" t="inlineStr">
        <is>
          <t>Twitch</t>
        </is>
      </c>
      <c r="E1588" t="inlineStr">
        <is>
          <t>Conclave (PvP)</t>
        </is>
      </c>
      <c r="F1588" t="n">
        <v>3</v>
      </c>
      <c r="G1588" t="n">
        <v>1</v>
      </c>
      <c r="H1588" t="inlineStr">
        <is>
          <t>Player trade (max rank)</t>
        </is>
      </c>
      <c r="I1588" t="inlineStr">
        <is>
          <t>Yes</t>
        </is>
      </c>
      <c r="K1588" t="inlineStr">
        <is>
          <t>Collection (PvP)</t>
        </is>
      </c>
      <c r="L1588" t="n">
        <v>7</v>
      </c>
      <c r="M1588" t="n">
        <v>7.5</v>
      </c>
      <c r="N1588" t="n">
        <v>17</v>
      </c>
      <c r="O1588" t="inlineStr">
        <is>
          <t>2026-10-05 UTC (WFM pull 02:52-04:00)</t>
        </is>
      </c>
      <c r="P1588" t="inlineStr">
        <is>
          <t>OK</t>
        </is>
      </c>
      <c r="R1588" t="inlineStr">
        <is>
          <t>Every current tradeable mod at MAX RANK (WFM catalogue, rivens/locators excluded)</t>
        </is>
      </c>
      <c r="S1588" t="inlineStr">
        <is>
          <t>twitch</t>
        </is>
      </c>
      <c r="T1588" t="n">
        <v>4</v>
      </c>
      <c r="U1588" t="n">
        <v>4</v>
      </c>
      <c r="V1588" t="n">
        <v>5</v>
      </c>
      <c r="W1588" t="n">
        <v>10</v>
      </c>
      <c r="X1588" t="n">
        <v>12.7</v>
      </c>
      <c r="Y1588" t="n">
        <v>15</v>
      </c>
      <c r="Z1588" t="n">
        <v>0</v>
      </c>
      <c r="AN1588" t="inlineStr">
        <is>
          <t>Conclave (PvP)</t>
        </is>
      </c>
      <c r="AO1588" t="n">
        <v>140</v>
      </c>
      <c r="AP1588" t="n">
        <v>6762</v>
      </c>
      <c r="AQ1588" t="n">
        <v>6</v>
      </c>
      <c r="AS1588" t="inlineStr">
        <is>
          <t>PvP subtotal</t>
        </is>
      </c>
    </row>
    <row r="1589">
      <c r="A1589" t="inlineStr">
        <is>
          <t>Mod</t>
        </is>
      </c>
      <c r="B1589" t="inlineStr">
        <is>
          <t>Ubri-Kaneph</t>
        </is>
      </c>
      <c r="E1589" t="inlineStr">
        <is>
          <t>Antique</t>
        </is>
      </c>
      <c r="F1589" t="n">
        <v>5</v>
      </c>
      <c r="G1589" t="n">
        <v>1</v>
      </c>
      <c r="H1589" t="inlineStr">
        <is>
          <t>Player trade (max rank)</t>
        </is>
      </c>
      <c r="I1589" t="inlineStr">
        <is>
          <t>Yes</t>
        </is>
      </c>
      <c r="K1589" t="inlineStr">
        <is>
          <t>Collection</t>
        </is>
      </c>
      <c r="L1589" t="n">
        <v>36</v>
      </c>
      <c r="M1589" t="n">
        <v>48</v>
      </c>
      <c r="N1589" t="n">
        <v>106</v>
      </c>
      <c r="O1589" t="inlineStr">
        <is>
          <t>2026-10-05 UTC (WFM pull 02:52-04:00)</t>
        </is>
      </c>
      <c r="P1589" t="inlineStr">
        <is>
          <t>OK</t>
        </is>
      </c>
      <c r="R1589" t="inlineStr">
        <is>
          <t>Every current tradeable mod at MAX RANK (WFM catalogue, rivens/locators excluded)</t>
        </is>
      </c>
      <c r="S1589" t="inlineStr">
        <is>
          <t>ubri_kaneph</t>
        </is>
      </c>
      <c r="T1589" t="n">
        <v>5</v>
      </c>
      <c r="U1589" t="n">
        <v>5</v>
      </c>
      <c r="V1589" t="n">
        <v>32</v>
      </c>
      <c r="W1589" t="n">
        <v>35</v>
      </c>
      <c r="X1589" t="n">
        <v>34.6</v>
      </c>
      <c r="Y1589" t="n">
        <v>387</v>
      </c>
      <c r="Z1589" t="n">
        <v>8</v>
      </c>
      <c r="AN1589" t="inlineStr">
        <is>
          <t>Antique</t>
        </is>
      </c>
      <c r="AO1589" t="n">
        <v>930</v>
      </c>
      <c r="AP1589" t="n">
        <v>44919</v>
      </c>
      <c r="AQ1589" t="n">
        <v>7</v>
      </c>
      <c r="AS1589" t="inlineStr">
        <is>
          <t>Yes</t>
        </is>
      </c>
    </row>
    <row r="1590">
      <c r="A1590" t="inlineStr">
        <is>
          <t>Mod</t>
        </is>
      </c>
      <c r="B1590" t="inlineStr">
        <is>
          <t>Ulashta-Shol</t>
        </is>
      </c>
      <c r="E1590" t="inlineStr">
        <is>
          <t>Antique</t>
        </is>
      </c>
      <c r="F1590" t="n">
        <v>3</v>
      </c>
      <c r="G1590" t="n">
        <v>1</v>
      </c>
      <c r="H1590" t="inlineStr">
        <is>
          <t>Player trade (max rank)</t>
        </is>
      </c>
      <c r="I1590" t="inlineStr">
        <is>
          <t>Yes</t>
        </is>
      </c>
      <c r="K1590" t="inlineStr">
        <is>
          <t>Collection</t>
        </is>
      </c>
      <c r="L1590" t="n">
        <v>15</v>
      </c>
      <c r="M1590" t="n">
        <v>22.5</v>
      </c>
      <c r="N1590" t="n">
        <v>50</v>
      </c>
      <c r="O1590" t="inlineStr">
        <is>
          <t>2026-10-05 UTC (WFM pull 02:52-04:00)</t>
        </is>
      </c>
      <c r="P1590" t="inlineStr">
        <is>
          <t>OK</t>
        </is>
      </c>
      <c r="R1590" t="inlineStr">
        <is>
          <t>Every current tradeable mod at MAX RANK (WFM catalogue, rivens/locators excluded)</t>
        </is>
      </c>
      <c r="S1590" t="inlineStr">
        <is>
          <t>ulashta_shol</t>
        </is>
      </c>
      <c r="T1590" t="n">
        <v>5</v>
      </c>
      <c r="U1590" t="n">
        <v>5</v>
      </c>
      <c r="V1590" t="n">
        <v>15</v>
      </c>
      <c r="W1590" t="n">
        <v>15</v>
      </c>
      <c r="X1590" t="n">
        <v>19.1</v>
      </c>
      <c r="Y1590" t="n">
        <v>57</v>
      </c>
      <c r="Z1590" t="n">
        <v>7</v>
      </c>
      <c r="AN1590" t="inlineStr">
        <is>
          <t>Antique</t>
        </is>
      </c>
      <c r="AO1590" t="n">
        <v>70</v>
      </c>
      <c r="AP1590" t="n">
        <v>3381</v>
      </c>
      <c r="AQ1590" t="n">
        <v>4.5</v>
      </c>
      <c r="AS1590" t="inlineStr">
        <is>
          <t>Yes</t>
        </is>
      </c>
    </row>
    <row r="1591">
      <c r="A1591" t="inlineStr">
        <is>
          <t>Mod</t>
        </is>
      </c>
      <c r="B1591" t="inlineStr">
        <is>
          <t>Ulfrun's Endurance</t>
        </is>
      </c>
      <c r="E1591" t="inlineStr">
        <is>
          <t>Augment Voruna</t>
        </is>
      </c>
      <c r="F1591" t="n">
        <v>3</v>
      </c>
      <c r="G1591" t="n">
        <v>1</v>
      </c>
      <c r="H1591" t="inlineStr">
        <is>
          <t>Player trade (max rank)</t>
        </is>
      </c>
      <c r="I1591" t="inlineStr">
        <is>
          <t>Yes</t>
        </is>
      </c>
      <c r="K1591" t="inlineStr">
        <is>
          <t>Collection</t>
        </is>
      </c>
      <c r="L1591" t="n">
        <v>15</v>
      </c>
      <c r="M1591" t="n">
        <v>18</v>
      </c>
      <c r="N1591" t="n">
        <v>22</v>
      </c>
      <c r="O1591" t="inlineStr">
        <is>
          <t>2026-10-05 UTC (WFM pull 02:52-04:00)</t>
        </is>
      </c>
      <c r="P1591" t="inlineStr">
        <is>
          <t>OK</t>
        </is>
      </c>
      <c r="R1591" t="inlineStr">
        <is>
          <t>Every current tradeable mod at MAX RANK (WFM catalogue, rivens/locators excluded)</t>
        </is>
      </c>
      <c r="S1591" t="inlineStr">
        <is>
          <t>ulfruns_endurance</t>
        </is>
      </c>
      <c r="T1591" t="n">
        <v>3</v>
      </c>
      <c r="U1591" t="n">
        <v>3</v>
      </c>
      <c r="V1591" t="n">
        <v>12</v>
      </c>
      <c r="W1591" t="n">
        <v>13</v>
      </c>
      <c r="X1591" t="n">
        <v>13.1</v>
      </c>
      <c r="Y1591" t="n">
        <v>517</v>
      </c>
      <c r="Z1591" t="n">
        <v>6</v>
      </c>
      <c r="AN1591" t="inlineStr">
        <is>
          <t>Augment Voruna</t>
        </is>
      </c>
      <c r="AO1591" t="n">
        <v>210</v>
      </c>
      <c r="AP1591" t="n">
        <v>10143</v>
      </c>
      <c r="AQ1591" t="n">
        <v>12</v>
      </c>
      <c r="AS1591" t="inlineStr">
        <is>
          <t>Yes</t>
        </is>
      </c>
    </row>
    <row r="1592">
      <c r="A1592" t="inlineStr">
        <is>
          <t>Mod</t>
        </is>
      </c>
      <c r="B1592" t="inlineStr">
        <is>
          <t>Undying Will</t>
        </is>
      </c>
      <c r="E1592" t="inlineStr">
        <is>
          <t>Warframe</t>
        </is>
      </c>
      <c r="F1592" t="n">
        <v>5</v>
      </c>
      <c r="G1592" t="n">
        <v>1</v>
      </c>
      <c r="H1592" t="inlineStr">
        <is>
          <t>Player trade (max rank)</t>
        </is>
      </c>
      <c r="I1592" t="inlineStr">
        <is>
          <t>Yes</t>
        </is>
      </c>
      <c r="K1592" t="inlineStr">
        <is>
          <t>Collection</t>
        </is>
      </c>
      <c r="L1592" t="n">
        <v>10</v>
      </c>
      <c r="M1592" t="n">
        <v>10</v>
      </c>
      <c r="N1592" t="n">
        <v>22</v>
      </c>
      <c r="O1592" t="inlineStr">
        <is>
          <t>2026-10-05 UTC (WFM pull 02:52-04:00)</t>
        </is>
      </c>
      <c r="P1592" t="inlineStr">
        <is>
          <t>OK</t>
        </is>
      </c>
      <c r="R1592" t="inlineStr">
        <is>
          <t>Every current tradeable mod at MAX RANK (WFM catalogue, rivens/locators excluded)</t>
        </is>
      </c>
      <c r="S1592" t="inlineStr">
        <is>
          <t>undying_will</t>
        </is>
      </c>
      <c r="T1592" t="n">
        <v>3</v>
      </c>
      <c r="U1592" t="n">
        <v>3</v>
      </c>
      <c r="V1592" t="n">
        <v>5</v>
      </c>
      <c r="W1592" t="n">
        <v>6</v>
      </c>
      <c r="X1592" t="n">
        <v>6.5</v>
      </c>
      <c r="Y1592" t="n">
        <v>8</v>
      </c>
      <c r="Z1592" t="n">
        <v>0</v>
      </c>
      <c r="AN1592" t="inlineStr">
        <is>
          <t>Warframe</t>
        </is>
      </c>
      <c r="AO1592" t="n">
        <v>930</v>
      </c>
      <c r="AP1592" t="n">
        <v>44919</v>
      </c>
      <c r="AQ1592" t="n">
        <v>2</v>
      </c>
      <c r="AS1592" t="inlineStr">
        <is>
          <t>Yes</t>
        </is>
      </c>
    </row>
    <row r="1593">
      <c r="A1593" t="inlineStr">
        <is>
          <t>Mod</t>
        </is>
      </c>
      <c r="B1593" t="inlineStr">
        <is>
          <t>Unleashed</t>
        </is>
      </c>
      <c r="E1593" t="inlineStr">
        <is>
          <t>Sunika Kubrow</t>
        </is>
      </c>
      <c r="F1593" t="n">
        <v>5</v>
      </c>
      <c r="G1593" t="n">
        <v>1</v>
      </c>
      <c r="H1593" t="inlineStr">
        <is>
          <t>Player trade (max rank)</t>
        </is>
      </c>
      <c r="I1593" t="inlineStr">
        <is>
          <t>Yes</t>
        </is>
      </c>
      <c r="K1593" t="inlineStr">
        <is>
          <t>Collection</t>
        </is>
      </c>
      <c r="L1593" t="n">
        <v>8</v>
      </c>
      <c r="M1593" t="n">
        <v>18</v>
      </c>
      <c r="N1593" t="n">
        <v>40</v>
      </c>
      <c r="O1593" t="inlineStr">
        <is>
          <t>2026-10-05 UTC (WFM pull 02:52-04:00)</t>
        </is>
      </c>
      <c r="P1593" t="inlineStr">
        <is>
          <t>OK</t>
        </is>
      </c>
      <c r="R1593" t="inlineStr">
        <is>
          <t>Every current tradeable mod at MAX RANK (WFM catalogue, rivens/locators excluded)</t>
        </is>
      </c>
      <c r="S1593" t="inlineStr">
        <is>
          <t>unleashed</t>
        </is>
      </c>
      <c r="T1593" t="n">
        <v>5</v>
      </c>
      <c r="U1593" t="n">
        <v>5</v>
      </c>
      <c r="V1593" t="n">
        <v>12</v>
      </c>
      <c r="W1593" t="n">
        <v>17.5</v>
      </c>
      <c r="X1593" t="n">
        <v>22.5</v>
      </c>
      <c r="Y1593" t="n">
        <v>13</v>
      </c>
      <c r="Z1593" t="n">
        <v>0</v>
      </c>
      <c r="AN1593" t="inlineStr">
        <is>
          <t>Sunika Kubrow</t>
        </is>
      </c>
      <c r="AO1593" t="n">
        <v>930</v>
      </c>
      <c r="AP1593" t="n">
        <v>44919</v>
      </c>
      <c r="AQ1593" t="n">
        <v>5</v>
      </c>
      <c r="AS1593" t="inlineStr">
        <is>
          <t>Yes</t>
        </is>
      </c>
    </row>
    <row r="1594">
      <c r="A1594" t="inlineStr">
        <is>
          <t>Mod</t>
        </is>
      </c>
      <c r="B1594" t="inlineStr">
        <is>
          <t>Unseen Dread</t>
        </is>
      </c>
      <c r="E1594" t="inlineStr">
        <is>
          <t>Augment Dread</t>
        </is>
      </c>
      <c r="F1594" t="n">
        <v>5</v>
      </c>
      <c r="G1594" t="n">
        <v>1</v>
      </c>
      <c r="H1594" t="inlineStr">
        <is>
          <t>Player trade (max rank)</t>
        </is>
      </c>
      <c r="I1594" t="inlineStr">
        <is>
          <t>Yes</t>
        </is>
      </c>
      <c r="K1594" t="inlineStr">
        <is>
          <t>Collection</t>
        </is>
      </c>
      <c r="L1594" t="n">
        <v>99</v>
      </c>
      <c r="M1594" t="n">
        <v>99</v>
      </c>
      <c r="N1594" t="n">
        <v>111</v>
      </c>
      <c r="O1594" t="inlineStr">
        <is>
          <t>2026-10-05 UTC (WFM pull 02:52-04:00)</t>
        </is>
      </c>
      <c r="P1594" t="inlineStr">
        <is>
          <t>OK</t>
        </is>
      </c>
      <c r="R1594" t="inlineStr">
        <is>
          <t>Every current tradeable mod at MAX RANK (WFM catalogue, rivens/locators excluded)</t>
        </is>
      </c>
      <c r="S1594" t="inlineStr">
        <is>
          <t>unseen_dread</t>
        </is>
      </c>
      <c r="T1594" t="n">
        <v>7</v>
      </c>
      <c r="U1594" t="n">
        <v>7</v>
      </c>
      <c r="V1594" t="n">
        <v>45</v>
      </c>
      <c r="W1594" t="n">
        <v>37.5</v>
      </c>
      <c r="X1594" t="n">
        <v>38.9</v>
      </c>
      <c r="Y1594" t="n">
        <v>166</v>
      </c>
      <c r="Z1594" t="n">
        <v>2</v>
      </c>
      <c r="AN1594" t="inlineStr">
        <is>
          <t>Augment Dread</t>
        </is>
      </c>
      <c r="AO1594" t="n">
        <v>930</v>
      </c>
      <c r="AP1594" t="n">
        <v>44919</v>
      </c>
      <c r="AQ1594" t="n">
        <v>40</v>
      </c>
      <c r="AS1594" t="inlineStr">
        <is>
          <t>Yes</t>
        </is>
      </c>
    </row>
    <row r="1595">
      <c r="A1595" t="inlineStr">
        <is>
          <t>Mod</t>
        </is>
      </c>
      <c r="B1595" t="inlineStr">
        <is>
          <t>Untime Rift</t>
        </is>
      </c>
      <c r="E1595" t="inlineStr">
        <is>
          <t>Augment Xaku</t>
        </is>
      </c>
      <c r="F1595" t="n">
        <v>3</v>
      </c>
      <c r="G1595" t="n">
        <v>1</v>
      </c>
      <c r="H1595" t="inlineStr">
        <is>
          <t>Player trade (max rank)</t>
        </is>
      </c>
      <c r="I1595" t="inlineStr">
        <is>
          <t>Yes</t>
        </is>
      </c>
      <c r="K1595" t="inlineStr">
        <is>
          <t>Collection</t>
        </is>
      </c>
      <c r="L1595" t="n">
        <v>18</v>
      </c>
      <c r="M1595" t="n">
        <v>18.8</v>
      </c>
      <c r="N1595" t="n">
        <v>42</v>
      </c>
      <c r="O1595" t="inlineStr">
        <is>
          <t>2026-10-05 UTC (WFM pull 02:52-04:00)</t>
        </is>
      </c>
      <c r="P1595" t="inlineStr">
        <is>
          <t>OK</t>
        </is>
      </c>
      <c r="R1595" t="inlineStr">
        <is>
          <t>Every current tradeable mod at MAX RANK (WFM catalogue, rivens/locators excluded)</t>
        </is>
      </c>
      <c r="S1595" t="inlineStr">
        <is>
          <t>untime_rift</t>
        </is>
      </c>
      <c r="T1595" t="n">
        <v>5</v>
      </c>
      <c r="U1595" t="n">
        <v>5</v>
      </c>
      <c r="V1595" t="n">
        <v>12.5</v>
      </c>
      <c r="W1595" t="n">
        <v>15</v>
      </c>
      <c r="X1595" t="n">
        <v>15.1</v>
      </c>
      <c r="Y1595" t="n">
        <v>130</v>
      </c>
      <c r="Z1595" t="n">
        <v>1</v>
      </c>
      <c r="AN1595" t="inlineStr">
        <is>
          <t>Augment Xaku</t>
        </is>
      </c>
      <c r="AO1595" t="n">
        <v>210</v>
      </c>
      <c r="AP1595" t="n">
        <v>10143</v>
      </c>
      <c r="AQ1595" t="n">
        <v>15</v>
      </c>
      <c r="AS1595" t="inlineStr">
        <is>
          <t>Yes</t>
        </is>
      </c>
    </row>
    <row r="1596">
      <c r="A1596" t="inlineStr">
        <is>
          <t>Mod</t>
        </is>
      </c>
      <c r="B1596" t="inlineStr">
        <is>
          <t>Untraceable</t>
        </is>
      </c>
      <c r="E1596" t="inlineStr">
        <is>
          <t>Parazon</t>
        </is>
      </c>
      <c r="G1596" t="n">
        <v>1</v>
      </c>
      <c r="H1596" t="inlineStr">
        <is>
          <t>Player trade (max rank)</t>
        </is>
      </c>
      <c r="I1596" t="inlineStr">
        <is>
          <t>Yes</t>
        </is>
      </c>
      <c r="K1596" t="inlineStr">
        <is>
          <t>Collection</t>
        </is>
      </c>
      <c r="L1596" t="n">
        <v>7</v>
      </c>
      <c r="M1596" t="n">
        <v>7</v>
      </c>
      <c r="N1596" t="n">
        <v>9</v>
      </c>
      <c r="O1596" t="inlineStr">
        <is>
          <t>2026-10-05 UTC (WFM pull 02:52-04:00)</t>
        </is>
      </c>
      <c r="P1596" t="inlineStr">
        <is>
          <t>OK</t>
        </is>
      </c>
      <c r="R1596" t="inlineStr">
        <is>
          <t>Every current tradeable mod at MAX RANK (WFM catalogue, rivens/locators excluded)</t>
        </is>
      </c>
      <c r="S1596" t="inlineStr">
        <is>
          <t>untraceable</t>
        </is>
      </c>
      <c r="T1596" t="n">
        <v>11</v>
      </c>
      <c r="U1596" t="n">
        <v>11</v>
      </c>
      <c r="V1596" t="n">
        <v>6</v>
      </c>
      <c r="W1596" t="n">
        <v>6.5</v>
      </c>
      <c r="X1596" t="n">
        <v>6.4</v>
      </c>
      <c r="Y1596" t="n">
        <v>598</v>
      </c>
      <c r="Z1596" t="n">
        <v>8</v>
      </c>
      <c r="AN1596" t="inlineStr">
        <is>
          <t>Parazon</t>
        </is>
      </c>
      <c r="AO1596" t="n">
        <v>0</v>
      </c>
      <c r="AP1596" t="n">
        <v>0</v>
      </c>
      <c r="AS1596" t="inlineStr">
        <is>
          <t>Yes</t>
        </is>
      </c>
    </row>
    <row r="1597">
      <c r="A1597" t="inlineStr">
        <is>
          <t>Mod</t>
        </is>
      </c>
      <c r="B1597" t="inlineStr">
        <is>
          <t>Vacuum</t>
        </is>
      </c>
      <c r="E1597" t="inlineStr">
        <is>
          <t>Robotic</t>
        </is>
      </c>
      <c r="F1597" t="n">
        <v>5</v>
      </c>
      <c r="G1597" t="n">
        <v>1</v>
      </c>
      <c r="H1597" t="inlineStr">
        <is>
          <t>Player trade (max rank)</t>
        </is>
      </c>
      <c r="I1597" t="inlineStr">
        <is>
          <t>Yes</t>
        </is>
      </c>
      <c r="K1597" t="inlineStr">
        <is>
          <t>Collection</t>
        </is>
      </c>
      <c r="L1597" t="n">
        <v>6</v>
      </c>
      <c r="M1597" t="n">
        <v>13.5</v>
      </c>
      <c r="N1597" t="n">
        <v>17</v>
      </c>
      <c r="O1597" t="inlineStr">
        <is>
          <t>2026-10-05 UTC (WFM pull 02:52-04:00)</t>
        </is>
      </c>
      <c r="P1597" t="inlineStr">
        <is>
          <t>OK</t>
        </is>
      </c>
      <c r="R1597" t="inlineStr">
        <is>
          <t>Every current tradeable mod at MAX RANK (WFM catalogue, rivens/locators excluded)</t>
        </is>
      </c>
      <c r="S1597" t="inlineStr">
        <is>
          <t>vacuum</t>
        </is>
      </c>
      <c r="T1597" t="n">
        <v>6</v>
      </c>
      <c r="U1597" t="n">
        <v>6</v>
      </c>
      <c r="V1597" t="n">
        <v>9</v>
      </c>
      <c r="W1597" t="n">
        <v>9.5</v>
      </c>
      <c r="X1597" t="n">
        <v>9.199999999999999</v>
      </c>
      <c r="Y1597" t="n">
        <v>37</v>
      </c>
      <c r="Z1597" t="n">
        <v>0</v>
      </c>
      <c r="AN1597" t="inlineStr">
        <is>
          <t>Robotic</t>
        </is>
      </c>
      <c r="AO1597" t="n">
        <v>310</v>
      </c>
      <c r="AP1597" t="n">
        <v>14973</v>
      </c>
      <c r="AQ1597" t="n">
        <v>4</v>
      </c>
      <c r="AS1597" t="inlineStr">
        <is>
          <t>Yes</t>
        </is>
      </c>
    </row>
    <row r="1598">
      <c r="A1598" t="inlineStr">
        <is>
          <t>Mod</t>
        </is>
      </c>
      <c r="B1598" t="inlineStr">
        <is>
          <t>Valence Formation</t>
        </is>
      </c>
      <c r="E1598" t="inlineStr">
        <is>
          <t>Augment Lavos</t>
        </is>
      </c>
      <c r="F1598" t="n">
        <v>3</v>
      </c>
      <c r="G1598" t="n">
        <v>1</v>
      </c>
      <c r="H1598" t="inlineStr">
        <is>
          <t>Player trade (max rank)</t>
        </is>
      </c>
      <c r="I1598" t="inlineStr">
        <is>
          <t>Yes</t>
        </is>
      </c>
      <c r="K1598" t="inlineStr">
        <is>
          <t>Collection</t>
        </is>
      </c>
      <c r="L1598" t="n">
        <v>18</v>
      </c>
      <c r="M1598" t="n">
        <v>21.8</v>
      </c>
      <c r="N1598" t="n">
        <v>44</v>
      </c>
      <c r="O1598" t="inlineStr">
        <is>
          <t>2026-10-05 UTC (WFM pull 02:52-04:00)</t>
        </is>
      </c>
      <c r="P1598" t="inlineStr">
        <is>
          <t>OK</t>
        </is>
      </c>
      <c r="R1598" t="inlineStr">
        <is>
          <t>Every current tradeable mod at MAX RANK (WFM catalogue, rivens/locators excluded)</t>
        </is>
      </c>
      <c r="S1598" t="inlineStr">
        <is>
          <t>valence_formation</t>
        </is>
      </c>
      <c r="T1598" t="n">
        <v>4</v>
      </c>
      <c r="U1598" t="n">
        <v>4</v>
      </c>
      <c r="V1598" t="n">
        <v>14.5</v>
      </c>
      <c r="W1598" t="n">
        <v>15</v>
      </c>
      <c r="X1598" t="n">
        <v>15</v>
      </c>
      <c r="Y1598" t="n">
        <v>360</v>
      </c>
      <c r="Z1598" t="n">
        <v>9</v>
      </c>
      <c r="AN1598" t="inlineStr">
        <is>
          <t>Augment Lavos</t>
        </is>
      </c>
      <c r="AO1598" t="n">
        <v>210</v>
      </c>
      <c r="AP1598" t="n">
        <v>10143</v>
      </c>
      <c r="AQ1598" t="n">
        <v>13</v>
      </c>
      <c r="AS1598" t="inlineStr">
        <is>
          <t>Yes</t>
        </is>
      </c>
    </row>
    <row r="1599">
      <c r="A1599" t="inlineStr">
        <is>
          <t>Mod</t>
        </is>
      </c>
      <c r="B1599" t="inlineStr">
        <is>
          <t>Vampire Leech</t>
        </is>
      </c>
      <c r="E1599" t="inlineStr">
        <is>
          <t>Augment Trinity</t>
        </is>
      </c>
      <c r="F1599" t="n">
        <v>3</v>
      </c>
      <c r="G1599" t="n">
        <v>1</v>
      </c>
      <c r="H1599" t="inlineStr">
        <is>
          <t>Player trade (max rank)</t>
        </is>
      </c>
      <c r="I1599" t="inlineStr">
        <is>
          <t>Yes</t>
        </is>
      </c>
      <c r="K1599" t="inlineStr">
        <is>
          <t>Collection</t>
        </is>
      </c>
      <c r="L1599" t="n">
        <v>13</v>
      </c>
      <c r="M1599" t="n">
        <v>18.8</v>
      </c>
      <c r="N1599" t="n">
        <v>42</v>
      </c>
      <c r="O1599" t="inlineStr">
        <is>
          <t>2026-10-05 UTC (WFM pull 02:52-04:00)</t>
        </is>
      </c>
      <c r="P1599" t="inlineStr">
        <is>
          <t>OK</t>
        </is>
      </c>
      <c r="R1599" t="inlineStr">
        <is>
          <t>Every current tradeable mod at MAX RANK (WFM catalogue, rivens/locators excluded)</t>
        </is>
      </c>
      <c r="S1599" t="inlineStr">
        <is>
          <t>vampire_leech</t>
        </is>
      </c>
      <c r="T1599" t="n">
        <v>5</v>
      </c>
      <c r="U1599" t="n">
        <v>5</v>
      </c>
      <c r="V1599" t="n">
        <v>12.5</v>
      </c>
      <c r="W1599" t="n">
        <v>14</v>
      </c>
      <c r="X1599" t="n">
        <v>13.5</v>
      </c>
      <c r="Y1599" t="n">
        <v>98</v>
      </c>
      <c r="Z1599" t="n">
        <v>3</v>
      </c>
      <c r="AN1599" t="inlineStr">
        <is>
          <t>Augment Trinity</t>
        </is>
      </c>
      <c r="AO1599" t="n">
        <v>210</v>
      </c>
      <c r="AP1599" t="n">
        <v>10143</v>
      </c>
      <c r="AQ1599" t="n">
        <v>13</v>
      </c>
      <c r="AS1599" t="inlineStr">
        <is>
          <t>Yes</t>
        </is>
      </c>
    </row>
    <row r="1600">
      <c r="A1600" t="inlineStr">
        <is>
          <t>Mod</t>
        </is>
      </c>
      <c r="B1600" t="inlineStr">
        <is>
          <t>Vampiric Grasp</t>
        </is>
      </c>
      <c r="E1600" t="inlineStr">
        <is>
          <t>Augment Xaku</t>
        </is>
      </c>
      <c r="F1600" t="n">
        <v>3</v>
      </c>
      <c r="G1600" t="n">
        <v>1</v>
      </c>
      <c r="H1600" t="inlineStr">
        <is>
          <t>Player trade (max rank)</t>
        </is>
      </c>
      <c r="I1600" t="inlineStr">
        <is>
          <t>Yes</t>
        </is>
      </c>
      <c r="K1600" t="inlineStr">
        <is>
          <t>Collection</t>
        </is>
      </c>
      <c r="L1600" t="n">
        <v>15</v>
      </c>
      <c r="M1600" t="n">
        <v>15</v>
      </c>
      <c r="N1600" t="n">
        <v>33</v>
      </c>
      <c r="O1600" t="inlineStr">
        <is>
          <t>2026-10-05 UTC (WFM pull 02:52-04:00)</t>
        </is>
      </c>
      <c r="P1600" t="inlineStr">
        <is>
          <t>OK</t>
        </is>
      </c>
      <c r="R1600" t="inlineStr">
        <is>
          <t>Every current tradeable mod at MAX RANK (WFM catalogue, rivens/locators excluded)</t>
        </is>
      </c>
      <c r="S1600" t="inlineStr">
        <is>
          <t>vampiric_grasp</t>
        </is>
      </c>
      <c r="T1600" t="n">
        <v>3</v>
      </c>
      <c r="U1600" t="n">
        <v>3</v>
      </c>
      <c r="V1600" t="n">
        <v>13.5</v>
      </c>
      <c r="W1600" t="n">
        <v>12</v>
      </c>
      <c r="X1600" t="n">
        <v>12.9</v>
      </c>
      <c r="Y1600" t="n">
        <v>92</v>
      </c>
      <c r="Z1600" t="n">
        <v>0</v>
      </c>
      <c r="AN1600" t="inlineStr">
        <is>
          <t>Augment Xaku</t>
        </is>
      </c>
      <c r="AO1600" t="n">
        <v>210</v>
      </c>
      <c r="AP1600" t="n">
        <v>10143</v>
      </c>
      <c r="AQ1600" t="n">
        <v>14</v>
      </c>
      <c r="AS1600" t="inlineStr">
        <is>
          <t>Yes</t>
        </is>
      </c>
    </row>
    <row r="1601">
      <c r="A1601" t="inlineStr">
        <is>
          <t>Mod</t>
        </is>
      </c>
      <c r="B1601" t="inlineStr">
        <is>
          <t>Vanquished Prey</t>
        </is>
      </c>
      <c r="E1601" t="inlineStr">
        <is>
          <t>Conclave (PvP)</t>
        </is>
      </c>
      <c r="F1601" t="n">
        <v>3</v>
      </c>
      <c r="G1601" t="n">
        <v>1</v>
      </c>
      <c r="H1601" t="inlineStr">
        <is>
          <t>Player trade (max rank)</t>
        </is>
      </c>
      <c r="I1601" t="inlineStr">
        <is>
          <t>Yes</t>
        </is>
      </c>
      <c r="K1601" t="inlineStr">
        <is>
          <t>Collection (PvP)</t>
        </is>
      </c>
      <c r="L1601" t="n">
        <v>300</v>
      </c>
      <c r="M1601" t="n">
        <v>300</v>
      </c>
      <c r="N1601" t="n">
        <v>386</v>
      </c>
      <c r="O1601" t="inlineStr">
        <is>
          <t>2026-10-05 UTC (WFM pull 02:52-04:00)</t>
        </is>
      </c>
      <c r="P1601" t="inlineStr">
        <is>
          <t>THIN</t>
        </is>
      </c>
      <c r="R1601" t="inlineStr">
        <is>
          <t>Every current tradeable mod at MAX RANK (WFM catalogue, rivens/locators excluded)</t>
        </is>
      </c>
      <c r="S1601" t="inlineStr">
        <is>
          <t>vanquished_prey</t>
        </is>
      </c>
      <c r="T1601" t="n">
        <v>2</v>
      </c>
      <c r="U1601" t="n">
        <v>0</v>
      </c>
      <c r="V1601" t="n">
        <v>50</v>
      </c>
      <c r="W1601" t="n">
        <v>50</v>
      </c>
      <c r="X1601" t="n">
        <v>50</v>
      </c>
      <c r="Y1601" t="n">
        <v>2</v>
      </c>
      <c r="Z1601" t="n">
        <v>0</v>
      </c>
      <c r="AN1601" t="inlineStr">
        <is>
          <t>Conclave (PvP)</t>
        </is>
      </c>
      <c r="AO1601" t="n">
        <v>210</v>
      </c>
      <c r="AP1601" t="n">
        <v>10143</v>
      </c>
      <c r="AQ1601" t="n">
        <v>90</v>
      </c>
      <c r="AS1601" t="inlineStr">
        <is>
          <t>PvP subtotal</t>
        </is>
      </c>
    </row>
    <row r="1602">
      <c r="A1602" t="inlineStr">
        <is>
          <t>Mod</t>
        </is>
      </c>
      <c r="B1602" t="inlineStr">
        <is>
          <t>Vapor Trail</t>
        </is>
      </c>
      <c r="E1602" t="inlineStr">
        <is>
          <t>K-Drive</t>
        </is>
      </c>
      <c r="F1602" t="n">
        <v>10</v>
      </c>
      <c r="G1602" t="n">
        <v>1</v>
      </c>
      <c r="H1602" t="inlineStr">
        <is>
          <t>Player trade (max rank)</t>
        </is>
      </c>
      <c r="I1602" t="inlineStr">
        <is>
          <t>Yes</t>
        </is>
      </c>
      <c r="K1602" t="inlineStr">
        <is>
          <t>Collection</t>
        </is>
      </c>
      <c r="L1602" t="n">
        <v>55</v>
      </c>
      <c r="M1602" t="n">
        <v>55</v>
      </c>
      <c r="N1602" t="n">
        <v>108</v>
      </c>
      <c r="O1602" t="inlineStr">
        <is>
          <t>2026-10-05 UTC (WFM pull 02:52-04:00)</t>
        </is>
      </c>
      <c r="P1602" t="inlineStr">
        <is>
          <t>OK</t>
        </is>
      </c>
      <c r="R1602" t="inlineStr">
        <is>
          <t>Every current tradeable mod at MAX RANK (WFM catalogue, rivens/locators excluded)</t>
        </is>
      </c>
      <c r="S1602" t="inlineStr">
        <is>
          <t>vapor_trail</t>
        </is>
      </c>
      <c r="T1602" t="n">
        <v>26</v>
      </c>
      <c r="U1602" t="n">
        <v>2</v>
      </c>
      <c r="V1602" t="n">
        <v>15</v>
      </c>
      <c r="W1602" t="n">
        <v>35</v>
      </c>
      <c r="X1602" t="n">
        <v>34</v>
      </c>
      <c r="Y1602" t="n">
        <v>5</v>
      </c>
      <c r="Z1602" t="n">
        <v>0</v>
      </c>
      <c r="AN1602" t="inlineStr">
        <is>
          <t>K-Drive</t>
        </is>
      </c>
      <c r="AO1602" t="n">
        <v>10230</v>
      </c>
      <c r="AP1602" t="n">
        <v>494109</v>
      </c>
      <c r="AQ1602" t="n">
        <v>28.5</v>
      </c>
      <c r="AS1602" t="inlineStr">
        <is>
          <t>Yes</t>
        </is>
      </c>
    </row>
    <row r="1603">
      <c r="A1603" t="inlineStr">
        <is>
          <t>Mod</t>
        </is>
      </c>
      <c r="B1603" t="inlineStr">
        <is>
          <t>Vaporize</t>
        </is>
      </c>
      <c r="E1603" t="inlineStr">
        <is>
          <t>Dethcube</t>
        </is>
      </c>
      <c r="F1603" t="n">
        <v>5</v>
      </c>
      <c r="G1603" t="n">
        <v>1</v>
      </c>
      <c r="H1603" t="inlineStr">
        <is>
          <t>Player trade (max rank)</t>
        </is>
      </c>
      <c r="I1603" t="inlineStr">
        <is>
          <t>Yes</t>
        </is>
      </c>
      <c r="K1603" t="inlineStr">
        <is>
          <t>Collection</t>
        </is>
      </c>
      <c r="L1603" t="n">
        <v>5</v>
      </c>
      <c r="M1603" t="n">
        <v>13.5</v>
      </c>
      <c r="N1603" t="n">
        <v>30</v>
      </c>
      <c r="O1603" t="inlineStr">
        <is>
          <t>2026-10-05 UTC (WFM pull 02:52-04:00)</t>
        </is>
      </c>
      <c r="P1603" t="inlineStr">
        <is>
          <t>OK</t>
        </is>
      </c>
      <c r="R1603" t="inlineStr">
        <is>
          <t>Every current tradeable mod at MAX RANK (WFM catalogue, rivens/locators excluded)</t>
        </is>
      </c>
      <c r="S1603" t="inlineStr">
        <is>
          <t>vaporize</t>
        </is>
      </c>
      <c r="T1603" t="n">
        <v>4</v>
      </c>
      <c r="U1603" t="n">
        <v>4</v>
      </c>
      <c r="W1603" t="n">
        <v>9</v>
      </c>
      <c r="X1603" t="n">
        <v>9.5</v>
      </c>
      <c r="Y1603" t="n">
        <v>2</v>
      </c>
      <c r="Z1603" t="n">
        <v>0</v>
      </c>
      <c r="AN1603" t="inlineStr">
        <is>
          <t>Dethcube</t>
        </is>
      </c>
      <c r="AO1603" t="n">
        <v>310</v>
      </c>
      <c r="AP1603" t="n">
        <v>14973</v>
      </c>
      <c r="AQ1603" t="n">
        <v>4.5</v>
      </c>
      <c r="AS1603" t="inlineStr">
        <is>
          <t>Yes</t>
        </is>
      </c>
    </row>
    <row r="1604">
      <c r="A1604" t="inlineStr">
        <is>
          <t>Mod</t>
        </is>
      </c>
      <c r="B1604" t="inlineStr">
        <is>
          <t>Vazarin Transmute Core</t>
        </is>
      </c>
      <c r="E1604" t="inlineStr">
        <is>
          <t>Mod</t>
        </is>
      </c>
      <c r="G1604" t="n">
        <v>1</v>
      </c>
      <c r="H1604" t="inlineStr">
        <is>
          <t>Player trade (max rank)</t>
        </is>
      </c>
      <c r="I1604" t="inlineStr">
        <is>
          <t>Yes</t>
        </is>
      </c>
      <c r="K1604" t="inlineStr">
        <is>
          <t>Collection</t>
        </is>
      </c>
      <c r="L1604" t="n">
        <v>15</v>
      </c>
      <c r="M1604" t="n">
        <v>15</v>
      </c>
      <c r="N1604" t="n">
        <v>33</v>
      </c>
      <c r="O1604" t="inlineStr">
        <is>
          <t>2026-10-05 UTC (WFM pull 02:52-04:00)</t>
        </is>
      </c>
      <c r="P1604" t="inlineStr">
        <is>
          <t>OK</t>
        </is>
      </c>
      <c r="R1604" t="inlineStr">
        <is>
          <t>Every current tradeable mod at MAX RANK (WFM catalogue, rivens/locators excluded)</t>
        </is>
      </c>
      <c r="S1604" t="inlineStr">
        <is>
          <t>vazarin_transmute_core</t>
        </is>
      </c>
      <c r="T1604" t="n">
        <v>3</v>
      </c>
      <c r="U1604" t="n">
        <v>3</v>
      </c>
      <c r="V1604" t="n">
        <v>14</v>
      </c>
      <c r="W1604" t="n">
        <v>14</v>
      </c>
      <c r="X1604" t="n">
        <v>23.8</v>
      </c>
      <c r="Y1604" t="n">
        <v>8</v>
      </c>
      <c r="Z1604" t="n">
        <v>0</v>
      </c>
      <c r="AN1604" t="inlineStr">
        <is>
          <t>Mod</t>
        </is>
      </c>
      <c r="AO1604" t="n">
        <v>0</v>
      </c>
      <c r="AP1604" t="n">
        <v>0</v>
      </c>
      <c r="AS1604" t="inlineStr">
        <is>
          <t>Yes</t>
        </is>
      </c>
    </row>
    <row r="1605">
      <c r="A1605" t="inlineStr">
        <is>
          <t>Mod</t>
        </is>
      </c>
      <c r="B1605" t="inlineStr">
        <is>
          <t>Velox Conclusion</t>
        </is>
      </c>
      <c r="E1605" t="inlineStr">
        <is>
          <t>Velox</t>
        </is>
      </c>
      <c r="F1605" t="n">
        <v>5</v>
      </c>
      <c r="G1605" t="n">
        <v>1</v>
      </c>
      <c r="H1605" t="inlineStr">
        <is>
          <t>Player trade (max rank)</t>
        </is>
      </c>
      <c r="I1605" t="inlineStr">
        <is>
          <t>Yes</t>
        </is>
      </c>
      <c r="K1605" t="inlineStr">
        <is>
          <t>Collection</t>
        </is>
      </c>
      <c r="L1605" t="n">
        <v>75</v>
      </c>
      <c r="M1605" t="n">
        <v>81.8</v>
      </c>
      <c r="N1605" t="n">
        <v>180</v>
      </c>
      <c r="O1605" t="inlineStr">
        <is>
          <t>2026-10-05 UTC (WFM pull 02:52-04:00)</t>
        </is>
      </c>
      <c r="P1605" t="inlineStr">
        <is>
          <t>OK</t>
        </is>
      </c>
      <c r="R1605" t="inlineStr">
        <is>
          <t>Every current tradeable mod at MAX RANK (WFM catalogue, rivens/locators excluded)</t>
        </is>
      </c>
      <c r="S1605" t="inlineStr">
        <is>
          <t>velox_conclusion</t>
        </is>
      </c>
      <c r="T1605" t="n">
        <v>4</v>
      </c>
      <c r="U1605" t="n">
        <v>4</v>
      </c>
      <c r="V1605" t="n">
        <v>54.5</v>
      </c>
      <c r="W1605" t="n">
        <v>40</v>
      </c>
      <c r="X1605" t="n">
        <v>43</v>
      </c>
      <c r="Y1605" t="n">
        <v>289</v>
      </c>
      <c r="Z1605" t="n">
        <v>7</v>
      </c>
      <c r="AN1605" t="inlineStr">
        <is>
          <t>Velox</t>
        </is>
      </c>
      <c r="AO1605" t="n">
        <v>930</v>
      </c>
      <c r="AP1605" t="n">
        <v>44919</v>
      </c>
      <c r="AQ1605" t="n">
        <v>75</v>
      </c>
      <c r="AS1605" t="inlineStr">
        <is>
          <t>Yes</t>
        </is>
      </c>
    </row>
    <row r="1606">
      <c r="A1606" t="inlineStr">
        <is>
          <t>Mod</t>
        </is>
      </c>
      <c r="B1606" t="inlineStr">
        <is>
          <t>Venari Bodyguard</t>
        </is>
      </c>
      <c r="E1606" t="inlineStr">
        <is>
          <t>Augment Khora</t>
        </is>
      </c>
      <c r="F1606" t="n">
        <v>3</v>
      </c>
      <c r="G1606" t="n">
        <v>1</v>
      </c>
      <c r="H1606" t="inlineStr">
        <is>
          <t>Player trade (max rank)</t>
        </is>
      </c>
      <c r="I1606" t="inlineStr">
        <is>
          <t>Yes</t>
        </is>
      </c>
      <c r="K1606" t="inlineStr">
        <is>
          <t>Collection</t>
        </is>
      </c>
      <c r="L1606" t="n">
        <v>15</v>
      </c>
      <c r="M1606" t="n">
        <v>22.5</v>
      </c>
      <c r="N1606" t="n">
        <v>50</v>
      </c>
      <c r="O1606" t="inlineStr">
        <is>
          <t>2026-10-05 UTC (WFM pull 02:52-04:00)</t>
        </is>
      </c>
      <c r="P1606" t="inlineStr">
        <is>
          <t>OK</t>
        </is>
      </c>
      <c r="R1606" t="inlineStr">
        <is>
          <t>Every current tradeable mod at MAX RANK (WFM catalogue, rivens/locators excluded)</t>
        </is>
      </c>
      <c r="S1606" t="inlineStr">
        <is>
          <t>venari_bodyguard</t>
        </is>
      </c>
      <c r="T1606" t="n">
        <v>3</v>
      </c>
      <c r="U1606" t="n">
        <v>3</v>
      </c>
      <c r="V1606" t="n">
        <v>15</v>
      </c>
      <c r="W1606" t="n">
        <v>15</v>
      </c>
      <c r="X1606" t="n">
        <v>14.6</v>
      </c>
      <c r="Y1606" t="n">
        <v>76</v>
      </c>
      <c r="Z1606" t="n">
        <v>1</v>
      </c>
      <c r="AN1606" t="inlineStr">
        <is>
          <t>Augment Khora</t>
        </is>
      </c>
      <c r="AO1606" t="n">
        <v>210</v>
      </c>
      <c r="AP1606" t="n">
        <v>10143</v>
      </c>
      <c r="AQ1606" t="n">
        <v>15</v>
      </c>
      <c r="AS1606" t="inlineStr">
        <is>
          <t>Yes</t>
        </is>
      </c>
    </row>
    <row r="1607">
      <c r="A1607" t="inlineStr">
        <is>
          <t>Mod</t>
        </is>
      </c>
      <c r="B1607" t="inlineStr">
        <is>
          <t>Venerdo Hoverdrive</t>
        </is>
      </c>
      <c r="E1607" t="inlineStr">
        <is>
          <t>K-Drive</t>
        </is>
      </c>
      <c r="F1607" t="n">
        <v>5</v>
      </c>
      <c r="G1607" t="n">
        <v>1</v>
      </c>
      <c r="H1607" t="inlineStr">
        <is>
          <t>Player trade (max rank)</t>
        </is>
      </c>
      <c r="I1607" t="inlineStr">
        <is>
          <t>Yes</t>
        </is>
      </c>
      <c r="K1607" t="inlineStr">
        <is>
          <t>Collection</t>
        </is>
      </c>
      <c r="L1607" t="n">
        <v>20</v>
      </c>
      <c r="M1607" t="n">
        <v>30</v>
      </c>
      <c r="N1607" t="n">
        <v>39</v>
      </c>
      <c r="O1607" t="inlineStr">
        <is>
          <t>2026-10-05 UTC (WFM pull 02:52-04:00)</t>
        </is>
      </c>
      <c r="P1607" t="inlineStr">
        <is>
          <t>OK</t>
        </is>
      </c>
      <c r="R1607" t="inlineStr">
        <is>
          <t>Every current tradeable mod at MAX RANK (WFM catalogue, rivens/locators excluded)</t>
        </is>
      </c>
      <c r="S1607" t="inlineStr">
        <is>
          <t>venerdo_hoverdrive</t>
        </is>
      </c>
      <c r="T1607" t="n">
        <v>22</v>
      </c>
      <c r="U1607" t="n">
        <v>0</v>
      </c>
      <c r="V1607" t="n">
        <v>25</v>
      </c>
      <c r="W1607" t="n">
        <v>25</v>
      </c>
      <c r="X1607" t="n">
        <v>30.1</v>
      </c>
      <c r="Y1607" t="n">
        <v>8</v>
      </c>
      <c r="Z1607" t="n">
        <v>0</v>
      </c>
      <c r="AN1607" t="inlineStr">
        <is>
          <t>K-Drive</t>
        </is>
      </c>
      <c r="AO1607" t="n">
        <v>620</v>
      </c>
      <c r="AP1607" t="n">
        <v>29946</v>
      </c>
      <c r="AQ1607" t="n">
        <v>20</v>
      </c>
      <c r="AS1607" t="inlineStr">
        <is>
          <t>Yes</t>
        </is>
      </c>
    </row>
    <row r="1608">
      <c r="A1608" t="inlineStr">
        <is>
          <t>Mod</t>
        </is>
      </c>
      <c r="B1608" t="inlineStr">
        <is>
          <t>Vengeful Revenant</t>
        </is>
      </c>
      <c r="E1608" t="inlineStr">
        <is>
          <t>Stance</t>
        </is>
      </c>
      <c r="F1608" t="n">
        <v>3</v>
      </c>
      <c r="G1608" t="n">
        <v>1</v>
      </c>
      <c r="H1608" t="inlineStr">
        <is>
          <t>Player trade (max rank)</t>
        </is>
      </c>
      <c r="I1608" t="inlineStr">
        <is>
          <t>Yes</t>
        </is>
      </c>
      <c r="K1608" t="inlineStr">
        <is>
          <t>Collection</t>
        </is>
      </c>
      <c r="L1608" t="n">
        <v>7</v>
      </c>
      <c r="M1608" t="n">
        <v>13.5</v>
      </c>
      <c r="N1608" t="n">
        <v>30</v>
      </c>
      <c r="O1608" t="inlineStr">
        <is>
          <t>2026-10-05 UTC (WFM pull 02:52-04:00)</t>
        </is>
      </c>
      <c r="P1608" t="inlineStr">
        <is>
          <t>OK</t>
        </is>
      </c>
      <c r="R1608" t="inlineStr">
        <is>
          <t>Every current tradeable mod at MAX RANK (WFM catalogue, rivens/locators excluded)</t>
        </is>
      </c>
      <c r="S1608" t="inlineStr">
        <is>
          <t>vengeful_revenant</t>
        </is>
      </c>
      <c r="T1608" t="n">
        <v>5</v>
      </c>
      <c r="U1608" t="n">
        <v>5</v>
      </c>
      <c r="V1608" t="n">
        <v>9</v>
      </c>
      <c r="W1608" t="n">
        <v>9</v>
      </c>
      <c r="X1608" t="n">
        <v>8.800000000000001</v>
      </c>
      <c r="Y1608" t="n">
        <v>90</v>
      </c>
      <c r="Z1608" t="n">
        <v>1</v>
      </c>
      <c r="AN1608" t="inlineStr">
        <is>
          <t>Stance</t>
        </is>
      </c>
      <c r="AO1608" t="n">
        <v>210</v>
      </c>
      <c r="AP1608" t="n">
        <v>10143</v>
      </c>
      <c r="AQ1608" t="n">
        <v>5</v>
      </c>
      <c r="AS1608" t="inlineStr">
        <is>
          <t>Yes</t>
        </is>
      </c>
    </row>
    <row r="1609">
      <c r="A1609" t="inlineStr">
        <is>
          <t>Mod</t>
        </is>
      </c>
      <c r="B1609" t="inlineStr">
        <is>
          <t>Venom Dose</t>
        </is>
      </c>
      <c r="E1609" t="inlineStr">
        <is>
          <t>Augment Saryn</t>
        </is>
      </c>
      <c r="F1609" t="n">
        <v>3</v>
      </c>
      <c r="G1609" t="n">
        <v>1</v>
      </c>
      <c r="H1609" t="inlineStr">
        <is>
          <t>Player trade (max rank)</t>
        </is>
      </c>
      <c r="I1609" t="inlineStr">
        <is>
          <t>Yes</t>
        </is>
      </c>
      <c r="K1609" t="inlineStr">
        <is>
          <t>Collection</t>
        </is>
      </c>
      <c r="L1609" t="n">
        <v>15</v>
      </c>
      <c r="M1609" t="n">
        <v>15</v>
      </c>
      <c r="N1609" t="n">
        <v>22</v>
      </c>
      <c r="O1609" t="inlineStr">
        <is>
          <t>2026-10-05 UTC (WFM pull 02:52-04:00)</t>
        </is>
      </c>
      <c r="P1609" t="inlineStr">
        <is>
          <t>OK</t>
        </is>
      </c>
      <c r="R1609" t="inlineStr">
        <is>
          <t>Every current tradeable mod at MAX RANK (WFM catalogue, rivens/locators excluded)</t>
        </is>
      </c>
      <c r="S1609" t="inlineStr">
        <is>
          <t>venom_dose</t>
        </is>
      </c>
      <c r="T1609" t="n">
        <v>8</v>
      </c>
      <c r="U1609" t="n">
        <v>8</v>
      </c>
      <c r="V1609" t="n">
        <v>10</v>
      </c>
      <c r="W1609" t="n">
        <v>10</v>
      </c>
      <c r="X1609" t="n">
        <v>11.2</v>
      </c>
      <c r="Y1609" t="n">
        <v>893</v>
      </c>
      <c r="Z1609" t="n">
        <v>18</v>
      </c>
      <c r="AN1609" t="inlineStr">
        <is>
          <t>Augment Saryn</t>
        </is>
      </c>
      <c r="AO1609" t="n">
        <v>210</v>
      </c>
      <c r="AP1609" t="n">
        <v>10143</v>
      </c>
      <c r="AQ1609" t="n">
        <v>10</v>
      </c>
      <c r="AS1609" t="inlineStr">
        <is>
          <t>Yes</t>
        </is>
      </c>
    </row>
    <row r="1610">
      <c r="A1610" t="inlineStr">
        <is>
          <t>Mod</t>
        </is>
      </c>
      <c r="B1610" t="inlineStr">
        <is>
          <t>Venom Teeth</t>
        </is>
      </c>
      <c r="E1610" t="inlineStr">
        <is>
          <t>Claws</t>
        </is>
      </c>
      <c r="F1610" t="n">
        <v>3</v>
      </c>
      <c r="G1610" t="n">
        <v>1</v>
      </c>
      <c r="H1610" t="inlineStr">
        <is>
          <t>Player trade (max rank)</t>
        </is>
      </c>
      <c r="I1610" t="inlineStr">
        <is>
          <t>Yes</t>
        </is>
      </c>
      <c r="K1610" t="inlineStr">
        <is>
          <t>Collection</t>
        </is>
      </c>
      <c r="L1610" t="n">
        <v>40</v>
      </c>
      <c r="M1610" t="n">
        <v>45</v>
      </c>
      <c r="N1610" t="n">
        <v>66</v>
      </c>
      <c r="O1610" t="inlineStr">
        <is>
          <t>2026-10-05 UTC (WFM pull 02:52-04:00)</t>
        </is>
      </c>
      <c r="P1610" t="inlineStr">
        <is>
          <t>OK</t>
        </is>
      </c>
      <c r="R1610" t="inlineStr">
        <is>
          <t>Every current tradeable mod at MAX RANK (WFM catalogue, rivens/locators excluded)</t>
        </is>
      </c>
      <c r="S1610" t="inlineStr">
        <is>
          <t>venom_teeth</t>
        </is>
      </c>
      <c r="T1610" t="n">
        <v>8</v>
      </c>
      <c r="U1610" t="n">
        <v>8</v>
      </c>
      <c r="V1610" t="n">
        <v>30</v>
      </c>
      <c r="W1610" t="n">
        <v>30</v>
      </c>
      <c r="X1610" t="n">
        <v>30.2</v>
      </c>
      <c r="Y1610" t="n">
        <v>496</v>
      </c>
      <c r="Z1610" t="n">
        <v>14</v>
      </c>
      <c r="AN1610" t="inlineStr">
        <is>
          <t>Claws</t>
        </is>
      </c>
      <c r="AO1610" t="n">
        <v>210</v>
      </c>
      <c r="AP1610" t="n">
        <v>10143</v>
      </c>
      <c r="AQ1610" t="n">
        <v>30</v>
      </c>
      <c r="AS1610" t="inlineStr">
        <is>
          <t>Yes</t>
        </is>
      </c>
    </row>
    <row r="1611">
      <c r="A1611" t="inlineStr">
        <is>
          <t>Mod</t>
        </is>
      </c>
      <c r="B1611" t="inlineStr">
        <is>
          <t>Venomous Clip</t>
        </is>
      </c>
      <c r="E1611" t="inlineStr">
        <is>
          <t>Archgun</t>
        </is>
      </c>
      <c r="F1611" t="n">
        <v>5</v>
      </c>
      <c r="G1611" t="n">
        <v>1</v>
      </c>
      <c r="H1611" t="inlineStr">
        <is>
          <t>Player trade (max rank)</t>
        </is>
      </c>
      <c r="I1611" t="inlineStr">
        <is>
          <t>Yes</t>
        </is>
      </c>
      <c r="K1611" t="inlineStr">
        <is>
          <t>Collection</t>
        </is>
      </c>
      <c r="L1611" t="n">
        <v>15</v>
      </c>
      <c r="M1611" t="n">
        <v>15</v>
      </c>
      <c r="N1611" t="n">
        <v>33</v>
      </c>
      <c r="O1611" t="inlineStr">
        <is>
          <t>2026-10-05 UTC (WFM pull 02:52-04:00)</t>
        </is>
      </c>
      <c r="P1611" t="inlineStr">
        <is>
          <t>OK</t>
        </is>
      </c>
      <c r="R1611" t="inlineStr">
        <is>
          <t>Every current tradeable mod at MAX RANK (WFM catalogue, rivens/locators excluded)</t>
        </is>
      </c>
      <c r="S1611" t="inlineStr">
        <is>
          <t>venomous_clip</t>
        </is>
      </c>
      <c r="T1611" t="n">
        <v>5</v>
      </c>
      <c r="U1611" t="n">
        <v>5</v>
      </c>
      <c r="V1611" t="n">
        <v>11</v>
      </c>
      <c r="W1611" t="n">
        <v>11</v>
      </c>
      <c r="X1611" t="n">
        <v>11.7</v>
      </c>
      <c r="Y1611" t="n">
        <v>53</v>
      </c>
      <c r="Z1611" t="n">
        <v>0</v>
      </c>
      <c r="AN1611" t="inlineStr">
        <is>
          <t>Archgun</t>
        </is>
      </c>
      <c r="AO1611" t="n">
        <v>620</v>
      </c>
      <c r="AP1611" t="n">
        <v>29946</v>
      </c>
      <c r="AQ1611" t="n">
        <v>5</v>
      </c>
      <c r="AS1611" t="inlineStr">
        <is>
          <t>Yes</t>
        </is>
      </c>
    </row>
    <row r="1612">
      <c r="A1612" t="inlineStr">
        <is>
          <t>Mod</t>
        </is>
      </c>
      <c r="B1612" t="inlineStr">
        <is>
          <t>Venomous Rise</t>
        </is>
      </c>
      <c r="E1612" t="inlineStr">
        <is>
          <t>Conclave (PvP)</t>
        </is>
      </c>
      <c r="G1612" t="n">
        <v>1</v>
      </c>
      <c r="H1612" t="inlineStr">
        <is>
          <t>Player trade (max rank)</t>
        </is>
      </c>
      <c r="I1612" t="inlineStr">
        <is>
          <t>Yes</t>
        </is>
      </c>
      <c r="K1612" t="inlineStr">
        <is>
          <t>Collection (PvP)</t>
        </is>
      </c>
      <c r="L1612" t="n">
        <v>90</v>
      </c>
      <c r="M1612" t="n">
        <v>200</v>
      </c>
      <c r="N1612" t="n">
        <v>441</v>
      </c>
      <c r="O1612" t="inlineStr">
        <is>
          <t>2026-10-05 UTC (WFM pull 02:52-04:00)</t>
        </is>
      </c>
      <c r="P1612" t="inlineStr">
        <is>
          <t>OK</t>
        </is>
      </c>
      <c r="R1612" t="inlineStr">
        <is>
          <t>Every current tradeable mod at MAX RANK (WFM catalogue, rivens/locators excluded)</t>
        </is>
      </c>
      <c r="S1612" t="inlineStr">
        <is>
          <t>venomous_rise</t>
        </is>
      </c>
      <c r="T1612" t="n">
        <v>4</v>
      </c>
      <c r="U1612" t="n">
        <v>0</v>
      </c>
      <c r="V1612" t="n">
        <v>180</v>
      </c>
      <c r="W1612" t="n">
        <v>60</v>
      </c>
      <c r="X1612" t="n">
        <v>90</v>
      </c>
      <c r="Y1612" t="n">
        <v>4</v>
      </c>
      <c r="Z1612" t="n">
        <v>1</v>
      </c>
      <c r="AN1612" t="inlineStr">
        <is>
          <t>Conclave (PvP)</t>
        </is>
      </c>
      <c r="AO1612" t="n">
        <v>0</v>
      </c>
      <c r="AP1612" t="n">
        <v>0</v>
      </c>
      <c r="AS1612" t="inlineStr">
        <is>
          <t>PvP subtotal</t>
        </is>
      </c>
    </row>
    <row r="1613">
      <c r="A1613" t="inlineStr">
        <is>
          <t>Mod</t>
        </is>
      </c>
      <c r="B1613" t="inlineStr">
        <is>
          <t>Vermillion Storm</t>
        </is>
      </c>
      <c r="E1613" t="inlineStr">
        <is>
          <t>Stance</t>
        </is>
      </c>
      <c r="F1613" t="n">
        <v>3</v>
      </c>
      <c r="G1613" t="n">
        <v>1</v>
      </c>
      <c r="H1613" t="inlineStr">
        <is>
          <t>Player trade (max rank)</t>
        </is>
      </c>
      <c r="I1613" t="inlineStr">
        <is>
          <t>Yes</t>
        </is>
      </c>
      <c r="K1613" t="inlineStr">
        <is>
          <t>Collection</t>
        </is>
      </c>
      <c r="L1613" t="n">
        <v>80</v>
      </c>
      <c r="M1613" t="n">
        <v>80</v>
      </c>
      <c r="N1613" t="n">
        <v>111</v>
      </c>
      <c r="O1613" t="inlineStr">
        <is>
          <t>2026-10-05 UTC (WFM pull 02:52-04:00)</t>
        </is>
      </c>
      <c r="P1613" t="inlineStr">
        <is>
          <t>OK</t>
        </is>
      </c>
      <c r="R1613" t="inlineStr">
        <is>
          <t>Every current tradeable mod at MAX RANK (WFM catalogue, rivens/locators excluded)</t>
        </is>
      </c>
      <c r="S1613" t="inlineStr">
        <is>
          <t>vermillion_storm</t>
        </is>
      </c>
      <c r="T1613" t="n">
        <v>3</v>
      </c>
      <c r="U1613" t="n">
        <v>3</v>
      </c>
      <c r="V1613" t="n">
        <v>28</v>
      </c>
      <c r="W1613" t="n">
        <v>28.5</v>
      </c>
      <c r="X1613" t="n">
        <v>29.3</v>
      </c>
      <c r="Y1613" t="n">
        <v>287</v>
      </c>
      <c r="Z1613" t="n">
        <v>5</v>
      </c>
      <c r="AN1613" t="inlineStr">
        <is>
          <t>Stance</t>
        </is>
      </c>
      <c r="AO1613" t="n">
        <v>210</v>
      </c>
      <c r="AP1613" t="n">
        <v>10143</v>
      </c>
      <c r="AQ1613" t="n">
        <v>37.5</v>
      </c>
      <c r="AS1613" t="inlineStr">
        <is>
          <t>Yes</t>
        </is>
      </c>
    </row>
    <row r="1614">
      <c r="A1614" t="inlineStr">
        <is>
          <t>Mod</t>
        </is>
      </c>
      <c r="B1614" t="inlineStr">
        <is>
          <t>Vexing Retaliation</t>
        </is>
      </c>
      <c r="E1614" t="inlineStr">
        <is>
          <t>Augment Chroma</t>
        </is>
      </c>
      <c r="F1614" t="n">
        <v>3</v>
      </c>
      <c r="G1614" t="n">
        <v>1</v>
      </c>
      <c r="H1614" t="inlineStr">
        <is>
          <t>Player trade (max rank)</t>
        </is>
      </c>
      <c r="I1614" t="inlineStr">
        <is>
          <t>Yes</t>
        </is>
      </c>
      <c r="K1614" t="inlineStr">
        <is>
          <t>Collection</t>
        </is>
      </c>
      <c r="L1614" t="n">
        <v>25</v>
      </c>
      <c r="M1614" t="n">
        <v>25</v>
      </c>
      <c r="N1614" t="n">
        <v>56</v>
      </c>
      <c r="O1614" t="inlineStr">
        <is>
          <t>2026-10-05 UTC (WFM pull 02:52-04:00)</t>
        </is>
      </c>
      <c r="P1614" t="inlineStr">
        <is>
          <t>OK</t>
        </is>
      </c>
      <c r="R1614" t="inlineStr">
        <is>
          <t>Every current tradeable mod at MAX RANK (WFM catalogue, rivens/locators excluded)</t>
        </is>
      </c>
      <c r="S1614" t="inlineStr">
        <is>
          <t>vexing_retaliation</t>
        </is>
      </c>
      <c r="T1614" t="n">
        <v>3</v>
      </c>
      <c r="U1614" t="n">
        <v>3</v>
      </c>
      <c r="V1614" t="n">
        <v>15</v>
      </c>
      <c r="W1614" t="n">
        <v>15</v>
      </c>
      <c r="X1614" t="n">
        <v>15.1</v>
      </c>
      <c r="Y1614" t="n">
        <v>8</v>
      </c>
      <c r="Z1614" t="n">
        <v>0</v>
      </c>
      <c r="AN1614" t="inlineStr">
        <is>
          <t>Augment Chroma</t>
        </is>
      </c>
      <c r="AO1614" t="n">
        <v>210</v>
      </c>
      <c r="AP1614" t="n">
        <v>10143</v>
      </c>
      <c r="AQ1614" t="n">
        <v>15</v>
      </c>
      <c r="AS1614" t="inlineStr">
        <is>
          <t>Yes</t>
        </is>
      </c>
    </row>
    <row r="1615">
      <c r="A1615" t="inlineStr">
        <is>
          <t>Mod</t>
        </is>
      </c>
      <c r="B1615" t="inlineStr">
        <is>
          <t>Vicious Approach</t>
        </is>
      </c>
      <c r="E1615" t="inlineStr">
        <is>
          <t>Conclave (PvP)</t>
        </is>
      </c>
      <c r="F1615" t="n">
        <v>3</v>
      </c>
      <c r="G1615" t="n">
        <v>1</v>
      </c>
      <c r="H1615" t="inlineStr">
        <is>
          <t>Player trade (max rank)</t>
        </is>
      </c>
      <c r="I1615" t="inlineStr">
        <is>
          <t>Yes</t>
        </is>
      </c>
      <c r="K1615" t="inlineStr">
        <is>
          <t>Collection (PvP)</t>
        </is>
      </c>
      <c r="L1615" t="n">
        <v>90</v>
      </c>
      <c r="M1615" t="n">
        <v>90</v>
      </c>
      <c r="N1615" t="n">
        <v>199</v>
      </c>
      <c r="O1615" t="inlineStr">
        <is>
          <t>2026-10-05 UTC (WFM pull 02:52-04:00)</t>
        </is>
      </c>
      <c r="P1615" t="inlineStr">
        <is>
          <t>OK</t>
        </is>
      </c>
      <c r="R1615" t="inlineStr">
        <is>
          <t>Every current tradeable mod at MAX RANK (WFM catalogue, rivens/locators excluded)</t>
        </is>
      </c>
      <c r="S1615" t="inlineStr">
        <is>
          <t>vicious_approach</t>
        </is>
      </c>
      <c r="T1615" t="n">
        <v>5</v>
      </c>
      <c r="U1615" t="n">
        <v>0</v>
      </c>
      <c r="V1615" t="n">
        <v>20</v>
      </c>
      <c r="W1615" t="n">
        <v>20</v>
      </c>
      <c r="X1615" t="n">
        <v>20</v>
      </c>
      <c r="Y1615" t="n">
        <v>1</v>
      </c>
      <c r="Z1615" t="n">
        <v>0</v>
      </c>
      <c r="AN1615" t="inlineStr">
        <is>
          <t>Conclave (PvP)</t>
        </is>
      </c>
      <c r="AO1615" t="n">
        <v>140</v>
      </c>
      <c r="AP1615" t="n">
        <v>6762</v>
      </c>
      <c r="AQ1615" t="n">
        <v>20</v>
      </c>
      <c r="AS1615" t="inlineStr">
        <is>
          <t>PvP subtotal</t>
        </is>
      </c>
    </row>
    <row r="1616">
      <c r="A1616" t="inlineStr">
        <is>
          <t>Mod</t>
        </is>
      </c>
      <c r="B1616" t="inlineStr">
        <is>
          <t>Vicious Bond</t>
        </is>
      </c>
      <c r="E1616" t="inlineStr">
        <is>
          <t>Companion</t>
        </is>
      </c>
      <c r="F1616" t="n">
        <v>5</v>
      </c>
      <c r="G1616" t="n">
        <v>1</v>
      </c>
      <c r="H1616" t="inlineStr">
        <is>
          <t>Player trade (max rank)</t>
        </is>
      </c>
      <c r="I1616" t="inlineStr">
        <is>
          <t>Yes</t>
        </is>
      </c>
      <c r="K1616" t="inlineStr">
        <is>
          <t>Collection</t>
        </is>
      </c>
      <c r="L1616" t="n">
        <v>23</v>
      </c>
      <c r="M1616" t="n">
        <v>24</v>
      </c>
      <c r="N1616" t="n">
        <v>28</v>
      </c>
      <c r="O1616" t="inlineStr">
        <is>
          <t>2026-10-05 UTC (WFM pull 02:52-04:00)</t>
        </is>
      </c>
      <c r="P1616" t="inlineStr">
        <is>
          <t>OK</t>
        </is>
      </c>
      <c r="R1616" t="inlineStr">
        <is>
          <t>Every current tradeable mod at MAX RANK (WFM catalogue, rivens/locators excluded)</t>
        </is>
      </c>
      <c r="S1616" t="inlineStr">
        <is>
          <t>vicious_bond</t>
        </is>
      </c>
      <c r="T1616" t="n">
        <v>9</v>
      </c>
      <c r="U1616" t="n">
        <v>9</v>
      </c>
      <c r="V1616" t="n">
        <v>19.5</v>
      </c>
      <c r="W1616" t="n">
        <v>19.5</v>
      </c>
      <c r="X1616" t="n">
        <v>19</v>
      </c>
      <c r="Y1616" t="n">
        <v>413</v>
      </c>
      <c r="Z1616" t="n">
        <v>6</v>
      </c>
      <c r="AN1616" t="inlineStr">
        <is>
          <t>Companion</t>
        </is>
      </c>
      <c r="AO1616" t="n">
        <v>930</v>
      </c>
      <c r="AP1616" t="n">
        <v>44919</v>
      </c>
      <c r="AQ1616" t="n">
        <v>10</v>
      </c>
      <c r="AS1616" t="inlineStr">
        <is>
          <t>Yes</t>
        </is>
      </c>
    </row>
    <row r="1617">
      <c r="A1617" t="inlineStr">
        <is>
          <t>Mod</t>
        </is>
      </c>
      <c r="B1617" t="inlineStr">
        <is>
          <t>Vicious Frost</t>
        </is>
      </c>
      <c r="E1617" t="inlineStr">
        <is>
          <t>Melee</t>
        </is>
      </c>
      <c r="F1617" t="n">
        <v>3</v>
      </c>
      <c r="G1617" t="n">
        <v>1</v>
      </c>
      <c r="H1617" t="inlineStr">
        <is>
          <t>Player trade (max rank)</t>
        </is>
      </c>
      <c r="I1617" t="inlineStr">
        <is>
          <t>Yes</t>
        </is>
      </c>
      <c r="K1617" t="inlineStr">
        <is>
          <t>Collection</t>
        </is>
      </c>
      <c r="L1617" t="n">
        <v>15</v>
      </c>
      <c r="M1617" t="n">
        <v>22.5</v>
      </c>
      <c r="N1617" t="n">
        <v>43</v>
      </c>
      <c r="O1617" t="inlineStr">
        <is>
          <t>2026-10-05 UTC (WFM pull 02:52-04:00)</t>
        </is>
      </c>
      <c r="P1617" t="inlineStr">
        <is>
          <t>OK</t>
        </is>
      </c>
      <c r="R1617" t="inlineStr">
        <is>
          <t>Every current tradeable mod at MAX RANK (WFM catalogue, rivens/locators excluded)</t>
        </is>
      </c>
      <c r="S1617" t="inlineStr">
        <is>
          <t>vicious_frost</t>
        </is>
      </c>
      <c r="T1617" t="n">
        <v>8</v>
      </c>
      <c r="U1617" t="n">
        <v>8</v>
      </c>
      <c r="V1617" t="n">
        <v>15</v>
      </c>
      <c r="W1617" t="n">
        <v>15</v>
      </c>
      <c r="X1617" t="n">
        <v>15</v>
      </c>
      <c r="Y1617" t="n">
        <v>1166</v>
      </c>
      <c r="Z1617" t="n">
        <v>23</v>
      </c>
      <c r="AN1617" t="inlineStr">
        <is>
          <t>Melee</t>
        </is>
      </c>
      <c r="AO1617" t="n">
        <v>210</v>
      </c>
      <c r="AP1617" t="n">
        <v>10143</v>
      </c>
      <c r="AQ1617" t="n">
        <v>15</v>
      </c>
      <c r="AS1617" t="inlineStr">
        <is>
          <t>Yes</t>
        </is>
      </c>
    </row>
    <row r="1618">
      <c r="A1618" t="inlineStr">
        <is>
          <t>Mod</t>
        </is>
      </c>
      <c r="B1618" t="inlineStr">
        <is>
          <t>Vicious Spread</t>
        </is>
      </c>
      <c r="E1618" t="inlineStr">
        <is>
          <t>Shotgun</t>
        </is>
      </c>
      <c r="F1618" t="n">
        <v>5</v>
      </c>
      <c r="G1618" t="n">
        <v>1</v>
      </c>
      <c r="H1618" t="inlineStr">
        <is>
          <t>Player trade (max rank)</t>
        </is>
      </c>
      <c r="I1618" t="inlineStr">
        <is>
          <t>Yes</t>
        </is>
      </c>
      <c r="K1618" t="inlineStr">
        <is>
          <t>Collection</t>
        </is>
      </c>
      <c r="L1618" t="n">
        <v>8</v>
      </c>
      <c r="M1618" t="n">
        <v>10</v>
      </c>
      <c r="N1618" t="n">
        <v>14</v>
      </c>
      <c r="O1618" t="inlineStr">
        <is>
          <t>2026-10-05 UTC (WFM pull 02:52-04:00)</t>
        </is>
      </c>
      <c r="P1618" t="inlineStr">
        <is>
          <t>OK</t>
        </is>
      </c>
      <c r="R1618" t="inlineStr">
        <is>
          <t>Every current tradeable mod at MAX RANK (WFM catalogue, rivens/locators excluded)</t>
        </is>
      </c>
      <c r="S1618" t="inlineStr">
        <is>
          <t>vicious_spread</t>
        </is>
      </c>
      <c r="T1618" t="n">
        <v>13</v>
      </c>
      <c r="U1618" t="n">
        <v>13</v>
      </c>
      <c r="V1618" t="n">
        <v>9</v>
      </c>
      <c r="W1618" t="n">
        <v>9</v>
      </c>
      <c r="X1618" t="n">
        <v>8.800000000000001</v>
      </c>
      <c r="Y1618" t="n">
        <v>187</v>
      </c>
      <c r="Z1618" t="n">
        <v>8</v>
      </c>
      <c r="AN1618" t="inlineStr">
        <is>
          <t>Shotgun</t>
        </is>
      </c>
      <c r="AO1618" t="n">
        <v>930</v>
      </c>
      <c r="AP1618" t="n">
        <v>44919</v>
      </c>
      <c r="AQ1618" t="n">
        <v>4</v>
      </c>
      <c r="AS1618" t="inlineStr">
        <is>
          <t>Yes</t>
        </is>
      </c>
    </row>
    <row r="1619">
      <c r="A1619" t="inlineStr">
        <is>
          <t>Mod</t>
        </is>
      </c>
      <c r="B1619" t="inlineStr">
        <is>
          <t>Vigilante Armaments</t>
        </is>
      </c>
      <c r="E1619" t="inlineStr">
        <is>
          <t>Primary</t>
        </is>
      </c>
      <c r="F1619" t="n">
        <v>5</v>
      </c>
      <c r="G1619" t="n">
        <v>1</v>
      </c>
      <c r="H1619" t="inlineStr">
        <is>
          <t>Player trade (max rank)</t>
        </is>
      </c>
      <c r="I1619" t="inlineStr">
        <is>
          <t>Yes</t>
        </is>
      </c>
      <c r="K1619" t="inlineStr">
        <is>
          <t>Collection</t>
        </is>
      </c>
      <c r="L1619" t="n">
        <v>15</v>
      </c>
      <c r="M1619" t="n">
        <v>18</v>
      </c>
      <c r="N1619" t="n">
        <v>33</v>
      </c>
      <c r="O1619" t="inlineStr">
        <is>
          <t>2026-10-05 UTC (WFM pull 02:52-04:00)</t>
        </is>
      </c>
      <c r="P1619" t="inlineStr">
        <is>
          <t>OK</t>
        </is>
      </c>
      <c r="R1619" t="inlineStr">
        <is>
          <t>Every current tradeable mod at MAX RANK (WFM catalogue, rivens/locators excluded)</t>
        </is>
      </c>
      <c r="S1619" t="inlineStr">
        <is>
          <t>vigilante_armaments</t>
        </is>
      </c>
      <c r="T1619" t="n">
        <v>7</v>
      </c>
      <c r="U1619" t="n">
        <v>7</v>
      </c>
      <c r="V1619" t="n">
        <v>12</v>
      </c>
      <c r="W1619" t="n">
        <v>11</v>
      </c>
      <c r="X1619" t="n">
        <v>11.7</v>
      </c>
      <c r="Y1619" t="n">
        <v>701</v>
      </c>
      <c r="Z1619" t="n">
        <v>17</v>
      </c>
      <c r="AN1619" t="inlineStr">
        <is>
          <t>Primary</t>
        </is>
      </c>
      <c r="AO1619" t="n">
        <v>310</v>
      </c>
      <c r="AP1619" t="n">
        <v>14973</v>
      </c>
      <c r="AQ1619" t="n">
        <v>8</v>
      </c>
      <c r="AS1619" t="inlineStr">
        <is>
          <t>Yes</t>
        </is>
      </c>
    </row>
    <row r="1620">
      <c r="A1620" t="inlineStr">
        <is>
          <t>Mod</t>
        </is>
      </c>
      <c r="B1620" t="inlineStr">
        <is>
          <t>Vigilante Fervor</t>
        </is>
      </c>
      <c r="E1620" t="inlineStr">
        <is>
          <t>Primary</t>
        </is>
      </c>
      <c r="F1620" t="n">
        <v>5</v>
      </c>
      <c r="G1620" t="n">
        <v>1</v>
      </c>
      <c r="H1620" t="inlineStr">
        <is>
          <t>Player trade (max rank)</t>
        </is>
      </c>
      <c r="I1620" t="inlineStr">
        <is>
          <t>Yes</t>
        </is>
      </c>
      <c r="K1620" t="inlineStr">
        <is>
          <t>Collection</t>
        </is>
      </c>
      <c r="L1620" t="n">
        <v>25</v>
      </c>
      <c r="M1620" t="n">
        <v>25</v>
      </c>
      <c r="N1620" t="n">
        <v>50</v>
      </c>
      <c r="O1620" t="inlineStr">
        <is>
          <t>2026-10-05 UTC (WFM pull 02:52-04:00)</t>
        </is>
      </c>
      <c r="P1620" t="inlineStr">
        <is>
          <t>OK</t>
        </is>
      </c>
      <c r="R1620" t="inlineStr">
        <is>
          <t>Every current tradeable mod at MAX RANK (WFM catalogue, rivens/locators excluded)</t>
        </is>
      </c>
      <c r="S1620" t="inlineStr">
        <is>
          <t>vigilante_fervor</t>
        </is>
      </c>
      <c r="T1620" t="n">
        <v>8</v>
      </c>
      <c r="U1620" t="n">
        <v>8</v>
      </c>
      <c r="V1620" t="n">
        <v>15</v>
      </c>
      <c r="W1620" t="n">
        <v>15</v>
      </c>
      <c r="X1620" t="n">
        <v>15.2</v>
      </c>
      <c r="Y1620" t="n">
        <v>380</v>
      </c>
      <c r="Z1620" t="n">
        <v>5</v>
      </c>
      <c r="AN1620" t="inlineStr">
        <is>
          <t>Primary</t>
        </is>
      </c>
      <c r="AO1620" t="n">
        <v>620</v>
      </c>
      <c r="AP1620" t="n">
        <v>29946</v>
      </c>
      <c r="AQ1620" t="n">
        <v>8</v>
      </c>
      <c r="AS1620" t="inlineStr">
        <is>
          <t>Yes</t>
        </is>
      </c>
    </row>
    <row r="1621">
      <c r="A1621" t="inlineStr">
        <is>
          <t>Mod</t>
        </is>
      </c>
      <c r="B1621" t="inlineStr">
        <is>
          <t>Vigilante Offense</t>
        </is>
      </c>
      <c r="E1621" t="inlineStr">
        <is>
          <t>Primary</t>
        </is>
      </c>
      <c r="F1621" t="n">
        <v>5</v>
      </c>
      <c r="G1621" t="n">
        <v>1</v>
      </c>
      <c r="H1621" t="inlineStr">
        <is>
          <t>Player trade (max rank)</t>
        </is>
      </c>
      <c r="I1621" t="inlineStr">
        <is>
          <t>Yes</t>
        </is>
      </c>
      <c r="K1621" t="inlineStr">
        <is>
          <t>Collection</t>
        </is>
      </c>
      <c r="L1621" t="n">
        <v>9</v>
      </c>
      <c r="M1621" t="n">
        <v>10</v>
      </c>
      <c r="N1621" t="n">
        <v>17</v>
      </c>
      <c r="O1621" t="inlineStr">
        <is>
          <t>2026-10-05 UTC (WFM pull 02:52-04:00)</t>
        </is>
      </c>
      <c r="P1621" t="inlineStr">
        <is>
          <t>OK</t>
        </is>
      </c>
      <c r="R1621" t="inlineStr">
        <is>
          <t>Every current tradeable mod at MAX RANK (WFM catalogue, rivens/locators excluded)</t>
        </is>
      </c>
      <c r="S1621" t="inlineStr">
        <is>
          <t>vigilante_offense</t>
        </is>
      </c>
      <c r="T1621" t="n">
        <v>19</v>
      </c>
      <c r="U1621" t="n">
        <v>19</v>
      </c>
      <c r="V1621" t="n">
        <v>10</v>
      </c>
      <c r="W1621" t="n">
        <v>10</v>
      </c>
      <c r="X1621" t="n">
        <v>10.7</v>
      </c>
      <c r="Y1621" t="n">
        <v>115</v>
      </c>
      <c r="Z1621" t="n">
        <v>0</v>
      </c>
      <c r="AN1621" t="inlineStr">
        <is>
          <t>Primary</t>
        </is>
      </c>
      <c r="AO1621" t="n">
        <v>930</v>
      </c>
      <c r="AP1621" t="n">
        <v>44919</v>
      </c>
      <c r="AQ1621" t="n">
        <v>7</v>
      </c>
      <c r="AS1621" t="inlineStr">
        <is>
          <t>Yes</t>
        </is>
      </c>
    </row>
    <row r="1622">
      <c r="A1622" t="inlineStr">
        <is>
          <t>Mod</t>
        </is>
      </c>
      <c r="B1622" t="inlineStr">
        <is>
          <t>Vigilante Pursuit</t>
        </is>
      </c>
      <c r="E1622" t="inlineStr">
        <is>
          <t>Warframe</t>
        </is>
      </c>
      <c r="F1622" t="n">
        <v>5</v>
      </c>
      <c r="G1622" t="n">
        <v>1</v>
      </c>
      <c r="H1622" t="inlineStr">
        <is>
          <t>Player trade (max rank)</t>
        </is>
      </c>
      <c r="I1622" t="inlineStr">
        <is>
          <t>Yes</t>
        </is>
      </c>
      <c r="K1622" t="inlineStr">
        <is>
          <t>Collection</t>
        </is>
      </c>
      <c r="L1622" t="n">
        <v>10</v>
      </c>
      <c r="M1622" t="n">
        <v>13.5</v>
      </c>
      <c r="N1622" t="n">
        <v>17</v>
      </c>
      <c r="O1622" t="inlineStr">
        <is>
          <t>2026-10-05 UTC (WFM pull 02:52-04:00)</t>
        </is>
      </c>
      <c r="P1622" t="inlineStr">
        <is>
          <t>OK</t>
        </is>
      </c>
      <c r="R1622" t="inlineStr">
        <is>
          <t>Every current tradeable mod at MAX RANK (WFM catalogue, rivens/locators excluded)</t>
        </is>
      </c>
      <c r="S1622" t="inlineStr">
        <is>
          <t>vigilante_pursuit</t>
        </is>
      </c>
      <c r="T1622" t="n">
        <v>16</v>
      </c>
      <c r="U1622" t="n">
        <v>16</v>
      </c>
      <c r="V1622" t="n">
        <v>9</v>
      </c>
      <c r="W1622" t="n">
        <v>10</v>
      </c>
      <c r="X1622" t="n">
        <v>10.6</v>
      </c>
      <c r="Y1622" t="n">
        <v>129</v>
      </c>
      <c r="Z1622" t="n">
        <v>2</v>
      </c>
      <c r="AN1622" t="inlineStr">
        <is>
          <t>Warframe</t>
        </is>
      </c>
      <c r="AO1622" t="n">
        <v>620</v>
      </c>
      <c r="AP1622" t="n">
        <v>29946</v>
      </c>
      <c r="AQ1622" t="n">
        <v>3</v>
      </c>
      <c r="AS1622" t="inlineStr">
        <is>
          <t>Yes</t>
        </is>
      </c>
    </row>
    <row r="1623">
      <c r="A1623" t="inlineStr">
        <is>
          <t>Mod</t>
        </is>
      </c>
      <c r="B1623" t="inlineStr">
        <is>
          <t>Vigilante Supplies</t>
        </is>
      </c>
      <c r="E1623" t="inlineStr">
        <is>
          <t>Primary</t>
        </is>
      </c>
      <c r="F1623" t="n">
        <v>5</v>
      </c>
      <c r="G1623" t="n">
        <v>1</v>
      </c>
      <c r="H1623" t="inlineStr">
        <is>
          <t>Player trade (max rank)</t>
        </is>
      </c>
      <c r="I1623" t="inlineStr">
        <is>
          <t>Yes</t>
        </is>
      </c>
      <c r="K1623" t="inlineStr">
        <is>
          <t>Collection</t>
        </is>
      </c>
      <c r="L1623" t="n">
        <v>28</v>
      </c>
      <c r="M1623" t="n">
        <v>30</v>
      </c>
      <c r="N1623" t="n">
        <v>39</v>
      </c>
      <c r="O1623" t="inlineStr">
        <is>
          <t>2026-10-05 UTC (WFM pull 02:52-04:00)</t>
        </is>
      </c>
      <c r="P1623" t="inlineStr">
        <is>
          <t>OK</t>
        </is>
      </c>
      <c r="R1623" t="inlineStr">
        <is>
          <t>Every current tradeable mod at MAX RANK (WFM catalogue, rivens/locators excluded)</t>
        </is>
      </c>
      <c r="S1623" t="inlineStr">
        <is>
          <t>vigilante_supplies</t>
        </is>
      </c>
      <c r="T1623" t="n">
        <v>17</v>
      </c>
      <c r="U1623" t="n">
        <v>17</v>
      </c>
      <c r="V1623" t="n">
        <v>24</v>
      </c>
      <c r="W1623" t="n">
        <v>25</v>
      </c>
      <c r="X1623" t="n">
        <v>25.3</v>
      </c>
      <c r="Y1623" t="n">
        <v>1935</v>
      </c>
      <c r="Z1623" t="n">
        <v>41</v>
      </c>
      <c r="AA1623" t="n">
        <v>11</v>
      </c>
      <c r="AB1623" t="n">
        <v>17</v>
      </c>
      <c r="AN1623" t="inlineStr">
        <is>
          <t>Primary</t>
        </is>
      </c>
      <c r="AO1623" t="n">
        <v>930</v>
      </c>
      <c r="AP1623" t="n">
        <v>44919</v>
      </c>
      <c r="AQ1623" t="n">
        <v>20</v>
      </c>
      <c r="AS1623" t="inlineStr">
        <is>
          <t>Yes</t>
        </is>
      </c>
    </row>
    <row r="1624">
      <c r="A1624" t="inlineStr">
        <is>
          <t>Mod</t>
        </is>
      </c>
      <c r="B1624" t="inlineStr">
        <is>
          <t>Vigilante Vigor</t>
        </is>
      </c>
      <c r="E1624" t="inlineStr">
        <is>
          <t>Warframe</t>
        </is>
      </c>
      <c r="F1624" t="n">
        <v>5</v>
      </c>
      <c r="G1624" t="n">
        <v>1</v>
      </c>
      <c r="H1624" t="inlineStr">
        <is>
          <t>Player trade (max rank)</t>
        </is>
      </c>
      <c r="I1624" t="inlineStr">
        <is>
          <t>Yes</t>
        </is>
      </c>
      <c r="K1624" t="inlineStr">
        <is>
          <t>Collection</t>
        </is>
      </c>
      <c r="L1624" t="n">
        <v>15</v>
      </c>
      <c r="M1624" t="n">
        <v>15</v>
      </c>
      <c r="N1624" t="n">
        <v>33</v>
      </c>
      <c r="O1624" t="inlineStr">
        <is>
          <t>2026-10-05 UTC (WFM pull 02:52-04:00)</t>
        </is>
      </c>
      <c r="P1624" t="inlineStr">
        <is>
          <t>OK</t>
        </is>
      </c>
      <c r="R1624" t="inlineStr">
        <is>
          <t>Every current tradeable mod at MAX RANK (WFM catalogue, rivens/locators excluded)</t>
        </is>
      </c>
      <c r="S1624" t="inlineStr">
        <is>
          <t>vigilante_vigor</t>
        </is>
      </c>
      <c r="T1624" t="n">
        <v>8</v>
      </c>
      <c r="U1624" t="n">
        <v>8</v>
      </c>
      <c r="V1624" t="n">
        <v>11</v>
      </c>
      <c r="W1624" t="n">
        <v>10</v>
      </c>
      <c r="X1624" t="n">
        <v>11.3</v>
      </c>
      <c r="Y1624" t="n">
        <v>512</v>
      </c>
      <c r="Z1624" t="n">
        <v>8</v>
      </c>
      <c r="AN1624" t="inlineStr">
        <is>
          <t>Warframe</t>
        </is>
      </c>
      <c r="AO1624" t="n">
        <v>310</v>
      </c>
      <c r="AP1624" t="n">
        <v>14973</v>
      </c>
      <c r="AQ1624" t="n">
        <v>7.5</v>
      </c>
      <c r="AS1624" t="inlineStr">
        <is>
          <t>Yes</t>
        </is>
      </c>
    </row>
    <row r="1625">
      <c r="A1625" t="inlineStr">
        <is>
          <t>Mod</t>
        </is>
      </c>
      <c r="B1625" t="inlineStr">
        <is>
          <t>Vigor</t>
        </is>
      </c>
      <c r="E1625" t="inlineStr">
        <is>
          <t>Warframe</t>
        </is>
      </c>
      <c r="F1625" t="n">
        <v>5</v>
      </c>
      <c r="G1625" t="n">
        <v>1</v>
      </c>
      <c r="H1625" t="inlineStr">
        <is>
          <t>Player trade (max rank)</t>
        </is>
      </c>
      <c r="I1625" t="inlineStr">
        <is>
          <t>Yes</t>
        </is>
      </c>
      <c r="K1625" t="inlineStr">
        <is>
          <t>Collection</t>
        </is>
      </c>
      <c r="L1625" t="n">
        <v>10</v>
      </c>
      <c r="M1625" t="n">
        <v>15</v>
      </c>
      <c r="N1625" t="n">
        <v>22</v>
      </c>
      <c r="O1625" t="inlineStr">
        <is>
          <t>2026-10-05 UTC (WFM pull 02:52-04:00)</t>
        </is>
      </c>
      <c r="P1625" t="inlineStr">
        <is>
          <t>OK</t>
        </is>
      </c>
      <c r="R1625" t="inlineStr">
        <is>
          <t>Every current tradeable mod at MAX RANK (WFM catalogue, rivens/locators excluded)</t>
        </is>
      </c>
      <c r="S1625" t="inlineStr">
        <is>
          <t>vigor</t>
        </is>
      </c>
      <c r="T1625" t="n">
        <v>8</v>
      </c>
      <c r="U1625" t="n">
        <v>8</v>
      </c>
      <c r="V1625" t="n">
        <v>10</v>
      </c>
      <c r="W1625" t="n">
        <v>10</v>
      </c>
      <c r="X1625" t="n">
        <v>10.5</v>
      </c>
      <c r="Y1625" t="n">
        <v>204</v>
      </c>
      <c r="Z1625" t="n">
        <v>5</v>
      </c>
      <c r="AN1625" t="inlineStr">
        <is>
          <t>Warframe</t>
        </is>
      </c>
      <c r="AO1625" t="n">
        <v>930</v>
      </c>
      <c r="AP1625" t="n">
        <v>44919</v>
      </c>
      <c r="AQ1625" t="n">
        <v>5</v>
      </c>
      <c r="AS1625" t="inlineStr">
        <is>
          <t>Yes</t>
        </is>
      </c>
    </row>
    <row r="1626">
      <c r="A1626" t="inlineStr">
        <is>
          <t>Mod</t>
        </is>
      </c>
      <c r="B1626" t="inlineStr">
        <is>
          <t>Vigorous Swap</t>
        </is>
      </c>
      <c r="E1626" t="inlineStr">
        <is>
          <t>Warframe</t>
        </is>
      </c>
      <c r="F1626" t="n">
        <v>10</v>
      </c>
      <c r="G1626" t="n">
        <v>1</v>
      </c>
      <c r="H1626" t="inlineStr">
        <is>
          <t>Player trade (max rank)</t>
        </is>
      </c>
      <c r="I1626" t="inlineStr">
        <is>
          <t>Yes</t>
        </is>
      </c>
      <c r="K1626" t="inlineStr">
        <is>
          <t>Collection</t>
        </is>
      </c>
      <c r="L1626" t="n">
        <v>80</v>
      </c>
      <c r="M1626" t="n">
        <v>80</v>
      </c>
      <c r="N1626" t="n">
        <v>100</v>
      </c>
      <c r="O1626" t="inlineStr">
        <is>
          <t>2026-10-05 UTC (WFM pull 02:52-04:00)</t>
        </is>
      </c>
      <c r="P1626" t="inlineStr">
        <is>
          <t>OK</t>
        </is>
      </c>
      <c r="R1626" t="inlineStr">
        <is>
          <t>Every current tradeable mod at MAX RANK (WFM catalogue, rivens/locators excluded)</t>
        </is>
      </c>
      <c r="S1626" t="inlineStr">
        <is>
          <t>vigorous_swap</t>
        </is>
      </c>
      <c r="T1626" t="n">
        <v>10</v>
      </c>
      <c r="U1626" t="n">
        <v>10</v>
      </c>
      <c r="V1626" t="n">
        <v>75</v>
      </c>
      <c r="W1626" t="n">
        <v>75</v>
      </c>
      <c r="X1626" t="n">
        <v>75.5</v>
      </c>
      <c r="Y1626" t="n">
        <v>222</v>
      </c>
      <c r="Z1626" t="n">
        <v>6</v>
      </c>
      <c r="AN1626" t="inlineStr">
        <is>
          <t>Warframe</t>
        </is>
      </c>
      <c r="AO1626" t="n">
        <v>30690</v>
      </c>
      <c r="AP1626" t="n">
        <v>1482327</v>
      </c>
      <c r="AQ1626" t="n">
        <v>15</v>
      </c>
      <c r="AS1626" t="inlineStr">
        <is>
          <t>Yes</t>
        </is>
      </c>
    </row>
    <row r="1627">
      <c r="A1627" t="inlineStr">
        <is>
          <t>Mod</t>
        </is>
      </c>
      <c r="B1627" t="inlineStr">
        <is>
          <t>Vik-Anam</t>
        </is>
      </c>
      <c r="E1627" t="inlineStr">
        <is>
          <t>Antique</t>
        </is>
      </c>
      <c r="F1627" t="n">
        <v>5</v>
      </c>
      <c r="G1627" t="n">
        <v>1</v>
      </c>
      <c r="H1627" t="inlineStr">
        <is>
          <t>Player trade (max rank)</t>
        </is>
      </c>
      <c r="I1627" t="inlineStr">
        <is>
          <t>Yes</t>
        </is>
      </c>
      <c r="K1627" t="inlineStr">
        <is>
          <t>Collection</t>
        </is>
      </c>
      <c r="L1627" t="n">
        <v>30</v>
      </c>
      <c r="M1627" t="n">
        <v>50</v>
      </c>
      <c r="N1627" t="n">
        <v>88</v>
      </c>
      <c r="O1627" t="inlineStr">
        <is>
          <t>2026-10-05 UTC (WFM pull 02:52-04:00)</t>
        </is>
      </c>
      <c r="P1627" t="inlineStr">
        <is>
          <t>OK</t>
        </is>
      </c>
      <c r="R1627" t="inlineStr">
        <is>
          <t>Every current tradeable mod at MAX RANK (WFM catalogue, rivens/locators excluded)</t>
        </is>
      </c>
      <c r="S1627" t="inlineStr">
        <is>
          <t>vik_anam</t>
        </is>
      </c>
      <c r="T1627" t="n">
        <v>6</v>
      </c>
      <c r="U1627" t="n">
        <v>6</v>
      </c>
      <c r="V1627" t="n">
        <v>35</v>
      </c>
      <c r="W1627" t="n">
        <v>30</v>
      </c>
      <c r="X1627" t="n">
        <v>32.2</v>
      </c>
      <c r="Y1627" t="n">
        <v>72</v>
      </c>
      <c r="Z1627" t="n">
        <v>2</v>
      </c>
      <c r="AN1627" t="inlineStr">
        <is>
          <t>Antique</t>
        </is>
      </c>
      <c r="AO1627" t="n">
        <v>620</v>
      </c>
      <c r="AP1627" t="n">
        <v>29946</v>
      </c>
      <c r="AQ1627" t="n">
        <v>10</v>
      </c>
      <c r="AS1627" t="inlineStr">
        <is>
          <t>Yes</t>
        </is>
      </c>
    </row>
    <row r="1628">
      <c r="A1628" t="inlineStr">
        <is>
          <t>Mod</t>
        </is>
      </c>
      <c r="B1628" t="inlineStr">
        <is>
          <t>Vikla-Safor</t>
        </is>
      </c>
      <c r="E1628" t="inlineStr">
        <is>
          <t>Antique</t>
        </is>
      </c>
      <c r="F1628" t="n">
        <v>5</v>
      </c>
      <c r="G1628" t="n">
        <v>1</v>
      </c>
      <c r="H1628" t="inlineStr">
        <is>
          <t>Player trade (max rank)</t>
        </is>
      </c>
      <c r="I1628" t="inlineStr">
        <is>
          <t>Yes</t>
        </is>
      </c>
      <c r="K1628" t="inlineStr">
        <is>
          <t>Collection</t>
        </is>
      </c>
      <c r="L1628" t="n">
        <v>25</v>
      </c>
      <c r="M1628" t="n">
        <v>30</v>
      </c>
      <c r="N1628" t="n">
        <v>44</v>
      </c>
      <c r="O1628" t="inlineStr">
        <is>
          <t>2026-10-05 UTC (WFM pull 02:52-04:00)</t>
        </is>
      </c>
      <c r="P1628" t="inlineStr">
        <is>
          <t>OK</t>
        </is>
      </c>
      <c r="R1628" t="inlineStr">
        <is>
          <t>Every current tradeable mod at MAX RANK (WFM catalogue, rivens/locators excluded)</t>
        </is>
      </c>
      <c r="S1628" t="inlineStr">
        <is>
          <t>vikla_safor</t>
        </is>
      </c>
      <c r="T1628" t="n">
        <v>4</v>
      </c>
      <c r="U1628" t="n">
        <v>4</v>
      </c>
      <c r="V1628" t="n">
        <v>20</v>
      </c>
      <c r="W1628" t="n">
        <v>20</v>
      </c>
      <c r="X1628" t="n">
        <v>20.8</v>
      </c>
      <c r="Y1628" t="n">
        <v>256</v>
      </c>
      <c r="Z1628" t="n">
        <v>5</v>
      </c>
      <c r="AN1628" t="inlineStr">
        <is>
          <t>Antique</t>
        </is>
      </c>
      <c r="AO1628" t="n">
        <v>310</v>
      </c>
      <c r="AP1628" t="n">
        <v>14973</v>
      </c>
      <c r="AQ1628" t="n">
        <v>4</v>
      </c>
      <c r="AS1628" t="inlineStr">
        <is>
          <t>Yes</t>
        </is>
      </c>
    </row>
    <row r="1629">
      <c r="A1629" t="inlineStr">
        <is>
          <t>Mod</t>
        </is>
      </c>
      <c r="B1629" t="inlineStr">
        <is>
          <t>Vile Acceleration</t>
        </is>
      </c>
      <c r="E1629" t="inlineStr">
        <is>
          <t>Rifle</t>
        </is>
      </c>
      <c r="F1629" t="n">
        <v>5</v>
      </c>
      <c r="G1629" t="n">
        <v>1</v>
      </c>
      <c r="H1629" t="inlineStr">
        <is>
          <t>Player trade (max rank)</t>
        </is>
      </c>
      <c r="I1629" t="inlineStr">
        <is>
          <t>Yes</t>
        </is>
      </c>
      <c r="K1629" t="inlineStr">
        <is>
          <t>Collection</t>
        </is>
      </c>
      <c r="L1629" t="n">
        <v>20</v>
      </c>
      <c r="M1629" t="n">
        <v>25</v>
      </c>
      <c r="N1629" t="n">
        <v>39</v>
      </c>
      <c r="O1629" t="inlineStr">
        <is>
          <t>2026-10-05 UTC (WFM pull 02:52-04:00)</t>
        </is>
      </c>
      <c r="P1629" t="inlineStr">
        <is>
          <t>OK</t>
        </is>
      </c>
      <c r="R1629" t="inlineStr">
        <is>
          <t>Every current tradeable mod at MAX RANK (WFM catalogue, rivens/locators excluded)</t>
        </is>
      </c>
      <c r="S1629" t="inlineStr">
        <is>
          <t>vile_acceleration</t>
        </is>
      </c>
      <c r="T1629" t="n">
        <v>9</v>
      </c>
      <c r="U1629" t="n">
        <v>9</v>
      </c>
      <c r="V1629" t="n">
        <v>18.5</v>
      </c>
      <c r="W1629" t="n">
        <v>16</v>
      </c>
      <c r="X1629" t="n">
        <v>16.8</v>
      </c>
      <c r="Y1629" t="n">
        <v>2128</v>
      </c>
      <c r="Z1629" t="n">
        <v>74</v>
      </c>
      <c r="AA1629" t="n">
        <v>7</v>
      </c>
      <c r="AB1629" t="n">
        <v>13</v>
      </c>
      <c r="AN1629" t="inlineStr">
        <is>
          <t>Rifle</t>
        </is>
      </c>
      <c r="AO1629" t="n">
        <v>930</v>
      </c>
      <c r="AP1629" t="n">
        <v>44919</v>
      </c>
      <c r="AQ1629" t="n">
        <v>14</v>
      </c>
      <c r="AS1629" t="inlineStr">
        <is>
          <t>Yes</t>
        </is>
      </c>
    </row>
    <row r="1630">
      <c r="A1630" t="inlineStr">
        <is>
          <t>Mod</t>
        </is>
      </c>
      <c r="B1630" t="inlineStr">
        <is>
          <t>Vile Discharge</t>
        </is>
      </c>
      <c r="E1630" t="inlineStr">
        <is>
          <t>Augment Embolist</t>
        </is>
      </c>
      <c r="F1630" t="n">
        <v>5</v>
      </c>
      <c r="G1630" t="n">
        <v>1</v>
      </c>
      <c r="H1630" t="inlineStr">
        <is>
          <t>Player trade (max rank)</t>
        </is>
      </c>
      <c r="I1630" t="inlineStr">
        <is>
          <t>Yes</t>
        </is>
      </c>
      <c r="K1630" t="inlineStr">
        <is>
          <t>Collection</t>
        </is>
      </c>
      <c r="L1630" t="n">
        <v>10</v>
      </c>
      <c r="M1630" t="n">
        <v>22.5</v>
      </c>
      <c r="N1630" t="n">
        <v>44</v>
      </c>
      <c r="O1630" t="inlineStr">
        <is>
          <t>2026-10-05 UTC (WFM pull 02:52-04:00)</t>
        </is>
      </c>
      <c r="P1630" t="inlineStr">
        <is>
          <t>OK</t>
        </is>
      </c>
      <c r="R1630" t="inlineStr">
        <is>
          <t>Every current tradeable mod at MAX RANK (WFM catalogue, rivens/locators excluded)</t>
        </is>
      </c>
      <c r="S1630" t="inlineStr">
        <is>
          <t>vile_discharge</t>
        </is>
      </c>
      <c r="T1630" t="n">
        <v>7</v>
      </c>
      <c r="U1630" t="n">
        <v>7</v>
      </c>
      <c r="V1630" t="n">
        <v>15</v>
      </c>
      <c r="W1630" t="n">
        <v>15</v>
      </c>
      <c r="X1630" t="n">
        <v>21.5</v>
      </c>
      <c r="Y1630" t="n">
        <v>17</v>
      </c>
      <c r="Z1630" t="n">
        <v>0</v>
      </c>
      <c r="AN1630" t="inlineStr">
        <is>
          <t>Augment Embolist</t>
        </is>
      </c>
      <c r="AO1630" t="n">
        <v>930</v>
      </c>
      <c r="AP1630" t="n">
        <v>44919</v>
      </c>
      <c r="AQ1630" t="n">
        <v>10</v>
      </c>
      <c r="AS1630" t="inlineStr">
        <is>
          <t>Yes</t>
        </is>
      </c>
    </row>
    <row r="1631">
      <c r="A1631" t="inlineStr">
        <is>
          <t>Mod</t>
        </is>
      </c>
      <c r="B1631" t="inlineStr">
        <is>
          <t>Vile Precision</t>
        </is>
      </c>
      <c r="E1631" t="inlineStr">
        <is>
          <t>Rifle</t>
        </is>
      </c>
      <c r="F1631" t="n">
        <v>5</v>
      </c>
      <c r="G1631" t="n">
        <v>1</v>
      </c>
      <c r="H1631" t="inlineStr">
        <is>
          <t>Player trade (max rank)</t>
        </is>
      </c>
      <c r="I1631" t="inlineStr">
        <is>
          <t>Yes</t>
        </is>
      </c>
      <c r="K1631" t="inlineStr">
        <is>
          <t>Collection</t>
        </is>
      </c>
      <c r="L1631" t="n">
        <v>6</v>
      </c>
      <c r="M1631" t="n">
        <v>9</v>
      </c>
      <c r="N1631" t="n">
        <v>11</v>
      </c>
      <c r="O1631" t="inlineStr">
        <is>
          <t>2026-10-05 UTC (WFM pull 02:52-04:00)</t>
        </is>
      </c>
      <c r="P1631" t="inlineStr">
        <is>
          <t>OK</t>
        </is>
      </c>
      <c r="R1631" t="inlineStr">
        <is>
          <t>Every current tradeable mod at MAX RANK (WFM catalogue, rivens/locators excluded)</t>
        </is>
      </c>
      <c r="S1631" t="inlineStr">
        <is>
          <t>vile_precision</t>
        </is>
      </c>
      <c r="T1631" t="n">
        <v>10</v>
      </c>
      <c r="U1631" t="n">
        <v>10</v>
      </c>
      <c r="V1631" t="n">
        <v>9</v>
      </c>
      <c r="W1631" t="n">
        <v>9</v>
      </c>
      <c r="X1631" t="n">
        <v>8.6</v>
      </c>
      <c r="Y1631" t="n">
        <v>49</v>
      </c>
      <c r="Z1631" t="n">
        <v>0</v>
      </c>
      <c r="AN1631" t="inlineStr">
        <is>
          <t>Rifle</t>
        </is>
      </c>
      <c r="AO1631" t="n">
        <v>930</v>
      </c>
      <c r="AP1631" t="n">
        <v>44919</v>
      </c>
      <c r="AQ1631" t="n">
        <v>2</v>
      </c>
      <c r="AS1631" t="inlineStr">
        <is>
          <t>Yes</t>
        </is>
      </c>
    </row>
    <row r="1632">
      <c r="A1632" t="inlineStr">
        <is>
          <t>Mod</t>
        </is>
      </c>
      <c r="B1632" t="inlineStr">
        <is>
          <t>Viral Quills</t>
        </is>
      </c>
      <c r="E1632" t="inlineStr">
        <is>
          <t>Panzer Vulpaphyla</t>
        </is>
      </c>
      <c r="F1632" t="n">
        <v>3</v>
      </c>
      <c r="G1632" t="n">
        <v>1</v>
      </c>
      <c r="H1632" t="inlineStr">
        <is>
          <t>Player trade (max rank)</t>
        </is>
      </c>
      <c r="I1632" t="inlineStr">
        <is>
          <t>Yes</t>
        </is>
      </c>
      <c r="K1632" t="inlineStr">
        <is>
          <t>Collection</t>
        </is>
      </c>
      <c r="L1632" t="n">
        <v>7</v>
      </c>
      <c r="M1632" t="n">
        <v>10</v>
      </c>
      <c r="N1632" t="n">
        <v>22</v>
      </c>
      <c r="O1632" t="inlineStr">
        <is>
          <t>2026-10-05 UTC (WFM pull 02:52-04:00)</t>
        </is>
      </c>
      <c r="P1632" t="inlineStr">
        <is>
          <t>OK</t>
        </is>
      </c>
      <c r="R1632" t="inlineStr">
        <is>
          <t>Every current tradeable mod at MAX RANK (WFM catalogue, rivens/locators excluded)</t>
        </is>
      </c>
      <c r="S1632" t="inlineStr">
        <is>
          <t>viral_quills</t>
        </is>
      </c>
      <c r="T1632" t="n">
        <v>3</v>
      </c>
      <c r="U1632" t="n">
        <v>3</v>
      </c>
      <c r="V1632" t="n">
        <v>20</v>
      </c>
      <c r="W1632" t="n">
        <v>10</v>
      </c>
      <c r="X1632" t="n">
        <v>13.7</v>
      </c>
      <c r="Y1632" t="n">
        <v>39</v>
      </c>
      <c r="Z1632" t="n">
        <v>0</v>
      </c>
      <c r="AN1632" t="inlineStr">
        <is>
          <t>Panzer Vulpaphyla</t>
        </is>
      </c>
      <c r="AO1632" t="n">
        <v>210</v>
      </c>
      <c r="AP1632" t="n">
        <v>10143</v>
      </c>
      <c r="AQ1632" t="n">
        <v>8</v>
      </c>
      <c r="AS1632" t="inlineStr">
        <is>
          <t>Yes</t>
        </is>
      </c>
    </row>
    <row r="1633">
      <c r="A1633" t="inlineStr">
        <is>
          <t>Mod</t>
        </is>
      </c>
      <c r="B1633" t="inlineStr">
        <is>
          <t>Viral Tempest</t>
        </is>
      </c>
      <c r="E1633" t="inlineStr">
        <is>
          <t>Augment Hydroid</t>
        </is>
      </c>
      <c r="F1633" t="n">
        <v>3</v>
      </c>
      <c r="G1633" t="n">
        <v>1</v>
      </c>
      <c r="H1633" t="inlineStr">
        <is>
          <t>Player trade (max rank)</t>
        </is>
      </c>
      <c r="I1633" t="inlineStr">
        <is>
          <t>Yes</t>
        </is>
      </c>
      <c r="K1633" t="inlineStr">
        <is>
          <t>Collection</t>
        </is>
      </c>
      <c r="L1633" t="n">
        <v>10</v>
      </c>
      <c r="M1633" t="n">
        <v>20</v>
      </c>
      <c r="N1633" t="n">
        <v>33</v>
      </c>
      <c r="O1633" t="inlineStr">
        <is>
          <t>2026-10-05 UTC (WFM pull 02:52-04:00)</t>
        </is>
      </c>
      <c r="P1633" t="inlineStr">
        <is>
          <t>OK</t>
        </is>
      </c>
      <c r="R1633" t="inlineStr">
        <is>
          <t>Every current tradeable mod at MAX RANK (WFM catalogue, rivens/locators excluded)</t>
        </is>
      </c>
      <c r="S1633" t="inlineStr">
        <is>
          <t>viral_tempest</t>
        </is>
      </c>
      <c r="T1633" t="n">
        <v>7</v>
      </c>
      <c r="U1633" t="n">
        <v>7</v>
      </c>
      <c r="V1633" t="n">
        <v>15</v>
      </c>
      <c r="W1633" t="n">
        <v>15</v>
      </c>
      <c r="X1633" t="n">
        <v>15.4</v>
      </c>
      <c r="Y1633" t="n">
        <v>306</v>
      </c>
      <c r="Z1633" t="n">
        <v>3</v>
      </c>
      <c r="AN1633" t="inlineStr">
        <is>
          <t>Augment Hydroid</t>
        </is>
      </c>
      <c r="AO1633" t="n">
        <v>210</v>
      </c>
      <c r="AP1633" t="n">
        <v>10143</v>
      </c>
      <c r="AQ1633" t="n">
        <v>18</v>
      </c>
      <c r="AS1633" t="inlineStr">
        <is>
          <t>Yes</t>
        </is>
      </c>
    </row>
    <row r="1634">
      <c r="A1634" t="inlineStr">
        <is>
          <t>Mod</t>
        </is>
      </c>
      <c r="B1634" t="inlineStr">
        <is>
          <t>Virulent Scourge</t>
        </is>
      </c>
      <c r="E1634" t="inlineStr">
        <is>
          <t>Melee</t>
        </is>
      </c>
      <c r="F1634" t="n">
        <v>3</v>
      </c>
      <c r="G1634" t="n">
        <v>1</v>
      </c>
      <c r="H1634" t="inlineStr">
        <is>
          <t>Player trade (max rank)</t>
        </is>
      </c>
      <c r="I1634" t="inlineStr">
        <is>
          <t>Yes</t>
        </is>
      </c>
      <c r="K1634" t="inlineStr">
        <is>
          <t>Collection</t>
        </is>
      </c>
      <c r="L1634" t="n">
        <v>8</v>
      </c>
      <c r="M1634" t="n">
        <v>10</v>
      </c>
      <c r="N1634" t="n">
        <v>11</v>
      </c>
      <c r="O1634" t="inlineStr">
        <is>
          <t>2026-10-05 UTC (WFM pull 02:52-04:00)</t>
        </is>
      </c>
      <c r="P1634" t="inlineStr">
        <is>
          <t>OK</t>
        </is>
      </c>
      <c r="R1634" t="inlineStr">
        <is>
          <t>Every current tradeable mod at MAX RANK (WFM catalogue, rivens/locators excluded)</t>
        </is>
      </c>
      <c r="S1634" t="inlineStr">
        <is>
          <t>virulent_scourge</t>
        </is>
      </c>
      <c r="T1634" t="n">
        <v>14</v>
      </c>
      <c r="U1634" t="n">
        <v>14</v>
      </c>
      <c r="V1634" t="n">
        <v>9</v>
      </c>
      <c r="W1634" t="n">
        <v>9</v>
      </c>
      <c r="X1634" t="n">
        <v>8.5</v>
      </c>
      <c r="Y1634" t="n">
        <v>479</v>
      </c>
      <c r="Z1634" t="n">
        <v>3</v>
      </c>
      <c r="AN1634" t="inlineStr">
        <is>
          <t>Melee</t>
        </is>
      </c>
      <c r="AO1634" t="n">
        <v>210</v>
      </c>
      <c r="AP1634" t="n">
        <v>10143</v>
      </c>
      <c r="AQ1634" t="n">
        <v>4</v>
      </c>
      <c r="AS1634" t="inlineStr">
        <is>
          <t>Yes</t>
        </is>
      </c>
    </row>
    <row r="1635">
      <c r="A1635" t="inlineStr">
        <is>
          <t>Mod</t>
        </is>
      </c>
      <c r="B1635" t="inlineStr">
        <is>
          <t>Vital Sense</t>
        </is>
      </c>
      <c r="E1635" t="inlineStr">
        <is>
          <t>Rifle</t>
        </is>
      </c>
      <c r="F1635" t="n">
        <v>5</v>
      </c>
      <c r="G1635" t="n">
        <v>1</v>
      </c>
      <c r="H1635" t="inlineStr">
        <is>
          <t>Player trade (max rank)</t>
        </is>
      </c>
      <c r="I1635" t="inlineStr">
        <is>
          <t>Yes</t>
        </is>
      </c>
      <c r="K1635" t="inlineStr">
        <is>
          <t>Collection</t>
        </is>
      </c>
      <c r="L1635" t="n">
        <v>10</v>
      </c>
      <c r="M1635" t="n">
        <v>14</v>
      </c>
      <c r="N1635" t="n">
        <v>17</v>
      </c>
      <c r="O1635" t="inlineStr">
        <is>
          <t>2026-10-05 UTC (WFM pull 02:52-04:00)</t>
        </is>
      </c>
      <c r="P1635" t="inlineStr">
        <is>
          <t>OK</t>
        </is>
      </c>
      <c r="R1635" t="inlineStr">
        <is>
          <t>Every current tradeable mod at MAX RANK (WFM catalogue, rivens/locators excluded)</t>
        </is>
      </c>
      <c r="S1635" t="inlineStr">
        <is>
          <t>vital_sense</t>
        </is>
      </c>
      <c r="T1635" t="n">
        <v>12</v>
      </c>
      <c r="U1635" t="n">
        <v>12</v>
      </c>
      <c r="V1635" t="n">
        <v>10</v>
      </c>
      <c r="W1635" t="n">
        <v>10</v>
      </c>
      <c r="X1635" t="n">
        <v>10.3</v>
      </c>
      <c r="Y1635" t="n">
        <v>1116</v>
      </c>
      <c r="Z1635" t="n">
        <v>17</v>
      </c>
      <c r="AN1635" t="inlineStr">
        <is>
          <t>Rifle</t>
        </is>
      </c>
      <c r="AO1635" t="n">
        <v>930</v>
      </c>
      <c r="AP1635" t="n">
        <v>44919</v>
      </c>
      <c r="AQ1635" t="n">
        <v>5</v>
      </c>
      <c r="AS1635" t="inlineStr">
        <is>
          <t>Yes</t>
        </is>
      </c>
    </row>
    <row r="1636">
      <c r="A1636" t="inlineStr">
        <is>
          <t>Mod</t>
        </is>
      </c>
      <c r="B1636" t="inlineStr">
        <is>
          <t>Vital Systems Bypass</t>
        </is>
      </c>
      <c r="E1636" t="inlineStr">
        <is>
          <t>Conclave (PvP)</t>
        </is>
      </c>
      <c r="F1636" t="n">
        <v>3</v>
      </c>
      <c r="G1636" t="n">
        <v>1</v>
      </c>
      <c r="H1636" t="inlineStr">
        <is>
          <t>Player trade (max rank)</t>
        </is>
      </c>
      <c r="I1636" t="inlineStr">
        <is>
          <t>Yes</t>
        </is>
      </c>
      <c r="K1636" t="inlineStr">
        <is>
          <t>Collection (PvP)</t>
        </is>
      </c>
      <c r="L1636" t="n">
        <v>20</v>
      </c>
      <c r="M1636" t="n">
        <v>30</v>
      </c>
      <c r="N1636" t="n">
        <v>33</v>
      </c>
      <c r="O1636" t="inlineStr">
        <is>
          <t>2026-10-05 UTC (WFM pull 02:52-04:00)</t>
        </is>
      </c>
      <c r="P1636" t="inlineStr">
        <is>
          <t>OK</t>
        </is>
      </c>
      <c r="R1636" t="inlineStr">
        <is>
          <t>Every current tradeable mod at MAX RANK (WFM catalogue, rivens/locators excluded)</t>
        </is>
      </c>
      <c r="S1636" t="inlineStr">
        <is>
          <t>vital_systems_bypass</t>
        </is>
      </c>
      <c r="T1636" t="n">
        <v>12</v>
      </c>
      <c r="U1636" t="n">
        <v>0</v>
      </c>
      <c r="Y1636" t="n">
        <v>0</v>
      </c>
      <c r="Z1636" t="n">
        <v>0</v>
      </c>
      <c r="AN1636" t="inlineStr">
        <is>
          <t>Conclave (PvP)</t>
        </is>
      </c>
      <c r="AO1636" t="n">
        <v>210</v>
      </c>
      <c r="AP1636" t="n">
        <v>10143</v>
      </c>
      <c r="AQ1636" t="n">
        <v>10</v>
      </c>
      <c r="AS1636" t="inlineStr">
        <is>
          <t>PvP subtotal</t>
        </is>
      </c>
    </row>
    <row r="1637">
      <c r="A1637" t="inlineStr">
        <is>
          <t>Mod</t>
        </is>
      </c>
      <c r="B1637" t="inlineStr">
        <is>
          <t>Vitality</t>
        </is>
      </c>
      <c r="E1637" t="inlineStr">
        <is>
          <t>Warframe</t>
        </is>
      </c>
      <c r="F1637" t="n">
        <v>10</v>
      </c>
      <c r="G1637" t="n">
        <v>1</v>
      </c>
      <c r="H1637" t="inlineStr">
        <is>
          <t>Player trade (max rank)</t>
        </is>
      </c>
      <c r="I1637" t="inlineStr">
        <is>
          <t>Yes</t>
        </is>
      </c>
      <c r="K1637" t="inlineStr">
        <is>
          <t>Collection</t>
        </is>
      </c>
      <c r="L1637" t="n">
        <v>25</v>
      </c>
      <c r="M1637" t="n">
        <v>30</v>
      </c>
      <c r="N1637" t="n">
        <v>44</v>
      </c>
      <c r="O1637" t="inlineStr">
        <is>
          <t>2026-10-05 UTC (WFM pull 02:52-04:00)</t>
        </is>
      </c>
      <c r="P1637" t="inlineStr">
        <is>
          <t>OK</t>
        </is>
      </c>
      <c r="R1637" t="inlineStr">
        <is>
          <t>Every current tradeable mod at MAX RANK (WFM catalogue, rivens/locators excluded)</t>
        </is>
      </c>
      <c r="S1637" t="inlineStr">
        <is>
          <t>vitality</t>
        </is>
      </c>
      <c r="T1637" t="n">
        <v>7</v>
      </c>
      <c r="U1637" t="n">
        <v>7</v>
      </c>
      <c r="V1637" t="n">
        <v>25</v>
      </c>
      <c r="W1637" t="n">
        <v>25</v>
      </c>
      <c r="X1637" t="n">
        <v>25.1</v>
      </c>
      <c r="Y1637" t="n">
        <v>118</v>
      </c>
      <c r="Z1637" t="n">
        <v>3</v>
      </c>
      <c r="AN1637" t="inlineStr">
        <is>
          <t>Warframe</t>
        </is>
      </c>
      <c r="AO1637" t="n">
        <v>10230</v>
      </c>
      <c r="AP1637" t="n">
        <v>494109</v>
      </c>
      <c r="AQ1637" t="n">
        <v>5</v>
      </c>
      <c r="AS1637" t="inlineStr">
        <is>
          <t>Yes</t>
        </is>
      </c>
    </row>
    <row r="1638">
      <c r="A1638" t="inlineStr">
        <is>
          <t>Mod</t>
        </is>
      </c>
      <c r="B1638" t="inlineStr">
        <is>
          <t>Void Cloak</t>
        </is>
      </c>
      <c r="E1638" t="inlineStr">
        <is>
          <t>Railjack (Tactical, Slot 3)</t>
        </is>
      </c>
      <c r="F1638" t="n">
        <v>5</v>
      </c>
      <c r="G1638" t="n">
        <v>1</v>
      </c>
      <c r="H1638" t="inlineStr">
        <is>
          <t>Player trade (max rank)</t>
        </is>
      </c>
      <c r="I1638" t="inlineStr">
        <is>
          <t>Yes</t>
        </is>
      </c>
      <c r="K1638" t="inlineStr">
        <is>
          <t>Collection</t>
        </is>
      </c>
      <c r="L1638" t="n">
        <v>10</v>
      </c>
      <c r="M1638" t="n">
        <v>12</v>
      </c>
      <c r="N1638" t="n">
        <v>22</v>
      </c>
      <c r="O1638" t="inlineStr">
        <is>
          <t>2026-10-05 UTC (WFM pull 02:52-04:00)</t>
        </is>
      </c>
      <c r="P1638" t="inlineStr">
        <is>
          <t>OK</t>
        </is>
      </c>
      <c r="R1638" t="inlineStr">
        <is>
          <t>Every current tradeable mod at MAX RANK (WFM catalogue, rivens/locators excluded)</t>
        </is>
      </c>
      <c r="S1638" t="inlineStr">
        <is>
          <t>void_cloak</t>
        </is>
      </c>
      <c r="T1638" t="n">
        <v>60</v>
      </c>
      <c r="U1638" t="n">
        <v>0</v>
      </c>
      <c r="V1638" t="n">
        <v>20</v>
      </c>
      <c r="W1638" t="n">
        <v>15</v>
      </c>
      <c r="X1638" t="n">
        <v>18</v>
      </c>
      <c r="Y1638" t="n">
        <v>26</v>
      </c>
      <c r="Z1638" t="n">
        <v>1</v>
      </c>
      <c r="AN1638" t="inlineStr">
        <is>
          <t>Railjack (Tactical, Slot 3)</t>
        </is>
      </c>
      <c r="AO1638" t="n">
        <v>310</v>
      </c>
      <c r="AP1638" t="n">
        <v>14973</v>
      </c>
      <c r="AQ1638" t="n">
        <v>5</v>
      </c>
      <c r="AS1638" t="inlineStr">
        <is>
          <t>Yes</t>
        </is>
      </c>
    </row>
    <row r="1639">
      <c r="A1639" t="inlineStr">
        <is>
          <t>Mod</t>
        </is>
      </c>
      <c r="B1639" t="inlineStr">
        <is>
          <t>Void Hole</t>
        </is>
      </c>
      <c r="E1639" t="inlineStr">
        <is>
          <t>Railjack (Battle, Slot 3)</t>
        </is>
      </c>
      <c r="F1639" t="n">
        <v>10</v>
      </c>
      <c r="G1639" t="n">
        <v>1</v>
      </c>
      <c r="H1639" t="inlineStr">
        <is>
          <t>Player trade (max rank)</t>
        </is>
      </c>
      <c r="I1639" t="inlineStr">
        <is>
          <t>Yes</t>
        </is>
      </c>
      <c r="K1639" t="inlineStr">
        <is>
          <t>Collection</t>
        </is>
      </c>
      <c r="L1639" t="n">
        <v>45</v>
      </c>
      <c r="M1639" t="n">
        <v>50</v>
      </c>
      <c r="N1639" t="n">
        <v>66</v>
      </c>
      <c r="O1639" t="inlineStr">
        <is>
          <t>2026-10-05 UTC (WFM pull 02:52-04:00)</t>
        </is>
      </c>
      <c r="P1639" t="inlineStr">
        <is>
          <t>OK</t>
        </is>
      </c>
      <c r="R1639" t="inlineStr">
        <is>
          <t>Every current tradeable mod at MAX RANK (WFM catalogue, rivens/locators excluded)</t>
        </is>
      </c>
      <c r="S1639" t="inlineStr">
        <is>
          <t>void_hole</t>
        </is>
      </c>
      <c r="T1639" t="n">
        <v>12</v>
      </c>
      <c r="U1639" t="n">
        <v>12</v>
      </c>
      <c r="V1639" t="n">
        <v>47</v>
      </c>
      <c r="W1639" t="n">
        <v>45</v>
      </c>
      <c r="X1639" t="n">
        <v>46.4</v>
      </c>
      <c r="Y1639" t="n">
        <v>355</v>
      </c>
      <c r="Z1639" t="n">
        <v>18</v>
      </c>
      <c r="AN1639" t="inlineStr">
        <is>
          <t>Railjack (Battle, Slot 3)</t>
        </is>
      </c>
      <c r="AO1639" t="n">
        <v>30690</v>
      </c>
      <c r="AP1639" t="n">
        <v>1482327</v>
      </c>
      <c r="AQ1639" t="n">
        <v>3.5</v>
      </c>
      <c r="AS1639" t="inlineStr">
        <is>
          <t>Yes</t>
        </is>
      </c>
    </row>
    <row r="1640">
      <c r="A1640" t="inlineStr">
        <is>
          <t>Mod</t>
        </is>
      </c>
      <c r="B1640" t="inlineStr">
        <is>
          <t>Volatile Parasite</t>
        </is>
      </c>
      <c r="E1640" t="inlineStr">
        <is>
          <t>Predasite</t>
        </is>
      </c>
      <c r="F1640" t="n">
        <v>3</v>
      </c>
      <c r="G1640" t="n">
        <v>1</v>
      </c>
      <c r="H1640" t="inlineStr">
        <is>
          <t>Player trade (max rank)</t>
        </is>
      </c>
      <c r="I1640" t="inlineStr">
        <is>
          <t>Yes</t>
        </is>
      </c>
      <c r="K1640" t="inlineStr">
        <is>
          <t>Collection</t>
        </is>
      </c>
      <c r="L1640" t="n">
        <v>19</v>
      </c>
      <c r="M1640" t="n">
        <v>21</v>
      </c>
      <c r="N1640" t="n">
        <v>47</v>
      </c>
      <c r="O1640" t="inlineStr">
        <is>
          <t>2026-10-05 UTC (WFM pull 02:52-04:00)</t>
        </is>
      </c>
      <c r="P1640" t="inlineStr">
        <is>
          <t>OK</t>
        </is>
      </c>
      <c r="R1640" t="inlineStr">
        <is>
          <t>Every current tradeable mod at MAX RANK (WFM catalogue, rivens/locators excluded)</t>
        </is>
      </c>
      <c r="S1640" t="inlineStr">
        <is>
          <t>volatile_parasite</t>
        </is>
      </c>
      <c r="T1640" t="n">
        <v>4</v>
      </c>
      <c r="U1640" t="n">
        <v>4</v>
      </c>
      <c r="V1640" t="n">
        <v>14</v>
      </c>
      <c r="W1640" t="n">
        <v>14.5</v>
      </c>
      <c r="X1640" t="n">
        <v>14.9</v>
      </c>
      <c r="Y1640" t="n">
        <v>35</v>
      </c>
      <c r="Z1640" t="n">
        <v>1</v>
      </c>
      <c r="AN1640" t="inlineStr">
        <is>
          <t>Predasite</t>
        </is>
      </c>
      <c r="AO1640" t="n">
        <v>210</v>
      </c>
      <c r="AP1640" t="n">
        <v>10143</v>
      </c>
      <c r="AQ1640" t="n">
        <v>15</v>
      </c>
      <c r="AS1640" t="inlineStr">
        <is>
          <t>Yes</t>
        </is>
      </c>
    </row>
    <row r="1641">
      <c r="A1641" t="inlineStr">
        <is>
          <t>Mod</t>
        </is>
      </c>
      <c r="B1641" t="inlineStr">
        <is>
          <t>Volatile Quick Return</t>
        </is>
      </c>
      <c r="E1641" t="inlineStr">
        <is>
          <t>Thrown Melee</t>
        </is>
      </c>
      <c r="F1641" t="n">
        <v>3</v>
      </c>
      <c r="G1641" t="n">
        <v>1</v>
      </c>
      <c r="H1641" t="inlineStr">
        <is>
          <t>Player trade (max rank)</t>
        </is>
      </c>
      <c r="I1641" t="inlineStr">
        <is>
          <t>Yes</t>
        </is>
      </c>
      <c r="K1641" t="inlineStr">
        <is>
          <t>Collection</t>
        </is>
      </c>
      <c r="L1641" t="n">
        <v>8</v>
      </c>
      <c r="M1641" t="n">
        <v>10</v>
      </c>
      <c r="N1641" t="n">
        <v>22</v>
      </c>
      <c r="O1641" t="inlineStr">
        <is>
          <t>2026-10-05 UTC (WFM pull 02:52-04:00)</t>
        </is>
      </c>
      <c r="P1641" t="inlineStr">
        <is>
          <t>OK</t>
        </is>
      </c>
      <c r="R1641" t="inlineStr">
        <is>
          <t>Every current tradeable mod at MAX RANK (WFM catalogue, rivens/locators excluded)</t>
        </is>
      </c>
      <c r="S1641" t="inlineStr">
        <is>
          <t>volatile_quick_return</t>
        </is>
      </c>
      <c r="T1641" t="n">
        <v>6</v>
      </c>
      <c r="U1641" t="n">
        <v>6</v>
      </c>
      <c r="V1641" t="n">
        <v>9.5</v>
      </c>
      <c r="W1641" t="n">
        <v>10</v>
      </c>
      <c r="X1641" t="n">
        <v>9.6</v>
      </c>
      <c r="Y1641" t="n">
        <v>222</v>
      </c>
      <c r="Z1641" t="n">
        <v>4</v>
      </c>
      <c r="AN1641" t="inlineStr">
        <is>
          <t>Thrown Melee</t>
        </is>
      </c>
      <c r="AO1641" t="n">
        <v>140</v>
      </c>
      <c r="AP1641" t="n">
        <v>6762</v>
      </c>
      <c r="AQ1641" t="n">
        <v>4</v>
      </c>
      <c r="AS1641" t="inlineStr">
        <is>
          <t>Yes</t>
        </is>
      </c>
    </row>
    <row r="1642">
      <c r="A1642" t="inlineStr">
        <is>
          <t>Mod</t>
        </is>
      </c>
      <c r="B1642" t="inlineStr">
        <is>
          <t>Volatile Rebound</t>
        </is>
      </c>
      <c r="E1642" t="inlineStr">
        <is>
          <t>Thrown Melee</t>
        </is>
      </c>
      <c r="F1642" t="n">
        <v>3</v>
      </c>
      <c r="G1642" t="n">
        <v>1</v>
      </c>
      <c r="H1642" t="inlineStr">
        <is>
          <t>Player trade (max rank)</t>
        </is>
      </c>
      <c r="I1642" t="inlineStr">
        <is>
          <t>Yes</t>
        </is>
      </c>
      <c r="K1642" t="inlineStr">
        <is>
          <t>Collection</t>
        </is>
      </c>
      <c r="L1642" t="n">
        <v>20</v>
      </c>
      <c r="M1642" t="n">
        <v>22.5</v>
      </c>
      <c r="N1642" t="n">
        <v>50</v>
      </c>
      <c r="O1642" t="inlineStr">
        <is>
          <t>2026-10-05 UTC (WFM pull 02:52-04:00)</t>
        </is>
      </c>
      <c r="P1642" t="inlineStr">
        <is>
          <t>OK</t>
        </is>
      </c>
      <c r="R1642" t="inlineStr">
        <is>
          <t>Every current tradeable mod at MAX RANK (WFM catalogue, rivens/locators excluded)</t>
        </is>
      </c>
      <c r="S1642" t="inlineStr">
        <is>
          <t>volatile_rebound</t>
        </is>
      </c>
      <c r="T1642" t="n">
        <v>4</v>
      </c>
      <c r="U1642" t="n">
        <v>4</v>
      </c>
      <c r="V1642" t="n">
        <v>15</v>
      </c>
      <c r="W1642" t="n">
        <v>14</v>
      </c>
      <c r="X1642" t="n">
        <v>14.3</v>
      </c>
      <c r="Y1642" t="n">
        <v>155</v>
      </c>
      <c r="Z1642" t="n">
        <v>6</v>
      </c>
      <c r="AN1642" t="inlineStr">
        <is>
          <t>Thrown Melee</t>
        </is>
      </c>
      <c r="AO1642" t="n">
        <v>210</v>
      </c>
      <c r="AP1642" t="n">
        <v>10143</v>
      </c>
      <c r="AQ1642" t="n">
        <v>10</v>
      </c>
      <c r="AS1642" t="inlineStr">
        <is>
          <t>Yes</t>
        </is>
      </c>
    </row>
    <row r="1643">
      <c r="A1643" t="inlineStr">
        <is>
          <t>Mod</t>
        </is>
      </c>
      <c r="B1643" t="inlineStr">
        <is>
          <t>Volatile Recompense</t>
        </is>
      </c>
      <c r="E1643" t="inlineStr">
        <is>
          <t>Augment Kullervo</t>
        </is>
      </c>
      <c r="F1643" t="n">
        <v>3</v>
      </c>
      <c r="G1643" t="n">
        <v>1</v>
      </c>
      <c r="H1643" t="inlineStr">
        <is>
          <t>Player trade (max rank)</t>
        </is>
      </c>
      <c r="I1643" t="inlineStr">
        <is>
          <t>Yes</t>
        </is>
      </c>
      <c r="K1643" t="inlineStr">
        <is>
          <t>Collection</t>
        </is>
      </c>
      <c r="L1643" t="n">
        <v>15</v>
      </c>
      <c r="M1643" t="n">
        <v>19.5</v>
      </c>
      <c r="N1643" t="n">
        <v>27</v>
      </c>
      <c r="O1643" t="inlineStr">
        <is>
          <t>2026-10-05 UTC (WFM pull 02:52-04:00)</t>
        </is>
      </c>
      <c r="P1643" t="inlineStr">
        <is>
          <t>OK</t>
        </is>
      </c>
      <c r="R1643" t="inlineStr">
        <is>
          <t>Every current tradeable mod at MAX RANK (WFM catalogue, rivens/locators excluded)</t>
        </is>
      </c>
      <c r="S1643" t="inlineStr">
        <is>
          <t>volatile_recompense</t>
        </is>
      </c>
      <c r="T1643" t="n">
        <v>7</v>
      </c>
      <c r="U1643" t="n">
        <v>7</v>
      </c>
      <c r="V1643" t="n">
        <v>13</v>
      </c>
      <c r="W1643" t="n">
        <v>14</v>
      </c>
      <c r="X1643" t="n">
        <v>13.9</v>
      </c>
      <c r="Y1643" t="n">
        <v>458</v>
      </c>
      <c r="Z1643" t="n">
        <v>11</v>
      </c>
      <c r="AN1643" t="inlineStr">
        <is>
          <t>Augment Kullervo</t>
        </is>
      </c>
      <c r="AO1643" t="n">
        <v>210</v>
      </c>
      <c r="AP1643" t="n">
        <v>10143</v>
      </c>
      <c r="AQ1643" t="n">
        <v>12</v>
      </c>
      <c r="AS1643" t="inlineStr">
        <is>
          <t>Yes</t>
        </is>
      </c>
    </row>
    <row r="1644">
      <c r="A1644" t="inlineStr">
        <is>
          <t>Mod</t>
        </is>
      </c>
      <c r="B1644" t="inlineStr">
        <is>
          <t>Volatile Variant</t>
        </is>
      </c>
      <c r="E1644" t="inlineStr">
        <is>
          <t>Sporothrix</t>
        </is>
      </c>
      <c r="F1644" t="n">
        <v>5</v>
      </c>
      <c r="G1644" t="n">
        <v>1</v>
      </c>
      <c r="H1644" t="inlineStr">
        <is>
          <t>Player trade (max rank)</t>
        </is>
      </c>
      <c r="I1644" t="inlineStr">
        <is>
          <t>Yes</t>
        </is>
      </c>
      <c r="K1644" t="inlineStr">
        <is>
          <t>Collection</t>
        </is>
      </c>
      <c r="L1644" t="n">
        <v>30</v>
      </c>
      <c r="M1644" t="n">
        <v>30</v>
      </c>
      <c r="N1644" t="n">
        <v>65</v>
      </c>
      <c r="O1644" t="inlineStr">
        <is>
          <t>2026-10-05 UTC (WFM pull 02:52-04:00)</t>
        </is>
      </c>
      <c r="P1644" t="inlineStr">
        <is>
          <t>OK</t>
        </is>
      </c>
      <c r="R1644" t="inlineStr">
        <is>
          <t>Every current tradeable mod at MAX RANK (WFM catalogue, rivens/locators excluded)</t>
        </is>
      </c>
      <c r="S1644" t="inlineStr">
        <is>
          <t>volatile_variant</t>
        </is>
      </c>
      <c r="T1644" t="n">
        <v>9</v>
      </c>
      <c r="U1644" t="n">
        <v>9</v>
      </c>
      <c r="V1644" t="n">
        <v>20</v>
      </c>
      <c r="W1644" t="n">
        <v>28</v>
      </c>
      <c r="X1644" t="n">
        <v>31.6</v>
      </c>
      <c r="Y1644" t="n">
        <v>521</v>
      </c>
      <c r="Z1644" t="n">
        <v>9</v>
      </c>
      <c r="AN1644" t="inlineStr">
        <is>
          <t>Sporothrix</t>
        </is>
      </c>
      <c r="AO1644" t="n">
        <v>930</v>
      </c>
      <c r="AP1644" t="n">
        <v>44919</v>
      </c>
      <c r="AQ1644" t="n">
        <v>27</v>
      </c>
      <c r="AS1644" t="inlineStr">
        <is>
          <t>Yes</t>
        </is>
      </c>
    </row>
    <row r="1645">
      <c r="A1645" t="inlineStr">
        <is>
          <t>Mod</t>
        </is>
      </c>
      <c r="B1645" t="inlineStr">
        <is>
          <t>Volcanic Edge</t>
        </is>
      </c>
      <c r="E1645" t="inlineStr">
        <is>
          <t>Melee</t>
        </is>
      </c>
      <c r="F1645" t="n">
        <v>3</v>
      </c>
      <c r="G1645" t="n">
        <v>1</v>
      </c>
      <c r="H1645" t="inlineStr">
        <is>
          <t>Player trade (max rank)</t>
        </is>
      </c>
      <c r="I1645" t="inlineStr">
        <is>
          <t>Yes</t>
        </is>
      </c>
      <c r="K1645" t="inlineStr">
        <is>
          <t>Collection</t>
        </is>
      </c>
      <c r="L1645" t="n">
        <v>15</v>
      </c>
      <c r="M1645" t="n">
        <v>15</v>
      </c>
      <c r="N1645" t="n">
        <v>21</v>
      </c>
      <c r="O1645" t="inlineStr">
        <is>
          <t>2026-10-05 UTC (WFM pull 02:52-04:00)</t>
        </is>
      </c>
      <c r="P1645" t="inlineStr">
        <is>
          <t>OK</t>
        </is>
      </c>
      <c r="R1645" t="inlineStr">
        <is>
          <t>Every current tradeable mod at MAX RANK (WFM catalogue, rivens/locators excluded)</t>
        </is>
      </c>
      <c r="S1645" t="inlineStr">
        <is>
          <t>volcanic_edge</t>
        </is>
      </c>
      <c r="T1645" t="n">
        <v>13</v>
      </c>
      <c r="U1645" t="n">
        <v>13</v>
      </c>
      <c r="V1645" t="n">
        <v>10</v>
      </c>
      <c r="W1645" t="n">
        <v>10</v>
      </c>
      <c r="X1645" t="n">
        <v>10.9</v>
      </c>
      <c r="Y1645" t="n">
        <v>600</v>
      </c>
      <c r="Z1645" t="n">
        <v>16</v>
      </c>
      <c r="AN1645" t="inlineStr">
        <is>
          <t>Melee</t>
        </is>
      </c>
      <c r="AO1645" t="n">
        <v>210</v>
      </c>
      <c r="AP1645" t="n">
        <v>10143</v>
      </c>
      <c r="AQ1645" t="n">
        <v>9</v>
      </c>
      <c r="AS1645" t="inlineStr">
        <is>
          <t>Yes</t>
        </is>
      </c>
    </row>
    <row r="1646">
      <c r="A1646" t="inlineStr">
        <is>
          <t>Mod</t>
        </is>
      </c>
      <c r="B1646" t="inlineStr">
        <is>
          <t>Voltage Sequence</t>
        </is>
      </c>
      <c r="E1646" t="inlineStr">
        <is>
          <t>Augment Lanka</t>
        </is>
      </c>
      <c r="F1646" t="n">
        <v>3</v>
      </c>
      <c r="G1646" t="n">
        <v>1</v>
      </c>
      <c r="H1646" t="inlineStr">
        <is>
          <t>Player trade (max rank)</t>
        </is>
      </c>
      <c r="I1646" t="inlineStr">
        <is>
          <t>Yes</t>
        </is>
      </c>
      <c r="K1646" t="inlineStr">
        <is>
          <t>Collection</t>
        </is>
      </c>
      <c r="L1646" t="n">
        <v>10</v>
      </c>
      <c r="M1646" t="n">
        <v>14</v>
      </c>
      <c r="N1646" t="n">
        <v>31</v>
      </c>
      <c r="O1646" t="inlineStr">
        <is>
          <t>2026-10-05 UTC (WFM pull 02:52-04:00)</t>
        </is>
      </c>
      <c r="P1646" t="inlineStr">
        <is>
          <t>OK</t>
        </is>
      </c>
      <c r="R1646" t="inlineStr">
        <is>
          <t>Every current tradeable mod at MAX RANK (WFM catalogue, rivens/locators excluded)</t>
        </is>
      </c>
      <c r="S1646" t="inlineStr">
        <is>
          <t>voltage_sequence</t>
        </is>
      </c>
      <c r="T1646" t="n">
        <v>35</v>
      </c>
      <c r="U1646" t="n">
        <v>2</v>
      </c>
      <c r="V1646" t="n">
        <v>28</v>
      </c>
      <c r="W1646" t="n">
        <v>15</v>
      </c>
      <c r="X1646" t="n">
        <v>18.1</v>
      </c>
      <c r="Y1646" t="n">
        <v>8</v>
      </c>
      <c r="Z1646" t="n">
        <v>0</v>
      </c>
      <c r="AN1646" t="inlineStr">
        <is>
          <t>Augment Lanka</t>
        </is>
      </c>
      <c r="AO1646" t="n">
        <v>210</v>
      </c>
      <c r="AP1646" t="n">
        <v>10143</v>
      </c>
      <c r="AQ1646" t="n">
        <v>8</v>
      </c>
      <c r="AS1646" t="inlineStr">
        <is>
          <t>Yes</t>
        </is>
      </c>
    </row>
    <row r="1647">
      <c r="A1647" t="inlineStr">
        <is>
          <t>Mod</t>
        </is>
      </c>
      <c r="B1647" t="inlineStr">
        <is>
          <t>Voltaic Lance</t>
        </is>
      </c>
      <c r="E1647" t="inlineStr">
        <is>
          <t>Conclave (PvP)</t>
        </is>
      </c>
      <c r="G1647" t="n">
        <v>1</v>
      </c>
      <c r="H1647" t="inlineStr">
        <is>
          <t>Player trade (max rank)</t>
        </is>
      </c>
      <c r="I1647" t="inlineStr">
        <is>
          <t>Yes</t>
        </is>
      </c>
      <c r="K1647" t="inlineStr">
        <is>
          <t>Collection (PvP)</t>
        </is>
      </c>
      <c r="L1647" t="n">
        <v>90</v>
      </c>
      <c r="M1647" t="n">
        <v>90</v>
      </c>
      <c r="N1647" t="n">
        <v>199</v>
      </c>
      <c r="O1647" t="inlineStr">
        <is>
          <t>2026-10-05 UTC (WFM pull 02:52-04:00)</t>
        </is>
      </c>
      <c r="P1647" t="inlineStr">
        <is>
          <t>OK</t>
        </is>
      </c>
      <c r="R1647" t="inlineStr">
        <is>
          <t>Every current tradeable mod at MAX RANK (WFM catalogue, rivens/locators excluded)</t>
        </is>
      </c>
      <c r="S1647" t="inlineStr">
        <is>
          <t>voltaic_lance</t>
        </is>
      </c>
      <c r="T1647" t="n">
        <v>7</v>
      </c>
      <c r="U1647" t="n">
        <v>1</v>
      </c>
      <c r="V1647" t="n">
        <v>30</v>
      </c>
      <c r="W1647" t="n">
        <v>60</v>
      </c>
      <c r="X1647" t="n">
        <v>50</v>
      </c>
      <c r="Y1647" t="n">
        <v>3</v>
      </c>
      <c r="Z1647" t="n">
        <v>0</v>
      </c>
      <c r="AN1647" t="inlineStr">
        <is>
          <t>Conclave (PvP)</t>
        </is>
      </c>
      <c r="AO1647" t="n">
        <v>0</v>
      </c>
      <c r="AP1647" t="n">
        <v>0</v>
      </c>
      <c r="AS1647" t="inlineStr">
        <is>
          <t>PvP subtotal</t>
        </is>
      </c>
    </row>
    <row r="1648">
      <c r="A1648" t="inlineStr">
        <is>
          <t>Mod</t>
        </is>
      </c>
      <c r="B1648" t="inlineStr">
        <is>
          <t>Voltaic Strike</t>
        </is>
      </c>
      <c r="E1648" t="inlineStr">
        <is>
          <t>Melee</t>
        </is>
      </c>
      <c r="F1648" t="n">
        <v>3</v>
      </c>
      <c r="G1648" t="n">
        <v>1</v>
      </c>
      <c r="H1648" t="inlineStr">
        <is>
          <t>Player trade (max rank)</t>
        </is>
      </c>
      <c r="I1648" t="inlineStr">
        <is>
          <t>Yes</t>
        </is>
      </c>
      <c r="K1648" t="inlineStr">
        <is>
          <t>Collection</t>
        </is>
      </c>
      <c r="L1648" t="n">
        <v>25</v>
      </c>
      <c r="M1648" t="n">
        <v>35</v>
      </c>
      <c r="N1648" t="n">
        <v>56</v>
      </c>
      <c r="O1648" t="inlineStr">
        <is>
          <t>2026-10-05 UTC (WFM pull 02:52-04:00)</t>
        </is>
      </c>
      <c r="P1648" t="inlineStr">
        <is>
          <t>OK</t>
        </is>
      </c>
      <c r="R1648" t="inlineStr">
        <is>
          <t>Every current tradeable mod at MAX RANK (WFM catalogue, rivens/locators excluded)</t>
        </is>
      </c>
      <c r="S1648" t="inlineStr">
        <is>
          <t>voltaic_strike</t>
        </is>
      </c>
      <c r="T1648" t="n">
        <v>27</v>
      </c>
      <c r="U1648" t="n">
        <v>27</v>
      </c>
      <c r="V1648" t="n">
        <v>50</v>
      </c>
      <c r="W1648" t="n">
        <v>50</v>
      </c>
      <c r="X1648" t="n">
        <v>46.3</v>
      </c>
      <c r="Y1648" t="n">
        <v>1874</v>
      </c>
      <c r="Z1648" t="n">
        <v>108</v>
      </c>
      <c r="AA1648" t="n">
        <v>18</v>
      </c>
      <c r="AB1648" t="n">
        <v>7</v>
      </c>
      <c r="AN1648" t="inlineStr">
        <is>
          <t>Melee</t>
        </is>
      </c>
      <c r="AO1648" t="n">
        <v>210</v>
      </c>
      <c r="AP1648" t="n">
        <v>10143</v>
      </c>
      <c r="AQ1648" t="n">
        <v>30</v>
      </c>
      <c r="AS1648" t="inlineStr">
        <is>
          <t>Yes</t>
        </is>
      </c>
    </row>
    <row r="1649">
      <c r="A1649" t="inlineStr">
        <is>
          <t>Mod</t>
        </is>
      </c>
      <c r="B1649" t="inlineStr">
        <is>
          <t>Vome</t>
        </is>
      </c>
      <c r="E1649" t="inlineStr">
        <is>
          <t>Parazon</t>
        </is>
      </c>
      <c r="F1649" t="n">
        <v>3</v>
      </c>
      <c r="G1649" t="n">
        <v>1</v>
      </c>
      <c r="H1649" t="inlineStr">
        <is>
          <t>Player trade (max rank)</t>
        </is>
      </c>
      <c r="I1649" t="inlineStr">
        <is>
          <t>Yes</t>
        </is>
      </c>
      <c r="K1649" t="inlineStr">
        <is>
          <t>Collection</t>
        </is>
      </c>
      <c r="L1649" t="n">
        <v>7</v>
      </c>
      <c r="M1649" t="n">
        <v>10</v>
      </c>
      <c r="N1649" t="n">
        <v>11</v>
      </c>
      <c r="O1649" t="inlineStr">
        <is>
          <t>2026-10-05 UTC (WFM pull 02:52-04:00)</t>
        </is>
      </c>
      <c r="P1649" t="inlineStr">
        <is>
          <t>OK</t>
        </is>
      </c>
      <c r="R1649" t="inlineStr">
        <is>
          <t>Every current tradeable mod at MAX RANK (WFM catalogue, rivens/locators excluded)</t>
        </is>
      </c>
      <c r="S1649" t="inlineStr">
        <is>
          <t>vome</t>
        </is>
      </c>
      <c r="T1649" t="n">
        <v>7</v>
      </c>
      <c r="U1649" t="n">
        <v>7</v>
      </c>
      <c r="V1649" t="n">
        <v>8</v>
      </c>
      <c r="W1649" t="n">
        <v>8</v>
      </c>
      <c r="X1649" t="n">
        <v>8.199999999999999</v>
      </c>
      <c r="Y1649" t="n">
        <v>2712</v>
      </c>
      <c r="Z1649" t="n">
        <v>58</v>
      </c>
      <c r="AN1649" t="inlineStr">
        <is>
          <t>Parazon</t>
        </is>
      </c>
      <c r="AO1649" t="n">
        <v>210</v>
      </c>
      <c r="AP1649" t="n">
        <v>10143</v>
      </c>
      <c r="AQ1649" t="n">
        <v>10</v>
      </c>
      <c r="AS1649" t="inlineStr">
        <is>
          <t>Yes</t>
        </is>
      </c>
    </row>
    <row r="1650">
      <c r="A1650" t="inlineStr">
        <is>
          <t>Mod</t>
        </is>
      </c>
      <c r="B1650" t="inlineStr">
        <is>
          <t>Vome Invocation</t>
        </is>
      </c>
      <c r="E1650" t="inlineStr">
        <is>
          <t>Tome</t>
        </is>
      </c>
      <c r="F1650" t="n">
        <v>3</v>
      </c>
      <c r="G1650" t="n">
        <v>1</v>
      </c>
      <c r="H1650" t="inlineStr">
        <is>
          <t>Player trade (max rank)</t>
        </is>
      </c>
      <c r="I1650" t="inlineStr">
        <is>
          <t>Yes</t>
        </is>
      </c>
      <c r="K1650" t="inlineStr">
        <is>
          <t>Collection</t>
        </is>
      </c>
      <c r="L1650" t="n">
        <v>60</v>
      </c>
      <c r="M1650" t="n">
        <v>60</v>
      </c>
      <c r="N1650" t="n">
        <v>70</v>
      </c>
      <c r="O1650" t="inlineStr">
        <is>
          <t>2026-10-05 UTC (WFM pull 02:52-04:00)</t>
        </is>
      </c>
      <c r="P1650" t="inlineStr">
        <is>
          <t>OK</t>
        </is>
      </c>
      <c r="R1650" t="inlineStr">
        <is>
          <t>Every current tradeable mod at MAX RANK (WFM catalogue, rivens/locators excluded)</t>
        </is>
      </c>
      <c r="S1650" t="inlineStr">
        <is>
          <t>vome_invocation</t>
        </is>
      </c>
      <c r="T1650" t="n">
        <v>60</v>
      </c>
      <c r="U1650" t="n">
        <v>2</v>
      </c>
      <c r="V1650" t="n">
        <v>60</v>
      </c>
      <c r="W1650" t="n">
        <v>62.5</v>
      </c>
      <c r="X1650" t="n">
        <v>63.4</v>
      </c>
      <c r="Y1650" t="n">
        <v>747</v>
      </c>
      <c r="Z1650" t="n">
        <v>11</v>
      </c>
      <c r="AN1650" t="inlineStr">
        <is>
          <t>Tome</t>
        </is>
      </c>
      <c r="AO1650" t="n">
        <v>210</v>
      </c>
      <c r="AP1650" t="n">
        <v>10143</v>
      </c>
      <c r="AQ1650" t="n">
        <v>50</v>
      </c>
      <c r="AS1650" t="inlineStr">
        <is>
          <t>Yes</t>
        </is>
      </c>
    </row>
    <row r="1651">
      <c r="A1651" t="inlineStr">
        <is>
          <t>Mod</t>
        </is>
      </c>
      <c r="B1651" t="inlineStr">
        <is>
          <t>Votive Onslaught</t>
        </is>
      </c>
      <c r="E1651" t="inlineStr">
        <is>
          <t>Stance</t>
        </is>
      </c>
      <c r="F1651" t="n">
        <v>3</v>
      </c>
      <c r="G1651" t="n">
        <v>1</v>
      </c>
      <c r="H1651" t="inlineStr">
        <is>
          <t>Player trade (max rank)</t>
        </is>
      </c>
      <c r="I1651" t="inlineStr">
        <is>
          <t>Yes</t>
        </is>
      </c>
      <c r="K1651" t="inlineStr">
        <is>
          <t>Collection</t>
        </is>
      </c>
      <c r="L1651" t="n">
        <v>15</v>
      </c>
      <c r="M1651" t="n">
        <v>17.2</v>
      </c>
      <c r="N1651" t="n">
        <v>38</v>
      </c>
      <c r="O1651" t="inlineStr">
        <is>
          <t>2026-10-05 UTC (WFM pull 02:52-04:00)</t>
        </is>
      </c>
      <c r="P1651" t="inlineStr">
        <is>
          <t>OK</t>
        </is>
      </c>
      <c r="R1651" t="inlineStr">
        <is>
          <t>Every current tradeable mod at MAX RANK (WFM catalogue, rivens/locators excluded)</t>
        </is>
      </c>
      <c r="S1651" t="inlineStr">
        <is>
          <t>votive_onslaught</t>
        </is>
      </c>
      <c r="T1651" t="n">
        <v>4</v>
      </c>
      <c r="U1651" t="n">
        <v>4</v>
      </c>
      <c r="V1651" t="n">
        <v>11.5</v>
      </c>
      <c r="W1651" t="n">
        <v>12</v>
      </c>
      <c r="X1651" t="n">
        <v>12.1</v>
      </c>
      <c r="Y1651" t="n">
        <v>48</v>
      </c>
      <c r="Z1651" t="n">
        <v>0</v>
      </c>
      <c r="AN1651" t="inlineStr">
        <is>
          <t>Stance</t>
        </is>
      </c>
      <c r="AO1651" t="n">
        <v>210</v>
      </c>
      <c r="AP1651" t="n">
        <v>10143</v>
      </c>
      <c r="AQ1651" t="n">
        <v>10</v>
      </c>
      <c r="AS1651" t="inlineStr">
        <is>
          <t>Yes</t>
        </is>
      </c>
    </row>
    <row r="1652">
      <c r="A1652" t="inlineStr">
        <is>
          <t>Mod</t>
        </is>
      </c>
      <c r="B1652" t="inlineStr">
        <is>
          <t>Vulcan Blitz</t>
        </is>
      </c>
      <c r="E1652" t="inlineStr">
        <is>
          <t>Augment Jat Kittag</t>
        </is>
      </c>
      <c r="F1652" t="n">
        <v>5</v>
      </c>
      <c r="G1652" t="n">
        <v>1</v>
      </c>
      <c r="H1652" t="inlineStr">
        <is>
          <t>Player trade (max rank)</t>
        </is>
      </c>
      <c r="I1652" t="inlineStr">
        <is>
          <t>Yes</t>
        </is>
      </c>
      <c r="K1652" t="inlineStr">
        <is>
          <t>Collection</t>
        </is>
      </c>
      <c r="L1652" t="n">
        <v>40</v>
      </c>
      <c r="M1652" t="n">
        <v>40</v>
      </c>
      <c r="N1652" t="n">
        <v>88</v>
      </c>
      <c r="O1652" t="inlineStr">
        <is>
          <t>2026-10-05 UTC (WFM pull 02:52-04:00)</t>
        </is>
      </c>
      <c r="P1652" t="inlineStr">
        <is>
          <t>OK</t>
        </is>
      </c>
      <c r="R1652" t="inlineStr">
        <is>
          <t>Every current tradeable mod at MAX RANK (WFM catalogue, rivens/locators excluded)</t>
        </is>
      </c>
      <c r="S1652" t="inlineStr">
        <is>
          <t>vulcan_blitz</t>
        </is>
      </c>
      <c r="T1652" t="n">
        <v>3</v>
      </c>
      <c r="U1652" t="n">
        <v>3</v>
      </c>
      <c r="V1652" t="n">
        <v>15</v>
      </c>
      <c r="W1652" t="n">
        <v>15</v>
      </c>
      <c r="X1652" t="n">
        <v>16.3</v>
      </c>
      <c r="Y1652" t="n">
        <v>23</v>
      </c>
      <c r="Z1652" t="n">
        <v>0</v>
      </c>
      <c r="AN1652" t="inlineStr">
        <is>
          <t>Augment Jat Kittag</t>
        </is>
      </c>
      <c r="AO1652" t="n">
        <v>620</v>
      </c>
      <c r="AP1652" t="n">
        <v>29946</v>
      </c>
      <c r="AQ1652" t="n">
        <v>9</v>
      </c>
      <c r="AS1652" t="inlineStr">
        <is>
          <t>Yes</t>
        </is>
      </c>
    </row>
    <row r="1653">
      <c r="A1653" t="inlineStr">
        <is>
          <t>Mod</t>
        </is>
      </c>
      <c r="B1653" t="inlineStr">
        <is>
          <t>Vulpine Mask</t>
        </is>
      </c>
      <c r="E1653" t="inlineStr">
        <is>
          <t>Stance</t>
        </is>
      </c>
      <c r="F1653" t="n">
        <v>3</v>
      </c>
      <c r="G1653" t="n">
        <v>1</v>
      </c>
      <c r="H1653" t="inlineStr">
        <is>
          <t>Player trade (max rank)</t>
        </is>
      </c>
      <c r="I1653" t="inlineStr">
        <is>
          <t>Yes</t>
        </is>
      </c>
      <c r="K1653" t="inlineStr">
        <is>
          <t>Collection</t>
        </is>
      </c>
      <c r="L1653" t="n">
        <v>5</v>
      </c>
      <c r="M1653" t="n">
        <v>9</v>
      </c>
      <c r="N1653" t="n">
        <v>20</v>
      </c>
      <c r="O1653" t="inlineStr">
        <is>
          <t>2026-10-05 UTC (WFM pull 02:52-04:00)</t>
        </is>
      </c>
      <c r="P1653" t="inlineStr">
        <is>
          <t>OK</t>
        </is>
      </c>
      <c r="R1653" t="inlineStr">
        <is>
          <t>Every current tradeable mod at MAX RANK (WFM catalogue, rivens/locators excluded)</t>
        </is>
      </c>
      <c r="S1653" t="inlineStr">
        <is>
          <t>vulpine_mask</t>
        </is>
      </c>
      <c r="T1653" t="n">
        <v>6</v>
      </c>
      <c r="U1653" t="n">
        <v>6</v>
      </c>
      <c r="V1653" t="n">
        <v>6.5</v>
      </c>
      <c r="W1653" t="n">
        <v>6.5</v>
      </c>
      <c r="X1653" t="n">
        <v>6.6</v>
      </c>
      <c r="Y1653" t="n">
        <v>25</v>
      </c>
      <c r="Z1653" t="n">
        <v>0</v>
      </c>
      <c r="AN1653" t="inlineStr">
        <is>
          <t>Stance</t>
        </is>
      </c>
      <c r="AO1653" t="n">
        <v>210</v>
      </c>
      <c r="AP1653" t="n">
        <v>10143</v>
      </c>
      <c r="AQ1653" t="n">
        <v>1.5</v>
      </c>
      <c r="AS1653" t="inlineStr">
        <is>
          <t>Yes</t>
        </is>
      </c>
    </row>
    <row r="1654">
      <c r="A1654" t="inlineStr">
        <is>
          <t>Mod</t>
        </is>
      </c>
      <c r="B1654" t="inlineStr">
        <is>
          <t>Ward Recovery</t>
        </is>
      </c>
      <c r="E1654" t="inlineStr">
        <is>
          <t>Augment Nezha</t>
        </is>
      </c>
      <c r="F1654" t="n">
        <v>3</v>
      </c>
      <c r="G1654" t="n">
        <v>1</v>
      </c>
      <c r="H1654" t="inlineStr">
        <is>
          <t>Player trade (max rank)</t>
        </is>
      </c>
      <c r="I1654" t="inlineStr">
        <is>
          <t>Yes</t>
        </is>
      </c>
      <c r="K1654" t="inlineStr">
        <is>
          <t>Collection</t>
        </is>
      </c>
      <c r="L1654" t="n">
        <v>50</v>
      </c>
      <c r="M1654" t="n">
        <v>75</v>
      </c>
      <c r="N1654" t="n">
        <v>165</v>
      </c>
      <c r="O1654" t="inlineStr">
        <is>
          <t>2026-10-05 UTC (WFM pull 02:52-04:00)</t>
        </is>
      </c>
      <c r="P1654" t="inlineStr">
        <is>
          <t>OK</t>
        </is>
      </c>
      <c r="R1654" t="inlineStr">
        <is>
          <t>Every current tradeable mod at MAX RANK (WFM catalogue, rivens/locators excluded)</t>
        </is>
      </c>
      <c r="S1654" t="inlineStr">
        <is>
          <t>ward_recovery</t>
        </is>
      </c>
      <c r="T1654" t="n">
        <v>3</v>
      </c>
      <c r="U1654" t="n">
        <v>0</v>
      </c>
      <c r="W1654" t="n">
        <v>50</v>
      </c>
      <c r="X1654" t="n">
        <v>50</v>
      </c>
      <c r="Y1654" t="n">
        <v>2</v>
      </c>
      <c r="Z1654" t="n">
        <v>0</v>
      </c>
      <c r="AA1654" t="n">
        <v>25</v>
      </c>
      <c r="AB1654" t="n">
        <v>25</v>
      </c>
      <c r="AN1654" t="inlineStr">
        <is>
          <t>Augment Nezha</t>
        </is>
      </c>
      <c r="AO1654" t="n">
        <v>210</v>
      </c>
      <c r="AP1654" t="n">
        <v>10143</v>
      </c>
      <c r="AQ1654" t="n">
        <v>90</v>
      </c>
      <c r="AS1654" t="inlineStr">
        <is>
          <t>Yes</t>
        </is>
      </c>
    </row>
    <row r="1655">
      <c r="A1655" t="inlineStr">
        <is>
          <t>Mod</t>
        </is>
      </c>
      <c r="B1655" t="inlineStr">
        <is>
          <t>Warding Thurible</t>
        </is>
      </c>
      <c r="E1655" t="inlineStr">
        <is>
          <t>Augment Harrow</t>
        </is>
      </c>
      <c r="F1655" t="n">
        <v>3</v>
      </c>
      <c r="G1655" t="n">
        <v>1</v>
      </c>
      <c r="H1655" t="inlineStr">
        <is>
          <t>Player trade (max rank)</t>
        </is>
      </c>
      <c r="I1655" t="inlineStr">
        <is>
          <t>Yes</t>
        </is>
      </c>
      <c r="K1655" t="inlineStr">
        <is>
          <t>Collection</t>
        </is>
      </c>
      <c r="L1655" t="n">
        <v>10</v>
      </c>
      <c r="M1655" t="n">
        <v>22.5</v>
      </c>
      <c r="N1655" t="n">
        <v>50</v>
      </c>
      <c r="O1655" t="inlineStr">
        <is>
          <t>2026-10-05 UTC (WFM pull 02:52-04:00)</t>
        </is>
      </c>
      <c r="P1655" t="inlineStr">
        <is>
          <t>OK</t>
        </is>
      </c>
      <c r="R1655" t="inlineStr">
        <is>
          <t>Every current tradeable mod at MAX RANK (WFM catalogue, rivens/locators excluded)</t>
        </is>
      </c>
      <c r="S1655" t="inlineStr">
        <is>
          <t>warding_thurible</t>
        </is>
      </c>
      <c r="T1655" t="n">
        <v>4</v>
      </c>
      <c r="U1655" t="n">
        <v>4</v>
      </c>
      <c r="V1655" t="n">
        <v>15</v>
      </c>
      <c r="W1655" t="n">
        <v>15</v>
      </c>
      <c r="X1655" t="n">
        <v>15.1</v>
      </c>
      <c r="Y1655" t="n">
        <v>16</v>
      </c>
      <c r="Z1655" t="n">
        <v>0</v>
      </c>
      <c r="AN1655" t="inlineStr">
        <is>
          <t>Augment Harrow</t>
        </is>
      </c>
      <c r="AO1655" t="n">
        <v>210</v>
      </c>
      <c r="AP1655" t="n">
        <v>10143</v>
      </c>
      <c r="AQ1655" t="n">
        <v>14.2</v>
      </c>
      <c r="AS1655" t="inlineStr">
        <is>
          <t>Yes</t>
        </is>
      </c>
    </row>
    <row r="1656">
      <c r="A1656" t="inlineStr">
        <is>
          <t>Mod</t>
        </is>
      </c>
      <c r="B1656" t="inlineStr">
        <is>
          <t>Warhead</t>
        </is>
      </c>
      <c r="E1656" t="inlineStr">
        <is>
          <t>Plexus</t>
        </is>
      </c>
      <c r="F1656" t="n">
        <v>10</v>
      </c>
      <c r="G1656" t="n">
        <v>1</v>
      </c>
      <c r="H1656" t="inlineStr">
        <is>
          <t>Player trade (max rank)</t>
        </is>
      </c>
      <c r="I1656" t="inlineStr">
        <is>
          <t>Yes</t>
        </is>
      </c>
      <c r="K1656" t="inlineStr">
        <is>
          <t>Collection</t>
        </is>
      </c>
      <c r="L1656" t="n">
        <v>55</v>
      </c>
      <c r="M1656" t="n">
        <v>60</v>
      </c>
      <c r="N1656" t="n">
        <v>72</v>
      </c>
      <c r="O1656" t="inlineStr">
        <is>
          <t>2026-10-05 UTC (WFM pull 02:52-04:00)</t>
        </is>
      </c>
      <c r="P1656" t="inlineStr">
        <is>
          <t>OK</t>
        </is>
      </c>
      <c r="R1656" t="inlineStr">
        <is>
          <t>Every current tradeable mod at MAX RANK (WFM catalogue, rivens/locators excluded)</t>
        </is>
      </c>
      <c r="S1656" t="inlineStr">
        <is>
          <t>warhead</t>
        </is>
      </c>
      <c r="T1656" t="n">
        <v>8</v>
      </c>
      <c r="U1656" t="n">
        <v>8</v>
      </c>
      <c r="V1656" t="n">
        <v>55</v>
      </c>
      <c r="W1656" t="n">
        <v>55</v>
      </c>
      <c r="X1656" t="n">
        <v>54.6</v>
      </c>
      <c r="Y1656" t="n">
        <v>24</v>
      </c>
      <c r="Z1656" t="n">
        <v>0</v>
      </c>
      <c r="AN1656" t="inlineStr">
        <is>
          <t>Plexus</t>
        </is>
      </c>
      <c r="AO1656" t="n">
        <v>20460</v>
      </c>
      <c r="AP1656" t="n">
        <v>988218</v>
      </c>
      <c r="AQ1656" t="n">
        <v>3</v>
      </c>
      <c r="AS1656" t="inlineStr">
        <is>
          <t>Yes</t>
        </is>
      </c>
    </row>
    <row r="1657">
      <c r="A1657" t="inlineStr">
        <is>
          <t>Mod</t>
        </is>
      </c>
      <c r="B1657" t="inlineStr">
        <is>
          <t>Warm Coat</t>
        </is>
      </c>
      <c r="E1657" t="inlineStr">
        <is>
          <t>Warframe</t>
        </is>
      </c>
      <c r="F1657" t="n">
        <v>3</v>
      </c>
      <c r="G1657" t="n">
        <v>1</v>
      </c>
      <c r="H1657" t="inlineStr">
        <is>
          <t>Player trade (max rank)</t>
        </is>
      </c>
      <c r="I1657" t="inlineStr">
        <is>
          <t>Yes</t>
        </is>
      </c>
      <c r="K1657" t="inlineStr">
        <is>
          <t>Collection</t>
        </is>
      </c>
      <c r="L1657" t="n">
        <v>8</v>
      </c>
      <c r="M1657" t="n">
        <v>8</v>
      </c>
      <c r="N1657" t="n">
        <v>18</v>
      </c>
      <c r="O1657" t="inlineStr">
        <is>
          <t>2026-10-05 UTC (WFM pull 02:52-04:00)</t>
        </is>
      </c>
      <c r="P1657" t="inlineStr">
        <is>
          <t>OK</t>
        </is>
      </c>
      <c r="R1657" t="inlineStr">
        <is>
          <t>Every current tradeable mod at MAX RANK (WFM catalogue, rivens/locators excluded)</t>
        </is>
      </c>
      <c r="S1657" t="inlineStr">
        <is>
          <t>warm_coat</t>
        </is>
      </c>
      <c r="T1657" t="n">
        <v>3</v>
      </c>
      <c r="U1657" t="n">
        <v>3</v>
      </c>
      <c r="V1657" t="n">
        <v>7</v>
      </c>
      <c r="W1657" t="n">
        <v>500067</v>
      </c>
      <c r="X1657" t="n">
        <v>342368.5</v>
      </c>
      <c r="Y1657" t="n">
        <v>19</v>
      </c>
      <c r="Z1657" t="n">
        <v>0</v>
      </c>
      <c r="AN1657" t="inlineStr">
        <is>
          <t>Warframe</t>
        </is>
      </c>
      <c r="AO1657" t="n">
        <v>70</v>
      </c>
      <c r="AP1657" t="n">
        <v>3381</v>
      </c>
      <c r="AQ1657" t="n">
        <v>6</v>
      </c>
      <c r="AS1657" t="inlineStr">
        <is>
          <t>Yes</t>
        </is>
      </c>
    </row>
    <row r="1658">
      <c r="A1658" t="inlineStr">
        <is>
          <t>Mod</t>
        </is>
      </c>
      <c r="B1658" t="inlineStr">
        <is>
          <t>Warrior's Rest</t>
        </is>
      </c>
      <c r="E1658" t="inlineStr">
        <is>
          <t>Augment Excalibur Umbra</t>
        </is>
      </c>
      <c r="F1658" t="n">
        <v>5</v>
      </c>
      <c r="G1658" t="n">
        <v>1</v>
      </c>
      <c r="H1658" t="inlineStr">
        <is>
          <t>Player trade (max rank)</t>
        </is>
      </c>
      <c r="I1658" t="inlineStr">
        <is>
          <t>Yes</t>
        </is>
      </c>
      <c r="K1658" t="inlineStr">
        <is>
          <t>Collection</t>
        </is>
      </c>
      <c r="L1658" t="n">
        <v>8</v>
      </c>
      <c r="M1658" t="n">
        <v>10</v>
      </c>
      <c r="N1658" t="n">
        <v>17</v>
      </c>
      <c r="O1658" t="inlineStr">
        <is>
          <t>2026-10-05 UTC (WFM pull 02:52-04:00)</t>
        </is>
      </c>
      <c r="P1658" t="inlineStr">
        <is>
          <t>OK</t>
        </is>
      </c>
      <c r="R1658" t="inlineStr">
        <is>
          <t>Every current tradeable mod at MAX RANK (WFM catalogue, rivens/locators excluded)</t>
        </is>
      </c>
      <c r="S1658" t="inlineStr">
        <is>
          <t>warriors_rest</t>
        </is>
      </c>
      <c r="T1658" t="n">
        <v>75</v>
      </c>
      <c r="U1658" t="n">
        <v>1</v>
      </c>
      <c r="V1658" t="n">
        <v>15</v>
      </c>
      <c r="W1658" t="n">
        <v>12.5</v>
      </c>
      <c r="X1658" t="n">
        <v>14.2</v>
      </c>
      <c r="Y1658" t="n">
        <v>69</v>
      </c>
      <c r="Z1658" t="n">
        <v>0</v>
      </c>
      <c r="AN1658" t="inlineStr">
        <is>
          <t>Augment Excalibur Umbra</t>
        </is>
      </c>
      <c r="AO1658" t="n">
        <v>930</v>
      </c>
      <c r="AP1658" t="n">
        <v>44919</v>
      </c>
      <c r="AQ1658" t="n">
        <v>13</v>
      </c>
      <c r="AS1658" t="inlineStr">
        <is>
          <t>Yes</t>
        </is>
      </c>
    </row>
    <row r="1659">
      <c r="A1659" t="inlineStr">
        <is>
          <t>Mod</t>
        </is>
      </c>
      <c r="B1659" t="inlineStr">
        <is>
          <t>Waveband Disruptor</t>
        </is>
      </c>
      <c r="E1659" t="inlineStr">
        <is>
          <t>Plexus</t>
        </is>
      </c>
      <c r="F1659" t="n">
        <v>5</v>
      </c>
      <c r="G1659" t="n">
        <v>1</v>
      </c>
      <c r="H1659" t="inlineStr">
        <is>
          <t>Player trade (max rank)</t>
        </is>
      </c>
      <c r="I1659" t="inlineStr">
        <is>
          <t>Yes</t>
        </is>
      </c>
      <c r="K1659" t="inlineStr">
        <is>
          <t>Collection</t>
        </is>
      </c>
      <c r="L1659" t="n">
        <v>5</v>
      </c>
      <c r="M1659" t="n">
        <v>10</v>
      </c>
      <c r="N1659" t="n">
        <v>17</v>
      </c>
      <c r="O1659" t="inlineStr">
        <is>
          <t>2026-10-05 UTC (WFM pull 02:52-04:00)</t>
        </is>
      </c>
      <c r="P1659" t="inlineStr">
        <is>
          <t>OK</t>
        </is>
      </c>
      <c r="R1659" t="inlineStr">
        <is>
          <t>Every current tradeable mod at MAX RANK (WFM catalogue, rivens/locators excluded)</t>
        </is>
      </c>
      <c r="S1659" t="inlineStr">
        <is>
          <t>waveband_disruptor</t>
        </is>
      </c>
      <c r="T1659" t="n">
        <v>50</v>
      </c>
      <c r="U1659" t="n">
        <v>0</v>
      </c>
      <c r="V1659" t="n">
        <v>15</v>
      </c>
      <c r="W1659" t="n">
        <v>15</v>
      </c>
      <c r="X1659" t="n">
        <v>15</v>
      </c>
      <c r="Y1659" t="n">
        <v>5</v>
      </c>
      <c r="Z1659" t="n">
        <v>0</v>
      </c>
      <c r="AN1659" t="inlineStr">
        <is>
          <t>Plexus</t>
        </is>
      </c>
      <c r="AO1659" t="n">
        <v>620</v>
      </c>
      <c r="AP1659" t="n">
        <v>29946</v>
      </c>
      <c r="AQ1659" t="n">
        <v>6</v>
      </c>
      <c r="AS1659" t="inlineStr">
        <is>
          <t>Yes</t>
        </is>
      </c>
    </row>
    <row r="1660">
      <c r="A1660" t="inlineStr">
        <is>
          <t>Mod</t>
        </is>
      </c>
      <c r="B1660" t="inlineStr">
        <is>
          <t>Weeping Wounds</t>
        </is>
      </c>
      <c r="E1660" t="inlineStr">
        <is>
          <t>Melee</t>
        </is>
      </c>
      <c r="F1660" t="n">
        <v>5</v>
      </c>
      <c r="G1660" t="n">
        <v>1</v>
      </c>
      <c r="H1660" t="inlineStr">
        <is>
          <t>Player trade (max rank)</t>
        </is>
      </c>
      <c r="I1660" t="inlineStr">
        <is>
          <t>Yes</t>
        </is>
      </c>
      <c r="K1660" t="inlineStr">
        <is>
          <t>Collection</t>
        </is>
      </c>
      <c r="L1660" t="n">
        <v>25</v>
      </c>
      <c r="M1660" t="n">
        <v>34.5</v>
      </c>
      <c r="N1660" t="n">
        <v>76</v>
      </c>
      <c r="O1660" t="inlineStr">
        <is>
          <t>2026-10-05 UTC (WFM pull 02:52-04:00)</t>
        </is>
      </c>
      <c r="P1660" t="inlineStr">
        <is>
          <t>OK</t>
        </is>
      </c>
      <c r="R1660" t="inlineStr">
        <is>
          <t>Every current tradeable mod at MAX RANK (WFM catalogue, rivens/locators excluded)</t>
        </is>
      </c>
      <c r="S1660" t="inlineStr">
        <is>
          <t>weeping_wounds</t>
        </is>
      </c>
      <c r="T1660" t="n">
        <v>5</v>
      </c>
      <c r="U1660" t="n">
        <v>5</v>
      </c>
      <c r="V1660" t="n">
        <v>23</v>
      </c>
      <c r="W1660" t="n">
        <v>20</v>
      </c>
      <c r="X1660" t="n">
        <v>21.7</v>
      </c>
      <c r="Y1660" t="n">
        <v>2891</v>
      </c>
      <c r="Z1660" t="n">
        <v>49</v>
      </c>
      <c r="AA1660" t="n">
        <v>10</v>
      </c>
      <c r="AB1660" t="n">
        <v>15</v>
      </c>
      <c r="AN1660" t="inlineStr">
        <is>
          <t>Melee</t>
        </is>
      </c>
      <c r="AO1660" t="n">
        <v>620</v>
      </c>
      <c r="AP1660" t="n">
        <v>29946</v>
      </c>
      <c r="AQ1660" t="n">
        <v>16</v>
      </c>
      <c r="AS1660" t="inlineStr">
        <is>
          <t>Yes</t>
        </is>
      </c>
    </row>
    <row r="1661">
      <c r="A1661" t="inlineStr">
        <is>
          <t>Mod</t>
        </is>
      </c>
      <c r="B1661" t="inlineStr">
        <is>
          <t>Whiplash Mine</t>
        </is>
      </c>
      <c r="E1661" t="inlineStr">
        <is>
          <t>MOA</t>
        </is>
      </c>
      <c r="F1661" t="n">
        <v>3</v>
      </c>
      <c r="G1661" t="n">
        <v>1</v>
      </c>
      <c r="H1661" t="inlineStr">
        <is>
          <t>Player trade (max rank)</t>
        </is>
      </c>
      <c r="I1661" t="inlineStr">
        <is>
          <t>Yes</t>
        </is>
      </c>
      <c r="K1661" t="inlineStr">
        <is>
          <t>Collection</t>
        </is>
      </c>
      <c r="L1661" t="n">
        <v>49</v>
      </c>
      <c r="M1661" t="n">
        <v>90</v>
      </c>
      <c r="N1661" t="n">
        <v>111</v>
      </c>
      <c r="O1661" t="inlineStr">
        <is>
          <t>2026-10-05 UTC (WFM pull 02:52-04:00)</t>
        </is>
      </c>
      <c r="P1661" t="inlineStr">
        <is>
          <t>OK</t>
        </is>
      </c>
      <c r="R1661" t="inlineStr">
        <is>
          <t>Every current tradeable mod at MAX RANK (WFM catalogue, rivens/locators excluded)</t>
        </is>
      </c>
      <c r="S1661" t="inlineStr">
        <is>
          <t>whiplash_mine</t>
        </is>
      </c>
      <c r="T1661" t="n">
        <v>28</v>
      </c>
      <c r="U1661" t="n">
        <v>1</v>
      </c>
      <c r="V1661" t="n">
        <v>87.5</v>
      </c>
      <c r="W1661" t="n">
        <v>90</v>
      </c>
      <c r="X1661" t="n">
        <v>103.1</v>
      </c>
      <c r="Y1661" t="n">
        <v>13</v>
      </c>
      <c r="Z1661" t="n">
        <v>2</v>
      </c>
      <c r="AN1661" t="inlineStr">
        <is>
          <t>MOA</t>
        </is>
      </c>
      <c r="AO1661" t="n">
        <v>70</v>
      </c>
      <c r="AP1661" t="n">
        <v>3381</v>
      </c>
      <c r="AQ1661" t="n">
        <v>111</v>
      </c>
      <c r="AS1661" t="inlineStr">
        <is>
          <t>Yes</t>
        </is>
      </c>
    </row>
    <row r="1662">
      <c r="A1662" t="inlineStr">
        <is>
          <t>Mod</t>
        </is>
      </c>
      <c r="B1662" t="inlineStr">
        <is>
          <t>Whirlwind</t>
        </is>
      </c>
      <c r="E1662" t="inlineStr">
        <is>
          <t>Thrown Melee</t>
        </is>
      </c>
      <c r="F1662" t="n">
        <v>5</v>
      </c>
      <c r="G1662" t="n">
        <v>1</v>
      </c>
      <c r="H1662" t="inlineStr">
        <is>
          <t>Player trade (max rank)</t>
        </is>
      </c>
      <c r="I1662" t="inlineStr">
        <is>
          <t>Yes</t>
        </is>
      </c>
      <c r="K1662" t="inlineStr">
        <is>
          <t>Collection</t>
        </is>
      </c>
      <c r="L1662" t="n">
        <v>10</v>
      </c>
      <c r="M1662" t="n">
        <v>15</v>
      </c>
      <c r="N1662" t="n">
        <v>22</v>
      </c>
      <c r="O1662" t="inlineStr">
        <is>
          <t>2026-10-05 UTC (WFM pull 02:52-04:00)</t>
        </is>
      </c>
      <c r="P1662" t="inlineStr">
        <is>
          <t>OK</t>
        </is>
      </c>
      <c r="R1662" t="inlineStr">
        <is>
          <t>Every current tradeable mod at MAX RANK (WFM catalogue, rivens/locators excluded)</t>
        </is>
      </c>
      <c r="S1662" t="inlineStr">
        <is>
          <t>whirlwind</t>
        </is>
      </c>
      <c r="T1662" t="n">
        <v>8</v>
      </c>
      <c r="U1662" t="n">
        <v>8</v>
      </c>
      <c r="V1662" t="n">
        <v>10</v>
      </c>
      <c r="W1662" t="n">
        <v>10</v>
      </c>
      <c r="X1662" t="n">
        <v>11.5</v>
      </c>
      <c r="Y1662" t="n">
        <v>123</v>
      </c>
      <c r="Z1662" t="n">
        <v>4</v>
      </c>
      <c r="AN1662" t="inlineStr">
        <is>
          <t>Thrown Melee</t>
        </is>
      </c>
      <c r="AO1662" t="n">
        <v>930</v>
      </c>
      <c r="AP1662" t="n">
        <v>44919</v>
      </c>
      <c r="AQ1662" t="n">
        <v>4</v>
      </c>
      <c r="AS1662" t="inlineStr">
        <is>
          <t>Yes</t>
        </is>
      </c>
    </row>
    <row r="1663">
      <c r="A1663" t="inlineStr">
        <is>
          <t>Mod</t>
        </is>
      </c>
      <c r="B1663" t="inlineStr">
        <is>
          <t>Wild Frenzy</t>
        </is>
      </c>
      <c r="E1663" t="inlineStr">
        <is>
          <t>Augment Grakata</t>
        </is>
      </c>
      <c r="F1663" t="n">
        <v>5</v>
      </c>
      <c r="G1663" t="n">
        <v>1</v>
      </c>
      <c r="H1663" t="inlineStr">
        <is>
          <t>Player trade (max rank)</t>
        </is>
      </c>
      <c r="I1663" t="inlineStr">
        <is>
          <t>Yes</t>
        </is>
      </c>
      <c r="K1663" t="inlineStr">
        <is>
          <t>Collection</t>
        </is>
      </c>
      <c r="L1663" t="n">
        <v>80</v>
      </c>
      <c r="M1663" t="n">
        <v>80</v>
      </c>
      <c r="N1663" t="n">
        <v>132</v>
      </c>
      <c r="O1663" t="inlineStr">
        <is>
          <t>2026-10-05 UTC (WFM pull 02:52-04:00)</t>
        </is>
      </c>
      <c r="P1663" t="inlineStr">
        <is>
          <t>OK</t>
        </is>
      </c>
      <c r="R1663" t="inlineStr">
        <is>
          <t>Every current tradeable mod at MAX RANK (WFM catalogue, rivens/locators excluded)</t>
        </is>
      </c>
      <c r="S1663" t="inlineStr">
        <is>
          <t>wild_frenzy</t>
        </is>
      </c>
      <c r="T1663" t="n">
        <v>3</v>
      </c>
      <c r="U1663" t="n">
        <v>3</v>
      </c>
      <c r="V1663" t="n">
        <v>12</v>
      </c>
      <c r="W1663" t="n">
        <v>12.5</v>
      </c>
      <c r="X1663" t="n">
        <v>16.1</v>
      </c>
      <c r="Y1663" t="n">
        <v>22</v>
      </c>
      <c r="Z1663" t="n">
        <v>1</v>
      </c>
      <c r="AN1663" t="inlineStr">
        <is>
          <t>Augment Grakata</t>
        </is>
      </c>
      <c r="AO1663" t="n">
        <v>930</v>
      </c>
      <c r="AP1663" t="n">
        <v>44919</v>
      </c>
      <c r="AQ1663" t="n">
        <v>15</v>
      </c>
      <c r="AS1663" t="inlineStr">
        <is>
          <t>Yes</t>
        </is>
      </c>
    </row>
    <row r="1664">
      <c r="A1664" t="inlineStr">
        <is>
          <t>Mod</t>
        </is>
      </c>
      <c r="B1664" t="inlineStr">
        <is>
          <t>Wildfire</t>
        </is>
      </c>
      <c r="E1664" t="inlineStr">
        <is>
          <t>Rifle</t>
        </is>
      </c>
      <c r="F1664" t="n">
        <v>3</v>
      </c>
      <c r="G1664" t="n">
        <v>1</v>
      </c>
      <c r="H1664" t="inlineStr">
        <is>
          <t>Player trade (max rank)</t>
        </is>
      </c>
      <c r="I1664" t="inlineStr">
        <is>
          <t>Yes</t>
        </is>
      </c>
      <c r="K1664" t="inlineStr">
        <is>
          <t>Collection</t>
        </is>
      </c>
      <c r="L1664" t="n">
        <v>5</v>
      </c>
      <c r="M1664" t="n">
        <v>7</v>
      </c>
      <c r="N1664" t="n">
        <v>9</v>
      </c>
      <c r="O1664" t="inlineStr">
        <is>
          <t>2026-10-05 UTC (WFM pull 02:52-04:00)</t>
        </is>
      </c>
      <c r="P1664" t="inlineStr">
        <is>
          <t>OK</t>
        </is>
      </c>
      <c r="R1664" t="inlineStr">
        <is>
          <t>Every current tradeable mod at MAX RANK (WFM catalogue, rivens/locators excluded)</t>
        </is>
      </c>
      <c r="S1664" t="inlineStr">
        <is>
          <t>wildfire</t>
        </is>
      </c>
      <c r="T1664" t="n">
        <v>15</v>
      </c>
      <c r="U1664" t="n">
        <v>15</v>
      </c>
      <c r="V1664" t="n">
        <v>8</v>
      </c>
      <c r="W1664" t="n">
        <v>7</v>
      </c>
      <c r="X1664" t="n">
        <v>7.1</v>
      </c>
      <c r="Y1664" t="n">
        <v>210</v>
      </c>
      <c r="Z1664" t="n">
        <v>3</v>
      </c>
      <c r="AN1664" t="inlineStr">
        <is>
          <t>Rifle</t>
        </is>
      </c>
      <c r="AO1664" t="n">
        <v>210</v>
      </c>
      <c r="AP1664" t="n">
        <v>10143</v>
      </c>
      <c r="AQ1664" t="n">
        <v>4.5</v>
      </c>
      <c r="AS1664" t="inlineStr">
        <is>
          <t>Yes</t>
        </is>
      </c>
    </row>
    <row r="1665">
      <c r="A1665" t="inlineStr">
        <is>
          <t>Mod</t>
        </is>
      </c>
      <c r="B1665" t="inlineStr">
        <is>
          <t>Winds Of Purity</t>
        </is>
      </c>
      <c r="E1665" t="inlineStr">
        <is>
          <t>Augment Furis</t>
        </is>
      </c>
      <c r="F1665" t="n">
        <v>3</v>
      </c>
      <c r="G1665" t="n">
        <v>1</v>
      </c>
      <c r="H1665" t="inlineStr">
        <is>
          <t>Player trade (max rank)</t>
        </is>
      </c>
      <c r="I1665" t="inlineStr">
        <is>
          <t>Yes</t>
        </is>
      </c>
      <c r="K1665" t="inlineStr">
        <is>
          <t>Collection</t>
        </is>
      </c>
      <c r="L1665" t="n">
        <v>9</v>
      </c>
      <c r="M1665" t="n">
        <v>12</v>
      </c>
      <c r="N1665" t="n">
        <v>17</v>
      </c>
      <c r="O1665" t="inlineStr">
        <is>
          <t>2026-10-05 UTC (WFM pull 02:52-04:00)</t>
        </is>
      </c>
      <c r="P1665" t="inlineStr">
        <is>
          <t>OK</t>
        </is>
      </c>
      <c r="R1665" t="inlineStr">
        <is>
          <t>Every current tradeable mod at MAX RANK (WFM catalogue, rivens/locators excluded)</t>
        </is>
      </c>
      <c r="S1665" t="inlineStr">
        <is>
          <t>winds_of_purity</t>
        </is>
      </c>
      <c r="T1665" t="n">
        <v>41</v>
      </c>
      <c r="U1665" t="n">
        <v>2</v>
      </c>
      <c r="V1665" t="n">
        <v>15</v>
      </c>
      <c r="W1665" t="n">
        <v>14</v>
      </c>
      <c r="X1665" t="n">
        <v>14.3</v>
      </c>
      <c r="Y1665" t="n">
        <v>61</v>
      </c>
      <c r="Z1665" t="n">
        <v>1</v>
      </c>
      <c r="AN1665" t="inlineStr">
        <is>
          <t>Augment Furis</t>
        </is>
      </c>
      <c r="AO1665" t="n">
        <v>210</v>
      </c>
      <c r="AP1665" t="n">
        <v>10143</v>
      </c>
      <c r="AQ1665" t="n">
        <v>17</v>
      </c>
      <c r="AS1665" t="inlineStr">
        <is>
          <t>Yes</t>
        </is>
      </c>
    </row>
    <row r="1666">
      <c r="A1666" t="inlineStr">
        <is>
          <t>Mod</t>
        </is>
      </c>
      <c r="B1666" t="inlineStr">
        <is>
          <t>Wise Razor</t>
        </is>
      </c>
      <c r="E1666" t="inlineStr">
        <is>
          <t>Stance</t>
        </is>
      </c>
      <c r="F1666" t="n">
        <v>3</v>
      </c>
      <c r="G1666" t="n">
        <v>1</v>
      </c>
      <c r="H1666" t="inlineStr">
        <is>
          <t>Player trade (max rank)</t>
        </is>
      </c>
      <c r="I1666" t="inlineStr">
        <is>
          <t>Yes</t>
        </is>
      </c>
      <c r="K1666" t="inlineStr">
        <is>
          <t>Collection</t>
        </is>
      </c>
      <c r="L1666" t="n">
        <v>15</v>
      </c>
      <c r="M1666" t="n">
        <v>15</v>
      </c>
      <c r="N1666" t="n">
        <v>28</v>
      </c>
      <c r="O1666" t="inlineStr">
        <is>
          <t>2026-10-05 UTC (WFM pull 02:52-04:00)</t>
        </is>
      </c>
      <c r="P1666" t="inlineStr">
        <is>
          <t>OK</t>
        </is>
      </c>
      <c r="R1666" t="inlineStr">
        <is>
          <t>Every current tradeable mod at MAX RANK (WFM catalogue, rivens/locators excluded)</t>
        </is>
      </c>
      <c r="S1666" t="inlineStr">
        <is>
          <t>wise_razor</t>
        </is>
      </c>
      <c r="T1666" t="n">
        <v>8</v>
      </c>
      <c r="U1666" t="n">
        <v>8</v>
      </c>
      <c r="V1666" t="n">
        <v>17</v>
      </c>
      <c r="W1666" t="n">
        <v>18.5</v>
      </c>
      <c r="X1666" t="n">
        <v>18.7</v>
      </c>
      <c r="Y1666" t="n">
        <v>326</v>
      </c>
      <c r="Z1666" t="n">
        <v>2</v>
      </c>
      <c r="AN1666" t="inlineStr">
        <is>
          <t>Stance</t>
        </is>
      </c>
      <c r="AO1666" t="n">
        <v>140</v>
      </c>
      <c r="AP1666" t="n">
        <v>6762</v>
      </c>
      <c r="AQ1666" t="n">
        <v>10</v>
      </c>
      <c r="AS1666" t="inlineStr">
        <is>
          <t>Yes</t>
        </is>
      </c>
    </row>
    <row r="1667">
      <c r="A1667" t="inlineStr">
        <is>
          <t>Mod</t>
        </is>
      </c>
      <c r="B1667" t="inlineStr">
        <is>
          <t>Worm Away</t>
        </is>
      </c>
      <c r="E1667" t="inlineStr">
        <is>
          <t>Parazon</t>
        </is>
      </c>
      <c r="F1667" t="n">
        <v>3</v>
      </c>
      <c r="G1667" t="n">
        <v>1</v>
      </c>
      <c r="H1667" t="inlineStr">
        <is>
          <t>Player trade (max rank)</t>
        </is>
      </c>
      <c r="I1667" t="inlineStr">
        <is>
          <t>Yes</t>
        </is>
      </c>
      <c r="K1667" t="inlineStr">
        <is>
          <t>Collection</t>
        </is>
      </c>
      <c r="L1667" t="n">
        <v>4</v>
      </c>
      <c r="M1667" t="n">
        <v>4</v>
      </c>
      <c r="N1667" t="n">
        <v>6</v>
      </c>
      <c r="O1667" t="inlineStr">
        <is>
          <t>2026-10-05 UTC (WFM pull 02:52-04:00)</t>
        </is>
      </c>
      <c r="P1667" t="inlineStr">
        <is>
          <t>OK</t>
        </is>
      </c>
      <c r="R1667" t="inlineStr">
        <is>
          <t>Every current tradeable mod at MAX RANK (WFM catalogue, rivens/locators excluded)</t>
        </is>
      </c>
      <c r="S1667" t="inlineStr">
        <is>
          <t>worm_away</t>
        </is>
      </c>
      <c r="T1667" t="n">
        <v>9</v>
      </c>
      <c r="U1667" t="n">
        <v>9</v>
      </c>
      <c r="V1667" t="n">
        <v>5</v>
      </c>
      <c r="W1667" t="n">
        <v>5</v>
      </c>
      <c r="X1667" t="n">
        <v>5</v>
      </c>
      <c r="Y1667" t="n">
        <v>1155</v>
      </c>
      <c r="Z1667" t="n">
        <v>38</v>
      </c>
      <c r="AN1667" t="inlineStr">
        <is>
          <t>Parazon</t>
        </is>
      </c>
      <c r="AO1667" t="n">
        <v>210</v>
      </c>
      <c r="AP1667" t="n">
        <v>10143</v>
      </c>
      <c r="AQ1667" t="n">
        <v>4</v>
      </c>
      <c r="AS1667" t="inlineStr">
        <is>
          <t>Yes</t>
        </is>
      </c>
    </row>
    <row r="1668">
      <c r="A1668" t="inlineStr">
        <is>
          <t>Mod</t>
        </is>
      </c>
      <c r="B1668" t="inlineStr">
        <is>
          <t>Worm's Torment</t>
        </is>
      </c>
      <c r="E1668" t="inlineStr">
        <is>
          <t>Plexus</t>
        </is>
      </c>
      <c r="F1668" t="n">
        <v>5</v>
      </c>
      <c r="G1668" t="n">
        <v>1</v>
      </c>
      <c r="H1668" t="inlineStr">
        <is>
          <t>Player trade (max rank)</t>
        </is>
      </c>
      <c r="I1668" t="inlineStr">
        <is>
          <t>Yes</t>
        </is>
      </c>
      <c r="K1668" t="inlineStr">
        <is>
          <t>Collection</t>
        </is>
      </c>
      <c r="L1668" t="n">
        <v>3</v>
      </c>
      <c r="M1668" t="n">
        <v>5</v>
      </c>
      <c r="N1668" t="n">
        <v>11</v>
      </c>
      <c r="O1668" t="inlineStr">
        <is>
          <t>2026-10-05 UTC (WFM pull 02:52-04:00)</t>
        </is>
      </c>
      <c r="P1668" t="inlineStr">
        <is>
          <t>OK</t>
        </is>
      </c>
      <c r="R1668" t="inlineStr">
        <is>
          <t>Every current tradeable mod at MAX RANK (WFM catalogue, rivens/locators excluded)</t>
        </is>
      </c>
      <c r="S1668" t="inlineStr">
        <is>
          <t>worms_torment</t>
        </is>
      </c>
      <c r="T1668" t="n">
        <v>81</v>
      </c>
      <c r="U1668" t="n">
        <v>0</v>
      </c>
      <c r="V1668" t="n">
        <v>15</v>
      </c>
      <c r="W1668" t="n">
        <v>12</v>
      </c>
      <c r="X1668" t="n">
        <v>13.6</v>
      </c>
      <c r="Y1668" t="n">
        <v>12</v>
      </c>
      <c r="Z1668" t="n">
        <v>0</v>
      </c>
      <c r="AN1668" t="inlineStr">
        <is>
          <t>Plexus</t>
        </is>
      </c>
      <c r="AO1668" t="n">
        <v>930</v>
      </c>
      <c r="AP1668" t="n">
        <v>44919</v>
      </c>
      <c r="AQ1668" t="n">
        <v>4.5</v>
      </c>
      <c r="AS1668" t="inlineStr">
        <is>
          <t>Yes</t>
        </is>
      </c>
    </row>
    <row r="1669">
      <c r="A1669" t="inlineStr">
        <is>
          <t>Mod</t>
        </is>
      </c>
      <c r="B1669" t="inlineStr">
        <is>
          <t>Worthy Comradery</t>
        </is>
      </c>
      <c r="E1669" t="inlineStr">
        <is>
          <t>Aura</t>
        </is>
      </c>
      <c r="F1669" t="n">
        <v>5</v>
      </c>
      <c r="G1669" t="n">
        <v>1</v>
      </c>
      <c r="H1669" t="inlineStr">
        <is>
          <t>Player trade (max rank)</t>
        </is>
      </c>
      <c r="I1669" t="inlineStr">
        <is>
          <t>Yes</t>
        </is>
      </c>
      <c r="K1669" t="inlineStr">
        <is>
          <t>Collection</t>
        </is>
      </c>
      <c r="L1669" t="n">
        <v>4</v>
      </c>
      <c r="M1669" t="n">
        <v>9</v>
      </c>
      <c r="N1669" t="n">
        <v>20</v>
      </c>
      <c r="O1669" t="inlineStr">
        <is>
          <t>2026-10-05 UTC (WFM pull 02:52-04:00)</t>
        </is>
      </c>
      <c r="P1669" t="inlineStr">
        <is>
          <t>OK</t>
        </is>
      </c>
      <c r="R1669" t="inlineStr">
        <is>
          <t>Every current tradeable mod at MAX RANK (WFM catalogue, rivens/locators excluded)</t>
        </is>
      </c>
      <c r="S1669" t="inlineStr">
        <is>
          <t>worthy_comradery</t>
        </is>
      </c>
      <c r="T1669" t="n">
        <v>5</v>
      </c>
      <c r="U1669" t="n">
        <v>5</v>
      </c>
      <c r="V1669" t="n">
        <v>7</v>
      </c>
      <c r="W1669" t="n">
        <v>7</v>
      </c>
      <c r="X1669" t="n">
        <v>6.8</v>
      </c>
      <c r="Y1669" t="n">
        <v>281</v>
      </c>
      <c r="Z1669" t="n">
        <v>11</v>
      </c>
      <c r="AN1669" t="inlineStr">
        <is>
          <t>Aura</t>
        </is>
      </c>
      <c r="AO1669" t="n">
        <v>620</v>
      </c>
      <c r="AP1669" t="n">
        <v>29946</v>
      </c>
      <c r="AQ1669" t="n">
        <v>2</v>
      </c>
      <c r="AS1669" t="inlineStr">
        <is>
          <t>Yes</t>
        </is>
      </c>
    </row>
    <row r="1670">
      <c r="A1670" t="inlineStr">
        <is>
          <t>Mod</t>
        </is>
      </c>
      <c r="B1670" t="inlineStr">
        <is>
          <t>Wrath Of Ukko</t>
        </is>
      </c>
      <c r="E1670" t="inlineStr">
        <is>
          <t>Augment Kullervo</t>
        </is>
      </c>
      <c r="F1670" t="n">
        <v>3</v>
      </c>
      <c r="G1670" t="n">
        <v>1</v>
      </c>
      <c r="H1670" t="inlineStr">
        <is>
          <t>Player trade (max rank)</t>
        </is>
      </c>
      <c r="I1670" t="inlineStr">
        <is>
          <t>Yes</t>
        </is>
      </c>
      <c r="K1670" t="inlineStr">
        <is>
          <t>Collection</t>
        </is>
      </c>
      <c r="L1670" t="n">
        <v>15</v>
      </c>
      <c r="M1670" t="n">
        <v>16.5</v>
      </c>
      <c r="N1670" t="n">
        <v>37</v>
      </c>
      <c r="O1670" t="inlineStr">
        <is>
          <t>2026-10-05 UTC (WFM pull 02:52-04:00)</t>
        </is>
      </c>
      <c r="P1670" t="inlineStr">
        <is>
          <t>OK</t>
        </is>
      </c>
      <c r="R1670" t="inlineStr">
        <is>
          <t>Every current tradeable mod at MAX RANK (WFM catalogue, rivens/locators excluded)</t>
        </is>
      </c>
      <c r="S1670" t="inlineStr">
        <is>
          <t>wrath_of_ukko</t>
        </is>
      </c>
      <c r="T1670" t="n">
        <v>6</v>
      </c>
      <c r="U1670" t="n">
        <v>6</v>
      </c>
      <c r="V1670" t="n">
        <v>11</v>
      </c>
      <c r="W1670" t="n">
        <v>12.5</v>
      </c>
      <c r="X1670" t="n">
        <v>13.3</v>
      </c>
      <c r="Y1670" t="n">
        <v>82</v>
      </c>
      <c r="Z1670" t="n">
        <v>1</v>
      </c>
      <c r="AN1670" t="inlineStr">
        <is>
          <t>Augment Kullervo</t>
        </is>
      </c>
      <c r="AO1670" t="n">
        <v>210</v>
      </c>
      <c r="AP1670" t="n">
        <v>10143</v>
      </c>
      <c r="AQ1670" t="n">
        <v>14</v>
      </c>
      <c r="AS1670" t="inlineStr">
        <is>
          <t>Yes</t>
        </is>
      </c>
    </row>
    <row r="1671">
      <c r="A1671" t="inlineStr">
        <is>
          <t>Mod</t>
        </is>
      </c>
      <c r="B1671" t="inlineStr">
        <is>
          <t>Wrecking Wall</t>
        </is>
      </c>
      <c r="E1671" t="inlineStr">
        <is>
          <t>Augment Qorvex</t>
        </is>
      </c>
      <c r="F1671" t="n">
        <v>3</v>
      </c>
      <c r="G1671" t="n">
        <v>1</v>
      </c>
      <c r="H1671" t="inlineStr">
        <is>
          <t>Player trade (max rank)</t>
        </is>
      </c>
      <c r="I1671" t="inlineStr">
        <is>
          <t>Yes</t>
        </is>
      </c>
      <c r="K1671" t="inlineStr">
        <is>
          <t>Collection</t>
        </is>
      </c>
      <c r="L1671" t="n">
        <v>25</v>
      </c>
      <c r="M1671" t="n">
        <v>25</v>
      </c>
      <c r="N1671" t="n">
        <v>56</v>
      </c>
      <c r="O1671" t="inlineStr">
        <is>
          <t>2026-10-05 UTC (WFM pull 02:52-04:00)</t>
        </is>
      </c>
      <c r="P1671" t="inlineStr">
        <is>
          <t>OK</t>
        </is>
      </c>
      <c r="R1671" t="inlineStr">
        <is>
          <t>Every current tradeable mod at MAX RANK (WFM catalogue, rivens/locators excluded)</t>
        </is>
      </c>
      <c r="S1671" t="inlineStr">
        <is>
          <t>wrecking_wall</t>
        </is>
      </c>
      <c r="T1671" t="n">
        <v>3</v>
      </c>
      <c r="U1671" t="n">
        <v>3</v>
      </c>
      <c r="V1671" t="n">
        <v>15</v>
      </c>
      <c r="W1671" t="n">
        <v>15</v>
      </c>
      <c r="X1671" t="n">
        <v>16.4</v>
      </c>
      <c r="Y1671" t="n">
        <v>78</v>
      </c>
      <c r="Z1671" t="n">
        <v>5</v>
      </c>
      <c r="AN1671" t="inlineStr">
        <is>
          <t>Augment Qorvex</t>
        </is>
      </c>
      <c r="AO1671" t="n">
        <v>210</v>
      </c>
      <c r="AP1671" t="n">
        <v>10143</v>
      </c>
      <c r="AQ1671" t="n">
        <v>10</v>
      </c>
      <c r="AS1671" t="inlineStr">
        <is>
          <t>Yes</t>
        </is>
      </c>
    </row>
    <row r="1672">
      <c r="A1672" t="inlineStr">
        <is>
          <t>Mod</t>
        </is>
      </c>
      <c r="B1672" t="inlineStr">
        <is>
          <t>Xata</t>
        </is>
      </c>
      <c r="E1672" t="inlineStr">
        <is>
          <t>Parazon</t>
        </is>
      </c>
      <c r="F1672" t="n">
        <v>3</v>
      </c>
      <c r="G1672" t="n">
        <v>1</v>
      </c>
      <c r="H1672" t="inlineStr">
        <is>
          <t>Player trade (max rank)</t>
        </is>
      </c>
      <c r="I1672" t="inlineStr">
        <is>
          <t>Yes</t>
        </is>
      </c>
      <c r="K1672" t="inlineStr">
        <is>
          <t>Collection</t>
        </is>
      </c>
      <c r="L1672" t="n">
        <v>7</v>
      </c>
      <c r="M1672" t="n">
        <v>9</v>
      </c>
      <c r="N1672" t="n">
        <v>11</v>
      </c>
      <c r="O1672" t="inlineStr">
        <is>
          <t>2026-10-05 UTC (WFM pull 02:52-04:00)</t>
        </is>
      </c>
      <c r="P1672" t="inlineStr">
        <is>
          <t>OK</t>
        </is>
      </c>
      <c r="R1672" t="inlineStr">
        <is>
          <t>Every current tradeable mod at MAX RANK (WFM catalogue, rivens/locators excluded)</t>
        </is>
      </c>
      <c r="S1672" t="inlineStr">
        <is>
          <t>xata</t>
        </is>
      </c>
      <c r="T1672" t="n">
        <v>8</v>
      </c>
      <c r="U1672" t="n">
        <v>8</v>
      </c>
      <c r="V1672" t="n">
        <v>8</v>
      </c>
      <c r="W1672" t="n">
        <v>8</v>
      </c>
      <c r="X1672" t="n">
        <v>8.1</v>
      </c>
      <c r="Y1672" t="n">
        <v>2694</v>
      </c>
      <c r="Z1672" t="n">
        <v>54</v>
      </c>
      <c r="AN1672" t="inlineStr">
        <is>
          <t>Parazon</t>
        </is>
      </c>
      <c r="AO1672" t="n">
        <v>210</v>
      </c>
      <c r="AP1672" t="n">
        <v>10143</v>
      </c>
      <c r="AQ1672" t="n">
        <v>10</v>
      </c>
      <c r="AS1672" t="inlineStr">
        <is>
          <t>Yes</t>
        </is>
      </c>
    </row>
    <row r="1673">
      <c r="A1673" t="inlineStr">
        <is>
          <t>Mod</t>
        </is>
      </c>
      <c r="B1673" t="inlineStr">
        <is>
          <t>Xata Invocation</t>
        </is>
      </c>
      <c r="E1673" t="inlineStr">
        <is>
          <t>Tome</t>
        </is>
      </c>
      <c r="F1673" t="n">
        <v>3</v>
      </c>
      <c r="G1673" t="n">
        <v>1</v>
      </c>
      <c r="H1673" t="inlineStr">
        <is>
          <t>Player trade (max rank)</t>
        </is>
      </c>
      <c r="I1673" t="inlineStr">
        <is>
          <t>Yes</t>
        </is>
      </c>
      <c r="K1673" t="inlineStr">
        <is>
          <t>Collection</t>
        </is>
      </c>
      <c r="L1673" t="n">
        <v>50</v>
      </c>
      <c r="M1673" t="n">
        <v>51</v>
      </c>
      <c r="N1673" t="n">
        <v>113</v>
      </c>
      <c r="O1673" t="inlineStr">
        <is>
          <t>2026-10-05 UTC (WFM pull 02:52-04:00)</t>
        </is>
      </c>
      <c r="P1673" t="inlineStr">
        <is>
          <t>OK</t>
        </is>
      </c>
      <c r="R1673" t="inlineStr">
        <is>
          <t>Every current tradeable mod at MAX RANK (WFM catalogue, rivens/locators excluded)</t>
        </is>
      </c>
      <c r="S1673" t="inlineStr">
        <is>
          <t>xata_invocation</t>
        </is>
      </c>
      <c r="T1673" t="n">
        <v>4</v>
      </c>
      <c r="U1673" t="n">
        <v>4</v>
      </c>
      <c r="V1673" t="n">
        <v>34</v>
      </c>
      <c r="W1673" t="n">
        <v>35</v>
      </c>
      <c r="X1673" t="n">
        <v>35.5</v>
      </c>
      <c r="Y1673" t="n">
        <v>569</v>
      </c>
      <c r="Z1673" t="n">
        <v>7</v>
      </c>
      <c r="AN1673" t="inlineStr">
        <is>
          <t>Tome</t>
        </is>
      </c>
      <c r="AO1673" t="n">
        <v>210</v>
      </c>
      <c r="AP1673" t="n">
        <v>10143</v>
      </c>
      <c r="AQ1673" t="n">
        <v>30</v>
      </c>
      <c r="AS1673" t="inlineStr">
        <is>
          <t>Yes</t>
        </is>
      </c>
    </row>
    <row r="1674">
      <c r="A1674" t="inlineStr">
        <is>
          <t>Mod</t>
        </is>
      </c>
      <c r="B1674" t="inlineStr">
        <is>
          <t>Yar Dal</t>
        </is>
      </c>
      <c r="E1674" t="inlineStr">
        <is>
          <t>Antique</t>
        </is>
      </c>
      <c r="F1674" t="n">
        <v>5</v>
      </c>
      <c r="G1674" t="n">
        <v>1</v>
      </c>
      <c r="H1674" t="inlineStr">
        <is>
          <t>Player trade (max rank)</t>
        </is>
      </c>
      <c r="I1674" t="inlineStr">
        <is>
          <t>Yes</t>
        </is>
      </c>
      <c r="K1674" t="inlineStr">
        <is>
          <t>Collection</t>
        </is>
      </c>
      <c r="L1674" t="n">
        <v>15</v>
      </c>
      <c r="M1674" t="n">
        <v>15</v>
      </c>
      <c r="N1674" t="n">
        <v>33</v>
      </c>
      <c r="O1674" t="inlineStr">
        <is>
          <t>2026-10-05 UTC (WFM pull 02:52-04:00)</t>
        </is>
      </c>
      <c r="P1674" t="inlineStr">
        <is>
          <t>OK</t>
        </is>
      </c>
      <c r="R1674" t="inlineStr">
        <is>
          <t>Every current tradeable mod at MAX RANK (WFM catalogue, rivens/locators excluded)</t>
        </is>
      </c>
      <c r="S1674" t="inlineStr">
        <is>
          <t>yar_dal</t>
        </is>
      </c>
      <c r="T1674" t="n">
        <v>3</v>
      </c>
      <c r="U1674" t="n">
        <v>3</v>
      </c>
      <c r="V1674" t="n">
        <v>8</v>
      </c>
      <c r="W1674" t="n">
        <v>25</v>
      </c>
      <c r="X1674" t="n">
        <v>25.4</v>
      </c>
      <c r="Y1674" t="n">
        <v>16</v>
      </c>
      <c r="Z1674" t="n">
        <v>1</v>
      </c>
      <c r="AN1674" t="inlineStr">
        <is>
          <t>Antique</t>
        </is>
      </c>
      <c r="AO1674" t="n">
        <v>310</v>
      </c>
      <c r="AP1674" t="n">
        <v>14973</v>
      </c>
      <c r="AQ1674" t="n">
        <v>9</v>
      </c>
      <c r="AS1674" t="inlineStr">
        <is>
          <t>Yes</t>
        </is>
      </c>
    </row>
    <row r="1675">
      <c r="A1675" t="inlineStr">
        <is>
          <t>Mod</t>
        </is>
      </c>
      <c r="B1675" t="inlineStr">
        <is>
          <t>Zazvat-Kar</t>
        </is>
      </c>
      <c r="E1675" t="inlineStr">
        <is>
          <t>Augment Akstiletto Prime</t>
        </is>
      </c>
      <c r="F1675" t="n">
        <v>5</v>
      </c>
      <c r="G1675" t="n">
        <v>1</v>
      </c>
      <c r="H1675" t="inlineStr">
        <is>
          <t>Player trade (max rank)</t>
        </is>
      </c>
      <c r="I1675" t="inlineStr">
        <is>
          <t>Yes</t>
        </is>
      </c>
      <c r="K1675" t="inlineStr">
        <is>
          <t>Collection</t>
        </is>
      </c>
      <c r="L1675" t="n">
        <v>17</v>
      </c>
      <c r="M1675" t="n">
        <v>28.5</v>
      </c>
      <c r="N1675" t="n">
        <v>63</v>
      </c>
      <c r="O1675" t="inlineStr">
        <is>
          <t>2026-10-05 UTC (WFM pull 02:52-04:00)</t>
        </is>
      </c>
      <c r="P1675" t="inlineStr">
        <is>
          <t>OK</t>
        </is>
      </c>
      <c r="R1675" t="inlineStr">
        <is>
          <t>Every current tradeable mod at MAX RANK (WFM catalogue, rivens/locators excluded)</t>
        </is>
      </c>
      <c r="S1675" t="inlineStr">
        <is>
          <t>zazvat_kar</t>
        </is>
      </c>
      <c r="T1675" t="n">
        <v>5</v>
      </c>
      <c r="U1675" t="n">
        <v>5</v>
      </c>
      <c r="W1675" t="n">
        <v>19</v>
      </c>
      <c r="X1675" t="n">
        <v>21.1</v>
      </c>
      <c r="Y1675" t="n">
        <v>7</v>
      </c>
      <c r="Z1675" t="n">
        <v>0</v>
      </c>
      <c r="AN1675" t="inlineStr">
        <is>
          <t>Augment Akstiletto Prime</t>
        </is>
      </c>
      <c r="AO1675" t="n">
        <v>930</v>
      </c>
      <c r="AP1675" t="n">
        <v>44919</v>
      </c>
      <c r="AQ1675" t="n">
        <v>12</v>
      </c>
      <c r="AS1675" t="inlineStr">
        <is>
          <t>Yes</t>
        </is>
      </c>
    </row>
    <row r="1676">
      <c r="A1676" t="inlineStr">
        <is>
          <t>Mod</t>
        </is>
      </c>
      <c r="B1676" t="inlineStr">
        <is>
          <t>Zodiac Shred</t>
        </is>
      </c>
      <c r="E1676" t="inlineStr">
        <is>
          <t>Archgun</t>
        </is>
      </c>
      <c r="F1676" t="n">
        <v>5</v>
      </c>
      <c r="G1676" t="n">
        <v>1</v>
      </c>
      <c r="H1676" t="inlineStr">
        <is>
          <t>Player trade (max rank)</t>
        </is>
      </c>
      <c r="I1676" t="inlineStr">
        <is>
          <t>Yes</t>
        </is>
      </c>
      <c r="K1676" t="inlineStr">
        <is>
          <t>Collection</t>
        </is>
      </c>
      <c r="L1676" t="n">
        <v>18</v>
      </c>
      <c r="M1676" t="n">
        <v>18</v>
      </c>
      <c r="N1676" t="n">
        <v>40</v>
      </c>
      <c r="O1676" t="inlineStr">
        <is>
          <t>2026-10-05 UTC (WFM pull 02:52-04:00)</t>
        </is>
      </c>
      <c r="P1676" t="inlineStr">
        <is>
          <t>OK</t>
        </is>
      </c>
      <c r="R1676" t="inlineStr">
        <is>
          <t>Every current tradeable mod at MAX RANK (WFM catalogue, rivens/locators excluded)</t>
        </is>
      </c>
      <c r="S1676" t="inlineStr">
        <is>
          <t>zodiac_shred</t>
        </is>
      </c>
      <c r="T1676" t="n">
        <v>4</v>
      </c>
      <c r="U1676" t="n">
        <v>4</v>
      </c>
      <c r="W1676" t="n">
        <v>10</v>
      </c>
      <c r="X1676" t="n">
        <v>12.6</v>
      </c>
      <c r="Y1676" t="n">
        <v>5</v>
      </c>
      <c r="Z1676" t="n">
        <v>0</v>
      </c>
      <c r="AN1676" t="inlineStr">
        <is>
          <t>Archgun</t>
        </is>
      </c>
      <c r="AO1676" t="n">
        <v>930</v>
      </c>
      <c r="AP1676" t="n">
        <v>44919</v>
      </c>
      <c r="AQ1676" t="n">
        <v>10</v>
      </c>
      <c r="AS1676" t="inlineStr">
        <is>
          <t>Yes</t>
        </is>
      </c>
    </row>
    <row r="1677">
      <c r="A1677" t="inlineStr">
        <is>
          <t>Mod</t>
        </is>
      </c>
      <c r="B1677" t="inlineStr">
        <is>
          <t>Corroding Barrage</t>
        </is>
      </c>
      <c r="E1677" t="inlineStr">
        <is>
          <t>Hydroid</t>
        </is>
      </c>
      <c r="F1677" t="n">
        <v>3</v>
      </c>
      <c r="G1677" t="n">
        <v>1</v>
      </c>
      <c r="H1677" t="inlineStr">
        <is>
          <t>Player trade (in-game only)</t>
        </is>
      </c>
      <c r="I1677" t="inlineStr">
        <is>
          <t>Yes (wiki)</t>
        </is>
      </c>
      <c r="P1677" t="inlineStr">
        <is>
          <t>MARKET DATA UNAVAILABLE</t>
        </is>
      </c>
      <c r="R1677" t="inlineStr">
        <is>
          <t>Wiki lists as tradeable; no Warframe.Market listing</t>
        </is>
      </c>
      <c r="AN1677" t="inlineStr">
        <is>
          <t>Hydroid</t>
        </is>
      </c>
      <c r="AS1677" t="inlineStr">
        <is>
          <t>No (no data)</t>
        </is>
      </c>
    </row>
    <row r="1678">
      <c r="A1678" t="inlineStr">
        <is>
          <t>Mod</t>
        </is>
      </c>
      <c r="B1678" t="inlineStr">
        <is>
          <t>Resonating Quake</t>
        </is>
      </c>
      <c r="E1678" t="inlineStr">
        <is>
          <t>Banshee</t>
        </is>
      </c>
      <c r="F1678" t="n">
        <v>3</v>
      </c>
      <c r="G1678" t="n">
        <v>1</v>
      </c>
      <c r="H1678" t="inlineStr">
        <is>
          <t>Player trade (in-game only)</t>
        </is>
      </c>
      <c r="I1678" t="inlineStr">
        <is>
          <t>Yes (wiki)</t>
        </is>
      </c>
      <c r="P1678" t="inlineStr">
        <is>
          <t>MARKET DATA UNAVAILABLE</t>
        </is>
      </c>
      <c r="R1678" t="inlineStr">
        <is>
          <t>Wiki lists as tradeable; no Warframe.Market listing</t>
        </is>
      </c>
      <c r="AN1678" t="inlineStr">
        <is>
          <t>Banshee</t>
        </is>
      </c>
      <c r="AS1678" t="inlineStr">
        <is>
          <t>No (no data)</t>
        </is>
      </c>
    </row>
    <row r="1679">
      <c r="A1679" t="inlineStr">
        <is>
          <t>Mod</t>
        </is>
      </c>
      <c r="B1679" t="inlineStr">
        <is>
          <t>Negation Swarm</t>
        </is>
      </c>
      <c r="E1679" t="inlineStr">
        <is>
          <t>Inaros</t>
        </is>
      </c>
      <c r="F1679" t="n">
        <v>3</v>
      </c>
      <c r="G1679" t="n">
        <v>1</v>
      </c>
      <c r="H1679" t="inlineStr">
        <is>
          <t>Player trade (in-game only)</t>
        </is>
      </c>
      <c r="I1679" t="inlineStr">
        <is>
          <t>Yes (wiki)</t>
        </is>
      </c>
      <c r="P1679" t="inlineStr">
        <is>
          <t>MARKET DATA UNAVAILABLE</t>
        </is>
      </c>
      <c r="R1679" t="inlineStr">
        <is>
          <t>Wiki lists as tradeable; no Warframe.Market listing</t>
        </is>
      </c>
      <c r="AN1679" t="inlineStr">
        <is>
          <t>Inaros</t>
        </is>
      </c>
      <c r="AS1679" t="inlineStr">
        <is>
          <t>No (no data)</t>
        </is>
      </c>
    </row>
    <row r="1680">
      <c r="A1680" t="inlineStr">
        <is>
          <t>Mod</t>
        </is>
      </c>
      <c r="B1680" t="inlineStr">
        <is>
          <t>Fatal Teleport</t>
        </is>
      </c>
      <c r="E1680" t="inlineStr">
        <is>
          <t>Ash</t>
        </is>
      </c>
      <c r="F1680" t="n">
        <v>3</v>
      </c>
      <c r="G1680" t="n">
        <v>1</v>
      </c>
      <c r="H1680" t="inlineStr">
        <is>
          <t>Player trade (in-game only)</t>
        </is>
      </c>
      <c r="I1680" t="inlineStr">
        <is>
          <t>Yes (wiki)</t>
        </is>
      </c>
      <c r="P1680" t="inlineStr">
        <is>
          <t>MARKET DATA UNAVAILABLE</t>
        </is>
      </c>
      <c r="R1680" t="inlineStr">
        <is>
          <t>Wiki lists as tradeable; no Warframe.Market listing</t>
        </is>
      </c>
      <c r="AN1680" t="inlineStr">
        <is>
          <t>Ash</t>
        </is>
      </c>
      <c r="AS1680" t="inlineStr">
        <is>
          <t>No (no data)</t>
        </is>
      </c>
    </row>
    <row r="1681">
      <c r="A1681" t="inlineStr">
        <is>
          <t>Mod</t>
        </is>
      </c>
      <c r="B1681" t="inlineStr">
        <is>
          <t>Curative Undertow</t>
        </is>
      </c>
      <c r="E1681" t="inlineStr">
        <is>
          <t>Hydroid</t>
        </is>
      </c>
      <c r="F1681" t="n">
        <v>3</v>
      </c>
      <c r="G1681" t="n">
        <v>1</v>
      </c>
      <c r="H1681" t="inlineStr">
        <is>
          <t>Player trade (in-game only)</t>
        </is>
      </c>
      <c r="I1681" t="inlineStr">
        <is>
          <t>Yes (wiki)</t>
        </is>
      </c>
      <c r="P1681" t="inlineStr">
        <is>
          <t>MARKET DATA UNAVAILABLE</t>
        </is>
      </c>
      <c r="R1681" t="inlineStr">
        <is>
          <t>Wiki lists as tradeable; no Warframe.Market listing</t>
        </is>
      </c>
      <c r="AN1681" t="inlineStr">
        <is>
          <t>Hydroid</t>
        </is>
      </c>
      <c r="AS1681" t="inlineStr">
        <is>
          <t>No (no data)</t>
        </is>
      </c>
    </row>
    <row r="1682">
      <c r="A1682" t="inlineStr">
        <is>
          <t>Companion</t>
        </is>
      </c>
      <c r="B1682" t="inlineStr">
        <is>
          <t>Panzer Vulpaphyla</t>
        </is>
      </c>
      <c r="C1682" t="inlineStr">
        <is>
          <t>Atlas Prime, Baruuk Prime, Caliban Prime, Citrine Prime, Dagath, Gara Prime, Garuda Prime, Grendel Prime, Inaros Prime, Lavos Prime, Nezha Prime, Nidus Prime, Oberon Prime, Oraxia, Qorvex, Rhino Prime, Saryn Prime, Sevagoth Prime, Uriel</t>
        </is>
      </c>
      <c r="D1682" t="inlineStr">
        <is>
          <t>Companion</t>
        </is>
      </c>
      <c r="E1682" t="inlineStr">
        <is>
          <t>Beast/Sentinel</t>
        </is>
      </c>
      <c r="G1682" t="n">
        <v>1</v>
      </c>
      <c r="H1682" t="inlineStr">
        <is>
          <t>Farm / vendor / incubate</t>
        </is>
      </c>
      <c r="I1682" t="inlineStr">
        <is>
          <t>No</t>
        </is>
      </c>
      <c r="K1682" t="inlineStr">
        <is>
          <t>Core</t>
        </is>
      </c>
      <c r="P1682" t="inlineStr">
        <is>
          <t>FARMABLE / ACCOUNT-BOUND</t>
        </is>
      </c>
      <c r="R1682" t="inlineStr">
        <is>
          <t>v3 companion list</t>
        </is>
      </c>
      <c r="AS1682" t="inlineStr">
        <is>
          <t>No</t>
        </is>
      </c>
    </row>
    <row r="1683">
      <c r="A1683" t="inlineStr">
        <is>
          <t>Companion</t>
        </is>
      </c>
      <c r="B1683" t="inlineStr">
        <is>
          <t>Nautilus Prime</t>
        </is>
      </c>
      <c r="D1683" t="inlineStr">
        <is>
          <t>Companion</t>
        </is>
      </c>
      <c r="E1683" t="inlineStr">
        <is>
          <t>Prime sentinel</t>
        </is>
      </c>
      <c r="G1683" t="n">
        <v>1</v>
      </c>
      <c r="H1683" t="inlineStr">
        <is>
          <t>Player trade (set)</t>
        </is>
      </c>
      <c r="I1683" t="inlineStr">
        <is>
          <t>Yes</t>
        </is>
      </c>
      <c r="K1683" t="inlineStr">
        <is>
          <t>Optional (no v4.2 build assignment)</t>
        </is>
      </c>
      <c r="L1683" t="n">
        <v>50</v>
      </c>
      <c r="M1683" t="n">
        <v>55</v>
      </c>
      <c r="N1683" t="n">
        <v>61</v>
      </c>
      <c r="O1683" t="inlineStr">
        <is>
          <t>2026-10-05 UTC (WFM pull 02:52-04:00)</t>
        </is>
      </c>
      <c r="P1683" t="inlineStr">
        <is>
          <t>OK</t>
        </is>
      </c>
      <c r="Q1683" t="inlineStr">
        <is>
          <t>Default sentinel weapon bundled</t>
        </is>
      </c>
      <c r="R1683" t="inlineStr">
        <is>
          <t>v3 list; unassigned in v4.2 FINAL builds</t>
        </is>
      </c>
      <c r="S1683" t="inlineStr">
        <is>
          <t>nautilus_prime_set</t>
        </is>
      </c>
      <c r="T1683" t="n">
        <v>72</v>
      </c>
      <c r="U1683" t="n">
        <v>72</v>
      </c>
      <c r="V1683" t="n">
        <v>55</v>
      </c>
      <c r="W1683" t="n">
        <v>50</v>
      </c>
      <c r="X1683" t="n">
        <v>48.4</v>
      </c>
      <c r="Y1683" t="n">
        <v>17047</v>
      </c>
      <c r="Z1683" t="n">
        <v>417</v>
      </c>
      <c r="AA1683" t="n">
        <v>40</v>
      </c>
      <c r="AB1683" t="n">
        <v>10</v>
      </c>
      <c r="AL1683" t="inlineStr">
        <is>
          <t>Reactor</t>
        </is>
      </c>
      <c r="AS1683" t="inlineStr">
        <is>
          <t>Optional</t>
        </is>
      </c>
    </row>
    <row r="1684">
      <c r="A1684" t="inlineStr">
        <is>
          <t>Companion</t>
        </is>
      </c>
      <c r="B1684" t="inlineStr">
        <is>
          <t>Wyrm Prime</t>
        </is>
      </c>
      <c r="C1684" t="inlineStr">
        <is>
          <t>Frost Prime, Hildryn Prime</t>
        </is>
      </c>
      <c r="D1684" t="inlineStr">
        <is>
          <t>Companion</t>
        </is>
      </c>
      <c r="E1684" t="inlineStr">
        <is>
          <t>Prime sentinel</t>
        </is>
      </c>
      <c r="G1684" t="n">
        <v>1</v>
      </c>
      <c r="H1684" t="inlineStr">
        <is>
          <t>Player trade (set)</t>
        </is>
      </c>
      <c r="I1684" t="inlineStr">
        <is>
          <t>Yes</t>
        </is>
      </c>
      <c r="K1684" t="inlineStr">
        <is>
          <t>Core</t>
        </is>
      </c>
      <c r="L1684" t="n">
        <v>75</v>
      </c>
      <c r="M1684" t="n">
        <v>75</v>
      </c>
      <c r="N1684" t="n">
        <v>85</v>
      </c>
      <c r="O1684" t="inlineStr">
        <is>
          <t>2026-10-05 UTC (WFM pull 02:52-04:00)</t>
        </is>
      </c>
      <c r="P1684" t="inlineStr">
        <is>
          <t>OK</t>
        </is>
      </c>
      <c r="Q1684" t="inlineStr">
        <is>
          <t>Default sentinel weapon bundled</t>
        </is>
      </c>
      <c r="R1684" t="inlineStr">
        <is>
          <t>v3 companion list; v4.2 assignment</t>
        </is>
      </c>
      <c r="S1684" t="inlineStr">
        <is>
          <t>wyrm_prime_set</t>
        </is>
      </c>
      <c r="T1684" t="n">
        <v>41</v>
      </c>
      <c r="U1684" t="n">
        <v>41</v>
      </c>
      <c r="V1684" t="n">
        <v>77</v>
      </c>
      <c r="W1684" t="n">
        <v>75</v>
      </c>
      <c r="X1684" t="n">
        <v>75.7</v>
      </c>
      <c r="Y1684" t="n">
        <v>4108</v>
      </c>
      <c r="Z1684" t="n">
        <v>125</v>
      </c>
      <c r="AA1684" t="n">
        <v>70</v>
      </c>
      <c r="AB1684" t="n">
        <v>5</v>
      </c>
      <c r="AL1684" t="inlineStr">
        <is>
          <t>Reactor</t>
        </is>
      </c>
      <c r="AS1684" t="inlineStr">
        <is>
          <t>Yes</t>
        </is>
      </c>
    </row>
    <row r="1685">
      <c r="A1685" t="inlineStr">
        <is>
          <t>Companion</t>
        </is>
      </c>
      <c r="B1685" t="inlineStr">
        <is>
          <t>Dethcube Prime</t>
        </is>
      </c>
      <c r="C1685" t="inlineStr">
        <is>
          <t>Ember Prime, Equinox Prime, Follie, Limbo Prime, Narin, Nokko, Nova Prime, Octavia Prime, Protea Prime, Revenant Prime, Temple, Vauban Prime, Wisp Prime, Xaku Prime, Yareli Prime</t>
        </is>
      </c>
      <c r="D1685" t="inlineStr">
        <is>
          <t>Companion</t>
        </is>
      </c>
      <c r="E1685" t="inlineStr">
        <is>
          <t>Prime sentinel</t>
        </is>
      </c>
      <c r="G1685" t="n">
        <v>1</v>
      </c>
      <c r="H1685" t="inlineStr">
        <is>
          <t>Player trade (set)</t>
        </is>
      </c>
      <c r="I1685" t="inlineStr">
        <is>
          <t>Yes</t>
        </is>
      </c>
      <c r="K1685" t="inlineStr">
        <is>
          <t>Core</t>
        </is>
      </c>
      <c r="L1685" t="n">
        <v>75</v>
      </c>
      <c r="M1685" t="n">
        <v>75</v>
      </c>
      <c r="N1685" t="n">
        <v>87</v>
      </c>
      <c r="O1685" t="inlineStr">
        <is>
          <t>2026-10-05 UTC (WFM pull 02:52-04:00)</t>
        </is>
      </c>
      <c r="P1685" t="inlineStr">
        <is>
          <t>OK</t>
        </is>
      </c>
      <c r="Q1685" t="inlineStr">
        <is>
          <t>Default sentinel weapon bundled</t>
        </is>
      </c>
      <c r="R1685" t="inlineStr">
        <is>
          <t>v3 companion list; v4.2 assignment</t>
        </is>
      </c>
      <c r="S1685" t="inlineStr">
        <is>
          <t>dethcube_prime_set</t>
        </is>
      </c>
      <c r="T1685" t="n">
        <v>40</v>
      </c>
      <c r="U1685" t="n">
        <v>40</v>
      </c>
      <c r="V1685" t="n">
        <v>75</v>
      </c>
      <c r="W1685" t="n">
        <v>75</v>
      </c>
      <c r="X1685" t="n">
        <v>73.8</v>
      </c>
      <c r="Y1685" t="n">
        <v>4991</v>
      </c>
      <c r="Z1685" t="n">
        <v>115</v>
      </c>
      <c r="AA1685" t="n">
        <v>65</v>
      </c>
      <c r="AB1685" t="n">
        <v>10</v>
      </c>
      <c r="AL1685" t="inlineStr">
        <is>
          <t>Reactor</t>
        </is>
      </c>
      <c r="AS1685" t="inlineStr">
        <is>
          <t>Yes</t>
        </is>
      </c>
    </row>
    <row r="1686">
      <c r="A1686" t="inlineStr">
        <is>
          <t>Companion</t>
        </is>
      </c>
      <c r="B1686" t="inlineStr">
        <is>
          <t>Diriga</t>
        </is>
      </c>
      <c r="C1686" t="inlineStr">
        <is>
          <t>Gyre Prime, Mag Prime, Volt Prime</t>
        </is>
      </c>
      <c r="D1686" t="inlineStr">
        <is>
          <t>Companion</t>
        </is>
      </c>
      <c r="E1686" t="inlineStr">
        <is>
          <t>Beast/Sentinel</t>
        </is>
      </c>
      <c r="G1686" t="n">
        <v>1</v>
      </c>
      <c r="H1686" t="inlineStr">
        <is>
          <t>Farm / vendor / incubate</t>
        </is>
      </c>
      <c r="I1686" t="inlineStr">
        <is>
          <t>No</t>
        </is>
      </c>
      <c r="K1686" t="inlineStr">
        <is>
          <t>Core</t>
        </is>
      </c>
      <c r="P1686" t="inlineStr">
        <is>
          <t>FARMABLE / ACCOUNT-BOUND</t>
        </is>
      </c>
      <c r="R1686" t="inlineStr">
        <is>
          <t>v3 companion list</t>
        </is>
      </c>
      <c r="AS1686" t="inlineStr">
        <is>
          <t>No</t>
        </is>
      </c>
    </row>
    <row r="1687">
      <c r="A1687" t="inlineStr">
        <is>
          <t>Companion</t>
        </is>
      </c>
      <c r="B1687" t="inlineStr">
        <is>
          <t>Adarza Kavat</t>
        </is>
      </c>
      <c r="C1687" t="inlineStr">
        <is>
          <t>Ash Prime, Chroma Prime, Excalibur Umbra, Gauss Prime, Ivara Prime, Kullervo, Mesa Prime, Mirage Prime, Sirius &amp; Orion, Styanax Prime, Titania Prime, Valkyr Prime, Voruna Prime, Wukong Prime, Zephyr Prime</t>
        </is>
      </c>
      <c r="D1687" t="inlineStr">
        <is>
          <t>Companion</t>
        </is>
      </c>
      <c r="E1687" t="inlineStr">
        <is>
          <t>Beast/Sentinel</t>
        </is>
      </c>
      <c r="G1687" t="n">
        <v>1</v>
      </c>
      <c r="H1687" t="inlineStr">
        <is>
          <t>Breed / incubate / vendor (imprint optional trade)</t>
        </is>
      </c>
      <c r="I1687" t="inlineStr">
        <is>
          <t>Imprint only</t>
        </is>
      </c>
      <c r="K1687" t="inlineStr">
        <is>
          <t>Core</t>
        </is>
      </c>
      <c r="P1687" t="inlineStr">
        <is>
          <t>FARMABLE / ACCOUNT-BOUND</t>
        </is>
      </c>
      <c r="R1687" t="inlineStr">
        <is>
          <t>v3 companion list</t>
        </is>
      </c>
      <c r="S1687" t="inlineStr">
        <is>
          <t>adarza_kavat_imprint</t>
        </is>
      </c>
      <c r="AS1687" t="inlineStr">
        <is>
          <t>No</t>
        </is>
      </c>
    </row>
    <row r="1688">
      <c r="A1688" t="inlineStr">
        <is>
          <t>Companion</t>
        </is>
      </c>
      <c r="B1688" t="inlineStr">
        <is>
          <t>Smeeta Kavat</t>
        </is>
      </c>
      <c r="C1688" t="inlineStr">
        <is>
          <t>Hydroid Prime, Khora Prime, Koumei, Nekros Prime</t>
        </is>
      </c>
      <c r="D1688" t="inlineStr">
        <is>
          <t>Companion</t>
        </is>
      </c>
      <c r="E1688" t="inlineStr">
        <is>
          <t>Beast/Sentinel</t>
        </is>
      </c>
      <c r="G1688" t="n">
        <v>1</v>
      </c>
      <c r="H1688" t="inlineStr">
        <is>
          <t>Breed / incubate / vendor (imprint optional trade)</t>
        </is>
      </c>
      <c r="I1688" t="inlineStr">
        <is>
          <t>Imprint only</t>
        </is>
      </c>
      <c r="K1688" t="inlineStr">
        <is>
          <t>Core</t>
        </is>
      </c>
      <c r="P1688" t="inlineStr">
        <is>
          <t>FARMABLE / ACCOUNT-BOUND</t>
        </is>
      </c>
      <c r="R1688" t="inlineStr">
        <is>
          <t>v3 companion list</t>
        </is>
      </c>
      <c r="S1688" t="inlineStr">
        <is>
          <t>smeeta_kavat_imprint</t>
        </is>
      </c>
      <c r="AS1688" t="inlineStr">
        <is>
          <t>No</t>
        </is>
      </c>
    </row>
    <row r="1689">
      <c r="A1689" t="inlineStr">
        <is>
          <t>Companion</t>
        </is>
      </c>
      <c r="B1689" t="inlineStr">
        <is>
          <t>Shade Prime</t>
        </is>
      </c>
      <c r="D1689" t="inlineStr">
        <is>
          <t>Companion</t>
        </is>
      </c>
      <c r="E1689" t="inlineStr">
        <is>
          <t>Prime sentinel</t>
        </is>
      </c>
      <c r="G1689" t="n">
        <v>1</v>
      </c>
      <c r="H1689" t="inlineStr">
        <is>
          <t>Player trade (set)</t>
        </is>
      </c>
      <c r="I1689" t="inlineStr">
        <is>
          <t>Yes</t>
        </is>
      </c>
      <c r="K1689" t="inlineStr">
        <is>
          <t>Optional (no v4.2 build assignment)</t>
        </is>
      </c>
      <c r="L1689" t="n">
        <v>55</v>
      </c>
      <c r="M1689" t="n">
        <v>55</v>
      </c>
      <c r="N1689" t="n">
        <v>61</v>
      </c>
      <c r="O1689" t="inlineStr">
        <is>
          <t>2026-10-05 UTC (WFM pull 02:52-04:00)</t>
        </is>
      </c>
      <c r="P1689" t="inlineStr">
        <is>
          <t>OK</t>
        </is>
      </c>
      <c r="Q1689" t="inlineStr">
        <is>
          <t>Default sentinel weapon bundled</t>
        </is>
      </c>
      <c r="R1689" t="inlineStr">
        <is>
          <t>v3 list; unassigned in v4.2 FINAL builds</t>
        </is>
      </c>
      <c r="S1689" t="inlineStr">
        <is>
          <t>shade_prime_set</t>
        </is>
      </c>
      <c r="T1689" t="n">
        <v>41</v>
      </c>
      <c r="U1689" t="n">
        <v>41</v>
      </c>
      <c r="V1689" t="n">
        <v>52</v>
      </c>
      <c r="W1689" t="n">
        <v>50</v>
      </c>
      <c r="X1689" t="n">
        <v>51.6</v>
      </c>
      <c r="Y1689" t="n">
        <v>7078</v>
      </c>
      <c r="Z1689" t="n">
        <v>221</v>
      </c>
      <c r="AA1689" t="n">
        <v>40</v>
      </c>
      <c r="AB1689" t="n">
        <v>15</v>
      </c>
      <c r="AL1689" t="inlineStr">
        <is>
          <t>Reactor</t>
        </is>
      </c>
      <c r="AS1689" t="inlineStr">
        <is>
          <t>Optional</t>
        </is>
      </c>
    </row>
    <row r="1690">
      <c r="A1690" t="inlineStr">
        <is>
          <t>Companion</t>
        </is>
      </c>
      <c r="B1690" t="inlineStr">
        <is>
          <t>Huras Kubrow</t>
        </is>
      </c>
      <c r="C1690" t="inlineStr">
        <is>
          <t>Loki Prime</t>
        </is>
      </c>
      <c r="D1690" t="inlineStr">
        <is>
          <t>Companion</t>
        </is>
      </c>
      <c r="E1690" t="inlineStr">
        <is>
          <t>Beast/Sentinel</t>
        </is>
      </c>
      <c r="G1690" t="n">
        <v>1</v>
      </c>
      <c r="H1690" t="inlineStr">
        <is>
          <t>Farm / vendor / incubate</t>
        </is>
      </c>
      <c r="I1690" t="inlineStr">
        <is>
          <t>No</t>
        </is>
      </c>
      <c r="K1690" t="inlineStr">
        <is>
          <t>Core</t>
        </is>
      </c>
      <c r="P1690" t="inlineStr">
        <is>
          <t>FARMABLE / ACCOUNT-BOUND</t>
        </is>
      </c>
      <c r="R1690" t="inlineStr">
        <is>
          <t>v3 companion list</t>
        </is>
      </c>
      <c r="AS1690" t="inlineStr">
        <is>
          <t>No</t>
        </is>
      </c>
    </row>
    <row r="1691">
      <c r="A1691" t="inlineStr">
        <is>
          <t>Companion</t>
        </is>
      </c>
      <c r="B1691" t="inlineStr">
        <is>
          <t>Sahasa Kubrow</t>
        </is>
      </c>
      <c r="D1691" t="inlineStr">
        <is>
          <t>Companion</t>
        </is>
      </c>
      <c r="E1691" t="inlineStr">
        <is>
          <t>Beast/Sentinel</t>
        </is>
      </c>
      <c r="G1691" t="n">
        <v>1</v>
      </c>
      <c r="H1691" t="inlineStr">
        <is>
          <t>Farm / vendor / incubate</t>
        </is>
      </c>
      <c r="I1691" t="inlineStr">
        <is>
          <t>No</t>
        </is>
      </c>
      <c r="K1691" t="inlineStr">
        <is>
          <t>Optional (no v4.2 build assignment)</t>
        </is>
      </c>
      <c r="P1691" t="inlineStr">
        <is>
          <t>FARMABLE / ACCOUNT-BOUND</t>
        </is>
      </c>
      <c r="R1691" t="inlineStr">
        <is>
          <t>v3 companion list; unassigned in v4.2</t>
        </is>
      </c>
      <c r="AS1691" t="inlineStr">
        <is>
          <t>No</t>
        </is>
      </c>
    </row>
    <row r="1692">
      <c r="A1692" t="inlineStr">
        <is>
          <t>Companion</t>
        </is>
      </c>
      <c r="B1692" t="inlineStr">
        <is>
          <t>Helios Prime</t>
        </is>
      </c>
      <c r="C1692" t="inlineStr">
        <is>
          <t>Banshee Prime, Cyte-09, Dante, Harrow Prime, Jade, Nyx Prime, Trinity Prime</t>
        </is>
      </c>
      <c r="D1692" t="inlineStr">
        <is>
          <t>Companion</t>
        </is>
      </c>
      <c r="E1692" t="inlineStr">
        <is>
          <t>Prime sentinel</t>
        </is>
      </c>
      <c r="G1692" t="n">
        <v>1</v>
      </c>
      <c r="H1692" t="inlineStr">
        <is>
          <t>Player trade (set)</t>
        </is>
      </c>
      <c r="I1692" t="inlineStr">
        <is>
          <t>Yes</t>
        </is>
      </c>
      <c r="K1692" t="inlineStr">
        <is>
          <t>Core</t>
        </is>
      </c>
      <c r="L1692" t="n">
        <v>44</v>
      </c>
      <c r="M1692" t="n">
        <v>45</v>
      </c>
      <c r="N1692" t="n">
        <v>56</v>
      </c>
      <c r="O1692" t="inlineStr">
        <is>
          <t>2026-10-05 UTC (WFM pull 02:52-04:00)</t>
        </is>
      </c>
      <c r="P1692" t="inlineStr">
        <is>
          <t>OK</t>
        </is>
      </c>
      <c r="Q1692" t="inlineStr">
        <is>
          <t>Default sentinel weapon bundled</t>
        </is>
      </c>
      <c r="R1692" t="inlineStr">
        <is>
          <t>v3 companion list; v4.2 assignment</t>
        </is>
      </c>
      <c r="S1692" t="inlineStr">
        <is>
          <t>helios_prime_set</t>
        </is>
      </c>
      <c r="T1692" t="n">
        <v>73</v>
      </c>
      <c r="U1692" t="n">
        <v>73</v>
      </c>
      <c r="V1692" t="n">
        <v>50</v>
      </c>
      <c r="W1692" t="n">
        <v>65</v>
      </c>
      <c r="X1692" t="n">
        <v>61</v>
      </c>
      <c r="Y1692" t="n">
        <v>4779</v>
      </c>
      <c r="Z1692" t="n">
        <v>146</v>
      </c>
      <c r="AA1692" t="n">
        <v>36</v>
      </c>
      <c r="AB1692" t="n">
        <v>8</v>
      </c>
      <c r="AL1692" t="inlineStr">
        <is>
          <t>Reactor</t>
        </is>
      </c>
      <c r="AS1692" t="inlineStr">
        <is>
          <t>Yes</t>
        </is>
      </c>
    </row>
    <row r="1693">
      <c r="A1693" t="inlineStr">
        <is>
          <t>Companion</t>
        </is>
      </c>
      <c r="B1693" t="inlineStr">
        <is>
          <t>Taxon</t>
        </is>
      </c>
      <c r="D1693" t="inlineStr">
        <is>
          <t>Companion</t>
        </is>
      </c>
      <c r="E1693" t="inlineStr">
        <is>
          <t>Beast/Sentinel</t>
        </is>
      </c>
      <c r="G1693" t="n">
        <v>1</v>
      </c>
      <c r="H1693" t="inlineStr">
        <is>
          <t>Farm / vendor / incubate</t>
        </is>
      </c>
      <c r="I1693" t="inlineStr">
        <is>
          <t>No</t>
        </is>
      </c>
      <c r="K1693" t="inlineStr">
        <is>
          <t>Optional (no v4.2 build assignment)</t>
        </is>
      </c>
      <c r="P1693" t="inlineStr">
        <is>
          <t>FARMABLE / ACCOUNT-BOUND</t>
        </is>
      </c>
      <c r="R1693" t="inlineStr">
        <is>
          <t>v3 companion list; unassigned in v4.2</t>
        </is>
      </c>
      <c r="AS1693" t="inlineStr">
        <is>
          <t>No</t>
        </is>
      </c>
    </row>
    <row r="1694">
      <c r="A1694" t="inlineStr">
        <is>
          <t>Companion</t>
        </is>
      </c>
      <c r="B1694" t="inlineStr">
        <is>
          <t>Helminth Charger</t>
        </is>
      </c>
      <c r="D1694" t="inlineStr">
        <is>
          <t>Companion</t>
        </is>
      </c>
      <c r="E1694" t="inlineStr">
        <is>
          <t>Beast/Sentinel</t>
        </is>
      </c>
      <c r="G1694" t="n">
        <v>1</v>
      </c>
      <c r="H1694" t="inlineStr">
        <is>
          <t>Farm / vendor / incubate</t>
        </is>
      </c>
      <c r="I1694" t="inlineStr">
        <is>
          <t>No</t>
        </is>
      </c>
      <c r="K1694" t="inlineStr">
        <is>
          <t>Optional (no v4.2 build assignment)</t>
        </is>
      </c>
      <c r="P1694" t="inlineStr">
        <is>
          <t>FARMABLE / ACCOUNT-BOUND</t>
        </is>
      </c>
      <c r="R1694" t="inlineStr">
        <is>
          <t>v3 companion list; unassigned in v4.2</t>
        </is>
      </c>
      <c r="AS1694" t="inlineStr">
        <is>
          <t>No</t>
        </is>
      </c>
    </row>
    <row r="1695">
      <c r="A1695" t="inlineStr">
        <is>
          <t>Mod</t>
        </is>
      </c>
      <c r="B1695" t="inlineStr">
        <is>
          <t>Swift Deth</t>
        </is>
      </c>
      <c r="E1695" t="inlineStr">
        <is>
          <t>Dethcube precept</t>
        </is>
      </c>
      <c r="F1695" t="n">
        <v>5</v>
      </c>
      <c r="G1695" t="n">
        <v>1</v>
      </c>
      <c r="H1695" t="inlineStr">
        <is>
          <t>In-game trade / Simaris-or-drop (no WFM listing)</t>
        </is>
      </c>
      <c r="I1695" t="inlineStr">
        <is>
          <t>Yes (wiki)</t>
        </is>
      </c>
      <c r="P1695" t="inlineStr">
        <is>
          <t>MARKET DATA UNAVAILABLE</t>
        </is>
      </c>
      <c r="R1695" t="inlineStr">
        <is>
          <t>v4.2 build-required (Dethcube Prime companion config); no Warframe.Market listing</t>
        </is>
      </c>
      <c r="AN1695" t="inlineStr">
        <is>
          <t>Dethcube</t>
        </is>
      </c>
      <c r="AS1695" t="inlineStr">
        <is>
          <t>No (no data)</t>
        </is>
      </c>
    </row>
    <row r="1696">
      <c r="A1696" t="inlineStr">
        <is>
          <t>Arcane</t>
        </is>
      </c>
      <c r="B1696" t="inlineStr">
        <is>
          <t>Akimbo Slip Shot</t>
        </is>
      </c>
      <c r="E1696" t="inlineStr">
        <is>
          <t>Secondary</t>
        </is>
      </c>
      <c r="F1696" t="n">
        <v>5</v>
      </c>
      <c r="G1696" t="n">
        <v>1</v>
      </c>
      <c r="H1696" t="inlineStr">
        <is>
          <t>Player trade (max rank)</t>
        </is>
      </c>
      <c r="I1696" t="inlineStr">
        <is>
          <t>Yes</t>
        </is>
      </c>
      <c r="K1696" t="inlineStr">
        <is>
          <t>Collection (optional)</t>
        </is>
      </c>
      <c r="L1696" t="n">
        <v>30</v>
      </c>
      <c r="M1696" t="n">
        <v>40</v>
      </c>
      <c r="N1696" t="n">
        <v>44</v>
      </c>
      <c r="O1696" t="inlineStr">
        <is>
          <t>2026-10-05 UTC (WFM pull 02:52-04:00)</t>
        </is>
      </c>
      <c r="P1696" t="inlineStr">
        <is>
          <t>OK</t>
        </is>
      </c>
      <c r="R1696" t="inlineStr">
        <is>
          <t>Arcanes share across items like mods (one max-rank copy covers every build).</t>
        </is>
      </c>
      <c r="S1696" t="inlineStr">
        <is>
          <t>akimbo_slip_shot</t>
        </is>
      </c>
      <c r="T1696" t="n">
        <v>11</v>
      </c>
      <c r="U1696" t="n">
        <v>11</v>
      </c>
      <c r="V1696" t="n">
        <v>30</v>
      </c>
      <c r="W1696" t="n">
        <v>30</v>
      </c>
      <c r="X1696" t="n">
        <v>30.3</v>
      </c>
      <c r="Y1696" t="n">
        <v>501</v>
      </c>
      <c r="Z1696" t="n">
        <v>14</v>
      </c>
      <c r="AA1696" t="n">
        <v>20</v>
      </c>
      <c r="AB1696" t="n">
        <v>10</v>
      </c>
      <c r="AQ1696" t="n">
        <v>4.5</v>
      </c>
      <c r="AR1696" t="n">
        <v>94.5</v>
      </c>
      <c r="AS1696" t="inlineStr">
        <is>
          <t>Collection (optional)</t>
        </is>
      </c>
    </row>
    <row r="1697">
      <c r="A1697" t="inlineStr">
        <is>
          <t>Arcane</t>
        </is>
      </c>
      <c r="B1697" t="inlineStr">
        <is>
          <t>Arcane Acceleration</t>
        </is>
      </c>
      <c r="E1697" t="inlineStr">
        <is>
          <t>Warframe</t>
        </is>
      </c>
      <c r="F1697" t="n">
        <v>5</v>
      </c>
      <c r="G1697" t="n">
        <v>1</v>
      </c>
      <c r="H1697" t="inlineStr">
        <is>
          <t>Player trade (max rank)</t>
        </is>
      </c>
      <c r="I1697" t="inlineStr">
        <is>
          <t>Yes</t>
        </is>
      </c>
      <c r="K1697" t="inlineStr">
        <is>
          <t>Collection (optional)</t>
        </is>
      </c>
      <c r="L1697" t="n">
        <v>70</v>
      </c>
      <c r="M1697" t="n">
        <v>85</v>
      </c>
      <c r="N1697" t="n">
        <v>100</v>
      </c>
      <c r="O1697" t="inlineStr">
        <is>
          <t>2026-10-05 UTC (WFM pull 02:52-04:00)</t>
        </is>
      </c>
      <c r="P1697" t="inlineStr">
        <is>
          <t>OK</t>
        </is>
      </c>
      <c r="R1697" t="inlineStr">
        <is>
          <t>Arcanes share across items like mods (one max-rank copy covers every build).</t>
        </is>
      </c>
      <c r="S1697" t="inlineStr">
        <is>
          <t>arcane_acceleration</t>
        </is>
      </c>
      <c r="T1697" t="n">
        <v>26</v>
      </c>
      <c r="U1697" t="n">
        <v>26</v>
      </c>
      <c r="V1697" t="n">
        <v>90</v>
      </c>
      <c r="W1697" t="n">
        <v>70</v>
      </c>
      <c r="X1697" t="n">
        <v>73.2</v>
      </c>
      <c r="Y1697" t="n">
        <v>3248</v>
      </c>
      <c r="Z1697" t="n">
        <v>85</v>
      </c>
      <c r="AA1697" t="n">
        <v>60</v>
      </c>
      <c r="AB1697" t="n">
        <v>10</v>
      </c>
      <c r="AQ1697" t="n">
        <v>7.5</v>
      </c>
      <c r="AR1697" t="n">
        <v>157.5</v>
      </c>
      <c r="AS1697" t="inlineStr">
        <is>
          <t>Collection (optional)</t>
        </is>
      </c>
    </row>
    <row r="1698">
      <c r="A1698" t="inlineStr">
        <is>
          <t>Arcane</t>
        </is>
      </c>
      <c r="B1698" t="inlineStr">
        <is>
          <t>Arcane Aegis</t>
        </is>
      </c>
      <c r="E1698" t="inlineStr">
        <is>
          <t>Warframe</t>
        </is>
      </c>
      <c r="F1698" t="n">
        <v>5</v>
      </c>
      <c r="G1698" t="n">
        <v>1</v>
      </c>
      <c r="H1698" t="inlineStr">
        <is>
          <t>Player trade (max rank)</t>
        </is>
      </c>
      <c r="I1698" t="inlineStr">
        <is>
          <t>Yes</t>
        </is>
      </c>
      <c r="K1698" t="inlineStr">
        <is>
          <t>Collection (optional)</t>
        </is>
      </c>
      <c r="L1698" t="n">
        <v>120</v>
      </c>
      <c r="M1698" t="n">
        <v>129</v>
      </c>
      <c r="N1698" t="n">
        <v>143</v>
      </c>
      <c r="O1698" t="inlineStr">
        <is>
          <t>2026-10-05 UTC (WFM pull 02:52-04:00)</t>
        </is>
      </c>
      <c r="P1698" t="inlineStr">
        <is>
          <t>OK</t>
        </is>
      </c>
      <c r="R1698" t="inlineStr">
        <is>
          <t>Arcanes share across items like mods (one max-rank copy covers every build).</t>
        </is>
      </c>
      <c r="S1698" t="inlineStr">
        <is>
          <t>arcane_aegis</t>
        </is>
      </c>
      <c r="T1698" t="n">
        <v>37</v>
      </c>
      <c r="U1698" t="n">
        <v>37</v>
      </c>
      <c r="V1698" t="n">
        <v>130</v>
      </c>
      <c r="W1698" t="n">
        <v>130</v>
      </c>
      <c r="X1698" t="n">
        <v>123.4</v>
      </c>
      <c r="Y1698" t="n">
        <v>8267</v>
      </c>
      <c r="Z1698" t="n">
        <v>165</v>
      </c>
      <c r="AA1698" t="n">
        <v>110</v>
      </c>
      <c r="AB1698" t="n">
        <v>10</v>
      </c>
      <c r="AQ1698" t="n">
        <v>8</v>
      </c>
      <c r="AR1698" t="n">
        <v>168</v>
      </c>
      <c r="AS1698" t="inlineStr">
        <is>
          <t>Collection (optional)</t>
        </is>
      </c>
    </row>
    <row r="1699">
      <c r="A1699" t="inlineStr">
        <is>
          <t>Arcane</t>
        </is>
      </c>
      <c r="B1699" t="inlineStr">
        <is>
          <t>Arcane Agility</t>
        </is>
      </c>
      <c r="E1699" t="inlineStr">
        <is>
          <t>Warframe</t>
        </is>
      </c>
      <c r="F1699" t="n">
        <v>5</v>
      </c>
      <c r="G1699" t="n">
        <v>1</v>
      </c>
      <c r="H1699" t="inlineStr">
        <is>
          <t>Player trade (max rank)</t>
        </is>
      </c>
      <c r="I1699" t="inlineStr">
        <is>
          <t>Yes</t>
        </is>
      </c>
      <c r="K1699" t="inlineStr">
        <is>
          <t>Collection (optional)</t>
        </is>
      </c>
      <c r="L1699" t="n">
        <v>60</v>
      </c>
      <c r="M1699" t="n">
        <v>60</v>
      </c>
      <c r="N1699" t="n">
        <v>88</v>
      </c>
      <c r="O1699" t="inlineStr">
        <is>
          <t>2026-10-05 UTC (WFM pull 02:52-04:00)</t>
        </is>
      </c>
      <c r="P1699" t="inlineStr">
        <is>
          <t>OK</t>
        </is>
      </c>
      <c r="R1699" t="inlineStr">
        <is>
          <t>Arcanes share across items like mods (one max-rank copy covers every build).</t>
        </is>
      </c>
      <c r="S1699" t="inlineStr">
        <is>
          <t>arcane_agility</t>
        </is>
      </c>
      <c r="T1699" t="n">
        <v>3</v>
      </c>
      <c r="U1699" t="n">
        <v>3</v>
      </c>
      <c r="V1699" t="n">
        <v>37</v>
      </c>
      <c r="W1699" t="n">
        <v>35</v>
      </c>
      <c r="X1699" t="n">
        <v>36.1</v>
      </c>
      <c r="Y1699" t="n">
        <v>770</v>
      </c>
      <c r="Z1699" t="n">
        <v>18</v>
      </c>
      <c r="AA1699" t="n">
        <v>28</v>
      </c>
      <c r="AB1699" t="n">
        <v>32</v>
      </c>
      <c r="AQ1699" t="n">
        <v>3</v>
      </c>
      <c r="AR1699" t="n">
        <v>63</v>
      </c>
      <c r="AS1699" t="inlineStr">
        <is>
          <t>Collection (optional)</t>
        </is>
      </c>
    </row>
    <row r="1700">
      <c r="A1700" t="inlineStr">
        <is>
          <t>Arcane</t>
        </is>
      </c>
      <c r="B1700" t="inlineStr">
        <is>
          <t>Arcane Arachne</t>
        </is>
      </c>
      <c r="E1700" t="inlineStr">
        <is>
          <t>Warframe</t>
        </is>
      </c>
      <c r="F1700" t="n">
        <v>5</v>
      </c>
      <c r="G1700" t="n">
        <v>1</v>
      </c>
      <c r="H1700" t="inlineStr">
        <is>
          <t>Player trade (max rank)</t>
        </is>
      </c>
      <c r="I1700" t="inlineStr">
        <is>
          <t>Yes</t>
        </is>
      </c>
      <c r="K1700" t="inlineStr">
        <is>
          <t>Collection (optional)</t>
        </is>
      </c>
      <c r="L1700" t="n">
        <v>75</v>
      </c>
      <c r="M1700" t="n">
        <v>75</v>
      </c>
      <c r="N1700" t="n">
        <v>88</v>
      </c>
      <c r="O1700" t="inlineStr">
        <is>
          <t>2026-10-05 UTC (WFM pull 02:52-04:00)</t>
        </is>
      </c>
      <c r="P1700" t="inlineStr">
        <is>
          <t>OK</t>
        </is>
      </c>
      <c r="R1700" t="inlineStr">
        <is>
          <t>Arcanes share across items like mods (one max-rank copy covers every build).</t>
        </is>
      </c>
      <c r="S1700" t="inlineStr">
        <is>
          <t>arcane_arachne</t>
        </is>
      </c>
      <c r="T1700" t="n">
        <v>18</v>
      </c>
      <c r="U1700" t="n">
        <v>18</v>
      </c>
      <c r="V1700" t="n">
        <v>70</v>
      </c>
      <c r="W1700" t="n">
        <v>79.5</v>
      </c>
      <c r="X1700" t="n">
        <v>76.3</v>
      </c>
      <c r="Y1700" t="n">
        <v>3415</v>
      </c>
      <c r="Z1700" t="n">
        <v>70</v>
      </c>
      <c r="AA1700" t="n">
        <v>60</v>
      </c>
      <c r="AB1700" t="n">
        <v>15</v>
      </c>
      <c r="AQ1700" t="n">
        <v>7.5</v>
      </c>
      <c r="AR1700" t="n">
        <v>157.5</v>
      </c>
      <c r="AS1700" t="inlineStr">
        <is>
          <t>Collection (optional)</t>
        </is>
      </c>
    </row>
    <row r="1701">
      <c r="A1701" t="inlineStr">
        <is>
          <t>Arcane</t>
        </is>
      </c>
      <c r="B1701" t="inlineStr">
        <is>
          <t>Arcane Avenger</t>
        </is>
      </c>
      <c r="E1701" t="inlineStr">
        <is>
          <t>Warframe</t>
        </is>
      </c>
      <c r="F1701" t="n">
        <v>5</v>
      </c>
      <c r="G1701" t="n">
        <v>1</v>
      </c>
      <c r="H1701" t="inlineStr">
        <is>
          <t>Player trade (max rank)</t>
        </is>
      </c>
      <c r="I1701" t="inlineStr">
        <is>
          <t>Yes</t>
        </is>
      </c>
      <c r="K1701" t="inlineStr">
        <is>
          <t>Required (v4.2 frame builds)</t>
        </is>
      </c>
      <c r="L1701" t="n">
        <v>90</v>
      </c>
      <c r="M1701" t="n">
        <v>90</v>
      </c>
      <c r="N1701" t="n">
        <v>105</v>
      </c>
      <c r="O1701" t="inlineStr">
        <is>
          <t>2026-10-05 UTC (WFM pull 02:52-04:00)</t>
        </is>
      </c>
      <c r="P1701" t="inlineStr">
        <is>
          <t>OK</t>
        </is>
      </c>
      <c r="R1701" t="inlineStr">
        <is>
          <t>Arcanes share across items like mods (one max-rank copy covers every build).</t>
        </is>
      </c>
      <c r="S1701" t="inlineStr">
        <is>
          <t>arcane_avenger</t>
        </is>
      </c>
      <c r="T1701" t="n">
        <v>29</v>
      </c>
      <c r="U1701" t="n">
        <v>29</v>
      </c>
      <c r="V1701" t="n">
        <v>85</v>
      </c>
      <c r="W1701" t="n">
        <v>80</v>
      </c>
      <c r="X1701" t="n">
        <v>79</v>
      </c>
      <c r="Y1701" t="n">
        <v>7013</v>
      </c>
      <c r="Z1701" t="n">
        <v>195</v>
      </c>
      <c r="AA1701" t="n">
        <v>70</v>
      </c>
      <c r="AB1701" t="n">
        <v>20</v>
      </c>
      <c r="AQ1701" t="n">
        <v>5</v>
      </c>
      <c r="AR1701" t="n">
        <v>105</v>
      </c>
      <c r="AS1701" t="inlineStr">
        <is>
          <t>Yes</t>
        </is>
      </c>
    </row>
    <row r="1702">
      <c r="A1702" t="inlineStr">
        <is>
          <t>Arcane</t>
        </is>
      </c>
      <c r="B1702" t="inlineStr">
        <is>
          <t>Arcane Awakening</t>
        </is>
      </c>
      <c r="E1702" t="inlineStr">
        <is>
          <t>Warframe</t>
        </is>
      </c>
      <c r="F1702" t="n">
        <v>5</v>
      </c>
      <c r="G1702" t="n">
        <v>1</v>
      </c>
      <c r="H1702" t="inlineStr">
        <is>
          <t>Player trade (max rank)</t>
        </is>
      </c>
      <c r="I1702" t="inlineStr">
        <is>
          <t>Yes</t>
        </is>
      </c>
      <c r="K1702" t="inlineStr">
        <is>
          <t>Collection (optional)</t>
        </is>
      </c>
      <c r="L1702" t="n">
        <v>39</v>
      </c>
      <c r="M1702" t="n">
        <v>40</v>
      </c>
      <c r="N1702" t="n">
        <v>50</v>
      </c>
      <c r="O1702" t="inlineStr">
        <is>
          <t>2026-10-05 UTC (WFM pull 02:52-04:00)</t>
        </is>
      </c>
      <c r="P1702" t="inlineStr">
        <is>
          <t>OK</t>
        </is>
      </c>
      <c r="R1702" t="inlineStr">
        <is>
          <t>Arcanes share across items like mods (one max-rank copy covers every build).</t>
        </is>
      </c>
      <c r="S1702" t="inlineStr">
        <is>
          <t>arcane_awakening</t>
        </is>
      </c>
      <c r="T1702" t="n">
        <v>9</v>
      </c>
      <c r="U1702" t="n">
        <v>9</v>
      </c>
      <c r="V1702" t="n">
        <v>30</v>
      </c>
      <c r="W1702" t="n">
        <v>30</v>
      </c>
      <c r="X1702" t="n">
        <v>32</v>
      </c>
      <c r="Y1702" t="n">
        <v>984</v>
      </c>
      <c r="Z1702" t="n">
        <v>25</v>
      </c>
      <c r="AA1702" t="n">
        <v>15</v>
      </c>
      <c r="AB1702" t="n">
        <v>24</v>
      </c>
      <c r="AQ1702" t="n">
        <v>2</v>
      </c>
      <c r="AR1702" t="n">
        <v>42</v>
      </c>
      <c r="AS1702" t="inlineStr">
        <is>
          <t>Collection (optional)</t>
        </is>
      </c>
    </row>
    <row r="1703">
      <c r="A1703" t="inlineStr">
        <is>
          <t>Arcane</t>
        </is>
      </c>
      <c r="B1703" t="inlineStr">
        <is>
          <t>Arcane Barrier</t>
        </is>
      </c>
      <c r="E1703" t="inlineStr">
        <is>
          <t>Warframe</t>
        </is>
      </c>
      <c r="F1703" t="n">
        <v>5</v>
      </c>
      <c r="G1703" t="n">
        <v>1</v>
      </c>
      <c r="H1703" t="inlineStr">
        <is>
          <t>Player trade (max rank)</t>
        </is>
      </c>
      <c r="I1703" t="inlineStr">
        <is>
          <t>Yes</t>
        </is>
      </c>
      <c r="K1703" t="inlineStr">
        <is>
          <t>Collection (optional)</t>
        </is>
      </c>
      <c r="L1703" t="n">
        <v>40</v>
      </c>
      <c r="M1703" t="n">
        <v>40</v>
      </c>
      <c r="N1703" t="n">
        <v>50</v>
      </c>
      <c r="O1703" t="inlineStr">
        <is>
          <t>2026-10-05 UTC (WFM pull 02:52-04:00)</t>
        </is>
      </c>
      <c r="P1703" t="inlineStr">
        <is>
          <t>OK</t>
        </is>
      </c>
      <c r="R1703" t="inlineStr">
        <is>
          <t>Arcanes share across items like mods (one max-rank copy covers every build).</t>
        </is>
      </c>
      <c r="S1703" t="inlineStr">
        <is>
          <t>arcane_barrier</t>
        </is>
      </c>
      <c r="T1703" t="n">
        <v>32</v>
      </c>
      <c r="U1703" t="n">
        <v>32</v>
      </c>
      <c r="V1703" t="n">
        <v>40</v>
      </c>
      <c r="W1703" t="n">
        <v>40</v>
      </c>
      <c r="X1703" t="n">
        <v>40.6</v>
      </c>
      <c r="Y1703" t="n">
        <v>1010</v>
      </c>
      <c r="Z1703" t="n">
        <v>21</v>
      </c>
      <c r="AA1703" t="n">
        <v>30</v>
      </c>
      <c r="AB1703" t="n">
        <v>10</v>
      </c>
      <c r="AQ1703" t="n">
        <v>4</v>
      </c>
      <c r="AR1703" t="n">
        <v>84</v>
      </c>
      <c r="AS1703" t="inlineStr">
        <is>
          <t>Collection (optional)</t>
        </is>
      </c>
    </row>
    <row r="1704">
      <c r="A1704" t="inlineStr">
        <is>
          <t>Arcane</t>
        </is>
      </c>
      <c r="B1704" t="inlineStr">
        <is>
          <t>Arcane Battery</t>
        </is>
      </c>
      <c r="E1704" t="inlineStr">
        <is>
          <t>Warframe</t>
        </is>
      </c>
      <c r="F1704" t="n">
        <v>5</v>
      </c>
      <c r="G1704" t="n">
        <v>1</v>
      </c>
      <c r="H1704" t="inlineStr">
        <is>
          <t>Player trade (max rank)</t>
        </is>
      </c>
      <c r="I1704" t="inlineStr">
        <is>
          <t>Yes</t>
        </is>
      </c>
      <c r="K1704" t="inlineStr">
        <is>
          <t>Collection (optional)</t>
        </is>
      </c>
      <c r="L1704" t="n">
        <v>80</v>
      </c>
      <c r="M1704" t="n">
        <v>80</v>
      </c>
      <c r="N1704" t="n">
        <v>100</v>
      </c>
      <c r="O1704" t="inlineStr">
        <is>
          <t>2026-10-05 UTC (WFM pull 02:52-04:00)</t>
        </is>
      </c>
      <c r="P1704" t="inlineStr">
        <is>
          <t>OK</t>
        </is>
      </c>
      <c r="R1704" t="inlineStr">
        <is>
          <t>Arcanes share across items like mods (one max-rank copy covers every build).</t>
        </is>
      </c>
      <c r="S1704" t="inlineStr">
        <is>
          <t>arcane_battery</t>
        </is>
      </c>
      <c r="T1704" t="n">
        <v>14</v>
      </c>
      <c r="U1704" t="n">
        <v>14</v>
      </c>
      <c r="V1704" t="n">
        <v>70</v>
      </c>
      <c r="W1704" t="n">
        <v>60</v>
      </c>
      <c r="X1704" t="n">
        <v>63.1</v>
      </c>
      <c r="Y1704" t="n">
        <v>7981</v>
      </c>
      <c r="Z1704" t="n">
        <v>224</v>
      </c>
      <c r="AA1704" t="n">
        <v>75</v>
      </c>
      <c r="AB1704" t="n">
        <v>5</v>
      </c>
      <c r="AQ1704" t="n">
        <v>4</v>
      </c>
      <c r="AR1704" t="n">
        <v>84</v>
      </c>
      <c r="AS1704" t="inlineStr">
        <is>
          <t>Collection (optional)</t>
        </is>
      </c>
    </row>
    <row r="1705">
      <c r="A1705" t="inlineStr">
        <is>
          <t>Arcane</t>
        </is>
      </c>
      <c r="B1705" t="inlineStr">
        <is>
          <t>Arcane Bellicose</t>
        </is>
      </c>
      <c r="E1705" t="inlineStr">
        <is>
          <t>Warframe</t>
        </is>
      </c>
      <c r="F1705" t="n">
        <v>5</v>
      </c>
      <c r="G1705" t="n">
        <v>1</v>
      </c>
      <c r="H1705" t="inlineStr">
        <is>
          <t>Player trade (max rank)</t>
        </is>
      </c>
      <c r="I1705" t="inlineStr">
        <is>
          <t>Yes</t>
        </is>
      </c>
      <c r="K1705" t="inlineStr">
        <is>
          <t>Required (v4.2 frame builds)</t>
        </is>
      </c>
      <c r="L1705" t="n">
        <v>25</v>
      </c>
      <c r="M1705" t="n">
        <v>27</v>
      </c>
      <c r="N1705" t="n">
        <v>31</v>
      </c>
      <c r="O1705" t="inlineStr">
        <is>
          <t>2026-10-05 UTC (WFM pull 02:52-04:00)</t>
        </is>
      </c>
      <c r="P1705" t="inlineStr">
        <is>
          <t>OK</t>
        </is>
      </c>
      <c r="R1705" t="inlineStr">
        <is>
          <t>Arcanes share across items like mods (one max-rank copy covers every build).</t>
        </is>
      </c>
      <c r="S1705" t="inlineStr">
        <is>
          <t>arcane_bellicose</t>
        </is>
      </c>
      <c r="T1705" t="n">
        <v>39</v>
      </c>
      <c r="U1705" t="n">
        <v>39</v>
      </c>
      <c r="V1705" t="n">
        <v>25</v>
      </c>
      <c r="W1705" t="n">
        <v>25</v>
      </c>
      <c r="X1705" t="n">
        <v>26.5</v>
      </c>
      <c r="Y1705" t="n">
        <v>8787</v>
      </c>
      <c r="Z1705" t="n">
        <v>185</v>
      </c>
      <c r="AA1705" t="n">
        <v>11</v>
      </c>
      <c r="AB1705" t="n">
        <v>14</v>
      </c>
      <c r="AQ1705" t="n">
        <v>2</v>
      </c>
      <c r="AR1705" t="n">
        <v>42</v>
      </c>
      <c r="AS1705" t="inlineStr">
        <is>
          <t>Yes</t>
        </is>
      </c>
    </row>
    <row r="1706">
      <c r="A1706" t="inlineStr">
        <is>
          <t>Arcane</t>
        </is>
      </c>
      <c r="B1706" t="inlineStr">
        <is>
          <t>Arcane Blade Charger</t>
        </is>
      </c>
      <c r="E1706" t="inlineStr">
        <is>
          <t>Warframe</t>
        </is>
      </c>
      <c r="F1706" t="n">
        <v>5</v>
      </c>
      <c r="G1706" t="n">
        <v>1</v>
      </c>
      <c r="H1706" t="inlineStr">
        <is>
          <t>Player trade (max rank)</t>
        </is>
      </c>
      <c r="I1706" t="inlineStr">
        <is>
          <t>Yes</t>
        </is>
      </c>
      <c r="K1706" t="inlineStr">
        <is>
          <t>Collection (optional)</t>
        </is>
      </c>
      <c r="L1706" t="n">
        <v>22</v>
      </c>
      <c r="M1706" t="n">
        <v>25</v>
      </c>
      <c r="N1706" t="n">
        <v>28</v>
      </c>
      <c r="O1706" t="inlineStr">
        <is>
          <t>2026-10-05 UTC (WFM pull 02:52-04:00)</t>
        </is>
      </c>
      <c r="P1706" t="inlineStr">
        <is>
          <t>OK</t>
        </is>
      </c>
      <c r="R1706" t="inlineStr">
        <is>
          <t>Arcanes share across items like mods (one max-rank copy covers every build).</t>
        </is>
      </c>
      <c r="S1706" t="inlineStr">
        <is>
          <t>arcane_blade_charger</t>
        </is>
      </c>
      <c r="T1706" t="n">
        <v>10</v>
      </c>
      <c r="U1706" t="n">
        <v>10</v>
      </c>
      <c r="V1706" t="n">
        <v>24.5</v>
      </c>
      <c r="W1706" t="n">
        <v>26</v>
      </c>
      <c r="X1706" t="n">
        <v>25.7</v>
      </c>
      <c r="Y1706" t="n">
        <v>419</v>
      </c>
      <c r="Z1706" t="n">
        <v>13</v>
      </c>
      <c r="AA1706" t="n">
        <v>6</v>
      </c>
      <c r="AB1706" t="n">
        <v>16</v>
      </c>
      <c r="AQ1706" t="n">
        <v>3</v>
      </c>
      <c r="AR1706" t="n">
        <v>63</v>
      </c>
      <c r="AS1706" t="inlineStr">
        <is>
          <t>Collection (optional)</t>
        </is>
      </c>
    </row>
    <row r="1707">
      <c r="A1707" t="inlineStr">
        <is>
          <t>Arcane</t>
        </is>
      </c>
      <c r="B1707" t="inlineStr">
        <is>
          <t>Arcane Blessing</t>
        </is>
      </c>
      <c r="E1707" t="inlineStr">
        <is>
          <t>Warframe</t>
        </is>
      </c>
      <c r="F1707" t="n">
        <v>5</v>
      </c>
      <c r="G1707" t="n">
        <v>1</v>
      </c>
      <c r="H1707" t="inlineStr">
        <is>
          <t>Player trade (max rank)</t>
        </is>
      </c>
      <c r="I1707" t="inlineStr">
        <is>
          <t>Yes</t>
        </is>
      </c>
      <c r="K1707" t="inlineStr">
        <is>
          <t>Collection (optional)</t>
        </is>
      </c>
      <c r="L1707" t="n">
        <v>34</v>
      </c>
      <c r="M1707" t="n">
        <v>40</v>
      </c>
      <c r="N1707" t="n">
        <v>50</v>
      </c>
      <c r="O1707" t="inlineStr">
        <is>
          <t>2026-10-05 UTC (WFM pull 02:52-04:00)</t>
        </is>
      </c>
      <c r="P1707" t="inlineStr">
        <is>
          <t>OK</t>
        </is>
      </c>
      <c r="R1707" t="inlineStr">
        <is>
          <t>Arcanes share across items like mods (one max-rank copy covers every build).</t>
        </is>
      </c>
      <c r="S1707" t="inlineStr">
        <is>
          <t>arcane_blessing</t>
        </is>
      </c>
      <c r="T1707" t="n">
        <v>9</v>
      </c>
      <c r="U1707" t="n">
        <v>9</v>
      </c>
      <c r="V1707" t="n">
        <v>30</v>
      </c>
      <c r="W1707" t="n">
        <v>29</v>
      </c>
      <c r="X1707" t="n">
        <v>27.7</v>
      </c>
      <c r="Y1707" t="n">
        <v>6860</v>
      </c>
      <c r="Z1707" t="n">
        <v>193</v>
      </c>
      <c r="AA1707" t="n">
        <v>15</v>
      </c>
      <c r="AB1707" t="n">
        <v>19</v>
      </c>
      <c r="AQ1707" t="n">
        <v>2</v>
      </c>
      <c r="AR1707" t="n">
        <v>42</v>
      </c>
      <c r="AS1707" t="inlineStr">
        <is>
          <t>Collection (optional)</t>
        </is>
      </c>
    </row>
    <row r="1708">
      <c r="A1708" t="inlineStr">
        <is>
          <t>Arcane</t>
        </is>
      </c>
      <c r="B1708" t="inlineStr">
        <is>
          <t>Arcane Bodyguard</t>
        </is>
      </c>
      <c r="E1708" t="inlineStr">
        <is>
          <t>Warframe</t>
        </is>
      </c>
      <c r="F1708" t="n">
        <v>5</v>
      </c>
      <c r="G1708" t="n">
        <v>1</v>
      </c>
      <c r="H1708" t="inlineStr">
        <is>
          <t>Player trade (max rank)</t>
        </is>
      </c>
      <c r="I1708" t="inlineStr">
        <is>
          <t>Yes</t>
        </is>
      </c>
      <c r="K1708" t="inlineStr">
        <is>
          <t>Collection (optional)</t>
        </is>
      </c>
      <c r="L1708" t="n">
        <v>24</v>
      </c>
      <c r="M1708" t="n">
        <v>34.5</v>
      </c>
      <c r="N1708" t="n">
        <v>76</v>
      </c>
      <c r="O1708" t="inlineStr">
        <is>
          <t>2026-10-05 UTC (WFM pull 02:52-04:00)</t>
        </is>
      </c>
      <c r="P1708" t="inlineStr">
        <is>
          <t>OK</t>
        </is>
      </c>
      <c r="R1708" t="inlineStr">
        <is>
          <t>Arcanes share across items like mods (one max-rank copy covers every build).</t>
        </is>
      </c>
      <c r="S1708" t="inlineStr">
        <is>
          <t>arcane_bodyguard</t>
        </is>
      </c>
      <c r="T1708" t="n">
        <v>3</v>
      </c>
      <c r="U1708" t="n">
        <v>3</v>
      </c>
      <c r="V1708" t="n">
        <v>23</v>
      </c>
      <c r="W1708" t="n">
        <v>27.5</v>
      </c>
      <c r="X1708" t="n">
        <v>27.3</v>
      </c>
      <c r="Y1708" t="n">
        <v>102</v>
      </c>
      <c r="Z1708" t="n">
        <v>4</v>
      </c>
      <c r="AA1708" t="n">
        <v>15</v>
      </c>
      <c r="AB1708" t="n">
        <v>9</v>
      </c>
      <c r="AQ1708" t="n">
        <v>4.5</v>
      </c>
      <c r="AR1708" t="n">
        <v>94.5</v>
      </c>
      <c r="AS1708" t="inlineStr">
        <is>
          <t>Collection (optional)</t>
        </is>
      </c>
    </row>
    <row r="1709">
      <c r="A1709" t="inlineStr">
        <is>
          <t>Arcane</t>
        </is>
      </c>
      <c r="B1709" t="inlineStr">
        <is>
          <t>Arcane Camisado</t>
        </is>
      </c>
      <c r="E1709" t="inlineStr">
        <is>
          <t>Warframe</t>
        </is>
      </c>
      <c r="F1709" t="n">
        <v>5</v>
      </c>
      <c r="G1709" t="n">
        <v>1</v>
      </c>
      <c r="H1709" t="inlineStr">
        <is>
          <t>Player trade (max rank)</t>
        </is>
      </c>
      <c r="I1709" t="inlineStr">
        <is>
          <t>Yes</t>
        </is>
      </c>
      <c r="K1709" t="inlineStr">
        <is>
          <t>Required (v4.2 frame builds)</t>
        </is>
      </c>
      <c r="L1709" t="n">
        <v>20</v>
      </c>
      <c r="M1709" t="n">
        <v>30</v>
      </c>
      <c r="N1709" t="n">
        <v>33</v>
      </c>
      <c r="O1709" t="inlineStr">
        <is>
          <t>2026-10-05 UTC (WFM pull 02:52-04:00)</t>
        </is>
      </c>
      <c r="P1709" t="inlineStr">
        <is>
          <t>OK</t>
        </is>
      </c>
      <c r="R1709" t="inlineStr">
        <is>
          <t>Arcanes share across items like mods (one max-rank copy covers every build).</t>
        </is>
      </c>
      <c r="S1709" t="inlineStr">
        <is>
          <t>arcane_camisado</t>
        </is>
      </c>
      <c r="T1709" t="n">
        <v>27</v>
      </c>
      <c r="U1709" t="n">
        <v>27</v>
      </c>
      <c r="V1709" t="n">
        <v>25</v>
      </c>
      <c r="W1709" t="n">
        <v>25</v>
      </c>
      <c r="X1709" t="n">
        <v>25.6</v>
      </c>
      <c r="Y1709" t="n">
        <v>7559</v>
      </c>
      <c r="Z1709" t="n">
        <v>239</v>
      </c>
      <c r="AA1709" t="n">
        <v>10</v>
      </c>
      <c r="AB1709" t="n">
        <v>10</v>
      </c>
      <c r="AQ1709" t="n">
        <v>2</v>
      </c>
      <c r="AR1709" t="n">
        <v>42</v>
      </c>
      <c r="AS1709" t="inlineStr">
        <is>
          <t>Yes</t>
        </is>
      </c>
    </row>
    <row r="1710">
      <c r="A1710" t="inlineStr">
        <is>
          <t>Arcane</t>
        </is>
      </c>
      <c r="B1710" t="inlineStr">
        <is>
          <t>Arcane Circumvent</t>
        </is>
      </c>
      <c r="E1710" t="inlineStr">
        <is>
          <t>Warframe</t>
        </is>
      </c>
      <c r="F1710" t="n">
        <v>5</v>
      </c>
      <c r="G1710" t="n">
        <v>1</v>
      </c>
      <c r="H1710" t="inlineStr">
        <is>
          <t>Player trade (max rank)</t>
        </is>
      </c>
      <c r="I1710" t="inlineStr">
        <is>
          <t>Yes</t>
        </is>
      </c>
      <c r="K1710" t="inlineStr">
        <is>
          <t>Collection (optional)</t>
        </is>
      </c>
      <c r="L1710" t="n">
        <v>40</v>
      </c>
      <c r="M1710" t="n">
        <v>40</v>
      </c>
      <c r="N1710" t="n">
        <v>50</v>
      </c>
      <c r="O1710" t="inlineStr">
        <is>
          <t>2026-10-05 UTC (WFM pull 02:52-04:00)</t>
        </is>
      </c>
      <c r="P1710" t="inlineStr">
        <is>
          <t>OK</t>
        </is>
      </c>
      <c r="R1710" t="inlineStr">
        <is>
          <t>Arcanes share across items like mods (one max-rank copy covers every build).</t>
        </is>
      </c>
      <c r="S1710" t="inlineStr">
        <is>
          <t>arcane_circumvent</t>
        </is>
      </c>
      <c r="T1710" t="n">
        <v>14</v>
      </c>
      <c r="U1710" t="n">
        <v>14</v>
      </c>
      <c r="V1710" t="n">
        <v>35</v>
      </c>
      <c r="W1710" t="n">
        <v>34</v>
      </c>
      <c r="X1710" t="n">
        <v>33.1</v>
      </c>
      <c r="Y1710" t="n">
        <v>4554</v>
      </c>
      <c r="Z1710" t="n">
        <v>117</v>
      </c>
      <c r="AA1710" t="n">
        <v>21</v>
      </c>
      <c r="AB1710" t="n">
        <v>19</v>
      </c>
      <c r="AQ1710" t="n">
        <v>3</v>
      </c>
      <c r="AR1710" t="n">
        <v>63</v>
      </c>
      <c r="AS1710" t="inlineStr">
        <is>
          <t>Collection (optional)</t>
        </is>
      </c>
    </row>
    <row r="1711">
      <c r="A1711" t="inlineStr">
        <is>
          <t>Arcane</t>
        </is>
      </c>
      <c r="B1711" t="inlineStr">
        <is>
          <t>Arcane Concentration</t>
        </is>
      </c>
      <c r="E1711" t="inlineStr">
        <is>
          <t>Warframe</t>
        </is>
      </c>
      <c r="F1711" t="n">
        <v>5</v>
      </c>
      <c r="G1711" t="n">
        <v>1</v>
      </c>
      <c r="H1711" t="inlineStr">
        <is>
          <t>Player trade (max rank)</t>
        </is>
      </c>
      <c r="I1711" t="inlineStr">
        <is>
          <t>Yes</t>
        </is>
      </c>
      <c r="K1711" t="inlineStr">
        <is>
          <t>Collection (optional)</t>
        </is>
      </c>
      <c r="L1711" t="n">
        <v>39</v>
      </c>
      <c r="M1711" t="n">
        <v>40</v>
      </c>
      <c r="N1711" t="n">
        <v>54</v>
      </c>
      <c r="O1711" t="inlineStr">
        <is>
          <t>2026-10-05 UTC (WFM pull 02:52-04:00)</t>
        </is>
      </c>
      <c r="P1711" t="inlineStr">
        <is>
          <t>OK</t>
        </is>
      </c>
      <c r="R1711" t="inlineStr">
        <is>
          <t>Arcanes share across items like mods (one max-rank copy covers every build).</t>
        </is>
      </c>
      <c r="S1711" t="inlineStr">
        <is>
          <t>arcane_concentration</t>
        </is>
      </c>
      <c r="T1711" t="n">
        <v>13</v>
      </c>
      <c r="U1711" t="n">
        <v>13</v>
      </c>
      <c r="V1711" t="n">
        <v>35</v>
      </c>
      <c r="W1711" t="n">
        <v>30</v>
      </c>
      <c r="X1711" t="n">
        <v>31.6</v>
      </c>
      <c r="Y1711" t="n">
        <v>14481</v>
      </c>
      <c r="Z1711" t="n">
        <v>430</v>
      </c>
      <c r="AA1711" t="n">
        <v>20</v>
      </c>
      <c r="AB1711" t="n">
        <v>19</v>
      </c>
      <c r="AQ1711" t="n">
        <v>3</v>
      </c>
      <c r="AR1711" t="n">
        <v>63</v>
      </c>
      <c r="AS1711" t="inlineStr">
        <is>
          <t>Collection (optional)</t>
        </is>
      </c>
    </row>
    <row r="1712">
      <c r="A1712" t="inlineStr">
        <is>
          <t>Arcane</t>
        </is>
      </c>
      <c r="B1712" t="inlineStr">
        <is>
          <t>Arcane Consequence</t>
        </is>
      </c>
      <c r="E1712" t="inlineStr">
        <is>
          <t>Warframe</t>
        </is>
      </c>
      <c r="F1712" t="n">
        <v>5</v>
      </c>
      <c r="G1712" t="n">
        <v>1</v>
      </c>
      <c r="H1712" t="inlineStr">
        <is>
          <t>Player trade (max rank)</t>
        </is>
      </c>
      <c r="I1712" t="inlineStr">
        <is>
          <t>Yes</t>
        </is>
      </c>
      <c r="K1712" t="inlineStr">
        <is>
          <t>Collection (optional)</t>
        </is>
      </c>
      <c r="L1712" t="n">
        <v>28</v>
      </c>
      <c r="M1712" t="n">
        <v>35</v>
      </c>
      <c r="N1712" t="n">
        <v>44</v>
      </c>
      <c r="O1712" t="inlineStr">
        <is>
          <t>2026-10-05 UTC (WFM pull 02:52-04:00)</t>
        </is>
      </c>
      <c r="P1712" t="inlineStr">
        <is>
          <t>OK</t>
        </is>
      </c>
      <c r="R1712" t="inlineStr">
        <is>
          <t>Arcanes share across items like mods (one max-rank copy covers every build).</t>
        </is>
      </c>
      <c r="S1712" t="inlineStr">
        <is>
          <t>arcane_consequence</t>
        </is>
      </c>
      <c r="T1712" t="n">
        <v>8</v>
      </c>
      <c r="U1712" t="n">
        <v>8</v>
      </c>
      <c r="V1712" t="n">
        <v>29.5</v>
      </c>
      <c r="W1712" t="n">
        <v>30</v>
      </c>
      <c r="X1712" t="n">
        <v>29.2</v>
      </c>
      <c r="Y1712" t="n">
        <v>430</v>
      </c>
      <c r="Z1712" t="n">
        <v>8</v>
      </c>
      <c r="AQ1712" t="n">
        <v>3</v>
      </c>
      <c r="AR1712" t="n">
        <v>63</v>
      </c>
      <c r="AS1712" t="inlineStr">
        <is>
          <t>Collection (optional)</t>
        </is>
      </c>
    </row>
    <row r="1713">
      <c r="A1713" t="inlineStr">
        <is>
          <t>Arcane</t>
        </is>
      </c>
      <c r="B1713" t="inlineStr">
        <is>
          <t>Arcane Crepuscular</t>
        </is>
      </c>
      <c r="E1713" t="inlineStr">
        <is>
          <t>Warframe</t>
        </is>
      </c>
      <c r="F1713" t="n">
        <v>5</v>
      </c>
      <c r="G1713" t="n">
        <v>1</v>
      </c>
      <c r="H1713" t="inlineStr">
        <is>
          <t>Player trade (max rank)</t>
        </is>
      </c>
      <c r="I1713" t="inlineStr">
        <is>
          <t>Yes</t>
        </is>
      </c>
      <c r="K1713" t="inlineStr">
        <is>
          <t>Required (v4.2 frame builds)</t>
        </is>
      </c>
      <c r="L1713" t="n">
        <v>25</v>
      </c>
      <c r="M1713" t="n">
        <v>29</v>
      </c>
      <c r="N1713" t="n">
        <v>33</v>
      </c>
      <c r="O1713" t="inlineStr">
        <is>
          <t>2026-10-05 UTC (WFM pull 02:52-04:00)</t>
        </is>
      </c>
      <c r="P1713" t="inlineStr">
        <is>
          <t>OK</t>
        </is>
      </c>
      <c r="R1713" t="inlineStr">
        <is>
          <t>Arcanes share across items like mods (one max-rank copy covers every build).</t>
        </is>
      </c>
      <c r="S1713" t="inlineStr">
        <is>
          <t>arcane_crepuscular</t>
        </is>
      </c>
      <c r="T1713" t="n">
        <v>33</v>
      </c>
      <c r="U1713" t="n">
        <v>33</v>
      </c>
      <c r="V1713" t="n">
        <v>25</v>
      </c>
      <c r="W1713" t="n">
        <v>27</v>
      </c>
      <c r="X1713" t="n">
        <v>27</v>
      </c>
      <c r="Y1713" t="n">
        <v>9263</v>
      </c>
      <c r="Z1713" t="n">
        <v>283</v>
      </c>
      <c r="AA1713" t="n">
        <v>17</v>
      </c>
      <c r="AB1713" t="n">
        <v>8</v>
      </c>
      <c r="AQ1713" t="n">
        <v>2</v>
      </c>
      <c r="AR1713" t="n">
        <v>42</v>
      </c>
      <c r="AS1713" t="inlineStr">
        <is>
          <t>Yes</t>
        </is>
      </c>
    </row>
    <row r="1714">
      <c r="A1714" t="inlineStr">
        <is>
          <t>Arcane</t>
        </is>
      </c>
      <c r="B1714" t="inlineStr">
        <is>
          <t>Arcane Deflection</t>
        </is>
      </c>
      <c r="E1714" t="inlineStr">
        <is>
          <t>Warframe</t>
        </is>
      </c>
      <c r="F1714" t="n">
        <v>5</v>
      </c>
      <c r="G1714" t="n">
        <v>1</v>
      </c>
      <c r="H1714" t="inlineStr">
        <is>
          <t>Player trade (max rank)</t>
        </is>
      </c>
      <c r="I1714" t="inlineStr">
        <is>
          <t>Yes</t>
        </is>
      </c>
      <c r="K1714" t="inlineStr">
        <is>
          <t>Collection (optional)</t>
        </is>
      </c>
      <c r="L1714" t="n">
        <v>25</v>
      </c>
      <c r="M1714" t="n">
        <v>29.5</v>
      </c>
      <c r="N1714" t="n">
        <v>65</v>
      </c>
      <c r="O1714" t="inlineStr">
        <is>
          <t>2026-10-05 UTC (WFM pull 02:52-04:00)</t>
        </is>
      </c>
      <c r="P1714" t="inlineStr">
        <is>
          <t>OK</t>
        </is>
      </c>
      <c r="R1714" t="inlineStr">
        <is>
          <t>Arcanes share across items like mods (one max-rank copy covers every build).</t>
        </is>
      </c>
      <c r="S1714" t="inlineStr">
        <is>
          <t>arcane_deflection</t>
        </is>
      </c>
      <c r="T1714" t="n">
        <v>4</v>
      </c>
      <c r="U1714" t="n">
        <v>4</v>
      </c>
      <c r="V1714" t="n">
        <v>24.5</v>
      </c>
      <c r="W1714" t="n">
        <v>21.5</v>
      </c>
      <c r="X1714" t="n">
        <v>22.1</v>
      </c>
      <c r="Y1714" t="n">
        <v>97</v>
      </c>
      <c r="Z1714" t="n">
        <v>2</v>
      </c>
      <c r="AA1714" t="n">
        <v>10</v>
      </c>
      <c r="AB1714" t="n">
        <v>15</v>
      </c>
      <c r="AQ1714" t="n">
        <v>3</v>
      </c>
      <c r="AR1714" t="n">
        <v>63</v>
      </c>
      <c r="AS1714" t="inlineStr">
        <is>
          <t>Collection (optional)</t>
        </is>
      </c>
    </row>
    <row r="1715">
      <c r="A1715" t="inlineStr">
        <is>
          <t>Arcane</t>
        </is>
      </c>
      <c r="B1715" t="inlineStr">
        <is>
          <t>Arcane Double Back</t>
        </is>
      </c>
      <c r="E1715" t="inlineStr">
        <is>
          <t>Warframe</t>
        </is>
      </c>
      <c r="F1715" t="n">
        <v>5</v>
      </c>
      <c r="G1715" t="n">
        <v>1</v>
      </c>
      <c r="H1715" t="inlineStr">
        <is>
          <t>Player trade (max rank)</t>
        </is>
      </c>
      <c r="I1715" t="inlineStr">
        <is>
          <t>Yes</t>
        </is>
      </c>
      <c r="K1715" t="inlineStr">
        <is>
          <t>Collection (optional)</t>
        </is>
      </c>
      <c r="L1715" t="n">
        <v>51</v>
      </c>
      <c r="M1715" t="n">
        <v>59</v>
      </c>
      <c r="N1715" t="n">
        <v>77</v>
      </c>
      <c r="O1715" t="inlineStr">
        <is>
          <t>2026-10-05 UTC (WFM pull 02:52-04:00)</t>
        </is>
      </c>
      <c r="P1715" t="inlineStr">
        <is>
          <t>OK</t>
        </is>
      </c>
      <c r="R1715" t="inlineStr">
        <is>
          <t>Arcanes share across items like mods (one max-rank copy covers every build).</t>
        </is>
      </c>
      <c r="S1715" t="inlineStr">
        <is>
          <t>arcane_double_back</t>
        </is>
      </c>
      <c r="T1715" t="n">
        <v>10</v>
      </c>
      <c r="U1715" t="n">
        <v>10</v>
      </c>
      <c r="V1715" t="n">
        <v>47</v>
      </c>
      <c r="W1715" t="n">
        <v>40</v>
      </c>
      <c r="X1715" t="n">
        <v>43</v>
      </c>
      <c r="Y1715" t="n">
        <v>318</v>
      </c>
      <c r="Z1715" t="n">
        <v>6</v>
      </c>
      <c r="AA1715" t="n">
        <v>50</v>
      </c>
      <c r="AB1715" t="n">
        <v>1</v>
      </c>
      <c r="AQ1715" t="n">
        <v>3</v>
      </c>
      <c r="AR1715" t="n">
        <v>63</v>
      </c>
      <c r="AS1715" t="inlineStr">
        <is>
          <t>Collection (optional)</t>
        </is>
      </c>
    </row>
    <row r="1716">
      <c r="A1716" t="inlineStr">
        <is>
          <t>Arcane</t>
        </is>
      </c>
      <c r="B1716" t="inlineStr">
        <is>
          <t>Arcane Energize</t>
        </is>
      </c>
      <c r="E1716" t="inlineStr">
        <is>
          <t>Warframe</t>
        </is>
      </c>
      <c r="F1716" t="n">
        <v>5</v>
      </c>
      <c r="G1716" t="n">
        <v>1</v>
      </c>
      <c r="H1716" t="inlineStr">
        <is>
          <t>Player trade (max rank)</t>
        </is>
      </c>
      <c r="I1716" t="inlineStr">
        <is>
          <t>Yes</t>
        </is>
      </c>
      <c r="K1716" t="inlineStr">
        <is>
          <t>Required (v4.2 frame builds)</t>
        </is>
      </c>
      <c r="L1716" t="n">
        <v>139</v>
      </c>
      <c r="M1716" t="n">
        <v>140</v>
      </c>
      <c r="N1716" t="n">
        <v>154</v>
      </c>
      <c r="O1716" t="inlineStr">
        <is>
          <t>2026-10-05 UTC (WFM pull 02:52-04:00)</t>
        </is>
      </c>
      <c r="P1716" t="inlineStr">
        <is>
          <t>OK</t>
        </is>
      </c>
      <c r="R1716" t="inlineStr">
        <is>
          <t>Arcanes share across items like mods (one max-rank copy covers every build).</t>
        </is>
      </c>
      <c r="S1716" t="inlineStr">
        <is>
          <t>arcane_energize</t>
        </is>
      </c>
      <c r="T1716" t="n">
        <v>59</v>
      </c>
      <c r="U1716" t="n">
        <v>59</v>
      </c>
      <c r="V1716" t="n">
        <v>134</v>
      </c>
      <c r="W1716" t="n">
        <v>130</v>
      </c>
      <c r="X1716" t="n">
        <v>126.5</v>
      </c>
      <c r="Y1716" t="n">
        <v>10798</v>
      </c>
      <c r="Z1716" t="n">
        <v>260</v>
      </c>
      <c r="AA1716" t="n">
        <v>90</v>
      </c>
      <c r="AB1716" t="n">
        <v>49</v>
      </c>
      <c r="AQ1716" t="n">
        <v>8</v>
      </c>
      <c r="AR1716" t="n">
        <v>168</v>
      </c>
      <c r="AS1716" t="inlineStr">
        <is>
          <t>Yes</t>
        </is>
      </c>
    </row>
    <row r="1717">
      <c r="A1717" t="inlineStr">
        <is>
          <t>Arcane</t>
        </is>
      </c>
      <c r="B1717" t="inlineStr">
        <is>
          <t>Arcane Eruption</t>
        </is>
      </c>
      <c r="E1717" t="inlineStr">
        <is>
          <t>Warframe</t>
        </is>
      </c>
      <c r="F1717" t="n">
        <v>5</v>
      </c>
      <c r="G1717" t="n">
        <v>1</v>
      </c>
      <c r="H1717" t="inlineStr">
        <is>
          <t>Player trade (max rank)</t>
        </is>
      </c>
      <c r="I1717" t="inlineStr">
        <is>
          <t>Yes</t>
        </is>
      </c>
      <c r="K1717" t="inlineStr">
        <is>
          <t>Collection (optional)</t>
        </is>
      </c>
      <c r="L1717" t="n">
        <v>35</v>
      </c>
      <c r="M1717" t="n">
        <v>44.2</v>
      </c>
      <c r="N1717" t="n">
        <v>98</v>
      </c>
      <c r="O1717" t="inlineStr">
        <is>
          <t>2026-10-05 UTC (WFM pull 02:52-04:00)</t>
        </is>
      </c>
      <c r="P1717" t="inlineStr">
        <is>
          <t>OK</t>
        </is>
      </c>
      <c r="R1717" t="inlineStr">
        <is>
          <t>Arcanes share across items like mods (one max-rank copy covers every build).</t>
        </is>
      </c>
      <c r="S1717" t="inlineStr">
        <is>
          <t>arcane_eruption</t>
        </is>
      </c>
      <c r="T1717" t="n">
        <v>6</v>
      </c>
      <c r="U1717" t="n">
        <v>6</v>
      </c>
      <c r="V1717" t="n">
        <v>29.5</v>
      </c>
      <c r="W1717" t="n">
        <v>27.5</v>
      </c>
      <c r="X1717" t="n">
        <v>26.2</v>
      </c>
      <c r="Y1717" t="n">
        <v>384</v>
      </c>
      <c r="Z1717" t="n">
        <v>16</v>
      </c>
      <c r="AA1717" t="n">
        <v>7</v>
      </c>
      <c r="AB1717" t="n">
        <v>28</v>
      </c>
      <c r="AQ1717" t="n">
        <v>3</v>
      </c>
      <c r="AR1717" t="n">
        <v>63</v>
      </c>
      <c r="AS1717" t="inlineStr">
        <is>
          <t>Collection (optional)</t>
        </is>
      </c>
    </row>
    <row r="1718">
      <c r="A1718" t="inlineStr">
        <is>
          <t>Arcane</t>
        </is>
      </c>
      <c r="B1718" t="inlineStr">
        <is>
          <t>Arcane Escapist</t>
        </is>
      </c>
      <c r="E1718" t="inlineStr">
        <is>
          <t>Warframe</t>
        </is>
      </c>
      <c r="F1718" t="n">
        <v>5</v>
      </c>
      <c r="G1718" t="n">
        <v>1</v>
      </c>
      <c r="H1718" t="inlineStr">
        <is>
          <t>Player trade (max rank)</t>
        </is>
      </c>
      <c r="I1718" t="inlineStr">
        <is>
          <t>Yes</t>
        </is>
      </c>
      <c r="K1718" t="inlineStr">
        <is>
          <t>Collection (optional)</t>
        </is>
      </c>
      <c r="L1718" t="n">
        <v>29</v>
      </c>
      <c r="M1718" t="n">
        <v>30</v>
      </c>
      <c r="N1718" t="n">
        <v>33</v>
      </c>
      <c r="O1718" t="inlineStr">
        <is>
          <t>2026-10-05 UTC (WFM pull 02:52-04:00)</t>
        </is>
      </c>
      <c r="P1718" t="inlineStr">
        <is>
          <t>OK</t>
        </is>
      </c>
      <c r="R1718" t="inlineStr">
        <is>
          <t>Arcanes share across items like mods (one max-rank copy covers every build).</t>
        </is>
      </c>
      <c r="S1718" t="inlineStr">
        <is>
          <t>arcane_escapist</t>
        </is>
      </c>
      <c r="T1718" t="n">
        <v>27</v>
      </c>
      <c r="U1718" t="n">
        <v>27</v>
      </c>
      <c r="V1718" t="n">
        <v>29</v>
      </c>
      <c r="W1718" t="n">
        <v>30</v>
      </c>
      <c r="X1718" t="n">
        <v>29.7</v>
      </c>
      <c r="Y1718" t="n">
        <v>602</v>
      </c>
      <c r="Z1718" t="n">
        <v>15</v>
      </c>
      <c r="AA1718" t="n">
        <v>25</v>
      </c>
      <c r="AB1718" t="n">
        <v>4</v>
      </c>
      <c r="AQ1718" t="n">
        <v>3</v>
      </c>
      <c r="AR1718" t="n">
        <v>63</v>
      </c>
      <c r="AS1718" t="inlineStr">
        <is>
          <t>Collection (optional)</t>
        </is>
      </c>
    </row>
    <row r="1719">
      <c r="A1719" t="inlineStr">
        <is>
          <t>Arcane</t>
        </is>
      </c>
      <c r="B1719" t="inlineStr">
        <is>
          <t>Arcane Expertise</t>
        </is>
      </c>
      <c r="E1719" t="inlineStr">
        <is>
          <t>Warframe</t>
        </is>
      </c>
      <c r="F1719" t="n">
        <v>5</v>
      </c>
      <c r="G1719" t="n">
        <v>1</v>
      </c>
      <c r="H1719" t="inlineStr">
        <is>
          <t>Player trade (max rank)</t>
        </is>
      </c>
      <c r="I1719" t="inlineStr">
        <is>
          <t>Yes</t>
        </is>
      </c>
      <c r="K1719" t="inlineStr">
        <is>
          <t>Required (v4.2 frame builds)</t>
        </is>
      </c>
      <c r="L1719" t="n">
        <v>35</v>
      </c>
      <c r="M1719" t="n">
        <v>39</v>
      </c>
      <c r="N1719" t="n">
        <v>44</v>
      </c>
      <c r="O1719" t="inlineStr">
        <is>
          <t>2026-10-05 UTC (WFM pull 02:52-04:00)</t>
        </is>
      </c>
      <c r="P1719" t="inlineStr">
        <is>
          <t>OK</t>
        </is>
      </c>
      <c r="R1719" t="inlineStr">
        <is>
          <t>Arcanes share across items like mods (one max-rank copy covers every build).</t>
        </is>
      </c>
      <c r="S1719" t="inlineStr">
        <is>
          <t>arcane_expertise</t>
        </is>
      </c>
      <c r="T1719" t="n">
        <v>23</v>
      </c>
      <c r="U1719" t="n">
        <v>23</v>
      </c>
      <c r="V1719" t="n">
        <v>30</v>
      </c>
      <c r="W1719" t="n">
        <v>30</v>
      </c>
      <c r="X1719" t="n">
        <v>31.2</v>
      </c>
      <c r="Y1719" t="n">
        <v>10195</v>
      </c>
      <c r="Z1719" t="n">
        <v>210</v>
      </c>
      <c r="AA1719" t="n">
        <v>22</v>
      </c>
      <c r="AB1719" t="n">
        <v>13</v>
      </c>
      <c r="AQ1719" t="n">
        <v>3</v>
      </c>
      <c r="AR1719" t="n">
        <v>63</v>
      </c>
      <c r="AS1719" t="inlineStr">
        <is>
          <t>Yes</t>
        </is>
      </c>
    </row>
    <row r="1720">
      <c r="A1720" t="inlineStr">
        <is>
          <t>Arcane</t>
        </is>
      </c>
      <c r="B1720" t="inlineStr">
        <is>
          <t>Arcane Fury</t>
        </is>
      </c>
      <c r="E1720" t="inlineStr">
        <is>
          <t>Warframe</t>
        </is>
      </c>
      <c r="F1720" t="n">
        <v>5</v>
      </c>
      <c r="G1720" t="n">
        <v>1</v>
      </c>
      <c r="H1720" t="inlineStr">
        <is>
          <t>Player trade (max rank)</t>
        </is>
      </c>
      <c r="I1720" t="inlineStr">
        <is>
          <t>Yes</t>
        </is>
      </c>
      <c r="K1720" t="inlineStr">
        <is>
          <t>Required (v4.2 frame builds)</t>
        </is>
      </c>
      <c r="L1720" t="n">
        <v>120</v>
      </c>
      <c r="M1720" t="n">
        <v>120</v>
      </c>
      <c r="N1720" t="n">
        <v>149</v>
      </c>
      <c r="O1720" t="inlineStr">
        <is>
          <t>2026-10-05 UTC (WFM pull 02:52-04:00)</t>
        </is>
      </c>
      <c r="P1720" t="inlineStr">
        <is>
          <t>OK</t>
        </is>
      </c>
      <c r="R1720" t="inlineStr">
        <is>
          <t>Arcanes share across items like mods (one max-rank copy covers every build).</t>
        </is>
      </c>
      <c r="S1720" t="inlineStr">
        <is>
          <t>arcane_fury</t>
        </is>
      </c>
      <c r="T1720" t="n">
        <v>34</v>
      </c>
      <c r="U1720" t="n">
        <v>34</v>
      </c>
      <c r="V1720" t="n">
        <v>135</v>
      </c>
      <c r="W1720" t="n">
        <v>135</v>
      </c>
      <c r="X1720" t="n">
        <v>125</v>
      </c>
      <c r="Y1720" t="n">
        <v>9266</v>
      </c>
      <c r="Z1720" t="n">
        <v>192</v>
      </c>
      <c r="AA1720" t="n">
        <v>108</v>
      </c>
      <c r="AB1720" t="n">
        <v>12</v>
      </c>
      <c r="AQ1720" t="n">
        <v>8</v>
      </c>
      <c r="AR1720" t="n">
        <v>168</v>
      </c>
      <c r="AS1720" t="inlineStr">
        <is>
          <t>Yes</t>
        </is>
      </c>
    </row>
    <row r="1721">
      <c r="A1721" t="inlineStr">
        <is>
          <t>Arcane</t>
        </is>
      </c>
      <c r="B1721" t="inlineStr">
        <is>
          <t>Arcane Grace</t>
        </is>
      </c>
      <c r="E1721" t="inlineStr">
        <is>
          <t>Warframe</t>
        </is>
      </c>
      <c r="F1721" t="n">
        <v>5</v>
      </c>
      <c r="G1721" t="n">
        <v>1</v>
      </c>
      <c r="H1721" t="inlineStr">
        <is>
          <t>Player trade (max rank)</t>
        </is>
      </c>
      <c r="I1721" t="inlineStr">
        <is>
          <t>Yes</t>
        </is>
      </c>
      <c r="K1721" t="inlineStr">
        <is>
          <t>Collection (optional)</t>
        </is>
      </c>
      <c r="L1721" t="n">
        <v>100</v>
      </c>
      <c r="M1721" t="n">
        <v>100</v>
      </c>
      <c r="N1721" t="n">
        <v>122</v>
      </c>
      <c r="O1721" t="inlineStr">
        <is>
          <t>2026-10-05 UTC (WFM pull 02:52-04:00)</t>
        </is>
      </c>
      <c r="P1721" t="inlineStr">
        <is>
          <t>OK</t>
        </is>
      </c>
      <c r="R1721" t="inlineStr">
        <is>
          <t>Arcanes share across items like mods (one max-rank copy covers every build).</t>
        </is>
      </c>
      <c r="S1721" t="inlineStr">
        <is>
          <t>arcane_grace</t>
        </is>
      </c>
      <c r="T1721" t="n">
        <v>30</v>
      </c>
      <c r="U1721" t="n">
        <v>30</v>
      </c>
      <c r="V1721" t="n">
        <v>100</v>
      </c>
      <c r="W1721" t="n">
        <v>100</v>
      </c>
      <c r="X1721" t="n">
        <v>100.2</v>
      </c>
      <c r="Y1721" t="n">
        <v>3267</v>
      </c>
      <c r="Z1721" t="n">
        <v>82</v>
      </c>
      <c r="AA1721" t="n">
        <v>60</v>
      </c>
      <c r="AB1721" t="n">
        <v>40</v>
      </c>
      <c r="AQ1721" t="n">
        <v>10</v>
      </c>
      <c r="AR1721" t="n">
        <v>210</v>
      </c>
      <c r="AS1721" t="inlineStr">
        <is>
          <t>Collection (optional)</t>
        </is>
      </c>
    </row>
    <row r="1722">
      <c r="A1722" t="inlineStr">
        <is>
          <t>Arcane</t>
        </is>
      </c>
      <c r="B1722" t="inlineStr">
        <is>
          <t>Arcane Guardian</t>
        </is>
      </c>
      <c r="E1722" t="inlineStr">
        <is>
          <t>Warframe</t>
        </is>
      </c>
      <c r="F1722" t="n">
        <v>5</v>
      </c>
      <c r="G1722" t="n">
        <v>1</v>
      </c>
      <c r="H1722" t="inlineStr">
        <is>
          <t>Player trade (max rank)</t>
        </is>
      </c>
      <c r="I1722" t="inlineStr">
        <is>
          <t>Yes</t>
        </is>
      </c>
      <c r="K1722" t="inlineStr">
        <is>
          <t>Collection (optional)</t>
        </is>
      </c>
      <c r="L1722" t="n">
        <v>50</v>
      </c>
      <c r="M1722" t="n">
        <v>60</v>
      </c>
      <c r="N1722" t="n">
        <v>66</v>
      </c>
      <c r="O1722" t="inlineStr">
        <is>
          <t>2026-10-05 UTC (WFM pull 02:52-04:00)</t>
        </is>
      </c>
      <c r="P1722" t="inlineStr">
        <is>
          <t>OK</t>
        </is>
      </c>
      <c r="R1722" t="inlineStr">
        <is>
          <t>Arcanes share across items like mods (one max-rank copy covers every build).</t>
        </is>
      </c>
      <c r="S1722" t="inlineStr">
        <is>
          <t>arcane_guardian</t>
        </is>
      </c>
      <c r="T1722" t="n">
        <v>15</v>
      </c>
      <c r="U1722" t="n">
        <v>15</v>
      </c>
      <c r="V1722" t="n">
        <v>55</v>
      </c>
      <c r="W1722" t="n">
        <v>50</v>
      </c>
      <c r="X1722" t="n">
        <v>51</v>
      </c>
      <c r="Y1722" t="n">
        <v>2921</v>
      </c>
      <c r="Z1722" t="n">
        <v>77</v>
      </c>
      <c r="AA1722" t="n">
        <v>27</v>
      </c>
      <c r="AB1722" t="n">
        <v>23</v>
      </c>
      <c r="AQ1722" t="n">
        <v>3</v>
      </c>
      <c r="AR1722" t="n">
        <v>63</v>
      </c>
      <c r="AS1722" t="inlineStr">
        <is>
          <t>Collection (optional)</t>
        </is>
      </c>
    </row>
    <row r="1723">
      <c r="A1723" t="inlineStr">
        <is>
          <t>Arcane</t>
        </is>
      </c>
      <c r="B1723" t="inlineStr">
        <is>
          <t>Arcane Healing</t>
        </is>
      </c>
      <c r="E1723" t="inlineStr">
        <is>
          <t>Warframe</t>
        </is>
      </c>
      <c r="F1723" t="n">
        <v>5</v>
      </c>
      <c r="G1723" t="n">
        <v>1</v>
      </c>
      <c r="H1723" t="inlineStr">
        <is>
          <t>Player trade (max rank)</t>
        </is>
      </c>
      <c r="I1723" t="inlineStr">
        <is>
          <t>Yes</t>
        </is>
      </c>
      <c r="K1723" t="inlineStr">
        <is>
          <t>Collection (optional)</t>
        </is>
      </c>
      <c r="L1723" t="n">
        <v>19</v>
      </c>
      <c r="M1723" t="n">
        <v>20</v>
      </c>
      <c r="N1723" t="n">
        <v>28</v>
      </c>
      <c r="O1723" t="inlineStr">
        <is>
          <t>2026-10-05 UTC (WFM pull 02:52-04:00)</t>
        </is>
      </c>
      <c r="P1723" t="inlineStr">
        <is>
          <t>OK</t>
        </is>
      </c>
      <c r="R1723" t="inlineStr">
        <is>
          <t>Arcanes share across items like mods (one max-rank copy covers every build).</t>
        </is>
      </c>
      <c r="S1723" t="inlineStr">
        <is>
          <t>arcane_healing</t>
        </is>
      </c>
      <c r="T1723" t="n">
        <v>7</v>
      </c>
      <c r="U1723" t="n">
        <v>7</v>
      </c>
      <c r="V1723" t="n">
        <v>17</v>
      </c>
      <c r="W1723" t="n">
        <v>19</v>
      </c>
      <c r="X1723" t="n">
        <v>17.5</v>
      </c>
      <c r="Y1723" t="n">
        <v>89</v>
      </c>
      <c r="Z1723" t="n">
        <v>3</v>
      </c>
      <c r="AA1723" t="n">
        <v>10</v>
      </c>
      <c r="AB1723" t="n">
        <v>9</v>
      </c>
      <c r="AQ1723" t="n">
        <v>3</v>
      </c>
      <c r="AR1723" t="n">
        <v>63</v>
      </c>
      <c r="AS1723" t="inlineStr">
        <is>
          <t>Collection (optional)</t>
        </is>
      </c>
    </row>
    <row r="1724">
      <c r="A1724" t="inlineStr">
        <is>
          <t>Arcane</t>
        </is>
      </c>
      <c r="B1724" t="inlineStr">
        <is>
          <t>Arcane Hot Shot</t>
        </is>
      </c>
      <c r="E1724" t="inlineStr">
        <is>
          <t>Warframe</t>
        </is>
      </c>
      <c r="F1724" t="n">
        <v>5</v>
      </c>
      <c r="G1724" t="n">
        <v>1</v>
      </c>
      <c r="H1724" t="inlineStr">
        <is>
          <t>Player trade (max rank)</t>
        </is>
      </c>
      <c r="I1724" t="inlineStr">
        <is>
          <t>Yes</t>
        </is>
      </c>
      <c r="K1724" t="inlineStr">
        <is>
          <t>Required (v4.2 frame builds)</t>
        </is>
      </c>
      <c r="L1724" t="n">
        <v>310</v>
      </c>
      <c r="M1724" t="n">
        <v>320</v>
      </c>
      <c r="N1724" t="n">
        <v>386</v>
      </c>
      <c r="O1724" t="inlineStr">
        <is>
          <t>2026-10-05 UTC (WFM pull 02:52-04:00)</t>
        </is>
      </c>
      <c r="P1724" t="inlineStr">
        <is>
          <t>OK</t>
        </is>
      </c>
      <c r="Q1724" t="inlineStr">
        <is>
          <t>Cheaper via 21x R0 (294p realistic) than buying max rank</t>
        </is>
      </c>
      <c r="R1724" t="inlineStr">
        <is>
          <t>Arcanes share across items like mods (one max-rank copy covers every build).</t>
        </is>
      </c>
      <c r="S1724" t="inlineStr">
        <is>
          <t>arcane_hot_shot</t>
        </is>
      </c>
      <c r="T1724" t="n">
        <v>84</v>
      </c>
      <c r="U1724" t="n">
        <v>84</v>
      </c>
      <c r="V1724" t="n">
        <v>350</v>
      </c>
      <c r="W1724" t="n">
        <v>449</v>
      </c>
      <c r="X1724" t="n">
        <v>434.2</v>
      </c>
      <c r="Y1724" t="n">
        <v>12285</v>
      </c>
      <c r="Z1724" t="n">
        <v>337</v>
      </c>
      <c r="AA1724" t="n">
        <v>290</v>
      </c>
      <c r="AB1724" t="n">
        <v>20</v>
      </c>
      <c r="AQ1724" t="n">
        <v>14</v>
      </c>
      <c r="AR1724" t="n">
        <v>294</v>
      </c>
      <c r="AS1724" t="inlineStr">
        <is>
          <t>Yes</t>
        </is>
      </c>
    </row>
    <row r="1725">
      <c r="A1725" t="inlineStr">
        <is>
          <t>Arcane</t>
        </is>
      </c>
      <c r="B1725" t="inlineStr">
        <is>
          <t>Arcane Ice</t>
        </is>
      </c>
      <c r="E1725" t="inlineStr">
        <is>
          <t>Warframe</t>
        </is>
      </c>
      <c r="F1725" t="n">
        <v>5</v>
      </c>
      <c r="G1725" t="n">
        <v>1</v>
      </c>
      <c r="H1725" t="inlineStr">
        <is>
          <t>Player trade (max rank)</t>
        </is>
      </c>
      <c r="I1725" t="inlineStr">
        <is>
          <t>Yes</t>
        </is>
      </c>
      <c r="K1725" t="inlineStr">
        <is>
          <t>Collection (optional)</t>
        </is>
      </c>
      <c r="L1725" t="n">
        <v>20</v>
      </c>
      <c r="M1725" t="n">
        <v>30</v>
      </c>
      <c r="N1725" t="n">
        <v>66</v>
      </c>
      <c r="O1725" t="inlineStr">
        <is>
          <t>2026-10-05 UTC (WFM pull 02:52-04:00)</t>
        </is>
      </c>
      <c r="P1725" t="inlineStr">
        <is>
          <t>OK</t>
        </is>
      </c>
      <c r="R1725" t="inlineStr">
        <is>
          <t>Arcanes share across items like mods (one max-rank copy covers every build).</t>
        </is>
      </c>
      <c r="S1725" t="inlineStr">
        <is>
          <t>arcane_ice</t>
        </is>
      </c>
      <c r="T1725" t="n">
        <v>6</v>
      </c>
      <c r="U1725" t="n">
        <v>6</v>
      </c>
      <c r="V1725" t="n">
        <v>20</v>
      </c>
      <c r="W1725" t="n">
        <v>20</v>
      </c>
      <c r="X1725" t="n">
        <v>19.7</v>
      </c>
      <c r="Y1725" t="n">
        <v>170</v>
      </c>
      <c r="Z1725" t="n">
        <v>5</v>
      </c>
      <c r="AQ1725" t="n">
        <v>3</v>
      </c>
      <c r="AR1725" t="n">
        <v>63</v>
      </c>
      <c r="AS1725" t="inlineStr">
        <is>
          <t>Collection (optional)</t>
        </is>
      </c>
    </row>
    <row r="1726">
      <c r="A1726" t="inlineStr">
        <is>
          <t>Arcane</t>
        </is>
      </c>
      <c r="B1726" t="inlineStr">
        <is>
          <t>Arcane Ice Storm</t>
        </is>
      </c>
      <c r="E1726" t="inlineStr">
        <is>
          <t>Warframe</t>
        </is>
      </c>
      <c r="F1726" t="n">
        <v>5</v>
      </c>
      <c r="G1726" t="n">
        <v>1</v>
      </c>
      <c r="H1726" t="inlineStr">
        <is>
          <t>Player trade (max rank)</t>
        </is>
      </c>
      <c r="I1726" t="inlineStr">
        <is>
          <t>Yes</t>
        </is>
      </c>
      <c r="K1726" t="inlineStr">
        <is>
          <t>Required (v4.2 frame builds)</t>
        </is>
      </c>
      <c r="L1726" t="n">
        <v>74</v>
      </c>
      <c r="M1726" t="n">
        <v>78</v>
      </c>
      <c r="N1726" t="n">
        <v>94</v>
      </c>
      <c r="O1726" t="inlineStr">
        <is>
          <t>2026-10-05 UTC (WFM pull 02:52-04:00)</t>
        </is>
      </c>
      <c r="P1726" t="inlineStr">
        <is>
          <t>OK</t>
        </is>
      </c>
      <c r="R1726" t="inlineStr">
        <is>
          <t>Arcanes share across items like mods (one max-rank copy covers every build).</t>
        </is>
      </c>
      <c r="S1726" t="inlineStr">
        <is>
          <t>arcane_ice_storm</t>
        </is>
      </c>
      <c r="T1726" t="n">
        <v>22</v>
      </c>
      <c r="U1726" t="n">
        <v>22</v>
      </c>
      <c r="V1726" t="n">
        <v>85</v>
      </c>
      <c r="W1726" t="n">
        <v>80</v>
      </c>
      <c r="X1726" t="n">
        <v>77.40000000000001</v>
      </c>
      <c r="Y1726" t="n">
        <v>8874</v>
      </c>
      <c r="Z1726" t="n">
        <v>533</v>
      </c>
      <c r="AA1726" t="n">
        <v>70</v>
      </c>
      <c r="AB1726" t="n">
        <v>4</v>
      </c>
      <c r="AQ1726" t="n">
        <v>5</v>
      </c>
      <c r="AR1726" t="n">
        <v>105</v>
      </c>
      <c r="AS1726" t="inlineStr">
        <is>
          <t>Yes</t>
        </is>
      </c>
    </row>
    <row r="1727">
      <c r="A1727" t="inlineStr">
        <is>
          <t>Arcane</t>
        </is>
      </c>
      <c r="B1727" t="inlineStr">
        <is>
          <t>Arcane Impetus</t>
        </is>
      </c>
      <c r="E1727" t="inlineStr">
        <is>
          <t>Warframe</t>
        </is>
      </c>
      <c r="F1727" t="n">
        <v>5</v>
      </c>
      <c r="G1727" t="n">
        <v>1</v>
      </c>
      <c r="H1727" t="inlineStr">
        <is>
          <t>Player trade (max rank)</t>
        </is>
      </c>
      <c r="I1727" t="inlineStr">
        <is>
          <t>Yes</t>
        </is>
      </c>
      <c r="K1727" t="inlineStr">
        <is>
          <t>Collection (optional)</t>
        </is>
      </c>
      <c r="L1727" t="n">
        <v>24</v>
      </c>
      <c r="M1727" t="n">
        <v>28</v>
      </c>
      <c r="N1727" t="n">
        <v>31</v>
      </c>
      <c r="O1727" t="inlineStr">
        <is>
          <t>2026-10-05 UTC (WFM pull 02:52-04:00)</t>
        </is>
      </c>
      <c r="P1727" t="inlineStr">
        <is>
          <t>OK</t>
        </is>
      </c>
      <c r="R1727" t="inlineStr">
        <is>
          <t>Arcanes share across items like mods (one max-rank copy covers every build).</t>
        </is>
      </c>
      <c r="S1727" t="inlineStr">
        <is>
          <t>arcane_impetus</t>
        </is>
      </c>
      <c r="T1727" t="n">
        <v>34</v>
      </c>
      <c r="U1727" t="n">
        <v>34</v>
      </c>
      <c r="V1727" t="n">
        <v>25</v>
      </c>
      <c r="W1727" t="n">
        <v>28</v>
      </c>
      <c r="X1727" t="n">
        <v>27.4</v>
      </c>
      <c r="Y1727" t="n">
        <v>8311</v>
      </c>
      <c r="Z1727" t="n">
        <v>281</v>
      </c>
      <c r="AA1727" t="n">
        <v>7</v>
      </c>
      <c r="AB1727" t="n">
        <v>17</v>
      </c>
      <c r="AQ1727" t="n">
        <v>2</v>
      </c>
      <c r="AR1727" t="n">
        <v>42</v>
      </c>
      <c r="AS1727" t="inlineStr">
        <is>
          <t>Collection (optional)</t>
        </is>
      </c>
    </row>
    <row r="1728">
      <c r="A1728" t="inlineStr">
        <is>
          <t>Arcane</t>
        </is>
      </c>
      <c r="B1728" t="inlineStr">
        <is>
          <t>Arcane Intention</t>
        </is>
      </c>
      <c r="E1728" t="inlineStr">
        <is>
          <t>Warframe</t>
        </is>
      </c>
      <c r="F1728" t="n">
        <v>5</v>
      </c>
      <c r="G1728" t="n">
        <v>1</v>
      </c>
      <c r="H1728" t="inlineStr">
        <is>
          <t>Player trade (max rank)</t>
        </is>
      </c>
      <c r="I1728" t="inlineStr">
        <is>
          <t>Yes</t>
        </is>
      </c>
      <c r="K1728" t="inlineStr">
        <is>
          <t>Collection (optional)</t>
        </is>
      </c>
      <c r="L1728" t="n">
        <v>15</v>
      </c>
      <c r="M1728" t="n">
        <v>20</v>
      </c>
      <c r="N1728" t="n">
        <v>22</v>
      </c>
      <c r="O1728" t="inlineStr">
        <is>
          <t>2026-10-05 UTC (WFM pull 02:52-04:00)</t>
        </is>
      </c>
      <c r="P1728" t="inlineStr">
        <is>
          <t>OK</t>
        </is>
      </c>
      <c r="R1728" t="inlineStr">
        <is>
          <t>Arcanes share across items like mods (one max-rank copy covers every build).</t>
        </is>
      </c>
      <c r="S1728" t="inlineStr">
        <is>
          <t>arcane_intention</t>
        </is>
      </c>
      <c r="T1728" t="n">
        <v>12</v>
      </c>
      <c r="U1728" t="n">
        <v>12</v>
      </c>
      <c r="V1728" t="n">
        <v>15</v>
      </c>
      <c r="W1728" t="n">
        <v>15</v>
      </c>
      <c r="X1728" t="n">
        <v>15.8</v>
      </c>
      <c r="Y1728" t="n">
        <v>171</v>
      </c>
      <c r="Z1728" t="n">
        <v>6</v>
      </c>
      <c r="AA1728" t="n">
        <v>7</v>
      </c>
      <c r="AB1728" t="n">
        <v>8</v>
      </c>
      <c r="AQ1728" t="n">
        <v>2</v>
      </c>
      <c r="AR1728" t="n">
        <v>42</v>
      </c>
      <c r="AS1728" t="inlineStr">
        <is>
          <t>Collection (optional)</t>
        </is>
      </c>
    </row>
    <row r="1729">
      <c r="A1729" t="inlineStr">
        <is>
          <t>Arcane</t>
        </is>
      </c>
      <c r="B1729" t="inlineStr">
        <is>
          <t>Arcane Momentum</t>
        </is>
      </c>
      <c r="E1729" t="inlineStr">
        <is>
          <t>Warframe</t>
        </is>
      </c>
      <c r="F1729" t="n">
        <v>5</v>
      </c>
      <c r="G1729" t="n">
        <v>1</v>
      </c>
      <c r="H1729" t="inlineStr">
        <is>
          <t>Player trade (max rank)</t>
        </is>
      </c>
      <c r="I1729" t="inlineStr">
        <is>
          <t>Yes</t>
        </is>
      </c>
      <c r="K1729" t="inlineStr">
        <is>
          <t>Collection (optional)</t>
        </is>
      </c>
      <c r="L1729" t="n">
        <v>20</v>
      </c>
      <c r="M1729" t="n">
        <v>20</v>
      </c>
      <c r="N1729" t="n">
        <v>33</v>
      </c>
      <c r="O1729" t="inlineStr">
        <is>
          <t>2026-10-05 UTC (WFM pull 02:52-04:00)</t>
        </is>
      </c>
      <c r="P1729" t="inlineStr">
        <is>
          <t>OK</t>
        </is>
      </c>
      <c r="R1729" t="inlineStr">
        <is>
          <t>Arcanes share across items like mods (one max-rank copy covers every build).</t>
        </is>
      </c>
      <c r="S1729" t="inlineStr">
        <is>
          <t>arcane_momentum</t>
        </is>
      </c>
      <c r="T1729" t="n">
        <v>10</v>
      </c>
      <c r="U1729" t="n">
        <v>10</v>
      </c>
      <c r="V1729" t="n">
        <v>19</v>
      </c>
      <c r="W1729" t="n">
        <v>19</v>
      </c>
      <c r="X1729" t="n">
        <v>18.5</v>
      </c>
      <c r="Y1729" t="n">
        <v>220</v>
      </c>
      <c r="Z1729" t="n">
        <v>0</v>
      </c>
      <c r="AA1729" t="n">
        <v>5</v>
      </c>
      <c r="AB1729" t="n">
        <v>15</v>
      </c>
      <c r="AQ1729" t="n">
        <v>3</v>
      </c>
      <c r="AR1729" t="n">
        <v>63</v>
      </c>
      <c r="AS1729" t="inlineStr">
        <is>
          <t>Collection (optional)</t>
        </is>
      </c>
    </row>
    <row r="1730">
      <c r="A1730" t="inlineStr">
        <is>
          <t>Arcane</t>
        </is>
      </c>
      <c r="B1730" t="inlineStr">
        <is>
          <t>Arcane Nullifier</t>
        </is>
      </c>
      <c r="E1730" t="inlineStr">
        <is>
          <t>Warframe</t>
        </is>
      </c>
      <c r="F1730" t="n">
        <v>5</v>
      </c>
      <c r="G1730" t="n">
        <v>1</v>
      </c>
      <c r="H1730" t="inlineStr">
        <is>
          <t>Player trade (max rank)</t>
        </is>
      </c>
      <c r="I1730" t="inlineStr">
        <is>
          <t>Yes</t>
        </is>
      </c>
      <c r="K1730" t="inlineStr">
        <is>
          <t>Collection (optional)</t>
        </is>
      </c>
      <c r="L1730" t="n">
        <v>55</v>
      </c>
      <c r="M1730" t="n">
        <v>57</v>
      </c>
      <c r="N1730" t="n">
        <v>66</v>
      </c>
      <c r="O1730" t="inlineStr">
        <is>
          <t>2026-10-05 UTC (WFM pull 02:52-04:00)</t>
        </is>
      </c>
      <c r="P1730" t="inlineStr">
        <is>
          <t>OK</t>
        </is>
      </c>
      <c r="R1730" t="inlineStr">
        <is>
          <t>Arcanes share across items like mods (one max-rank copy covers every build).</t>
        </is>
      </c>
      <c r="S1730" t="inlineStr">
        <is>
          <t>arcane_nullifier</t>
        </is>
      </c>
      <c r="T1730" t="n">
        <v>23</v>
      </c>
      <c r="U1730" t="n">
        <v>23</v>
      </c>
      <c r="V1730" t="n">
        <v>60</v>
      </c>
      <c r="W1730" t="n">
        <v>60</v>
      </c>
      <c r="X1730" t="n">
        <v>58.3</v>
      </c>
      <c r="Y1730" t="n">
        <v>2919</v>
      </c>
      <c r="Z1730" t="n">
        <v>59</v>
      </c>
      <c r="AA1730" t="n">
        <v>47</v>
      </c>
      <c r="AB1730" t="n">
        <v>8</v>
      </c>
      <c r="AQ1730" t="n">
        <v>5</v>
      </c>
      <c r="AR1730" t="n">
        <v>105</v>
      </c>
      <c r="AS1730" t="inlineStr">
        <is>
          <t>Collection (optional)</t>
        </is>
      </c>
    </row>
    <row r="1731">
      <c r="A1731" t="inlineStr">
        <is>
          <t>Arcane</t>
        </is>
      </c>
      <c r="B1731" t="inlineStr">
        <is>
          <t>Arcane Persistence</t>
        </is>
      </c>
      <c r="E1731" t="inlineStr">
        <is>
          <t>Warframe</t>
        </is>
      </c>
      <c r="F1731" t="n">
        <v>5</v>
      </c>
      <c r="G1731" t="n">
        <v>1</v>
      </c>
      <c r="H1731" t="inlineStr">
        <is>
          <t>Player trade (max rank)</t>
        </is>
      </c>
      <c r="I1731" t="inlineStr">
        <is>
          <t>Yes</t>
        </is>
      </c>
      <c r="K1731" t="inlineStr">
        <is>
          <t>Collection (optional)</t>
        </is>
      </c>
      <c r="L1731" t="n">
        <v>40</v>
      </c>
      <c r="M1731" t="n">
        <v>40</v>
      </c>
      <c r="N1731" t="n">
        <v>50</v>
      </c>
      <c r="O1731" t="inlineStr">
        <is>
          <t>2026-10-05 UTC (WFM pull 02:52-04:00)</t>
        </is>
      </c>
      <c r="P1731" t="inlineStr">
        <is>
          <t>OK</t>
        </is>
      </c>
      <c r="R1731" t="inlineStr">
        <is>
          <t>Arcanes share across items like mods (one max-rank copy covers every build).</t>
        </is>
      </c>
      <c r="S1731" t="inlineStr">
        <is>
          <t>arcane_persistence</t>
        </is>
      </c>
      <c r="T1731" t="n">
        <v>14</v>
      </c>
      <c r="U1731" t="n">
        <v>14</v>
      </c>
      <c r="V1731" t="n">
        <v>35</v>
      </c>
      <c r="W1731" t="n">
        <v>33.5</v>
      </c>
      <c r="X1731" t="n">
        <v>32.6</v>
      </c>
      <c r="Y1731" t="n">
        <v>10623</v>
      </c>
      <c r="Z1731" t="n">
        <v>323</v>
      </c>
      <c r="AA1731" t="n">
        <v>30</v>
      </c>
      <c r="AB1731" t="n">
        <v>10</v>
      </c>
      <c r="AQ1731" t="n">
        <v>3</v>
      </c>
      <c r="AR1731" t="n">
        <v>63</v>
      </c>
      <c r="AS1731" t="inlineStr">
        <is>
          <t>Collection (optional)</t>
        </is>
      </c>
    </row>
    <row r="1732">
      <c r="A1732" t="inlineStr">
        <is>
          <t>Arcane</t>
        </is>
      </c>
      <c r="B1732" t="inlineStr">
        <is>
          <t>Arcane Phantasm</t>
        </is>
      </c>
      <c r="E1732" t="inlineStr">
        <is>
          <t>Warframe</t>
        </is>
      </c>
      <c r="F1732" t="n">
        <v>5</v>
      </c>
      <c r="G1732" t="n">
        <v>1</v>
      </c>
      <c r="H1732" t="inlineStr">
        <is>
          <t>Player trade (max rank)</t>
        </is>
      </c>
      <c r="I1732" t="inlineStr">
        <is>
          <t>Yes</t>
        </is>
      </c>
      <c r="K1732" t="inlineStr">
        <is>
          <t>Collection (optional)</t>
        </is>
      </c>
      <c r="L1732" t="n">
        <v>30</v>
      </c>
      <c r="M1732" t="n">
        <v>30</v>
      </c>
      <c r="N1732" t="n">
        <v>66</v>
      </c>
      <c r="O1732" t="inlineStr">
        <is>
          <t>2026-10-05 UTC (WFM pull 02:52-04:00)</t>
        </is>
      </c>
      <c r="P1732" t="inlineStr">
        <is>
          <t>OK</t>
        </is>
      </c>
      <c r="R1732" t="inlineStr">
        <is>
          <t>Arcanes share across items like mods (one max-rank copy covers every build).</t>
        </is>
      </c>
      <c r="S1732" t="inlineStr">
        <is>
          <t>arcane_phantasm</t>
        </is>
      </c>
      <c r="T1732" t="n">
        <v>5</v>
      </c>
      <c r="U1732" t="n">
        <v>5</v>
      </c>
      <c r="V1732" t="n">
        <v>20</v>
      </c>
      <c r="W1732" t="n">
        <v>20</v>
      </c>
      <c r="X1732" t="n">
        <v>21</v>
      </c>
      <c r="Y1732" t="n">
        <v>219</v>
      </c>
      <c r="Z1732" t="n">
        <v>7</v>
      </c>
      <c r="AA1732" t="n">
        <v>7</v>
      </c>
      <c r="AB1732" t="n">
        <v>23</v>
      </c>
      <c r="AQ1732" t="n">
        <v>3</v>
      </c>
      <c r="AR1732" t="n">
        <v>63</v>
      </c>
      <c r="AS1732" t="inlineStr">
        <is>
          <t>Collection (optional)</t>
        </is>
      </c>
    </row>
    <row r="1733">
      <c r="A1733" t="inlineStr">
        <is>
          <t>Arcane</t>
        </is>
      </c>
      <c r="B1733" t="inlineStr">
        <is>
          <t>Arcane Pistoleer</t>
        </is>
      </c>
      <c r="E1733" t="inlineStr">
        <is>
          <t>Warframe</t>
        </is>
      </c>
      <c r="F1733" t="n">
        <v>5</v>
      </c>
      <c r="G1733" t="n">
        <v>1</v>
      </c>
      <c r="H1733" t="inlineStr">
        <is>
          <t>Player trade (max rank)</t>
        </is>
      </c>
      <c r="I1733" t="inlineStr">
        <is>
          <t>Yes</t>
        </is>
      </c>
      <c r="K1733" t="inlineStr">
        <is>
          <t>Collection (optional)</t>
        </is>
      </c>
      <c r="L1733" t="n">
        <v>55</v>
      </c>
      <c r="M1733" t="n">
        <v>55</v>
      </c>
      <c r="N1733" t="n">
        <v>62</v>
      </c>
      <c r="O1733" t="inlineStr">
        <is>
          <t>2026-10-05 UTC (WFM pull 02:52-04:00)</t>
        </is>
      </c>
      <c r="P1733" t="inlineStr">
        <is>
          <t>OK</t>
        </is>
      </c>
      <c r="R1733" t="inlineStr">
        <is>
          <t>Arcanes share across items like mods (one max-rank copy covers every build).</t>
        </is>
      </c>
      <c r="S1733" t="inlineStr">
        <is>
          <t>arcane_pistoleer</t>
        </is>
      </c>
      <c r="T1733" t="n">
        <v>19</v>
      </c>
      <c r="U1733" t="n">
        <v>19</v>
      </c>
      <c r="V1733" t="n">
        <v>50</v>
      </c>
      <c r="W1733" t="n">
        <v>48</v>
      </c>
      <c r="X1733" t="n">
        <v>47.2</v>
      </c>
      <c r="Y1733" t="n">
        <v>8311</v>
      </c>
      <c r="Z1733" t="n">
        <v>234</v>
      </c>
      <c r="AA1733" t="n">
        <v>45</v>
      </c>
      <c r="AB1733" t="n">
        <v>10</v>
      </c>
      <c r="AQ1733" t="n">
        <v>4</v>
      </c>
      <c r="AR1733" t="n">
        <v>84</v>
      </c>
      <c r="AS1733" t="inlineStr">
        <is>
          <t>Collection (optional)</t>
        </is>
      </c>
    </row>
    <row r="1734">
      <c r="A1734" t="inlineStr">
        <is>
          <t>Arcane</t>
        </is>
      </c>
      <c r="B1734" t="inlineStr">
        <is>
          <t>Arcane Power Ramp</t>
        </is>
      </c>
      <c r="E1734" t="inlineStr">
        <is>
          <t>Warframe</t>
        </is>
      </c>
      <c r="F1734" t="n">
        <v>5</v>
      </c>
      <c r="G1734" t="n">
        <v>1</v>
      </c>
      <c r="H1734" t="inlineStr">
        <is>
          <t>Player trade (max rank)</t>
        </is>
      </c>
      <c r="I1734" t="inlineStr">
        <is>
          <t>Yes</t>
        </is>
      </c>
      <c r="K1734" t="inlineStr">
        <is>
          <t>Collection (optional)</t>
        </is>
      </c>
      <c r="L1734" t="n">
        <v>30</v>
      </c>
      <c r="M1734" t="n">
        <v>35</v>
      </c>
      <c r="N1734" t="n">
        <v>44</v>
      </c>
      <c r="O1734" t="inlineStr">
        <is>
          <t>2026-10-05 UTC (WFM pull 02:52-04:00)</t>
        </is>
      </c>
      <c r="P1734" t="inlineStr">
        <is>
          <t>OK</t>
        </is>
      </c>
      <c r="R1734" t="inlineStr">
        <is>
          <t>Arcanes share across items like mods (one max-rank copy covers every build).</t>
        </is>
      </c>
      <c r="S1734" t="inlineStr">
        <is>
          <t>arcane_power_ramp</t>
        </is>
      </c>
      <c r="T1734" t="n">
        <v>15</v>
      </c>
      <c r="U1734" t="n">
        <v>15</v>
      </c>
      <c r="V1734" t="n">
        <v>35</v>
      </c>
      <c r="W1734" t="n">
        <v>38.5</v>
      </c>
      <c r="X1734" t="n">
        <v>37.6</v>
      </c>
      <c r="Y1734" t="n">
        <v>742</v>
      </c>
      <c r="Z1734" t="n">
        <v>11</v>
      </c>
      <c r="AA1734" t="n">
        <v>20</v>
      </c>
      <c r="AB1734" t="n">
        <v>10</v>
      </c>
      <c r="AQ1734" t="n">
        <v>5.2</v>
      </c>
      <c r="AR1734" t="n">
        <v>109.2</v>
      </c>
      <c r="AS1734" t="inlineStr">
        <is>
          <t>Collection (optional)</t>
        </is>
      </c>
    </row>
    <row r="1735">
      <c r="A1735" t="inlineStr">
        <is>
          <t>Arcane</t>
        </is>
      </c>
      <c r="B1735" t="inlineStr">
        <is>
          <t>Arcane Precision</t>
        </is>
      </c>
      <c r="E1735" t="inlineStr">
        <is>
          <t>Warframe</t>
        </is>
      </c>
      <c r="F1735" t="n">
        <v>5</v>
      </c>
      <c r="G1735" t="n">
        <v>1</v>
      </c>
      <c r="H1735" t="inlineStr">
        <is>
          <t>Player trade (max rank)</t>
        </is>
      </c>
      <c r="I1735" t="inlineStr">
        <is>
          <t>Yes</t>
        </is>
      </c>
      <c r="K1735" t="inlineStr">
        <is>
          <t>Collection (optional)</t>
        </is>
      </c>
      <c r="L1735" t="n">
        <v>145</v>
      </c>
      <c r="M1735" t="n">
        <v>150</v>
      </c>
      <c r="N1735" t="n">
        <v>176</v>
      </c>
      <c r="O1735" t="inlineStr">
        <is>
          <t>2026-10-05 UTC (WFM pull 02:52-04:00)</t>
        </is>
      </c>
      <c r="P1735" t="inlineStr">
        <is>
          <t>OK</t>
        </is>
      </c>
      <c r="R1735" t="inlineStr">
        <is>
          <t>Arcanes share across items like mods (one max-rank copy covers every build).</t>
        </is>
      </c>
      <c r="S1735" t="inlineStr">
        <is>
          <t>arcane_precision</t>
        </is>
      </c>
      <c r="T1735" t="n">
        <v>30</v>
      </c>
      <c r="U1735" t="n">
        <v>30</v>
      </c>
      <c r="V1735" t="n">
        <v>160</v>
      </c>
      <c r="W1735" t="n">
        <v>150</v>
      </c>
      <c r="X1735" t="n">
        <v>141</v>
      </c>
      <c r="Y1735" t="n">
        <v>5120</v>
      </c>
      <c r="Z1735" t="n">
        <v>125</v>
      </c>
      <c r="AA1735" t="n">
        <v>145</v>
      </c>
      <c r="AB1735" t="n">
        <v>0</v>
      </c>
      <c r="AQ1735" t="n">
        <v>10</v>
      </c>
      <c r="AR1735" t="n">
        <v>210</v>
      </c>
      <c r="AS1735" t="inlineStr">
        <is>
          <t>Collection (optional)</t>
        </is>
      </c>
    </row>
    <row r="1736">
      <c r="A1736" t="inlineStr">
        <is>
          <t>Arcane</t>
        </is>
      </c>
      <c r="B1736" t="inlineStr">
        <is>
          <t>Arcane Primary Charger</t>
        </is>
      </c>
      <c r="E1736" t="inlineStr">
        <is>
          <t>Warframe</t>
        </is>
      </c>
      <c r="F1736" t="n">
        <v>5</v>
      </c>
      <c r="G1736" t="n">
        <v>1</v>
      </c>
      <c r="H1736" t="inlineStr">
        <is>
          <t>Player trade (max rank)</t>
        </is>
      </c>
      <c r="I1736" t="inlineStr">
        <is>
          <t>Yes</t>
        </is>
      </c>
      <c r="K1736" t="inlineStr">
        <is>
          <t>Collection (optional)</t>
        </is>
      </c>
      <c r="L1736" t="n">
        <v>20</v>
      </c>
      <c r="M1736" t="n">
        <v>24</v>
      </c>
      <c r="N1736" t="n">
        <v>28</v>
      </c>
      <c r="O1736" t="inlineStr">
        <is>
          <t>2026-10-05 UTC (WFM pull 02:52-04:00)</t>
        </is>
      </c>
      <c r="P1736" t="inlineStr">
        <is>
          <t>OK</t>
        </is>
      </c>
      <c r="R1736" t="inlineStr">
        <is>
          <t>Arcanes share across items like mods (one max-rank copy covers every build).</t>
        </is>
      </c>
      <c r="S1736" t="inlineStr">
        <is>
          <t>arcane_primary_charger</t>
        </is>
      </c>
      <c r="T1736" t="n">
        <v>15</v>
      </c>
      <c r="U1736" t="n">
        <v>15</v>
      </c>
      <c r="V1736" t="n">
        <v>19</v>
      </c>
      <c r="W1736" t="n">
        <v>20</v>
      </c>
      <c r="X1736" t="n">
        <v>21.1</v>
      </c>
      <c r="Y1736" t="n">
        <v>222</v>
      </c>
      <c r="Z1736" t="n">
        <v>4</v>
      </c>
      <c r="AA1736" t="n">
        <v>7</v>
      </c>
      <c r="AB1736" t="n">
        <v>13</v>
      </c>
      <c r="AQ1736" t="n">
        <v>5</v>
      </c>
      <c r="AR1736" t="n">
        <v>105</v>
      </c>
      <c r="AS1736" t="inlineStr">
        <is>
          <t>Collection (optional)</t>
        </is>
      </c>
    </row>
    <row r="1737">
      <c r="A1737" t="inlineStr">
        <is>
          <t>Arcane</t>
        </is>
      </c>
      <c r="B1737" t="inlineStr">
        <is>
          <t>Arcane Pulse</t>
        </is>
      </c>
      <c r="E1737" t="inlineStr">
        <is>
          <t>Warframe</t>
        </is>
      </c>
      <c r="F1737" t="n">
        <v>5</v>
      </c>
      <c r="G1737" t="n">
        <v>1</v>
      </c>
      <c r="H1737" t="inlineStr">
        <is>
          <t>Player trade (max rank)</t>
        </is>
      </c>
      <c r="I1737" t="inlineStr">
        <is>
          <t>Yes</t>
        </is>
      </c>
      <c r="K1737" t="inlineStr">
        <is>
          <t>Collection (optional)</t>
        </is>
      </c>
      <c r="L1737" t="n">
        <v>20</v>
      </c>
      <c r="M1737" t="n">
        <v>20</v>
      </c>
      <c r="N1737" t="n">
        <v>28</v>
      </c>
      <c r="O1737" t="inlineStr">
        <is>
          <t>2026-10-05 UTC (WFM pull 02:52-04:00)</t>
        </is>
      </c>
      <c r="P1737" t="inlineStr">
        <is>
          <t>OK</t>
        </is>
      </c>
      <c r="R1737" t="inlineStr">
        <is>
          <t>Arcanes share across items like mods (one max-rank copy covers every build).</t>
        </is>
      </c>
      <c r="S1737" t="inlineStr">
        <is>
          <t>arcane_pulse</t>
        </is>
      </c>
      <c r="T1737" t="n">
        <v>11</v>
      </c>
      <c r="U1737" t="n">
        <v>11</v>
      </c>
      <c r="V1737" t="n">
        <v>18</v>
      </c>
      <c r="W1737" t="n">
        <v>17.5</v>
      </c>
      <c r="X1737" t="n">
        <v>16.7</v>
      </c>
      <c r="Y1737" t="n">
        <v>164</v>
      </c>
      <c r="Z1737" t="n">
        <v>3</v>
      </c>
      <c r="AA1737" t="n">
        <v>15</v>
      </c>
      <c r="AB1737" t="n">
        <v>5</v>
      </c>
      <c r="AQ1737" t="n">
        <v>2</v>
      </c>
      <c r="AR1737" t="n">
        <v>42</v>
      </c>
      <c r="AS1737" t="inlineStr">
        <is>
          <t>Collection (optional)</t>
        </is>
      </c>
    </row>
    <row r="1738">
      <c r="A1738" t="inlineStr">
        <is>
          <t>Arcane</t>
        </is>
      </c>
      <c r="B1738" t="inlineStr">
        <is>
          <t>Arcane Rage</t>
        </is>
      </c>
      <c r="E1738" t="inlineStr">
        <is>
          <t>Warframe</t>
        </is>
      </c>
      <c r="F1738" t="n">
        <v>5</v>
      </c>
      <c r="G1738" t="n">
        <v>1</v>
      </c>
      <c r="H1738" t="inlineStr">
        <is>
          <t>Player trade (max rank)</t>
        </is>
      </c>
      <c r="I1738" t="inlineStr">
        <is>
          <t>Yes</t>
        </is>
      </c>
      <c r="K1738" t="inlineStr">
        <is>
          <t>Collection (optional)</t>
        </is>
      </c>
      <c r="L1738" t="n">
        <v>50</v>
      </c>
      <c r="M1738" t="n">
        <v>50</v>
      </c>
      <c r="N1738" t="n">
        <v>56</v>
      </c>
      <c r="O1738" t="inlineStr">
        <is>
          <t>2026-10-05 UTC (WFM pull 02:52-04:00)</t>
        </is>
      </c>
      <c r="P1738" t="inlineStr">
        <is>
          <t>OK</t>
        </is>
      </c>
      <c r="R1738" t="inlineStr">
        <is>
          <t>Arcanes share across items like mods (one max-rank copy covers every build).</t>
        </is>
      </c>
      <c r="S1738" t="inlineStr">
        <is>
          <t>arcane_rage</t>
        </is>
      </c>
      <c r="T1738" t="n">
        <v>26</v>
      </c>
      <c r="U1738" t="n">
        <v>26</v>
      </c>
      <c r="V1738" t="n">
        <v>50</v>
      </c>
      <c r="W1738" t="n">
        <v>45</v>
      </c>
      <c r="X1738" t="n">
        <v>44.7</v>
      </c>
      <c r="Y1738" t="n">
        <v>3103</v>
      </c>
      <c r="Z1738" t="n">
        <v>73</v>
      </c>
      <c r="AA1738" t="n">
        <v>27</v>
      </c>
      <c r="AB1738" t="n">
        <v>23</v>
      </c>
      <c r="AQ1738" t="n">
        <v>3</v>
      </c>
      <c r="AR1738" t="n">
        <v>63</v>
      </c>
      <c r="AS1738" t="inlineStr">
        <is>
          <t>Collection (optional)</t>
        </is>
      </c>
    </row>
    <row r="1739">
      <c r="A1739" t="inlineStr">
        <is>
          <t>Arcane</t>
        </is>
      </c>
      <c r="B1739" t="inlineStr">
        <is>
          <t>Arcane Reaper</t>
        </is>
      </c>
      <c r="E1739" t="inlineStr">
        <is>
          <t>Warframe</t>
        </is>
      </c>
      <c r="F1739" t="n">
        <v>5</v>
      </c>
      <c r="G1739" t="n">
        <v>1</v>
      </c>
      <c r="H1739" t="inlineStr">
        <is>
          <t>Player trade (max rank)</t>
        </is>
      </c>
      <c r="I1739" t="inlineStr">
        <is>
          <t>Yes</t>
        </is>
      </c>
      <c r="K1739" t="inlineStr">
        <is>
          <t>Required (v4.2 frame builds)</t>
        </is>
      </c>
      <c r="L1739" t="n">
        <v>350</v>
      </c>
      <c r="M1739" t="n">
        <v>390</v>
      </c>
      <c r="N1739" t="n">
        <v>441</v>
      </c>
      <c r="O1739" t="inlineStr">
        <is>
          <t>2026-10-05 UTC (WFM pull 02:52-04:00)</t>
        </is>
      </c>
      <c r="P1739" t="inlineStr">
        <is>
          <t>OK</t>
        </is>
      </c>
      <c r="Q1739" t="inlineStr">
        <is>
          <t>Cheaper via 21x R0 (294p realistic) than buying max rank</t>
        </is>
      </c>
      <c r="R1739" t="inlineStr">
        <is>
          <t>Arcanes share across items like mods (one max-rank copy covers every build).</t>
        </is>
      </c>
      <c r="S1739" t="inlineStr">
        <is>
          <t>arcane_reaper</t>
        </is>
      </c>
      <c r="T1739" t="n">
        <v>15</v>
      </c>
      <c r="U1739" t="n">
        <v>15</v>
      </c>
      <c r="V1739" t="n">
        <v>395</v>
      </c>
      <c r="W1739" t="n">
        <v>397</v>
      </c>
      <c r="X1739" t="n">
        <v>394.5</v>
      </c>
      <c r="Y1739" t="n">
        <v>1371</v>
      </c>
      <c r="Z1739" t="n">
        <v>19</v>
      </c>
      <c r="AA1739" t="n">
        <v>320</v>
      </c>
      <c r="AB1739" t="n">
        <v>30</v>
      </c>
      <c r="AQ1739" t="n">
        <v>14</v>
      </c>
      <c r="AR1739" t="n">
        <v>294</v>
      </c>
      <c r="AS1739" t="inlineStr">
        <is>
          <t>Yes</t>
        </is>
      </c>
    </row>
    <row r="1740">
      <c r="A1740" t="inlineStr">
        <is>
          <t>Arcane</t>
        </is>
      </c>
      <c r="B1740" t="inlineStr">
        <is>
          <t>Arcane Resistance</t>
        </is>
      </c>
      <c r="E1740" t="inlineStr">
        <is>
          <t>Warframe</t>
        </is>
      </c>
      <c r="F1740" t="n">
        <v>5</v>
      </c>
      <c r="G1740" t="n">
        <v>1</v>
      </c>
      <c r="H1740" t="inlineStr">
        <is>
          <t>Player trade (max rank)</t>
        </is>
      </c>
      <c r="I1740" t="inlineStr">
        <is>
          <t>Yes</t>
        </is>
      </c>
      <c r="K1740" t="inlineStr">
        <is>
          <t>Collection (optional)</t>
        </is>
      </c>
      <c r="L1740" t="n">
        <v>45</v>
      </c>
      <c r="M1740" t="n">
        <v>49</v>
      </c>
      <c r="N1740" t="n">
        <v>58</v>
      </c>
      <c r="O1740" t="inlineStr">
        <is>
          <t>2026-10-05 UTC (WFM pull 02:52-04:00)</t>
        </is>
      </c>
      <c r="P1740" t="inlineStr">
        <is>
          <t>OK</t>
        </is>
      </c>
      <c r="R1740" t="inlineStr">
        <is>
          <t>Arcanes share across items like mods (one max-rank copy covers every build).</t>
        </is>
      </c>
      <c r="S1740" t="inlineStr">
        <is>
          <t>arcane_resistance</t>
        </is>
      </c>
      <c r="T1740" t="n">
        <v>11</v>
      </c>
      <c r="U1740" t="n">
        <v>11</v>
      </c>
      <c r="V1740" t="n">
        <v>47.5</v>
      </c>
      <c r="W1740" t="n">
        <v>45</v>
      </c>
      <c r="X1740" t="n">
        <v>44.5</v>
      </c>
      <c r="Y1740" t="n">
        <v>402</v>
      </c>
      <c r="Z1740" t="n">
        <v>13</v>
      </c>
      <c r="AA1740" t="n">
        <v>15</v>
      </c>
      <c r="AB1740" t="n">
        <v>30</v>
      </c>
      <c r="AQ1740" t="n">
        <v>5</v>
      </c>
      <c r="AR1740" t="n">
        <v>105</v>
      </c>
      <c r="AS1740" t="inlineStr">
        <is>
          <t>Collection (optional)</t>
        </is>
      </c>
    </row>
    <row r="1741">
      <c r="A1741" t="inlineStr">
        <is>
          <t>Arcane</t>
        </is>
      </c>
      <c r="B1741" t="inlineStr">
        <is>
          <t>Arcane Rise</t>
        </is>
      </c>
      <c r="E1741" t="inlineStr">
        <is>
          <t>Warframe</t>
        </is>
      </c>
      <c r="F1741" t="n">
        <v>5</v>
      </c>
      <c r="G1741" t="n">
        <v>1</v>
      </c>
      <c r="H1741" t="inlineStr">
        <is>
          <t>Player trade (max rank)</t>
        </is>
      </c>
      <c r="I1741" t="inlineStr">
        <is>
          <t>Yes</t>
        </is>
      </c>
      <c r="K1741" t="inlineStr">
        <is>
          <t>Collection (optional)</t>
        </is>
      </c>
      <c r="L1741" t="n">
        <v>30</v>
      </c>
      <c r="M1741" t="n">
        <v>30</v>
      </c>
      <c r="N1741" t="n">
        <v>50</v>
      </c>
      <c r="O1741" t="inlineStr">
        <is>
          <t>2026-10-05 UTC (WFM pull 02:52-04:00)</t>
        </is>
      </c>
      <c r="P1741" t="inlineStr">
        <is>
          <t>OK</t>
        </is>
      </c>
      <c r="R1741" t="inlineStr">
        <is>
          <t>Arcanes share across items like mods (one max-rank copy covers every build).</t>
        </is>
      </c>
      <c r="S1741" t="inlineStr">
        <is>
          <t>arcane_rise</t>
        </is>
      </c>
      <c r="T1741" t="n">
        <v>10</v>
      </c>
      <c r="U1741" t="n">
        <v>10</v>
      </c>
      <c r="V1741" t="n">
        <v>35</v>
      </c>
      <c r="W1741" t="n">
        <v>27</v>
      </c>
      <c r="X1741" t="n">
        <v>29.6</v>
      </c>
      <c r="Y1741" t="n">
        <v>1545</v>
      </c>
      <c r="Z1741" t="n">
        <v>22</v>
      </c>
      <c r="AA1741" t="n">
        <v>10</v>
      </c>
      <c r="AB1741" t="n">
        <v>20</v>
      </c>
      <c r="AQ1741" t="n">
        <v>3</v>
      </c>
      <c r="AR1741" t="n">
        <v>63</v>
      </c>
      <c r="AS1741" t="inlineStr">
        <is>
          <t>Collection (optional)</t>
        </is>
      </c>
    </row>
    <row r="1742">
      <c r="A1742" t="inlineStr">
        <is>
          <t>Arcane</t>
        </is>
      </c>
      <c r="B1742" t="inlineStr">
        <is>
          <t>Arcane Sculptor</t>
        </is>
      </c>
      <c r="E1742" t="inlineStr">
        <is>
          <t>Warframe</t>
        </is>
      </c>
      <c r="F1742" t="n">
        <v>5</v>
      </c>
      <c r="G1742" t="n">
        <v>1</v>
      </c>
      <c r="H1742" t="inlineStr">
        <is>
          <t>Player trade (max rank)</t>
        </is>
      </c>
      <c r="I1742" t="inlineStr">
        <is>
          <t>Yes</t>
        </is>
      </c>
      <c r="K1742" t="inlineStr">
        <is>
          <t>Collection (optional)</t>
        </is>
      </c>
      <c r="L1742" t="n">
        <v>180</v>
      </c>
      <c r="M1742" t="n">
        <v>190</v>
      </c>
      <c r="N1742" t="n">
        <v>210</v>
      </c>
      <c r="O1742" t="inlineStr">
        <is>
          <t>2026-10-05 UTC (WFM pull 02:52-04:00)</t>
        </is>
      </c>
      <c r="P1742" t="inlineStr">
        <is>
          <t>OK</t>
        </is>
      </c>
      <c r="R1742" t="inlineStr">
        <is>
          <t>Arcanes share across items like mods (one max-rank copy covers every build).</t>
        </is>
      </c>
      <c r="S1742" t="inlineStr">
        <is>
          <t>arcane_sculptor</t>
        </is>
      </c>
      <c r="T1742" t="n">
        <v>24</v>
      </c>
      <c r="U1742" t="n">
        <v>24</v>
      </c>
      <c r="V1742" t="n">
        <v>190</v>
      </c>
      <c r="W1742" t="n">
        <v>145</v>
      </c>
      <c r="X1742" t="n">
        <v>153.9</v>
      </c>
      <c r="Y1742" t="n">
        <v>21742</v>
      </c>
      <c r="Z1742" t="n">
        <v>691</v>
      </c>
      <c r="AA1742" t="n">
        <v>163</v>
      </c>
      <c r="AB1742" t="n">
        <v>17</v>
      </c>
      <c r="AQ1742" t="n">
        <v>10</v>
      </c>
      <c r="AR1742" t="n">
        <v>210</v>
      </c>
      <c r="AS1742" t="inlineStr">
        <is>
          <t>Collection (optional)</t>
        </is>
      </c>
    </row>
    <row r="1743">
      <c r="A1743" t="inlineStr">
        <is>
          <t>Arcane</t>
        </is>
      </c>
      <c r="B1743" t="inlineStr">
        <is>
          <t>Arcane Steadfast</t>
        </is>
      </c>
      <c r="E1743" t="inlineStr">
        <is>
          <t>Warframe</t>
        </is>
      </c>
      <c r="F1743" t="n">
        <v>5</v>
      </c>
      <c r="G1743" t="n">
        <v>1</v>
      </c>
      <c r="H1743" t="inlineStr">
        <is>
          <t>Player trade (max rank)</t>
        </is>
      </c>
      <c r="I1743" t="inlineStr">
        <is>
          <t>Yes</t>
        </is>
      </c>
      <c r="K1743" t="inlineStr">
        <is>
          <t>Collection (optional)</t>
        </is>
      </c>
      <c r="L1743" t="n">
        <v>220</v>
      </c>
      <c r="M1743" t="n">
        <v>225</v>
      </c>
      <c r="N1743" t="n">
        <v>254</v>
      </c>
      <c r="O1743" t="inlineStr">
        <is>
          <t>2026-10-05 UTC (WFM pull 02:52-04:00)</t>
        </is>
      </c>
      <c r="P1743" t="inlineStr">
        <is>
          <t>OK</t>
        </is>
      </c>
      <c r="R1743" t="inlineStr">
        <is>
          <t>Arcanes share across items like mods (one max-rank copy covers every build).</t>
        </is>
      </c>
      <c r="S1743" t="inlineStr">
        <is>
          <t>arcane_steadfast</t>
        </is>
      </c>
      <c r="T1743" t="n">
        <v>23</v>
      </c>
      <c r="U1743" t="n">
        <v>23</v>
      </c>
      <c r="V1743" t="n">
        <v>210</v>
      </c>
      <c r="W1743" t="n">
        <v>191.5</v>
      </c>
      <c r="X1743" t="n">
        <v>194.8</v>
      </c>
      <c r="Y1743" t="n">
        <v>5150</v>
      </c>
      <c r="Z1743" t="n">
        <v>223</v>
      </c>
      <c r="AA1743" t="n">
        <v>205</v>
      </c>
      <c r="AB1743" t="n">
        <v>15</v>
      </c>
      <c r="AQ1743" t="n">
        <v>15</v>
      </c>
      <c r="AR1743" t="n">
        <v>315</v>
      </c>
      <c r="AS1743" t="inlineStr">
        <is>
          <t>Collection (optional)</t>
        </is>
      </c>
    </row>
    <row r="1744">
      <c r="A1744" t="inlineStr">
        <is>
          <t>Arcane</t>
        </is>
      </c>
      <c r="B1744" t="inlineStr">
        <is>
          <t>Arcane Strike</t>
        </is>
      </c>
      <c r="E1744" t="inlineStr">
        <is>
          <t>Warframe</t>
        </is>
      </c>
      <c r="F1744" t="n">
        <v>5</v>
      </c>
      <c r="G1744" t="n">
        <v>1</v>
      </c>
      <c r="H1744" t="inlineStr">
        <is>
          <t>Player trade (max rank)</t>
        </is>
      </c>
      <c r="I1744" t="inlineStr">
        <is>
          <t>Yes</t>
        </is>
      </c>
      <c r="K1744" t="inlineStr">
        <is>
          <t>Collection (optional)</t>
        </is>
      </c>
      <c r="L1744" t="n">
        <v>80</v>
      </c>
      <c r="M1744" t="n">
        <v>88</v>
      </c>
      <c r="N1744" t="n">
        <v>108</v>
      </c>
      <c r="O1744" t="inlineStr">
        <is>
          <t>2026-10-05 UTC (WFM pull 02:52-04:00)</t>
        </is>
      </c>
      <c r="P1744" t="inlineStr">
        <is>
          <t>OK</t>
        </is>
      </c>
      <c r="R1744" t="inlineStr">
        <is>
          <t>Arcanes share across items like mods (one max-rank copy covers every build).</t>
        </is>
      </c>
      <c r="S1744" t="inlineStr">
        <is>
          <t>arcane_strike</t>
        </is>
      </c>
      <c r="T1744" t="n">
        <v>31</v>
      </c>
      <c r="U1744" t="n">
        <v>31</v>
      </c>
      <c r="V1744" t="n">
        <v>94</v>
      </c>
      <c r="W1744" t="n">
        <v>90</v>
      </c>
      <c r="X1744" t="n">
        <v>83.5</v>
      </c>
      <c r="Y1744" t="n">
        <v>4695</v>
      </c>
      <c r="Z1744" t="n">
        <v>114</v>
      </c>
      <c r="AA1744" t="n">
        <v>80</v>
      </c>
      <c r="AB1744" t="n">
        <v>0</v>
      </c>
      <c r="AQ1744" t="n">
        <v>7.5</v>
      </c>
      <c r="AR1744" t="n">
        <v>157.5</v>
      </c>
      <c r="AS1744" t="inlineStr">
        <is>
          <t>Collection (optional)</t>
        </is>
      </c>
    </row>
    <row r="1745">
      <c r="A1745" t="inlineStr">
        <is>
          <t>Arcane</t>
        </is>
      </c>
      <c r="B1745" t="inlineStr">
        <is>
          <t>Arcane Tanker</t>
        </is>
      </c>
      <c r="E1745" t="inlineStr">
        <is>
          <t>Warframe</t>
        </is>
      </c>
      <c r="F1745" t="n">
        <v>5</v>
      </c>
      <c r="G1745" t="n">
        <v>1</v>
      </c>
      <c r="H1745" t="inlineStr">
        <is>
          <t>Player trade (max rank)</t>
        </is>
      </c>
      <c r="I1745" t="inlineStr">
        <is>
          <t>Yes</t>
        </is>
      </c>
      <c r="K1745" t="inlineStr">
        <is>
          <t>Collection (optional)</t>
        </is>
      </c>
      <c r="L1745" t="n">
        <v>24</v>
      </c>
      <c r="M1745" t="n">
        <v>30</v>
      </c>
      <c r="N1745" t="n">
        <v>38</v>
      </c>
      <c r="O1745" t="inlineStr">
        <is>
          <t>2026-10-05 UTC (WFM pull 02:52-04:00)</t>
        </is>
      </c>
      <c r="P1745" t="inlineStr">
        <is>
          <t>OK</t>
        </is>
      </c>
      <c r="R1745" t="inlineStr">
        <is>
          <t>Arcanes share across items like mods (one max-rank copy covers every build).</t>
        </is>
      </c>
      <c r="S1745" t="inlineStr">
        <is>
          <t>arcane_tanker</t>
        </is>
      </c>
      <c r="T1745" t="n">
        <v>9</v>
      </c>
      <c r="U1745" t="n">
        <v>9</v>
      </c>
      <c r="V1745" t="n">
        <v>25</v>
      </c>
      <c r="W1745" t="n">
        <v>28</v>
      </c>
      <c r="X1745" t="n">
        <v>28.2</v>
      </c>
      <c r="Y1745" t="n">
        <v>477</v>
      </c>
      <c r="Z1745" t="n">
        <v>9</v>
      </c>
      <c r="AA1745" t="n">
        <v>16</v>
      </c>
      <c r="AB1745" t="n">
        <v>8</v>
      </c>
      <c r="AQ1745" t="n">
        <v>3</v>
      </c>
      <c r="AR1745" t="n">
        <v>63</v>
      </c>
      <c r="AS1745" t="inlineStr">
        <is>
          <t>Collection (optional)</t>
        </is>
      </c>
    </row>
    <row r="1746">
      <c r="A1746" t="inlineStr">
        <is>
          <t>Arcane</t>
        </is>
      </c>
      <c r="B1746" t="inlineStr">
        <is>
          <t>Arcane Tempo</t>
        </is>
      </c>
      <c r="E1746" t="inlineStr">
        <is>
          <t>Warframe</t>
        </is>
      </c>
      <c r="F1746" t="n">
        <v>5</v>
      </c>
      <c r="G1746" t="n">
        <v>1</v>
      </c>
      <c r="H1746" t="inlineStr">
        <is>
          <t>Player trade (max rank)</t>
        </is>
      </c>
      <c r="I1746" t="inlineStr">
        <is>
          <t>Yes</t>
        </is>
      </c>
      <c r="K1746" t="inlineStr">
        <is>
          <t>Collection (optional)</t>
        </is>
      </c>
      <c r="L1746" t="n">
        <v>59</v>
      </c>
      <c r="M1746" t="n">
        <v>60</v>
      </c>
      <c r="N1746" t="n">
        <v>72</v>
      </c>
      <c r="O1746" t="inlineStr">
        <is>
          <t>2026-10-05 UTC (WFM pull 02:52-04:00)</t>
        </is>
      </c>
      <c r="P1746" t="inlineStr">
        <is>
          <t>OK</t>
        </is>
      </c>
      <c r="R1746" t="inlineStr">
        <is>
          <t>Arcanes share across items like mods (one max-rank copy covers every build).</t>
        </is>
      </c>
      <c r="S1746" t="inlineStr">
        <is>
          <t>arcane_tempo</t>
        </is>
      </c>
      <c r="T1746" t="n">
        <v>15</v>
      </c>
      <c r="U1746" t="n">
        <v>15</v>
      </c>
      <c r="V1746" t="n">
        <v>65</v>
      </c>
      <c r="W1746" t="n">
        <v>60</v>
      </c>
      <c r="X1746" t="n">
        <v>59.5</v>
      </c>
      <c r="Y1746" t="n">
        <v>2788</v>
      </c>
      <c r="Z1746" t="n">
        <v>57</v>
      </c>
      <c r="AA1746" t="n">
        <v>34</v>
      </c>
      <c r="AB1746" t="n">
        <v>25</v>
      </c>
      <c r="AQ1746" t="n">
        <v>5</v>
      </c>
      <c r="AR1746" t="n">
        <v>105</v>
      </c>
      <c r="AS1746" t="inlineStr">
        <is>
          <t>Collection (optional)</t>
        </is>
      </c>
    </row>
    <row r="1747">
      <c r="A1747" t="inlineStr">
        <is>
          <t>Arcane</t>
        </is>
      </c>
      <c r="B1747" t="inlineStr">
        <is>
          <t>Arcane Trickery</t>
        </is>
      </c>
      <c r="E1747" t="inlineStr">
        <is>
          <t>Warframe</t>
        </is>
      </c>
      <c r="F1747" t="n">
        <v>5</v>
      </c>
      <c r="G1747" t="n">
        <v>1</v>
      </c>
      <c r="H1747" t="inlineStr">
        <is>
          <t>Player trade (max rank)</t>
        </is>
      </c>
      <c r="I1747" t="inlineStr">
        <is>
          <t>Yes</t>
        </is>
      </c>
      <c r="K1747" t="inlineStr">
        <is>
          <t>Collection (optional)</t>
        </is>
      </c>
      <c r="L1747" t="n">
        <v>30</v>
      </c>
      <c r="M1747" t="n">
        <v>30</v>
      </c>
      <c r="N1747" t="n">
        <v>33</v>
      </c>
      <c r="O1747" t="inlineStr">
        <is>
          <t>2026-10-05 UTC (WFM pull 02:52-04:00)</t>
        </is>
      </c>
      <c r="P1747" t="inlineStr">
        <is>
          <t>OK</t>
        </is>
      </c>
      <c r="R1747" t="inlineStr">
        <is>
          <t>Arcanes share across items like mods (one max-rank copy covers every build).</t>
        </is>
      </c>
      <c r="S1747" t="inlineStr">
        <is>
          <t>arcane_trickery</t>
        </is>
      </c>
      <c r="T1747" t="n">
        <v>12</v>
      </c>
      <c r="U1747" t="n">
        <v>12</v>
      </c>
      <c r="V1747" t="n">
        <v>23</v>
      </c>
      <c r="W1747" t="n">
        <v>23.5</v>
      </c>
      <c r="X1747" t="n">
        <v>23.4</v>
      </c>
      <c r="Y1747" t="n">
        <v>392</v>
      </c>
      <c r="Z1747" t="n">
        <v>7</v>
      </c>
      <c r="AA1747" t="n">
        <v>10</v>
      </c>
      <c r="AB1747" t="n">
        <v>20</v>
      </c>
      <c r="AQ1747" t="n">
        <v>3</v>
      </c>
      <c r="AR1747" t="n">
        <v>63</v>
      </c>
      <c r="AS1747" t="inlineStr">
        <is>
          <t>Collection (optional)</t>
        </is>
      </c>
    </row>
    <row r="1748">
      <c r="A1748" t="inlineStr">
        <is>
          <t>Arcane</t>
        </is>
      </c>
      <c r="B1748" t="inlineStr">
        <is>
          <t>Arcane Truculence</t>
        </is>
      </c>
      <c r="E1748" t="inlineStr">
        <is>
          <t>Warframe</t>
        </is>
      </c>
      <c r="F1748" t="n">
        <v>5</v>
      </c>
      <c r="G1748" t="n">
        <v>1</v>
      </c>
      <c r="H1748" t="inlineStr">
        <is>
          <t>Player trade (max rank)</t>
        </is>
      </c>
      <c r="I1748" t="inlineStr">
        <is>
          <t>Yes</t>
        </is>
      </c>
      <c r="K1748" t="inlineStr">
        <is>
          <t>Collection (optional)</t>
        </is>
      </c>
      <c r="L1748" t="n">
        <v>19</v>
      </c>
      <c r="M1748" t="n">
        <v>20</v>
      </c>
      <c r="N1748" t="n">
        <v>22</v>
      </c>
      <c r="O1748" t="inlineStr">
        <is>
          <t>2026-10-05 UTC (WFM pull 02:52-04:00)</t>
        </is>
      </c>
      <c r="P1748" t="inlineStr">
        <is>
          <t>OK</t>
        </is>
      </c>
      <c r="R1748" t="inlineStr">
        <is>
          <t>Arcanes share across items like mods (one max-rank copy covers every build).</t>
        </is>
      </c>
      <c r="S1748" t="inlineStr">
        <is>
          <t>arcane_truculence</t>
        </is>
      </c>
      <c r="T1748" t="n">
        <v>20</v>
      </c>
      <c r="U1748" t="n">
        <v>20</v>
      </c>
      <c r="V1748" t="n">
        <v>20</v>
      </c>
      <c r="W1748" t="n">
        <v>20</v>
      </c>
      <c r="X1748" t="n">
        <v>19.2</v>
      </c>
      <c r="Y1748" t="n">
        <v>3122</v>
      </c>
      <c r="Z1748" t="n">
        <v>30</v>
      </c>
      <c r="AA1748" t="n">
        <v>10</v>
      </c>
      <c r="AB1748" t="n">
        <v>9</v>
      </c>
      <c r="AQ1748" t="n">
        <v>2</v>
      </c>
      <c r="AR1748" t="n">
        <v>42</v>
      </c>
      <c r="AS1748" t="inlineStr">
        <is>
          <t>Collection (optional)</t>
        </is>
      </c>
    </row>
    <row r="1749">
      <c r="A1749" t="inlineStr">
        <is>
          <t>Arcane</t>
        </is>
      </c>
      <c r="B1749" t="inlineStr">
        <is>
          <t>Arcane Ultimatum</t>
        </is>
      </c>
      <c r="E1749" t="inlineStr">
        <is>
          <t>Warframe</t>
        </is>
      </c>
      <c r="F1749" t="n">
        <v>5</v>
      </c>
      <c r="G1749" t="n">
        <v>1</v>
      </c>
      <c r="H1749" t="inlineStr">
        <is>
          <t>Player trade (max rank)</t>
        </is>
      </c>
      <c r="I1749" t="inlineStr">
        <is>
          <t>Yes</t>
        </is>
      </c>
      <c r="K1749" t="inlineStr">
        <is>
          <t>Collection (optional)</t>
        </is>
      </c>
      <c r="L1749" t="n">
        <v>30</v>
      </c>
      <c r="M1749" t="n">
        <v>30</v>
      </c>
      <c r="N1749" t="n">
        <v>66</v>
      </c>
      <c r="O1749" t="inlineStr">
        <is>
          <t>2026-10-05 UTC (WFM pull 02:52-04:00)</t>
        </is>
      </c>
      <c r="P1749" t="inlineStr">
        <is>
          <t>OK</t>
        </is>
      </c>
      <c r="R1749" t="inlineStr">
        <is>
          <t>Arcanes share across items like mods (one max-rank copy covers every build).</t>
        </is>
      </c>
      <c r="S1749" t="inlineStr">
        <is>
          <t>arcane_ultimatum</t>
        </is>
      </c>
      <c r="T1749" t="n">
        <v>6</v>
      </c>
      <c r="U1749" t="n">
        <v>6</v>
      </c>
      <c r="V1749" t="n">
        <v>20</v>
      </c>
      <c r="W1749" t="n">
        <v>20</v>
      </c>
      <c r="X1749" t="n">
        <v>20.1</v>
      </c>
      <c r="Y1749" t="n">
        <v>211</v>
      </c>
      <c r="Z1749" t="n">
        <v>2</v>
      </c>
      <c r="AA1749" t="n">
        <v>5</v>
      </c>
      <c r="AB1749" t="n">
        <v>25</v>
      </c>
      <c r="AQ1749" t="n">
        <v>3</v>
      </c>
      <c r="AR1749" t="n">
        <v>63</v>
      </c>
      <c r="AS1749" t="inlineStr">
        <is>
          <t>Collection (optional)</t>
        </is>
      </c>
    </row>
    <row r="1750">
      <c r="A1750" t="inlineStr">
        <is>
          <t>Arcane</t>
        </is>
      </c>
      <c r="B1750" t="inlineStr">
        <is>
          <t>Arcane Universal Fallout</t>
        </is>
      </c>
      <c r="E1750" t="inlineStr">
        <is>
          <t>Warframe</t>
        </is>
      </c>
      <c r="F1750" t="n">
        <v>5</v>
      </c>
      <c r="G1750" t="n">
        <v>1</v>
      </c>
      <c r="H1750" t="inlineStr">
        <is>
          <t>Player trade (max rank)</t>
        </is>
      </c>
      <c r="I1750" t="inlineStr">
        <is>
          <t>Yes</t>
        </is>
      </c>
      <c r="K1750" t="inlineStr">
        <is>
          <t>Required (v4.2 frame builds)</t>
        </is>
      </c>
      <c r="L1750" t="n">
        <v>90</v>
      </c>
      <c r="M1750" t="n">
        <v>95</v>
      </c>
      <c r="N1750" t="n">
        <v>111</v>
      </c>
      <c r="O1750" t="inlineStr">
        <is>
          <t>2026-10-05 UTC (WFM pull 02:52-04:00)</t>
        </is>
      </c>
      <c r="P1750" t="inlineStr">
        <is>
          <t>OK</t>
        </is>
      </c>
      <c r="R1750" t="inlineStr">
        <is>
          <t>Arcanes share across items like mods (one max-rank copy covers every build).</t>
        </is>
      </c>
      <c r="S1750" t="inlineStr">
        <is>
          <t>arcane_universal_fallout</t>
        </is>
      </c>
      <c r="T1750" t="n">
        <v>40</v>
      </c>
      <c r="U1750" t="n">
        <v>40</v>
      </c>
      <c r="V1750" t="n">
        <v>85</v>
      </c>
      <c r="W1750" t="n">
        <v>99</v>
      </c>
      <c r="X1750" t="n">
        <v>93.59999999999999</v>
      </c>
      <c r="Y1750" t="n">
        <v>3952</v>
      </c>
      <c r="Z1750" t="n">
        <v>135</v>
      </c>
      <c r="AA1750" t="n">
        <v>60</v>
      </c>
      <c r="AB1750" t="n">
        <v>30</v>
      </c>
      <c r="AQ1750" t="n">
        <v>5</v>
      </c>
      <c r="AR1750" t="n">
        <v>105</v>
      </c>
      <c r="AS1750" t="inlineStr">
        <is>
          <t>Yes</t>
        </is>
      </c>
    </row>
    <row r="1751">
      <c r="A1751" t="inlineStr">
        <is>
          <t>Arcane</t>
        </is>
      </c>
      <c r="B1751" t="inlineStr">
        <is>
          <t>Arcane Velocity</t>
        </is>
      </c>
      <c r="E1751" t="inlineStr">
        <is>
          <t>Warframe</t>
        </is>
      </c>
      <c r="F1751" t="n">
        <v>5</v>
      </c>
      <c r="G1751" t="n">
        <v>1</v>
      </c>
      <c r="H1751" t="inlineStr">
        <is>
          <t>Player trade (max rank)</t>
        </is>
      </c>
      <c r="I1751" t="inlineStr">
        <is>
          <t>Yes</t>
        </is>
      </c>
      <c r="K1751" t="inlineStr">
        <is>
          <t>Collection (optional)</t>
        </is>
      </c>
      <c r="L1751" t="n">
        <v>180</v>
      </c>
      <c r="M1751" t="n">
        <v>180</v>
      </c>
      <c r="N1751" t="n">
        <v>210</v>
      </c>
      <c r="O1751" t="inlineStr">
        <is>
          <t>2026-10-05 UTC (WFM pull 02:52-04:00)</t>
        </is>
      </c>
      <c r="P1751" t="inlineStr">
        <is>
          <t>OK</t>
        </is>
      </c>
      <c r="R1751" t="inlineStr">
        <is>
          <t>Arcanes share across items like mods (one max-rank copy covers every build).</t>
        </is>
      </c>
      <c r="S1751" t="inlineStr">
        <is>
          <t>arcane_velocity</t>
        </is>
      </c>
      <c r="T1751" t="n">
        <v>27</v>
      </c>
      <c r="U1751" t="n">
        <v>27</v>
      </c>
      <c r="V1751" t="n">
        <v>170</v>
      </c>
      <c r="W1751" t="n">
        <v>155</v>
      </c>
      <c r="X1751" t="n">
        <v>155.7</v>
      </c>
      <c r="Y1751" t="n">
        <v>11515</v>
      </c>
      <c r="Z1751" t="n">
        <v>192</v>
      </c>
      <c r="AA1751" t="n">
        <v>140</v>
      </c>
      <c r="AB1751" t="n">
        <v>40</v>
      </c>
      <c r="AQ1751" t="n">
        <v>10</v>
      </c>
      <c r="AR1751" t="n">
        <v>210</v>
      </c>
      <c r="AS1751" t="inlineStr">
        <is>
          <t>Collection (optional)</t>
        </is>
      </c>
    </row>
    <row r="1752">
      <c r="A1752" t="inlineStr">
        <is>
          <t>Arcane</t>
        </is>
      </c>
      <c r="B1752" t="inlineStr">
        <is>
          <t>Arcane Victory</t>
        </is>
      </c>
      <c r="E1752" t="inlineStr">
        <is>
          <t>Warframe</t>
        </is>
      </c>
      <c r="F1752" t="n">
        <v>5</v>
      </c>
      <c r="G1752" t="n">
        <v>1</v>
      </c>
      <c r="H1752" t="inlineStr">
        <is>
          <t>Player trade (max rank)</t>
        </is>
      </c>
      <c r="I1752" t="inlineStr">
        <is>
          <t>Yes</t>
        </is>
      </c>
      <c r="K1752" t="inlineStr">
        <is>
          <t>Collection (optional)</t>
        </is>
      </c>
      <c r="L1752" t="n">
        <v>25</v>
      </c>
      <c r="M1752" t="n">
        <v>25</v>
      </c>
      <c r="N1752" t="n">
        <v>56</v>
      </c>
      <c r="O1752" t="inlineStr">
        <is>
          <t>2026-10-05 UTC (WFM pull 02:52-04:00)</t>
        </is>
      </c>
      <c r="P1752" t="inlineStr">
        <is>
          <t>OK</t>
        </is>
      </c>
      <c r="R1752" t="inlineStr">
        <is>
          <t>Arcanes share across items like mods (one max-rank copy covers every build).</t>
        </is>
      </c>
      <c r="S1752" t="inlineStr">
        <is>
          <t>arcane_victory</t>
        </is>
      </c>
      <c r="T1752" t="n">
        <v>4</v>
      </c>
      <c r="U1752" t="n">
        <v>4</v>
      </c>
      <c r="V1752" t="n">
        <v>15</v>
      </c>
      <c r="W1752" t="n">
        <v>15</v>
      </c>
      <c r="X1752" t="n">
        <v>15.1</v>
      </c>
      <c r="Y1752" t="n">
        <v>136</v>
      </c>
      <c r="Z1752" t="n">
        <v>1</v>
      </c>
      <c r="AA1752" t="n">
        <v>8</v>
      </c>
      <c r="AB1752" t="n">
        <v>17</v>
      </c>
      <c r="AQ1752" t="n">
        <v>2</v>
      </c>
      <c r="AR1752" t="n">
        <v>42</v>
      </c>
      <c r="AS1752" t="inlineStr">
        <is>
          <t>Collection (optional)</t>
        </is>
      </c>
    </row>
    <row r="1753">
      <c r="A1753" t="inlineStr">
        <is>
          <t>Arcane</t>
        </is>
      </c>
      <c r="B1753" t="inlineStr">
        <is>
          <t>Arcane Warmth</t>
        </is>
      </c>
      <c r="E1753" t="inlineStr">
        <is>
          <t>Warframe</t>
        </is>
      </c>
      <c r="F1753" t="n">
        <v>5</v>
      </c>
      <c r="G1753" t="n">
        <v>1</v>
      </c>
      <c r="H1753" t="inlineStr">
        <is>
          <t>Player trade (max rank)</t>
        </is>
      </c>
      <c r="I1753" t="inlineStr">
        <is>
          <t>Yes</t>
        </is>
      </c>
      <c r="K1753" t="inlineStr">
        <is>
          <t>Collection (optional)</t>
        </is>
      </c>
      <c r="L1753" t="n">
        <v>20</v>
      </c>
      <c r="M1753" t="n">
        <v>20</v>
      </c>
      <c r="N1753" t="n">
        <v>33</v>
      </c>
      <c r="O1753" t="inlineStr">
        <is>
          <t>2026-10-05 UTC (WFM pull 02:52-04:00)</t>
        </is>
      </c>
      <c r="P1753" t="inlineStr">
        <is>
          <t>OK</t>
        </is>
      </c>
      <c r="R1753" t="inlineStr">
        <is>
          <t>Arcanes share across items like mods (one max-rank copy covers every build).</t>
        </is>
      </c>
      <c r="S1753" t="inlineStr">
        <is>
          <t>arcane_warmth</t>
        </is>
      </c>
      <c r="T1753" t="n">
        <v>7</v>
      </c>
      <c r="U1753" t="n">
        <v>7</v>
      </c>
      <c r="V1753" t="n">
        <v>10</v>
      </c>
      <c r="W1753" t="n">
        <v>14.5</v>
      </c>
      <c r="X1753" t="n">
        <v>14.4</v>
      </c>
      <c r="Y1753" t="n">
        <v>86</v>
      </c>
      <c r="Z1753" t="n">
        <v>2</v>
      </c>
      <c r="AA1753" t="n">
        <v>5</v>
      </c>
      <c r="AB1753" t="n">
        <v>15</v>
      </c>
      <c r="AQ1753" t="n">
        <v>3</v>
      </c>
      <c r="AR1753" t="n">
        <v>63</v>
      </c>
      <c r="AS1753" t="inlineStr">
        <is>
          <t>Collection (optional)</t>
        </is>
      </c>
    </row>
    <row r="1754">
      <c r="A1754" t="inlineStr">
        <is>
          <t>Arcane</t>
        </is>
      </c>
      <c r="B1754" t="inlineStr">
        <is>
          <t>Cascadia Accuracy</t>
        </is>
      </c>
      <c r="E1754" t="inlineStr">
        <is>
          <t>Secondary</t>
        </is>
      </c>
      <c r="F1754" t="n">
        <v>5</v>
      </c>
      <c r="G1754" t="n">
        <v>1</v>
      </c>
      <c r="H1754" t="inlineStr">
        <is>
          <t>Player trade (max rank)</t>
        </is>
      </c>
      <c r="I1754" t="inlineStr">
        <is>
          <t>Yes</t>
        </is>
      </c>
      <c r="K1754" t="inlineStr">
        <is>
          <t>Collection (optional)</t>
        </is>
      </c>
      <c r="L1754" t="n">
        <v>8</v>
      </c>
      <c r="M1754" t="n">
        <v>9</v>
      </c>
      <c r="N1754" t="n">
        <v>11</v>
      </c>
      <c r="O1754" t="inlineStr">
        <is>
          <t>2026-10-05 UTC (WFM pull 02:52-04:00)</t>
        </is>
      </c>
      <c r="P1754" t="inlineStr">
        <is>
          <t>OK</t>
        </is>
      </c>
      <c r="R1754" t="inlineStr">
        <is>
          <t>Arcanes share across items like mods (one max-rank copy covers every build).</t>
        </is>
      </c>
      <c r="S1754" t="inlineStr">
        <is>
          <t>cascadia_accuracy</t>
        </is>
      </c>
      <c r="T1754" t="n">
        <v>21</v>
      </c>
      <c r="U1754" t="n">
        <v>21</v>
      </c>
      <c r="V1754" t="n">
        <v>9</v>
      </c>
      <c r="W1754" t="n">
        <v>9</v>
      </c>
      <c r="X1754" t="n">
        <v>8.699999999999999</v>
      </c>
      <c r="Y1754" t="n">
        <v>388</v>
      </c>
      <c r="Z1754" t="n">
        <v>3</v>
      </c>
      <c r="AQ1754" t="n">
        <v>2</v>
      </c>
      <c r="AR1754" t="n">
        <v>42</v>
      </c>
      <c r="AS1754" t="inlineStr">
        <is>
          <t>Collection (optional)</t>
        </is>
      </c>
    </row>
    <row r="1755">
      <c r="A1755" t="inlineStr">
        <is>
          <t>Arcane</t>
        </is>
      </c>
      <c r="B1755" t="inlineStr">
        <is>
          <t>Cascadia Empowered</t>
        </is>
      </c>
      <c r="E1755" t="inlineStr">
        <is>
          <t>Secondary</t>
        </is>
      </c>
      <c r="F1755" t="n">
        <v>5</v>
      </c>
      <c r="G1755" t="n">
        <v>1</v>
      </c>
      <c r="H1755" t="inlineStr">
        <is>
          <t>Player trade (max rank)</t>
        </is>
      </c>
      <c r="I1755" t="inlineStr">
        <is>
          <t>Yes</t>
        </is>
      </c>
      <c r="K1755" t="inlineStr">
        <is>
          <t>Collection (optional)</t>
        </is>
      </c>
      <c r="L1755" t="n">
        <v>10</v>
      </c>
      <c r="M1755" t="n">
        <v>15</v>
      </c>
      <c r="N1755" t="n">
        <v>22</v>
      </c>
      <c r="O1755" t="inlineStr">
        <is>
          <t>2026-10-05 UTC (WFM pull 02:52-04:00)</t>
        </is>
      </c>
      <c r="P1755" t="inlineStr">
        <is>
          <t>OK</t>
        </is>
      </c>
      <c r="R1755" t="inlineStr">
        <is>
          <t>Arcanes share across items like mods (one max-rank copy covers every build).</t>
        </is>
      </c>
      <c r="S1755" t="inlineStr">
        <is>
          <t>cascadia_empowered</t>
        </is>
      </c>
      <c r="T1755" t="n">
        <v>14</v>
      </c>
      <c r="U1755" t="n">
        <v>14</v>
      </c>
      <c r="V1755" t="n">
        <v>14</v>
      </c>
      <c r="W1755" t="n">
        <v>14</v>
      </c>
      <c r="X1755" t="n">
        <v>13.7</v>
      </c>
      <c r="Y1755" t="n">
        <v>603</v>
      </c>
      <c r="Z1755" t="n">
        <v>13</v>
      </c>
      <c r="AA1755" t="n">
        <v>40</v>
      </c>
      <c r="AB1755" t="n">
        <v>-30</v>
      </c>
      <c r="AQ1755" t="n">
        <v>2</v>
      </c>
      <c r="AR1755" t="n">
        <v>42</v>
      </c>
      <c r="AS1755" t="inlineStr">
        <is>
          <t>Collection (optional)</t>
        </is>
      </c>
    </row>
    <row r="1756">
      <c r="A1756" t="inlineStr">
        <is>
          <t>Arcane</t>
        </is>
      </c>
      <c r="B1756" t="inlineStr">
        <is>
          <t>Cascadia Flare</t>
        </is>
      </c>
      <c r="E1756" t="inlineStr">
        <is>
          <t>Secondary</t>
        </is>
      </c>
      <c r="F1756" t="n">
        <v>5</v>
      </c>
      <c r="G1756" t="n">
        <v>1</v>
      </c>
      <c r="H1756" t="inlineStr">
        <is>
          <t>Player trade (max rank)</t>
        </is>
      </c>
      <c r="I1756" t="inlineStr">
        <is>
          <t>Yes</t>
        </is>
      </c>
      <c r="K1756" t="inlineStr">
        <is>
          <t>Collection (optional)</t>
        </is>
      </c>
      <c r="L1756" t="n">
        <v>27</v>
      </c>
      <c r="M1756" t="n">
        <v>28</v>
      </c>
      <c r="N1756" t="n">
        <v>33</v>
      </c>
      <c r="O1756" t="inlineStr">
        <is>
          <t>2026-10-05 UTC (WFM pull 02:52-04:00)</t>
        </is>
      </c>
      <c r="P1756" t="inlineStr">
        <is>
          <t>OK</t>
        </is>
      </c>
      <c r="R1756" t="inlineStr">
        <is>
          <t>Arcanes share across items like mods (one max-rank copy covers every build).</t>
        </is>
      </c>
      <c r="S1756" t="inlineStr">
        <is>
          <t>cascadia_flare</t>
        </is>
      </c>
      <c r="T1756" t="n">
        <v>41</v>
      </c>
      <c r="U1756" t="n">
        <v>41</v>
      </c>
      <c r="V1756" t="n">
        <v>30</v>
      </c>
      <c r="W1756" t="n">
        <v>30</v>
      </c>
      <c r="X1756" t="n">
        <v>31.8</v>
      </c>
      <c r="Y1756" t="n">
        <v>9711</v>
      </c>
      <c r="Z1756" t="n">
        <v>69</v>
      </c>
      <c r="AA1756" t="n">
        <v>20</v>
      </c>
      <c r="AB1756" t="n">
        <v>7</v>
      </c>
      <c r="AQ1756" t="n">
        <v>2</v>
      </c>
      <c r="AR1756" t="n">
        <v>42</v>
      </c>
      <c r="AS1756" t="inlineStr">
        <is>
          <t>Collection (optional)</t>
        </is>
      </c>
    </row>
    <row r="1757">
      <c r="A1757" t="inlineStr">
        <is>
          <t>Arcane</t>
        </is>
      </c>
      <c r="B1757" t="inlineStr">
        <is>
          <t>Cascadia Overcharge</t>
        </is>
      </c>
      <c r="E1757" t="inlineStr">
        <is>
          <t>Secondary</t>
        </is>
      </c>
      <c r="F1757" t="n">
        <v>5</v>
      </c>
      <c r="G1757" t="n">
        <v>1</v>
      </c>
      <c r="H1757" t="inlineStr">
        <is>
          <t>Player trade (max rank)</t>
        </is>
      </c>
      <c r="I1757" t="inlineStr">
        <is>
          <t>Yes</t>
        </is>
      </c>
      <c r="K1757" t="inlineStr">
        <is>
          <t>Collection (optional)</t>
        </is>
      </c>
      <c r="L1757" t="n">
        <v>15</v>
      </c>
      <c r="M1757" t="n">
        <v>18</v>
      </c>
      <c r="N1757" t="n">
        <v>22</v>
      </c>
      <c r="O1757" t="inlineStr">
        <is>
          <t>2026-10-05 UTC (WFM pull 02:52-04:00)</t>
        </is>
      </c>
      <c r="P1757" t="inlineStr">
        <is>
          <t>OK</t>
        </is>
      </c>
      <c r="R1757" t="inlineStr">
        <is>
          <t>Arcanes share across items like mods (one max-rank copy covers every build).</t>
        </is>
      </c>
      <c r="S1757" t="inlineStr">
        <is>
          <t>cascadia_overcharge</t>
        </is>
      </c>
      <c r="T1757" t="n">
        <v>19</v>
      </c>
      <c r="U1757" t="n">
        <v>19</v>
      </c>
      <c r="V1757" t="n">
        <v>19</v>
      </c>
      <c r="W1757" t="n">
        <v>20</v>
      </c>
      <c r="X1757" t="n">
        <v>21.7</v>
      </c>
      <c r="Y1757" t="n">
        <v>2304</v>
      </c>
      <c r="Z1757" t="n">
        <v>40</v>
      </c>
      <c r="AA1757" t="n">
        <v>5</v>
      </c>
      <c r="AB1757" t="n">
        <v>10</v>
      </c>
      <c r="AQ1757" t="n">
        <v>2</v>
      </c>
      <c r="AR1757" t="n">
        <v>42</v>
      </c>
      <c r="AS1757" t="inlineStr">
        <is>
          <t>Collection (optional)</t>
        </is>
      </c>
    </row>
    <row r="1758">
      <c r="A1758" t="inlineStr">
        <is>
          <t>Arcane</t>
        </is>
      </c>
      <c r="B1758" t="inlineStr">
        <is>
          <t>Conjunction Voltage</t>
        </is>
      </c>
      <c r="E1758" t="inlineStr">
        <is>
          <t>Secondary</t>
        </is>
      </c>
      <c r="F1758" t="n">
        <v>5</v>
      </c>
      <c r="G1758" t="n">
        <v>1</v>
      </c>
      <c r="H1758" t="inlineStr">
        <is>
          <t>Player trade (max rank)</t>
        </is>
      </c>
      <c r="I1758" t="inlineStr">
        <is>
          <t>Yes</t>
        </is>
      </c>
      <c r="K1758" t="inlineStr">
        <is>
          <t>Collection (optional)</t>
        </is>
      </c>
      <c r="L1758" t="n">
        <v>25</v>
      </c>
      <c r="M1758" t="n">
        <v>25</v>
      </c>
      <c r="N1758" t="n">
        <v>33</v>
      </c>
      <c r="O1758" t="inlineStr">
        <is>
          <t>2026-10-05 UTC (WFM pull 02:52-04:00)</t>
        </is>
      </c>
      <c r="P1758" t="inlineStr">
        <is>
          <t>OK</t>
        </is>
      </c>
      <c r="R1758" t="inlineStr">
        <is>
          <t>Arcanes share across items like mods (one max-rank copy covers every build).</t>
        </is>
      </c>
      <c r="S1758" t="inlineStr">
        <is>
          <t>conjunction_voltage</t>
        </is>
      </c>
      <c r="T1758" t="n">
        <v>12</v>
      </c>
      <c r="U1758" t="n">
        <v>12</v>
      </c>
      <c r="V1758" t="n">
        <v>21</v>
      </c>
      <c r="W1758" t="n">
        <v>20</v>
      </c>
      <c r="X1758" t="n">
        <v>21.3</v>
      </c>
      <c r="Y1758" t="n">
        <v>848</v>
      </c>
      <c r="Z1758" t="n">
        <v>27</v>
      </c>
      <c r="AA1758" t="n">
        <v>5</v>
      </c>
      <c r="AB1758" t="n">
        <v>20</v>
      </c>
      <c r="AQ1758" t="n">
        <v>2</v>
      </c>
      <c r="AR1758" t="n">
        <v>42</v>
      </c>
      <c r="AS1758" t="inlineStr">
        <is>
          <t>Collection (optional)</t>
        </is>
      </c>
    </row>
    <row r="1759">
      <c r="A1759" t="inlineStr">
        <is>
          <t>Arcane</t>
        </is>
      </c>
      <c r="B1759" t="inlineStr">
        <is>
          <t>Emergence Dissipate</t>
        </is>
      </c>
      <c r="E1759" t="inlineStr">
        <is>
          <t>Operator</t>
        </is>
      </c>
      <c r="F1759" t="n">
        <v>5</v>
      </c>
      <c r="G1759" t="n">
        <v>1</v>
      </c>
      <c r="H1759" t="inlineStr">
        <is>
          <t>Player trade (max rank)</t>
        </is>
      </c>
      <c r="I1759" t="inlineStr">
        <is>
          <t>Yes</t>
        </is>
      </c>
      <c r="K1759" t="inlineStr">
        <is>
          <t>Collection (optional)</t>
        </is>
      </c>
      <c r="L1759" t="n">
        <v>10</v>
      </c>
      <c r="M1759" t="n">
        <v>10</v>
      </c>
      <c r="N1759" t="n">
        <v>11</v>
      </c>
      <c r="O1759" t="inlineStr">
        <is>
          <t>2026-10-05 UTC (WFM pull 02:52-04:00)</t>
        </is>
      </c>
      <c r="P1759" t="inlineStr">
        <is>
          <t>OK</t>
        </is>
      </c>
      <c r="R1759" t="inlineStr">
        <is>
          <t>Arcanes share across items like mods (one max-rank copy covers every build).</t>
        </is>
      </c>
      <c r="S1759" t="inlineStr">
        <is>
          <t>emergence_dissipate</t>
        </is>
      </c>
      <c r="T1759" t="n">
        <v>22</v>
      </c>
      <c r="U1759" t="n">
        <v>22</v>
      </c>
      <c r="V1759" t="n">
        <v>10</v>
      </c>
      <c r="W1759" t="n">
        <v>10</v>
      </c>
      <c r="X1759" t="n">
        <v>10.1</v>
      </c>
      <c r="Y1759" t="n">
        <v>272</v>
      </c>
      <c r="Z1759" t="n">
        <v>1</v>
      </c>
      <c r="AA1759" t="n">
        <v>36</v>
      </c>
      <c r="AB1759" t="n">
        <v>-26</v>
      </c>
      <c r="AQ1759" t="n">
        <v>2</v>
      </c>
      <c r="AR1759" t="n">
        <v>42</v>
      </c>
      <c r="AS1759" t="inlineStr">
        <is>
          <t>Collection (optional)</t>
        </is>
      </c>
    </row>
    <row r="1760">
      <c r="A1760" t="inlineStr">
        <is>
          <t>Arcane</t>
        </is>
      </c>
      <c r="B1760" t="inlineStr">
        <is>
          <t>Emergence Renewed</t>
        </is>
      </c>
      <c r="E1760" t="inlineStr">
        <is>
          <t>Operator</t>
        </is>
      </c>
      <c r="F1760" t="n">
        <v>5</v>
      </c>
      <c r="G1760" t="n">
        <v>1</v>
      </c>
      <c r="H1760" t="inlineStr">
        <is>
          <t>Player trade (max rank)</t>
        </is>
      </c>
      <c r="I1760" t="inlineStr">
        <is>
          <t>Yes</t>
        </is>
      </c>
      <c r="K1760" t="inlineStr">
        <is>
          <t>Collection (optional)</t>
        </is>
      </c>
      <c r="L1760" t="n">
        <v>15</v>
      </c>
      <c r="M1760" t="n">
        <v>15</v>
      </c>
      <c r="N1760" t="n">
        <v>17</v>
      </c>
      <c r="O1760" t="inlineStr">
        <is>
          <t>2026-10-05 UTC (WFM pull 02:52-04:00)</t>
        </is>
      </c>
      <c r="P1760" t="inlineStr">
        <is>
          <t>OK</t>
        </is>
      </c>
      <c r="R1760" t="inlineStr">
        <is>
          <t>Arcanes share across items like mods (one max-rank copy covers every build).</t>
        </is>
      </c>
      <c r="S1760" t="inlineStr">
        <is>
          <t>emergence_renewed</t>
        </is>
      </c>
      <c r="T1760" t="n">
        <v>13</v>
      </c>
      <c r="U1760" t="n">
        <v>13</v>
      </c>
      <c r="V1760" t="n">
        <v>12</v>
      </c>
      <c r="W1760" t="n">
        <v>12</v>
      </c>
      <c r="X1760" t="n">
        <v>12</v>
      </c>
      <c r="Y1760" t="n">
        <v>524</v>
      </c>
      <c r="Z1760" t="n">
        <v>14</v>
      </c>
      <c r="AQ1760" t="n">
        <v>2</v>
      </c>
      <c r="AR1760" t="n">
        <v>42</v>
      </c>
      <c r="AS1760" t="inlineStr">
        <is>
          <t>Collection (optional)</t>
        </is>
      </c>
    </row>
    <row r="1761">
      <c r="A1761" t="inlineStr">
        <is>
          <t>Arcane</t>
        </is>
      </c>
      <c r="B1761" t="inlineStr">
        <is>
          <t>Emergence Savior</t>
        </is>
      </c>
      <c r="E1761" t="inlineStr">
        <is>
          <t>Operator</t>
        </is>
      </c>
      <c r="F1761" t="n">
        <v>5</v>
      </c>
      <c r="G1761" t="n">
        <v>1</v>
      </c>
      <c r="H1761" t="inlineStr">
        <is>
          <t>Player trade (max rank)</t>
        </is>
      </c>
      <c r="I1761" t="inlineStr">
        <is>
          <t>Yes</t>
        </is>
      </c>
      <c r="K1761" t="inlineStr">
        <is>
          <t>Collection (optional)</t>
        </is>
      </c>
      <c r="L1761" t="n">
        <v>15</v>
      </c>
      <c r="M1761" t="n">
        <v>15</v>
      </c>
      <c r="N1761" t="n">
        <v>22</v>
      </c>
      <c r="O1761" t="inlineStr">
        <is>
          <t>2026-10-05 UTC (WFM pull 02:52-04:00)</t>
        </is>
      </c>
      <c r="P1761" t="inlineStr">
        <is>
          <t>OK</t>
        </is>
      </c>
      <c r="R1761" t="inlineStr">
        <is>
          <t>Arcanes share across items like mods (one max-rank copy covers every build).</t>
        </is>
      </c>
      <c r="S1761" t="inlineStr">
        <is>
          <t>emergence_savior</t>
        </is>
      </c>
      <c r="T1761" t="n">
        <v>16</v>
      </c>
      <c r="U1761" t="n">
        <v>16</v>
      </c>
      <c r="V1761" t="n">
        <v>15</v>
      </c>
      <c r="W1761" t="n">
        <v>15</v>
      </c>
      <c r="X1761" t="n">
        <v>14.4</v>
      </c>
      <c r="Y1761" t="n">
        <v>667</v>
      </c>
      <c r="Z1761" t="n">
        <v>16</v>
      </c>
      <c r="AA1761" t="n">
        <v>36</v>
      </c>
      <c r="AB1761" t="n">
        <v>-21</v>
      </c>
      <c r="AQ1761" t="n">
        <v>2</v>
      </c>
      <c r="AR1761" t="n">
        <v>42</v>
      </c>
      <c r="AS1761" t="inlineStr">
        <is>
          <t>Collection (optional)</t>
        </is>
      </c>
    </row>
    <row r="1762">
      <c r="A1762" t="inlineStr">
        <is>
          <t>Arcane</t>
        </is>
      </c>
      <c r="B1762" t="inlineStr">
        <is>
          <t>Eternal Eradicate</t>
        </is>
      </c>
      <c r="E1762" t="inlineStr">
        <is>
          <t>Amp</t>
        </is>
      </c>
      <c r="F1762" t="n">
        <v>5</v>
      </c>
      <c r="G1762" t="n">
        <v>1</v>
      </c>
      <c r="H1762" t="inlineStr">
        <is>
          <t>Player trade (max rank)</t>
        </is>
      </c>
      <c r="I1762" t="inlineStr">
        <is>
          <t>Yes</t>
        </is>
      </c>
      <c r="K1762" t="inlineStr">
        <is>
          <t>Collection (optional)</t>
        </is>
      </c>
      <c r="L1762" t="n">
        <v>20</v>
      </c>
      <c r="M1762" t="n">
        <v>20</v>
      </c>
      <c r="N1762" t="n">
        <v>27</v>
      </c>
      <c r="O1762" t="inlineStr">
        <is>
          <t>2026-10-05 UTC (WFM pull 02:52-04:00)</t>
        </is>
      </c>
      <c r="P1762" t="inlineStr">
        <is>
          <t>OK</t>
        </is>
      </c>
      <c r="R1762" t="inlineStr">
        <is>
          <t>Arcanes share across items like mods (one max-rank copy covers every build).</t>
        </is>
      </c>
      <c r="S1762" t="inlineStr">
        <is>
          <t>eternal_eradicate</t>
        </is>
      </c>
      <c r="T1762" t="n">
        <v>27</v>
      </c>
      <c r="U1762" t="n">
        <v>27</v>
      </c>
      <c r="V1762" t="n">
        <v>24</v>
      </c>
      <c r="W1762" t="n">
        <v>25</v>
      </c>
      <c r="X1762" t="n">
        <v>24.2</v>
      </c>
      <c r="Y1762" t="n">
        <v>4356</v>
      </c>
      <c r="Z1762" t="n">
        <v>92</v>
      </c>
      <c r="AA1762" t="n">
        <v>10</v>
      </c>
      <c r="AB1762" t="n">
        <v>10</v>
      </c>
      <c r="AQ1762" t="n">
        <v>2</v>
      </c>
      <c r="AR1762" t="n">
        <v>42</v>
      </c>
      <c r="AS1762" t="inlineStr">
        <is>
          <t>Collection (optional)</t>
        </is>
      </c>
    </row>
    <row r="1763">
      <c r="A1763" t="inlineStr">
        <is>
          <t>Arcane</t>
        </is>
      </c>
      <c r="B1763" t="inlineStr">
        <is>
          <t>Eternal Logistics</t>
        </is>
      </c>
      <c r="E1763" t="inlineStr">
        <is>
          <t>Amp</t>
        </is>
      </c>
      <c r="F1763" t="n">
        <v>5</v>
      </c>
      <c r="G1763" t="n">
        <v>1</v>
      </c>
      <c r="H1763" t="inlineStr">
        <is>
          <t>Player trade (max rank)</t>
        </is>
      </c>
      <c r="I1763" t="inlineStr">
        <is>
          <t>Yes</t>
        </is>
      </c>
      <c r="K1763" t="inlineStr">
        <is>
          <t>Collection (optional)</t>
        </is>
      </c>
      <c r="L1763" t="n">
        <v>25</v>
      </c>
      <c r="M1763" t="n">
        <v>29</v>
      </c>
      <c r="N1763" t="n">
        <v>44</v>
      </c>
      <c r="O1763" t="inlineStr">
        <is>
          <t>2026-10-05 UTC (WFM pull 02:52-04:00)</t>
        </is>
      </c>
      <c r="P1763" t="inlineStr">
        <is>
          <t>OK</t>
        </is>
      </c>
      <c r="R1763" t="inlineStr">
        <is>
          <t>Arcanes share across items like mods (one max-rank copy covers every build).</t>
        </is>
      </c>
      <c r="S1763" t="inlineStr">
        <is>
          <t>eternal_logistics</t>
        </is>
      </c>
      <c r="T1763" t="n">
        <v>12</v>
      </c>
      <c r="U1763" t="n">
        <v>12</v>
      </c>
      <c r="V1763" t="n">
        <v>30</v>
      </c>
      <c r="W1763" t="n">
        <v>30</v>
      </c>
      <c r="X1763" t="n">
        <v>30</v>
      </c>
      <c r="Y1763" t="n">
        <v>3981</v>
      </c>
      <c r="Z1763" t="n">
        <v>38</v>
      </c>
      <c r="AQ1763" t="n">
        <v>2</v>
      </c>
      <c r="AR1763" t="n">
        <v>42</v>
      </c>
      <c r="AS1763" t="inlineStr">
        <is>
          <t>Collection (optional)</t>
        </is>
      </c>
    </row>
    <row r="1764">
      <c r="A1764" t="inlineStr">
        <is>
          <t>Arcane</t>
        </is>
      </c>
      <c r="B1764" t="inlineStr">
        <is>
          <t>Eternal Onslaught</t>
        </is>
      </c>
      <c r="E1764" t="inlineStr">
        <is>
          <t>Amp</t>
        </is>
      </c>
      <c r="F1764" t="n">
        <v>5</v>
      </c>
      <c r="G1764" t="n">
        <v>1</v>
      </c>
      <c r="H1764" t="inlineStr">
        <is>
          <t>Player trade (max rank)</t>
        </is>
      </c>
      <c r="I1764" t="inlineStr">
        <is>
          <t>Yes</t>
        </is>
      </c>
      <c r="K1764" t="inlineStr">
        <is>
          <t>Collection (optional)</t>
        </is>
      </c>
      <c r="L1764" t="n">
        <v>20</v>
      </c>
      <c r="M1764" t="n">
        <v>20</v>
      </c>
      <c r="N1764" t="n">
        <v>25</v>
      </c>
      <c r="O1764" t="inlineStr">
        <is>
          <t>2026-10-05 UTC (WFM pull 02:52-04:00)</t>
        </is>
      </c>
      <c r="P1764" t="inlineStr">
        <is>
          <t>OK</t>
        </is>
      </c>
      <c r="R1764" t="inlineStr">
        <is>
          <t>Arcanes share across items like mods (one max-rank copy covers every build).</t>
        </is>
      </c>
      <c r="S1764" t="inlineStr">
        <is>
          <t>eternal_onslaught</t>
        </is>
      </c>
      <c r="T1764" t="n">
        <v>25</v>
      </c>
      <c r="U1764" t="n">
        <v>25</v>
      </c>
      <c r="V1764" t="n">
        <v>22.5</v>
      </c>
      <c r="W1764" t="n">
        <v>24</v>
      </c>
      <c r="X1764" t="n">
        <v>23.3</v>
      </c>
      <c r="Y1764" t="n">
        <v>3843</v>
      </c>
      <c r="Z1764" t="n">
        <v>66</v>
      </c>
      <c r="AA1764" t="n">
        <v>30</v>
      </c>
      <c r="AB1764" t="n">
        <v>-10</v>
      </c>
      <c r="AQ1764" t="n">
        <v>2</v>
      </c>
      <c r="AR1764" t="n">
        <v>42</v>
      </c>
      <c r="AS1764" t="inlineStr">
        <is>
          <t>Collection (optional)</t>
        </is>
      </c>
    </row>
    <row r="1765">
      <c r="A1765" t="inlineStr">
        <is>
          <t>Arcane</t>
        </is>
      </c>
      <c r="B1765" t="inlineStr">
        <is>
          <t>Exodia Brave</t>
        </is>
      </c>
      <c r="E1765" t="inlineStr">
        <is>
          <t>Zaw</t>
        </is>
      </c>
      <c r="F1765" t="n">
        <v>3</v>
      </c>
      <c r="G1765" t="n">
        <v>1</v>
      </c>
      <c r="H1765" t="inlineStr">
        <is>
          <t>Player trade (max rank)</t>
        </is>
      </c>
      <c r="I1765" t="inlineStr">
        <is>
          <t>Yes</t>
        </is>
      </c>
      <c r="K1765" t="inlineStr">
        <is>
          <t>Collection (optional)</t>
        </is>
      </c>
      <c r="L1765" t="n">
        <v>80</v>
      </c>
      <c r="M1765" t="n">
        <v>82.5</v>
      </c>
      <c r="N1765" t="n">
        <v>111</v>
      </c>
      <c r="O1765" t="inlineStr">
        <is>
          <t>2026-10-05 UTC (WFM pull 02:52-04:00)</t>
        </is>
      </c>
      <c r="P1765" t="inlineStr">
        <is>
          <t>OK</t>
        </is>
      </c>
      <c r="Q1765" t="inlineStr">
        <is>
          <t>Cheaper via 10x R0 (50p realistic) than buying max rank</t>
        </is>
      </c>
      <c r="R1765" t="inlineStr">
        <is>
          <t>Arcanes share across items like mods (one max-rank copy covers every build).</t>
        </is>
      </c>
      <c r="S1765" t="inlineStr">
        <is>
          <t>exodia_brave</t>
        </is>
      </c>
      <c r="T1765" t="n">
        <v>3</v>
      </c>
      <c r="U1765" t="n">
        <v>3</v>
      </c>
      <c r="V1765" t="n">
        <v>55</v>
      </c>
      <c r="W1765" t="n">
        <v>57.5</v>
      </c>
      <c r="X1765" t="n">
        <v>58.2</v>
      </c>
      <c r="Y1765" t="n">
        <v>84</v>
      </c>
      <c r="Z1765" t="n">
        <v>3</v>
      </c>
      <c r="AQ1765" t="n">
        <v>5</v>
      </c>
      <c r="AR1765" t="n">
        <v>50</v>
      </c>
      <c r="AS1765" t="inlineStr">
        <is>
          <t>Collection (optional)</t>
        </is>
      </c>
    </row>
    <row r="1766">
      <c r="A1766" t="inlineStr">
        <is>
          <t>Arcane</t>
        </is>
      </c>
      <c r="B1766" t="inlineStr">
        <is>
          <t>Exodia Contagion</t>
        </is>
      </c>
      <c r="E1766" t="inlineStr">
        <is>
          <t>Zaw</t>
        </is>
      </c>
      <c r="F1766" t="n">
        <v>3</v>
      </c>
      <c r="G1766" t="n">
        <v>1</v>
      </c>
      <c r="H1766" t="inlineStr">
        <is>
          <t>Player trade (max rank)</t>
        </is>
      </c>
      <c r="I1766" t="inlineStr">
        <is>
          <t>Yes</t>
        </is>
      </c>
      <c r="K1766" t="inlineStr">
        <is>
          <t>Collection (optional)</t>
        </is>
      </c>
      <c r="L1766" t="n">
        <v>100</v>
      </c>
      <c r="M1766" t="n">
        <v>110</v>
      </c>
      <c r="N1766" t="n">
        <v>142</v>
      </c>
      <c r="O1766" t="inlineStr">
        <is>
          <t>2026-10-05 UTC (WFM pull 02:52-04:00)</t>
        </is>
      </c>
      <c r="P1766" t="inlineStr">
        <is>
          <t>OK</t>
        </is>
      </c>
      <c r="R1766" t="inlineStr">
        <is>
          <t>Arcanes share across items like mods (one max-rank copy covers every build).</t>
        </is>
      </c>
      <c r="S1766" t="inlineStr">
        <is>
          <t>exodia_contagion</t>
        </is>
      </c>
      <c r="T1766" t="n">
        <v>21</v>
      </c>
      <c r="U1766" t="n">
        <v>21</v>
      </c>
      <c r="V1766" t="n">
        <v>98</v>
      </c>
      <c r="W1766" t="n">
        <v>99</v>
      </c>
      <c r="X1766" t="n">
        <v>96.90000000000001</v>
      </c>
      <c r="Y1766" t="n">
        <v>3334</v>
      </c>
      <c r="Z1766" t="n">
        <v>57</v>
      </c>
      <c r="AA1766" t="n">
        <v>72</v>
      </c>
      <c r="AB1766" t="n">
        <v>28</v>
      </c>
      <c r="AQ1766" t="n">
        <v>14</v>
      </c>
      <c r="AR1766" t="n">
        <v>140</v>
      </c>
      <c r="AS1766" t="inlineStr">
        <is>
          <t>Collection (optional)</t>
        </is>
      </c>
    </row>
    <row r="1767">
      <c r="A1767" t="inlineStr">
        <is>
          <t>Arcane</t>
        </is>
      </c>
      <c r="B1767" t="inlineStr">
        <is>
          <t>Exodia Epidemic</t>
        </is>
      </c>
      <c r="E1767" t="inlineStr">
        <is>
          <t>Zaw</t>
        </is>
      </c>
      <c r="F1767" t="n">
        <v>3</v>
      </c>
      <c r="G1767" t="n">
        <v>1</v>
      </c>
      <c r="H1767" t="inlineStr">
        <is>
          <t>Player trade (max rank)</t>
        </is>
      </c>
      <c r="I1767" t="inlineStr">
        <is>
          <t>Yes</t>
        </is>
      </c>
      <c r="K1767" t="inlineStr">
        <is>
          <t>Collection (optional)</t>
        </is>
      </c>
      <c r="L1767" t="n">
        <v>135</v>
      </c>
      <c r="M1767" t="n">
        <v>150</v>
      </c>
      <c r="N1767" t="n">
        <v>330</v>
      </c>
      <c r="O1767" t="inlineStr">
        <is>
          <t>2026-10-05 UTC (WFM pull 02:52-04:00)</t>
        </is>
      </c>
      <c r="P1767" t="inlineStr">
        <is>
          <t>OK</t>
        </is>
      </c>
      <c r="R1767" t="inlineStr">
        <is>
          <t>Arcanes share across items like mods (one max-rank copy covers every build).</t>
        </is>
      </c>
      <c r="S1767" t="inlineStr">
        <is>
          <t>exodia_epidemic</t>
        </is>
      </c>
      <c r="T1767" t="n">
        <v>5</v>
      </c>
      <c r="U1767" t="n">
        <v>5</v>
      </c>
      <c r="V1767" t="n">
        <v>100</v>
      </c>
      <c r="W1767" t="n">
        <v>100</v>
      </c>
      <c r="X1767" t="n">
        <v>96.90000000000001</v>
      </c>
      <c r="Y1767" t="n">
        <v>414</v>
      </c>
      <c r="Z1767" t="n">
        <v>4</v>
      </c>
      <c r="AA1767" t="n">
        <v>70</v>
      </c>
      <c r="AB1767" t="n">
        <v>65</v>
      </c>
      <c r="AQ1767" t="n">
        <v>15</v>
      </c>
      <c r="AR1767" t="n">
        <v>150</v>
      </c>
      <c r="AS1767" t="inlineStr">
        <is>
          <t>Collection (optional)</t>
        </is>
      </c>
    </row>
    <row r="1768">
      <c r="A1768" t="inlineStr">
        <is>
          <t>Arcane</t>
        </is>
      </c>
      <c r="B1768" t="inlineStr">
        <is>
          <t>Exodia Force</t>
        </is>
      </c>
      <c r="E1768" t="inlineStr">
        <is>
          <t>Zaw</t>
        </is>
      </c>
      <c r="F1768" t="n">
        <v>3</v>
      </c>
      <c r="G1768" t="n">
        <v>1</v>
      </c>
      <c r="H1768" t="inlineStr">
        <is>
          <t>Player trade (max rank)</t>
        </is>
      </c>
      <c r="I1768" t="inlineStr">
        <is>
          <t>Yes</t>
        </is>
      </c>
      <c r="K1768" t="inlineStr">
        <is>
          <t>Collection (optional)</t>
        </is>
      </c>
      <c r="L1768" t="n">
        <v>80</v>
      </c>
      <c r="M1768" t="n">
        <v>97.5</v>
      </c>
      <c r="N1768" t="n">
        <v>215</v>
      </c>
      <c r="O1768" t="inlineStr">
        <is>
          <t>2026-10-05 UTC (WFM pull 02:52-04:00)</t>
        </is>
      </c>
      <c r="P1768" t="inlineStr">
        <is>
          <t>OK</t>
        </is>
      </c>
      <c r="R1768" t="inlineStr">
        <is>
          <t>Arcanes share across items like mods (one max-rank copy covers every build).</t>
        </is>
      </c>
      <c r="S1768" t="inlineStr">
        <is>
          <t>exodia_force</t>
        </is>
      </c>
      <c r="T1768" t="n">
        <v>4</v>
      </c>
      <c r="U1768" t="n">
        <v>4</v>
      </c>
      <c r="V1768" t="n">
        <v>65</v>
      </c>
      <c r="W1768" t="n">
        <v>59</v>
      </c>
      <c r="X1768" t="n">
        <v>59.2</v>
      </c>
      <c r="Y1768" t="n">
        <v>415</v>
      </c>
      <c r="Z1768" t="n">
        <v>17</v>
      </c>
      <c r="AA1768" t="n">
        <v>25</v>
      </c>
      <c r="AB1768" t="n">
        <v>55</v>
      </c>
      <c r="AQ1768" t="n">
        <v>11</v>
      </c>
      <c r="AR1768" t="n">
        <v>110</v>
      </c>
      <c r="AS1768" t="inlineStr">
        <is>
          <t>Collection (optional)</t>
        </is>
      </c>
    </row>
    <row r="1769">
      <c r="A1769" t="inlineStr">
        <is>
          <t>Arcane</t>
        </is>
      </c>
      <c r="B1769" t="inlineStr">
        <is>
          <t>Exodia Hunt</t>
        </is>
      </c>
      <c r="E1769" t="inlineStr">
        <is>
          <t>Zaw</t>
        </is>
      </c>
      <c r="F1769" t="n">
        <v>3</v>
      </c>
      <c r="G1769" t="n">
        <v>1</v>
      </c>
      <c r="H1769" t="inlineStr">
        <is>
          <t>Player trade (max rank)</t>
        </is>
      </c>
      <c r="I1769" t="inlineStr">
        <is>
          <t>Yes</t>
        </is>
      </c>
      <c r="K1769" t="inlineStr">
        <is>
          <t>Collection (optional)</t>
        </is>
      </c>
      <c r="L1769" t="n">
        <v>35</v>
      </c>
      <c r="M1769" t="n">
        <v>80</v>
      </c>
      <c r="N1769" t="n">
        <v>105</v>
      </c>
      <c r="O1769" t="inlineStr">
        <is>
          <t>2026-10-05 UTC (WFM pull 02:52-04:00)</t>
        </is>
      </c>
      <c r="P1769" t="inlineStr">
        <is>
          <t>OK</t>
        </is>
      </c>
      <c r="Q1769" t="inlineStr">
        <is>
          <t>Cheaper via 10x R0 (70p realistic) than buying max rank</t>
        </is>
      </c>
      <c r="R1769" t="inlineStr">
        <is>
          <t>Arcanes share across items like mods (one max-rank copy covers every build).</t>
        </is>
      </c>
      <c r="S1769" t="inlineStr">
        <is>
          <t>exodia_hunt</t>
        </is>
      </c>
      <c r="T1769" t="n">
        <v>8</v>
      </c>
      <c r="U1769" t="n">
        <v>8</v>
      </c>
      <c r="V1769" t="n">
        <v>65</v>
      </c>
      <c r="W1769" t="n">
        <v>60</v>
      </c>
      <c r="X1769" t="n">
        <v>59.2</v>
      </c>
      <c r="Y1769" t="n">
        <v>108</v>
      </c>
      <c r="Z1769" t="n">
        <v>5</v>
      </c>
      <c r="AQ1769" t="n">
        <v>7</v>
      </c>
      <c r="AR1769" t="n">
        <v>70</v>
      </c>
      <c r="AS1769" t="inlineStr">
        <is>
          <t>Collection (optional)</t>
        </is>
      </c>
    </row>
    <row r="1770">
      <c r="A1770" t="inlineStr">
        <is>
          <t>Arcane</t>
        </is>
      </c>
      <c r="B1770" t="inlineStr">
        <is>
          <t>Exodia Might</t>
        </is>
      </c>
      <c r="E1770" t="inlineStr">
        <is>
          <t>Zaw</t>
        </is>
      </c>
      <c r="F1770" t="n">
        <v>3</v>
      </c>
      <c r="G1770" t="n">
        <v>1</v>
      </c>
      <c r="H1770" t="inlineStr">
        <is>
          <t>Player trade (max rank)</t>
        </is>
      </c>
      <c r="I1770" t="inlineStr">
        <is>
          <t>Yes</t>
        </is>
      </c>
      <c r="K1770" t="inlineStr">
        <is>
          <t>Collection (optional)</t>
        </is>
      </c>
      <c r="L1770" t="n">
        <v>70</v>
      </c>
      <c r="M1770" t="n">
        <v>90</v>
      </c>
      <c r="N1770" t="n">
        <v>111</v>
      </c>
      <c r="O1770" t="inlineStr">
        <is>
          <t>2026-10-05 UTC (WFM pull 02:52-04:00)</t>
        </is>
      </c>
      <c r="P1770" t="inlineStr">
        <is>
          <t>OK</t>
        </is>
      </c>
      <c r="Q1770" t="inlineStr">
        <is>
          <t>Cheaper via 10x R0 (80p realistic) than buying max rank</t>
        </is>
      </c>
      <c r="R1770" t="inlineStr">
        <is>
          <t>Arcanes share across items like mods (one max-rank copy covers every build).</t>
        </is>
      </c>
      <c r="S1770" t="inlineStr">
        <is>
          <t>exodia_might</t>
        </is>
      </c>
      <c r="T1770" t="n">
        <v>8</v>
      </c>
      <c r="U1770" t="n">
        <v>8</v>
      </c>
      <c r="V1770" t="n">
        <v>65</v>
      </c>
      <c r="W1770" t="n">
        <v>69</v>
      </c>
      <c r="X1770" t="n">
        <v>69</v>
      </c>
      <c r="Y1770" t="n">
        <v>40</v>
      </c>
      <c r="Z1770" t="n">
        <v>0</v>
      </c>
      <c r="AA1770" t="n">
        <v>30</v>
      </c>
      <c r="AB1770" t="n">
        <v>40</v>
      </c>
      <c r="AQ1770" t="n">
        <v>8</v>
      </c>
      <c r="AR1770" t="n">
        <v>80</v>
      </c>
      <c r="AS1770" t="inlineStr">
        <is>
          <t>Collection (optional)</t>
        </is>
      </c>
    </row>
    <row r="1771">
      <c r="A1771" t="inlineStr">
        <is>
          <t>Arcane</t>
        </is>
      </c>
      <c r="B1771" t="inlineStr">
        <is>
          <t>Exodia Triumph</t>
        </is>
      </c>
      <c r="E1771" t="inlineStr">
        <is>
          <t>Zaw</t>
        </is>
      </c>
      <c r="F1771" t="n">
        <v>3</v>
      </c>
      <c r="G1771" t="n">
        <v>1</v>
      </c>
      <c r="H1771" t="inlineStr">
        <is>
          <t>Player trade (max rank)</t>
        </is>
      </c>
      <c r="I1771" t="inlineStr">
        <is>
          <t>Yes</t>
        </is>
      </c>
      <c r="K1771" t="inlineStr">
        <is>
          <t>Collection (optional)</t>
        </is>
      </c>
      <c r="L1771" t="n">
        <v>80</v>
      </c>
      <c r="M1771" t="n">
        <v>90</v>
      </c>
      <c r="N1771" t="n">
        <v>111</v>
      </c>
      <c r="O1771" t="inlineStr">
        <is>
          <t>2026-10-05 UTC (WFM pull 02:52-04:00)</t>
        </is>
      </c>
      <c r="P1771" t="inlineStr">
        <is>
          <t>OK</t>
        </is>
      </c>
      <c r="Q1771" t="inlineStr">
        <is>
          <t>Cheaper via 10x R0 (75.0p realistic) than buying max rank</t>
        </is>
      </c>
      <c r="R1771" t="inlineStr">
        <is>
          <t>Arcanes share across items like mods (one max-rank copy covers every build).</t>
        </is>
      </c>
      <c r="S1771" t="inlineStr">
        <is>
          <t>exodia_triumph</t>
        </is>
      </c>
      <c r="T1771" t="n">
        <v>8</v>
      </c>
      <c r="U1771" t="n">
        <v>8</v>
      </c>
      <c r="V1771" t="n">
        <v>67</v>
      </c>
      <c r="W1771" t="n">
        <v>65</v>
      </c>
      <c r="X1771" t="n">
        <v>65.7</v>
      </c>
      <c r="Y1771" t="n">
        <v>80</v>
      </c>
      <c r="Z1771" t="n">
        <v>1</v>
      </c>
      <c r="AA1771" t="n">
        <v>30</v>
      </c>
      <c r="AB1771" t="n">
        <v>50</v>
      </c>
      <c r="AQ1771" t="n">
        <v>7.5</v>
      </c>
      <c r="AR1771" t="n">
        <v>75</v>
      </c>
      <c r="AS1771" t="inlineStr">
        <is>
          <t>Collection (optional)</t>
        </is>
      </c>
    </row>
    <row r="1772">
      <c r="A1772" t="inlineStr">
        <is>
          <t>Arcane</t>
        </is>
      </c>
      <c r="B1772" t="inlineStr">
        <is>
          <t>Exodia Valor</t>
        </is>
      </c>
      <c r="E1772" t="inlineStr">
        <is>
          <t>Zaw</t>
        </is>
      </c>
      <c r="F1772" t="n">
        <v>3</v>
      </c>
      <c r="G1772" t="n">
        <v>1</v>
      </c>
      <c r="H1772" t="inlineStr">
        <is>
          <t>Player trade (max rank)</t>
        </is>
      </c>
      <c r="I1772" t="inlineStr">
        <is>
          <t>Yes</t>
        </is>
      </c>
      <c r="K1772" t="inlineStr">
        <is>
          <t>Collection (optional)</t>
        </is>
      </c>
      <c r="L1772" t="n">
        <v>50</v>
      </c>
      <c r="M1772" t="n">
        <v>80</v>
      </c>
      <c r="N1772" t="n">
        <v>111</v>
      </c>
      <c r="O1772" t="inlineStr">
        <is>
          <t>2026-10-05 UTC (WFM pull 02:52-04:00)</t>
        </is>
      </c>
      <c r="P1772" t="inlineStr">
        <is>
          <t>OK</t>
        </is>
      </c>
      <c r="Q1772" t="inlineStr">
        <is>
          <t>Cheaper via 10x R0 (60p realistic) than buying max rank</t>
        </is>
      </c>
      <c r="R1772" t="inlineStr">
        <is>
          <t>Arcanes share across items like mods (one max-rank copy covers every build).</t>
        </is>
      </c>
      <c r="S1772" t="inlineStr">
        <is>
          <t>exodia_valor</t>
        </is>
      </c>
      <c r="T1772" t="n">
        <v>3</v>
      </c>
      <c r="U1772" t="n">
        <v>3</v>
      </c>
      <c r="V1772" t="n">
        <v>60</v>
      </c>
      <c r="W1772" t="n">
        <v>64</v>
      </c>
      <c r="X1772" t="n">
        <v>63.1</v>
      </c>
      <c r="Y1772" t="n">
        <v>33</v>
      </c>
      <c r="Z1772" t="n">
        <v>1</v>
      </c>
      <c r="AQ1772" t="n">
        <v>6</v>
      </c>
      <c r="AR1772" t="n">
        <v>60</v>
      </c>
      <c r="AS1772" t="inlineStr">
        <is>
          <t>Collection (optional)</t>
        </is>
      </c>
    </row>
    <row r="1773">
      <c r="A1773" t="inlineStr">
        <is>
          <t>Arcane</t>
        </is>
      </c>
      <c r="B1773" t="inlineStr">
        <is>
          <t>Fractalized Reset</t>
        </is>
      </c>
      <c r="E1773" t="inlineStr">
        <is>
          <t>Primary</t>
        </is>
      </c>
      <c r="F1773" t="n">
        <v>5</v>
      </c>
      <c r="G1773" t="n">
        <v>1</v>
      </c>
      <c r="H1773" t="inlineStr">
        <is>
          <t>Player trade (max rank)</t>
        </is>
      </c>
      <c r="I1773" t="inlineStr">
        <is>
          <t>Yes</t>
        </is>
      </c>
      <c r="K1773" t="inlineStr">
        <is>
          <t>Collection (optional)</t>
        </is>
      </c>
      <c r="L1773" t="n">
        <v>15</v>
      </c>
      <c r="M1773" t="n">
        <v>15</v>
      </c>
      <c r="N1773" t="n">
        <v>22</v>
      </c>
      <c r="O1773" t="inlineStr">
        <is>
          <t>2026-10-05 UTC (WFM pull 02:52-04:00)</t>
        </is>
      </c>
      <c r="P1773" t="inlineStr">
        <is>
          <t>OK</t>
        </is>
      </c>
      <c r="R1773" t="inlineStr">
        <is>
          <t>Arcanes share across items like mods (one max-rank copy covers every build).</t>
        </is>
      </c>
      <c r="S1773" t="inlineStr">
        <is>
          <t>fractalized_reset</t>
        </is>
      </c>
      <c r="T1773" t="n">
        <v>12</v>
      </c>
      <c r="U1773" t="n">
        <v>12</v>
      </c>
      <c r="V1773" t="n">
        <v>13.5</v>
      </c>
      <c r="W1773" t="n">
        <v>14</v>
      </c>
      <c r="X1773" t="n">
        <v>13.5</v>
      </c>
      <c r="Y1773" t="n">
        <v>463</v>
      </c>
      <c r="Z1773" t="n">
        <v>6</v>
      </c>
      <c r="AQ1773" t="n">
        <v>2</v>
      </c>
      <c r="AR1773" t="n">
        <v>42</v>
      </c>
      <c r="AS1773" t="inlineStr">
        <is>
          <t>Collection (optional)</t>
        </is>
      </c>
    </row>
    <row r="1774">
      <c r="A1774" t="inlineStr">
        <is>
          <t>Arcane</t>
        </is>
      </c>
      <c r="B1774" t="inlineStr">
        <is>
          <t>Longbow Sharpshot</t>
        </is>
      </c>
      <c r="E1774" t="inlineStr">
        <is>
          <t>Bow</t>
        </is>
      </c>
      <c r="F1774" t="n">
        <v>5</v>
      </c>
      <c r="G1774" t="n">
        <v>1</v>
      </c>
      <c r="H1774" t="inlineStr">
        <is>
          <t>Player trade (max rank)</t>
        </is>
      </c>
      <c r="I1774" t="inlineStr">
        <is>
          <t>Yes</t>
        </is>
      </c>
      <c r="K1774" t="inlineStr">
        <is>
          <t>Collection (optional)</t>
        </is>
      </c>
      <c r="L1774" t="n">
        <v>320</v>
      </c>
      <c r="M1774" t="n">
        <v>340</v>
      </c>
      <c r="N1774" t="n">
        <v>386</v>
      </c>
      <c r="O1774" t="inlineStr">
        <is>
          <t>2026-10-05 UTC (WFM pull 02:52-04:00)</t>
        </is>
      </c>
      <c r="P1774" t="inlineStr">
        <is>
          <t>OK</t>
        </is>
      </c>
      <c r="Q1774" t="inlineStr">
        <is>
          <t>Cheaper via 21x R0 (294p realistic) than buying max rank</t>
        </is>
      </c>
      <c r="R1774" t="inlineStr">
        <is>
          <t>Arcanes share across items like mods (one max-rank copy covers every build).</t>
        </is>
      </c>
      <c r="S1774" t="inlineStr">
        <is>
          <t>longbow_sharpshot</t>
        </is>
      </c>
      <c r="T1774" t="n">
        <v>10</v>
      </c>
      <c r="U1774" t="n">
        <v>10</v>
      </c>
      <c r="V1774" t="n">
        <v>300</v>
      </c>
      <c r="W1774" t="n">
        <v>240</v>
      </c>
      <c r="X1774" t="n">
        <v>251.4</v>
      </c>
      <c r="Y1774" t="n">
        <v>1203</v>
      </c>
      <c r="Z1774" t="n">
        <v>55</v>
      </c>
      <c r="AA1774" t="n">
        <v>300</v>
      </c>
      <c r="AB1774" t="n">
        <v>20</v>
      </c>
      <c r="AQ1774" t="n">
        <v>14</v>
      </c>
      <c r="AR1774" t="n">
        <v>294</v>
      </c>
      <c r="AS1774" t="inlineStr">
        <is>
          <t>Collection (optional)</t>
        </is>
      </c>
    </row>
    <row r="1775">
      <c r="A1775" t="inlineStr">
        <is>
          <t>Arcane</t>
        </is>
      </c>
      <c r="B1775" t="inlineStr">
        <is>
          <t>Magus Accelerant</t>
        </is>
      </c>
      <c r="E1775" t="inlineStr">
        <is>
          <t>Operator</t>
        </is>
      </c>
      <c r="F1775" t="n">
        <v>5</v>
      </c>
      <c r="G1775" t="n">
        <v>1</v>
      </c>
      <c r="H1775" t="inlineStr">
        <is>
          <t>Player trade (max rank)</t>
        </is>
      </c>
      <c r="I1775" t="inlineStr">
        <is>
          <t>Yes</t>
        </is>
      </c>
      <c r="K1775" t="inlineStr">
        <is>
          <t>Collection (optional)</t>
        </is>
      </c>
      <c r="L1775" t="n">
        <v>114</v>
      </c>
      <c r="M1775" t="n">
        <v>140</v>
      </c>
      <c r="N1775" t="n">
        <v>165</v>
      </c>
      <c r="O1775" t="inlineStr">
        <is>
          <t>2026-10-05 UTC (WFM pull 02:52-04:00)</t>
        </is>
      </c>
      <c r="P1775" t="inlineStr">
        <is>
          <t>OK</t>
        </is>
      </c>
      <c r="Q1775" t="inlineStr">
        <is>
          <t>Cheaper via 21x R0 (105p realistic) than buying max rank</t>
        </is>
      </c>
      <c r="R1775" t="inlineStr">
        <is>
          <t>Arcanes share across items like mods (one max-rank copy covers every build).</t>
        </is>
      </c>
      <c r="S1775" t="inlineStr">
        <is>
          <t>magus_accelerant</t>
        </is>
      </c>
      <c r="T1775" t="n">
        <v>7</v>
      </c>
      <c r="U1775" t="n">
        <v>7</v>
      </c>
      <c r="V1775" t="n">
        <v>105</v>
      </c>
      <c r="W1775" t="n">
        <v>99.5</v>
      </c>
      <c r="X1775" t="n">
        <v>100.3</v>
      </c>
      <c r="Y1775" t="n">
        <v>104</v>
      </c>
      <c r="Z1775" t="n">
        <v>0</v>
      </c>
      <c r="AQ1775" t="n">
        <v>5</v>
      </c>
      <c r="AR1775" t="n">
        <v>105</v>
      </c>
      <c r="AS1775" t="inlineStr">
        <is>
          <t>Collection (optional)</t>
        </is>
      </c>
    </row>
    <row r="1776">
      <c r="A1776" t="inlineStr">
        <is>
          <t>Arcane</t>
        </is>
      </c>
      <c r="B1776" t="inlineStr">
        <is>
          <t>Magus Aggress</t>
        </is>
      </c>
      <c r="E1776" t="inlineStr">
        <is>
          <t>Operator</t>
        </is>
      </c>
      <c r="F1776" t="n">
        <v>5</v>
      </c>
      <c r="G1776" t="n">
        <v>1</v>
      </c>
      <c r="H1776" t="inlineStr">
        <is>
          <t>Player trade (max rank)</t>
        </is>
      </c>
      <c r="I1776" t="inlineStr">
        <is>
          <t>Yes</t>
        </is>
      </c>
      <c r="K1776" t="inlineStr">
        <is>
          <t>Collection (optional)</t>
        </is>
      </c>
      <c r="L1776" t="n">
        <v>14</v>
      </c>
      <c r="M1776" t="n">
        <v>20</v>
      </c>
      <c r="N1776" t="n">
        <v>22</v>
      </c>
      <c r="O1776" t="inlineStr">
        <is>
          <t>2026-10-05 UTC (WFM pull 02:52-04:00)</t>
        </is>
      </c>
      <c r="P1776" t="inlineStr">
        <is>
          <t>OK</t>
        </is>
      </c>
      <c r="R1776" t="inlineStr">
        <is>
          <t>Arcanes share across items like mods (one max-rank copy covers every build).</t>
        </is>
      </c>
      <c r="S1776" t="inlineStr">
        <is>
          <t>magus_aggress</t>
        </is>
      </c>
      <c r="T1776" t="n">
        <v>11</v>
      </c>
      <c r="U1776" t="n">
        <v>11</v>
      </c>
      <c r="V1776" t="n">
        <v>15</v>
      </c>
      <c r="W1776" t="n">
        <v>15</v>
      </c>
      <c r="X1776" t="n">
        <v>15.2</v>
      </c>
      <c r="Y1776" t="n">
        <v>260</v>
      </c>
      <c r="Z1776" t="n">
        <v>19</v>
      </c>
      <c r="AA1776" t="n">
        <v>7</v>
      </c>
      <c r="AB1776" t="n">
        <v>7</v>
      </c>
      <c r="AQ1776" t="n">
        <v>2</v>
      </c>
      <c r="AR1776" t="n">
        <v>42</v>
      </c>
      <c r="AS1776" t="inlineStr">
        <is>
          <t>Collection (optional)</t>
        </is>
      </c>
    </row>
    <row r="1777">
      <c r="A1777" t="inlineStr">
        <is>
          <t>Arcane</t>
        </is>
      </c>
      <c r="B1777" t="inlineStr">
        <is>
          <t>Magus Anomaly</t>
        </is>
      </c>
      <c r="E1777" t="inlineStr">
        <is>
          <t>Operator</t>
        </is>
      </c>
      <c r="F1777" t="n">
        <v>5</v>
      </c>
      <c r="G1777" t="n">
        <v>1</v>
      </c>
      <c r="H1777" t="inlineStr">
        <is>
          <t>Player trade (max rank)</t>
        </is>
      </c>
      <c r="I1777" t="inlineStr">
        <is>
          <t>Yes</t>
        </is>
      </c>
      <c r="K1777" t="inlineStr">
        <is>
          <t>Collection (optional)</t>
        </is>
      </c>
      <c r="L1777" t="n">
        <v>90</v>
      </c>
      <c r="M1777" t="n">
        <v>95</v>
      </c>
      <c r="N1777" t="n">
        <v>109</v>
      </c>
      <c r="O1777" t="inlineStr">
        <is>
          <t>2026-10-05 UTC (WFM pull 02:52-04:00)</t>
        </is>
      </c>
      <c r="P1777" t="inlineStr">
        <is>
          <t>OK</t>
        </is>
      </c>
      <c r="R1777" t="inlineStr">
        <is>
          <t>Arcanes share across items like mods (one max-rank copy covers every build).</t>
        </is>
      </c>
      <c r="S1777" t="inlineStr">
        <is>
          <t>magus_anomaly</t>
        </is>
      </c>
      <c r="T1777" t="n">
        <v>16</v>
      </c>
      <c r="U1777" t="n">
        <v>16</v>
      </c>
      <c r="V1777" t="n">
        <v>90</v>
      </c>
      <c r="W1777" t="n">
        <v>90.5</v>
      </c>
      <c r="X1777" t="n">
        <v>92.5</v>
      </c>
      <c r="Y1777" t="n">
        <v>838</v>
      </c>
      <c r="Z1777" t="n">
        <v>18</v>
      </c>
      <c r="AA1777" t="n">
        <v>39</v>
      </c>
      <c r="AB1777" t="n">
        <v>51</v>
      </c>
      <c r="AQ1777" t="n">
        <v>10</v>
      </c>
      <c r="AR1777" t="n">
        <v>210</v>
      </c>
      <c r="AS1777" t="inlineStr">
        <is>
          <t>Collection (optional)</t>
        </is>
      </c>
    </row>
    <row r="1778">
      <c r="A1778" t="inlineStr">
        <is>
          <t>Arcane</t>
        </is>
      </c>
      <c r="B1778" t="inlineStr">
        <is>
          <t>Magus Cadence</t>
        </is>
      </c>
      <c r="E1778" t="inlineStr">
        <is>
          <t>Operator</t>
        </is>
      </c>
      <c r="F1778" t="n">
        <v>5</v>
      </c>
      <c r="G1778" t="n">
        <v>1</v>
      </c>
      <c r="H1778" t="inlineStr">
        <is>
          <t>Player trade (max rank)</t>
        </is>
      </c>
      <c r="I1778" t="inlineStr">
        <is>
          <t>Yes</t>
        </is>
      </c>
      <c r="K1778" t="inlineStr">
        <is>
          <t>Collection (optional)</t>
        </is>
      </c>
      <c r="L1778" t="n">
        <v>69</v>
      </c>
      <c r="M1778" t="n">
        <v>75</v>
      </c>
      <c r="N1778" t="n">
        <v>88</v>
      </c>
      <c r="O1778" t="inlineStr">
        <is>
          <t>2026-10-05 UTC (WFM pull 02:52-04:00)</t>
        </is>
      </c>
      <c r="P1778" t="inlineStr">
        <is>
          <t>OK</t>
        </is>
      </c>
      <c r="R1778" t="inlineStr">
        <is>
          <t>Arcanes share across items like mods (one max-rank copy covers every build).</t>
        </is>
      </c>
      <c r="S1778" t="inlineStr">
        <is>
          <t>magus_cadence</t>
        </is>
      </c>
      <c r="T1778" t="n">
        <v>10</v>
      </c>
      <c r="U1778" t="n">
        <v>10</v>
      </c>
      <c r="V1778" t="n">
        <v>62.5</v>
      </c>
      <c r="W1778" t="n">
        <v>65</v>
      </c>
      <c r="X1778" t="n">
        <v>65.09999999999999</v>
      </c>
      <c r="Y1778" t="n">
        <v>139</v>
      </c>
      <c r="Z1778" t="n">
        <v>4</v>
      </c>
      <c r="AQ1778" t="n">
        <v>4</v>
      </c>
      <c r="AR1778" t="n">
        <v>84</v>
      </c>
      <c r="AS1778" t="inlineStr">
        <is>
          <t>Collection (optional)</t>
        </is>
      </c>
    </row>
    <row r="1779">
      <c r="A1779" t="inlineStr">
        <is>
          <t>Arcane</t>
        </is>
      </c>
      <c r="B1779" t="inlineStr">
        <is>
          <t>Magus Cloud</t>
        </is>
      </c>
      <c r="E1779" t="inlineStr">
        <is>
          <t>Operator</t>
        </is>
      </c>
      <c r="F1779" t="n">
        <v>5</v>
      </c>
      <c r="G1779" t="n">
        <v>1</v>
      </c>
      <c r="H1779" t="inlineStr">
        <is>
          <t>Player trade (max rank)</t>
        </is>
      </c>
      <c r="I1779" t="inlineStr">
        <is>
          <t>Yes</t>
        </is>
      </c>
      <c r="K1779" t="inlineStr">
        <is>
          <t>Collection (optional)</t>
        </is>
      </c>
      <c r="L1779" t="n">
        <v>49</v>
      </c>
      <c r="M1779" t="n">
        <v>55</v>
      </c>
      <c r="N1779" t="n">
        <v>66</v>
      </c>
      <c r="O1779" t="inlineStr">
        <is>
          <t>2026-10-05 UTC (WFM pull 02:52-04:00)</t>
        </is>
      </c>
      <c r="P1779" t="inlineStr">
        <is>
          <t>OK</t>
        </is>
      </c>
      <c r="R1779" t="inlineStr">
        <is>
          <t>Arcanes share across items like mods (one max-rank copy covers every build).</t>
        </is>
      </c>
      <c r="S1779" t="inlineStr">
        <is>
          <t>magus_cloud</t>
        </is>
      </c>
      <c r="T1779" t="n">
        <v>15</v>
      </c>
      <c r="U1779" t="n">
        <v>15</v>
      </c>
      <c r="V1779" t="n">
        <v>50</v>
      </c>
      <c r="W1779" t="n">
        <v>54</v>
      </c>
      <c r="X1779" t="n">
        <v>53.4</v>
      </c>
      <c r="Y1779" t="n">
        <v>1632</v>
      </c>
      <c r="Z1779" t="n">
        <v>42</v>
      </c>
      <c r="AA1779" t="n">
        <v>35</v>
      </c>
      <c r="AB1779" t="n">
        <v>14</v>
      </c>
      <c r="AQ1779" t="n">
        <v>4</v>
      </c>
      <c r="AR1779" t="n">
        <v>84</v>
      </c>
      <c r="AS1779" t="inlineStr">
        <is>
          <t>Collection (optional)</t>
        </is>
      </c>
    </row>
    <row r="1780">
      <c r="A1780" t="inlineStr">
        <is>
          <t>Arcane</t>
        </is>
      </c>
      <c r="B1780" t="inlineStr">
        <is>
          <t>Magus Destruct</t>
        </is>
      </c>
      <c r="E1780" t="inlineStr">
        <is>
          <t>Operator</t>
        </is>
      </c>
      <c r="F1780" t="n">
        <v>5</v>
      </c>
      <c r="G1780" t="n">
        <v>1</v>
      </c>
      <c r="H1780" t="inlineStr">
        <is>
          <t>Player trade (max rank)</t>
        </is>
      </c>
      <c r="I1780" t="inlineStr">
        <is>
          <t>Yes</t>
        </is>
      </c>
      <c r="K1780" t="inlineStr">
        <is>
          <t>Collection (optional)</t>
        </is>
      </c>
      <c r="L1780" t="n">
        <v>149</v>
      </c>
      <c r="M1780" t="n">
        <v>149</v>
      </c>
      <c r="N1780" t="n">
        <v>221</v>
      </c>
      <c r="O1780" t="inlineStr">
        <is>
          <t>2026-10-05 UTC (WFM pull 02:52-04:00)</t>
        </is>
      </c>
      <c r="P1780" t="inlineStr">
        <is>
          <t>OK</t>
        </is>
      </c>
      <c r="Q1780" t="inlineStr">
        <is>
          <t>Cheaper via 21x R0 (105p realistic) than buying max rank</t>
        </is>
      </c>
      <c r="R1780" t="inlineStr">
        <is>
          <t>Arcanes share across items like mods (one max-rank copy covers every build).</t>
        </is>
      </c>
      <c r="S1780" t="inlineStr">
        <is>
          <t>magus_destruct</t>
        </is>
      </c>
      <c r="T1780" t="n">
        <v>6</v>
      </c>
      <c r="U1780" t="n">
        <v>6</v>
      </c>
      <c r="V1780" t="n">
        <v>95</v>
      </c>
      <c r="W1780" t="n">
        <v>100</v>
      </c>
      <c r="X1780" t="n">
        <v>102.4</v>
      </c>
      <c r="Y1780" t="n">
        <v>46</v>
      </c>
      <c r="Z1780" t="n">
        <v>4</v>
      </c>
      <c r="AQ1780" t="n">
        <v>5</v>
      </c>
      <c r="AR1780" t="n">
        <v>105</v>
      </c>
      <c r="AS1780" t="inlineStr">
        <is>
          <t>Collection (optional)</t>
        </is>
      </c>
    </row>
    <row r="1781">
      <c r="A1781" t="inlineStr">
        <is>
          <t>Arcane</t>
        </is>
      </c>
      <c r="B1781" t="inlineStr">
        <is>
          <t>Magus Drive</t>
        </is>
      </c>
      <c r="E1781" t="inlineStr">
        <is>
          <t>Operator</t>
        </is>
      </c>
      <c r="F1781" t="n">
        <v>5</v>
      </c>
      <c r="G1781" t="n">
        <v>1</v>
      </c>
      <c r="H1781" t="inlineStr">
        <is>
          <t>Player trade (max rank)</t>
        </is>
      </c>
      <c r="I1781" t="inlineStr">
        <is>
          <t>Yes</t>
        </is>
      </c>
      <c r="K1781" t="inlineStr">
        <is>
          <t>Collection (optional)</t>
        </is>
      </c>
      <c r="L1781" t="n">
        <v>90</v>
      </c>
      <c r="M1781" t="n">
        <v>139</v>
      </c>
      <c r="N1781" t="n">
        <v>210</v>
      </c>
      <c r="O1781" t="inlineStr">
        <is>
          <t>2026-10-05 UTC (WFM pull 02:52-04:00)</t>
        </is>
      </c>
      <c r="P1781" t="inlineStr">
        <is>
          <t>OK</t>
        </is>
      </c>
      <c r="R1781" t="inlineStr">
        <is>
          <t>Arcanes share across items like mods (one max-rank copy covers every build).</t>
        </is>
      </c>
      <c r="S1781" t="inlineStr">
        <is>
          <t>magus_drive</t>
        </is>
      </c>
      <c r="T1781" t="n">
        <v>7</v>
      </c>
      <c r="U1781" t="n">
        <v>7</v>
      </c>
      <c r="V1781" t="n">
        <v>99.5</v>
      </c>
      <c r="W1781" t="n">
        <v>90</v>
      </c>
      <c r="X1781" t="n">
        <v>89.09999999999999</v>
      </c>
      <c r="Y1781" t="n">
        <v>53</v>
      </c>
      <c r="Z1781" t="n">
        <v>0</v>
      </c>
      <c r="AQ1781" t="n">
        <v>7</v>
      </c>
      <c r="AR1781" t="n">
        <v>147</v>
      </c>
      <c r="AS1781" t="inlineStr">
        <is>
          <t>Collection (optional)</t>
        </is>
      </c>
    </row>
    <row r="1782">
      <c r="A1782" t="inlineStr">
        <is>
          <t>Arcane</t>
        </is>
      </c>
      <c r="B1782" t="inlineStr">
        <is>
          <t>Magus Elevate</t>
        </is>
      </c>
      <c r="E1782" t="inlineStr">
        <is>
          <t>Operator</t>
        </is>
      </c>
      <c r="F1782" t="n">
        <v>5</v>
      </c>
      <c r="G1782" t="n">
        <v>1</v>
      </c>
      <c r="H1782" t="inlineStr">
        <is>
          <t>Player trade (max rank)</t>
        </is>
      </c>
      <c r="I1782" t="inlineStr">
        <is>
          <t>Yes</t>
        </is>
      </c>
      <c r="K1782" t="inlineStr">
        <is>
          <t>Collection (optional)</t>
        </is>
      </c>
      <c r="L1782" t="n">
        <v>50</v>
      </c>
      <c r="M1782" t="n">
        <v>55</v>
      </c>
      <c r="N1782" t="n">
        <v>66</v>
      </c>
      <c r="O1782" t="inlineStr">
        <is>
          <t>2026-10-05 UTC (WFM pull 02:52-04:00)</t>
        </is>
      </c>
      <c r="P1782" t="inlineStr">
        <is>
          <t>OK</t>
        </is>
      </c>
      <c r="R1782" t="inlineStr">
        <is>
          <t>Arcanes share across items like mods (one max-rank copy covers every build).</t>
        </is>
      </c>
      <c r="S1782" t="inlineStr">
        <is>
          <t>magus_elevate</t>
        </is>
      </c>
      <c r="T1782" t="n">
        <v>17</v>
      </c>
      <c r="U1782" t="n">
        <v>17</v>
      </c>
      <c r="V1782" t="n">
        <v>50</v>
      </c>
      <c r="W1782" t="n">
        <v>59</v>
      </c>
      <c r="X1782" t="n">
        <v>57.1</v>
      </c>
      <c r="Y1782" t="n">
        <v>1475</v>
      </c>
      <c r="Z1782" t="n">
        <v>26</v>
      </c>
      <c r="AA1782" t="n">
        <v>21</v>
      </c>
      <c r="AB1782" t="n">
        <v>29</v>
      </c>
      <c r="AQ1782" t="n">
        <v>5</v>
      </c>
      <c r="AR1782" t="n">
        <v>105</v>
      </c>
      <c r="AS1782" t="inlineStr">
        <is>
          <t>Collection (optional)</t>
        </is>
      </c>
    </row>
    <row r="1783">
      <c r="A1783" t="inlineStr">
        <is>
          <t>Arcane</t>
        </is>
      </c>
      <c r="B1783" t="inlineStr">
        <is>
          <t>Magus Firewall</t>
        </is>
      </c>
      <c r="E1783" t="inlineStr">
        <is>
          <t>Operator</t>
        </is>
      </c>
      <c r="F1783" t="n">
        <v>5</v>
      </c>
      <c r="G1783" t="n">
        <v>1</v>
      </c>
      <c r="H1783" t="inlineStr">
        <is>
          <t>Player trade (max rank)</t>
        </is>
      </c>
      <c r="I1783" t="inlineStr">
        <is>
          <t>Yes</t>
        </is>
      </c>
      <c r="K1783" t="inlineStr">
        <is>
          <t>Collection (optional)</t>
        </is>
      </c>
      <c r="L1783" t="n">
        <v>100</v>
      </c>
      <c r="M1783" t="n">
        <v>114</v>
      </c>
      <c r="N1783" t="n">
        <v>175</v>
      </c>
      <c r="O1783" t="inlineStr">
        <is>
          <t>2026-10-05 UTC (WFM pull 02:52-04:00)</t>
        </is>
      </c>
      <c r="P1783" t="inlineStr">
        <is>
          <t>OK</t>
        </is>
      </c>
      <c r="Q1783" t="inlineStr">
        <is>
          <t>Cheaper via 21x R0 (105p realistic) than buying max rank</t>
        </is>
      </c>
      <c r="R1783" t="inlineStr">
        <is>
          <t>Arcanes share across items like mods (one max-rank copy covers every build).</t>
        </is>
      </c>
      <c r="S1783" t="inlineStr">
        <is>
          <t>magus_firewall</t>
        </is>
      </c>
      <c r="T1783" t="n">
        <v>10</v>
      </c>
      <c r="U1783" t="n">
        <v>10</v>
      </c>
      <c r="V1783" t="n">
        <v>90</v>
      </c>
      <c r="W1783" t="n">
        <v>90</v>
      </c>
      <c r="X1783" t="n">
        <v>91.2</v>
      </c>
      <c r="Y1783" t="n">
        <v>41</v>
      </c>
      <c r="Z1783" t="n">
        <v>2</v>
      </c>
      <c r="AQ1783" t="n">
        <v>5</v>
      </c>
      <c r="AR1783" t="n">
        <v>105</v>
      </c>
      <c r="AS1783" t="inlineStr">
        <is>
          <t>Collection (optional)</t>
        </is>
      </c>
    </row>
    <row r="1784">
      <c r="A1784" t="inlineStr">
        <is>
          <t>Arcane</t>
        </is>
      </c>
      <c r="B1784" t="inlineStr">
        <is>
          <t>Magus Glitch</t>
        </is>
      </c>
      <c r="E1784" t="inlineStr">
        <is>
          <t>Operator</t>
        </is>
      </c>
      <c r="F1784" t="n">
        <v>5</v>
      </c>
      <c r="G1784" t="n">
        <v>1</v>
      </c>
      <c r="H1784" t="inlineStr">
        <is>
          <t>Player trade (max rank)</t>
        </is>
      </c>
      <c r="I1784" t="inlineStr">
        <is>
          <t>Yes</t>
        </is>
      </c>
      <c r="K1784" t="inlineStr">
        <is>
          <t>Collection (optional)</t>
        </is>
      </c>
      <c r="L1784" t="n">
        <v>99</v>
      </c>
      <c r="M1784" t="n">
        <v>125</v>
      </c>
      <c r="N1784" t="n">
        <v>154</v>
      </c>
      <c r="O1784" t="inlineStr">
        <is>
          <t>2026-10-05 UTC (WFM pull 02:52-04:00)</t>
        </is>
      </c>
      <c r="P1784" t="inlineStr">
        <is>
          <t>OK</t>
        </is>
      </c>
      <c r="Q1784" t="inlineStr">
        <is>
          <t>Cheaper via 21x R0 (105p realistic) than buying max rank</t>
        </is>
      </c>
      <c r="R1784" t="inlineStr">
        <is>
          <t>Arcanes share across items like mods (one max-rank copy covers every build).</t>
        </is>
      </c>
      <c r="S1784" t="inlineStr">
        <is>
          <t>magus_glitch</t>
        </is>
      </c>
      <c r="T1784" t="n">
        <v>8</v>
      </c>
      <c r="U1784" t="n">
        <v>8</v>
      </c>
      <c r="V1784" t="n">
        <v>97.5</v>
      </c>
      <c r="W1784" t="n">
        <v>97.5</v>
      </c>
      <c r="X1784" t="n">
        <v>96.59999999999999</v>
      </c>
      <c r="Y1784" t="n">
        <v>90</v>
      </c>
      <c r="Z1784" t="n">
        <v>2</v>
      </c>
      <c r="AA1784" t="n">
        <v>37</v>
      </c>
      <c r="AB1784" t="n">
        <v>62</v>
      </c>
      <c r="AQ1784" t="n">
        <v>5</v>
      </c>
      <c r="AR1784" t="n">
        <v>105</v>
      </c>
      <c r="AS1784" t="inlineStr">
        <is>
          <t>Collection (optional)</t>
        </is>
      </c>
    </row>
    <row r="1785">
      <c r="A1785" t="inlineStr">
        <is>
          <t>Arcane</t>
        </is>
      </c>
      <c r="B1785" t="inlineStr">
        <is>
          <t>Magus Husk</t>
        </is>
      </c>
      <c r="E1785" t="inlineStr">
        <is>
          <t>Operator</t>
        </is>
      </c>
      <c r="F1785" t="n">
        <v>5</v>
      </c>
      <c r="G1785" t="n">
        <v>1</v>
      </c>
      <c r="H1785" t="inlineStr">
        <is>
          <t>Player trade (max rank)</t>
        </is>
      </c>
      <c r="I1785" t="inlineStr">
        <is>
          <t>Yes</t>
        </is>
      </c>
      <c r="K1785" t="inlineStr">
        <is>
          <t>Collection (optional)</t>
        </is>
      </c>
      <c r="L1785" t="n">
        <v>60</v>
      </c>
      <c r="M1785" t="n">
        <v>61.5</v>
      </c>
      <c r="N1785" t="n">
        <v>111</v>
      </c>
      <c r="O1785" t="inlineStr">
        <is>
          <t>2026-10-05 UTC (WFM pull 02:52-04:00)</t>
        </is>
      </c>
      <c r="P1785" t="inlineStr">
        <is>
          <t>OK</t>
        </is>
      </c>
      <c r="R1785" t="inlineStr">
        <is>
          <t>Arcanes share across items like mods (one max-rank copy covers every build).</t>
        </is>
      </c>
      <c r="S1785" t="inlineStr">
        <is>
          <t>magus_husk</t>
        </is>
      </c>
      <c r="T1785" t="n">
        <v>6</v>
      </c>
      <c r="U1785" t="n">
        <v>6</v>
      </c>
      <c r="V1785" t="n">
        <v>41</v>
      </c>
      <c r="W1785" t="n">
        <v>42.5</v>
      </c>
      <c r="X1785" t="n">
        <v>43</v>
      </c>
      <c r="Y1785" t="n">
        <v>121</v>
      </c>
      <c r="Z1785" t="n">
        <v>3</v>
      </c>
      <c r="AA1785" t="n">
        <v>15</v>
      </c>
      <c r="AB1785" t="n">
        <v>45</v>
      </c>
      <c r="AQ1785" t="n">
        <v>4</v>
      </c>
      <c r="AR1785" t="n">
        <v>84</v>
      </c>
      <c r="AS1785" t="inlineStr">
        <is>
          <t>Collection (optional)</t>
        </is>
      </c>
    </row>
    <row r="1786">
      <c r="A1786" t="inlineStr">
        <is>
          <t>Arcane</t>
        </is>
      </c>
      <c r="B1786" t="inlineStr">
        <is>
          <t>Magus Lockdown</t>
        </is>
      </c>
      <c r="E1786" t="inlineStr">
        <is>
          <t>Operator</t>
        </is>
      </c>
      <c r="F1786" t="n">
        <v>5</v>
      </c>
      <c r="G1786" t="n">
        <v>1</v>
      </c>
      <c r="H1786" t="inlineStr">
        <is>
          <t>Player trade (max rank)</t>
        </is>
      </c>
      <c r="I1786" t="inlineStr">
        <is>
          <t>Yes</t>
        </is>
      </c>
      <c r="K1786" t="inlineStr">
        <is>
          <t>Collection (optional)</t>
        </is>
      </c>
      <c r="L1786" t="n">
        <v>85</v>
      </c>
      <c r="M1786" t="n">
        <v>88</v>
      </c>
      <c r="N1786" t="n">
        <v>100</v>
      </c>
      <c r="O1786" t="inlineStr">
        <is>
          <t>2026-10-05 UTC (WFM pull 02:52-04:00)</t>
        </is>
      </c>
      <c r="P1786" t="inlineStr">
        <is>
          <t>OK</t>
        </is>
      </c>
      <c r="R1786" t="inlineStr">
        <is>
          <t>Arcanes share across items like mods (one max-rank copy covers every build).</t>
        </is>
      </c>
      <c r="S1786" t="inlineStr">
        <is>
          <t>magus_lockdown</t>
        </is>
      </c>
      <c r="T1786" t="n">
        <v>23</v>
      </c>
      <c r="U1786" t="n">
        <v>23</v>
      </c>
      <c r="V1786" t="n">
        <v>80</v>
      </c>
      <c r="W1786" t="n">
        <v>90</v>
      </c>
      <c r="X1786" t="n">
        <v>87.8</v>
      </c>
      <c r="Y1786" t="n">
        <v>2316</v>
      </c>
      <c r="Z1786" t="n">
        <v>50</v>
      </c>
      <c r="AA1786" t="n">
        <v>60</v>
      </c>
      <c r="AB1786" t="n">
        <v>25</v>
      </c>
      <c r="AQ1786" t="n">
        <v>6</v>
      </c>
      <c r="AR1786" t="n">
        <v>126</v>
      </c>
      <c r="AS1786" t="inlineStr">
        <is>
          <t>Collection (optional)</t>
        </is>
      </c>
    </row>
    <row r="1787">
      <c r="A1787" t="inlineStr">
        <is>
          <t>Arcane</t>
        </is>
      </c>
      <c r="B1787" t="inlineStr">
        <is>
          <t>Magus Melt</t>
        </is>
      </c>
      <c r="E1787" t="inlineStr">
        <is>
          <t>Operator</t>
        </is>
      </c>
      <c r="F1787" t="n">
        <v>5</v>
      </c>
      <c r="G1787" t="n">
        <v>1</v>
      </c>
      <c r="H1787" t="inlineStr">
        <is>
          <t>Player trade (max rank)</t>
        </is>
      </c>
      <c r="I1787" t="inlineStr">
        <is>
          <t>Yes</t>
        </is>
      </c>
      <c r="K1787" t="inlineStr">
        <is>
          <t>Collection (optional)</t>
        </is>
      </c>
      <c r="L1787" t="n">
        <v>83</v>
      </c>
      <c r="M1787" t="n">
        <v>85</v>
      </c>
      <c r="N1787" t="n">
        <v>94</v>
      </c>
      <c r="O1787" t="inlineStr">
        <is>
          <t>2026-10-05 UTC (WFM pull 02:52-04:00)</t>
        </is>
      </c>
      <c r="P1787" t="inlineStr">
        <is>
          <t>OK</t>
        </is>
      </c>
      <c r="R1787" t="inlineStr">
        <is>
          <t>Arcanes share across items like mods (one max-rank copy covers every build).</t>
        </is>
      </c>
      <c r="S1787" t="inlineStr">
        <is>
          <t>magus_melt</t>
        </is>
      </c>
      <c r="T1787" t="n">
        <v>23</v>
      </c>
      <c r="U1787" t="n">
        <v>23</v>
      </c>
      <c r="V1787" t="n">
        <v>83</v>
      </c>
      <c r="W1787" t="n">
        <v>90</v>
      </c>
      <c r="X1787" t="n">
        <v>89</v>
      </c>
      <c r="Y1787" t="n">
        <v>3397</v>
      </c>
      <c r="Z1787" t="n">
        <v>93</v>
      </c>
      <c r="AA1787" t="n">
        <v>70</v>
      </c>
      <c r="AB1787" t="n">
        <v>13</v>
      </c>
      <c r="AQ1787" t="n">
        <v>5</v>
      </c>
      <c r="AR1787" t="n">
        <v>105</v>
      </c>
      <c r="AS1787" t="inlineStr">
        <is>
          <t>Collection (optional)</t>
        </is>
      </c>
    </row>
    <row r="1788">
      <c r="A1788" t="inlineStr">
        <is>
          <t>Arcane</t>
        </is>
      </c>
      <c r="B1788" t="inlineStr">
        <is>
          <t>Magus Nourish</t>
        </is>
      </c>
      <c r="E1788" t="inlineStr">
        <is>
          <t>Operator</t>
        </is>
      </c>
      <c r="F1788" t="n">
        <v>5</v>
      </c>
      <c r="G1788" t="n">
        <v>1</v>
      </c>
      <c r="H1788" t="inlineStr">
        <is>
          <t>Player trade (max rank)</t>
        </is>
      </c>
      <c r="I1788" t="inlineStr">
        <is>
          <t>Yes</t>
        </is>
      </c>
      <c r="K1788" t="inlineStr">
        <is>
          <t>Collection (optional)</t>
        </is>
      </c>
      <c r="L1788" t="n">
        <v>49</v>
      </c>
      <c r="M1788" t="n">
        <v>60</v>
      </c>
      <c r="N1788" t="n">
        <v>88</v>
      </c>
      <c r="O1788" t="inlineStr">
        <is>
          <t>2026-10-05 UTC (WFM pull 02:52-04:00)</t>
        </is>
      </c>
      <c r="P1788" t="inlineStr">
        <is>
          <t>OK</t>
        </is>
      </c>
      <c r="R1788" t="inlineStr">
        <is>
          <t>Arcanes share across items like mods (one max-rank copy covers every build).</t>
        </is>
      </c>
      <c r="S1788" t="inlineStr">
        <is>
          <t>magus_nourish</t>
        </is>
      </c>
      <c r="T1788" t="n">
        <v>10</v>
      </c>
      <c r="U1788" t="n">
        <v>10</v>
      </c>
      <c r="V1788" t="n">
        <v>50</v>
      </c>
      <c r="W1788" t="n">
        <v>55</v>
      </c>
      <c r="X1788" t="n">
        <v>54.5</v>
      </c>
      <c r="Y1788" t="n">
        <v>193</v>
      </c>
      <c r="Z1788" t="n">
        <v>7</v>
      </c>
      <c r="AA1788" t="n">
        <v>36</v>
      </c>
      <c r="AB1788" t="n">
        <v>13</v>
      </c>
      <c r="AQ1788" t="n">
        <v>6</v>
      </c>
      <c r="AR1788" t="n">
        <v>126</v>
      </c>
      <c r="AS1788" t="inlineStr">
        <is>
          <t>Collection (optional)</t>
        </is>
      </c>
    </row>
    <row r="1789">
      <c r="A1789" t="inlineStr">
        <is>
          <t>Arcane</t>
        </is>
      </c>
      <c r="B1789" t="inlineStr">
        <is>
          <t>Magus Overload</t>
        </is>
      </c>
      <c r="E1789" t="inlineStr">
        <is>
          <t>Operator</t>
        </is>
      </c>
      <c r="F1789" t="n">
        <v>5</v>
      </c>
      <c r="G1789" t="n">
        <v>1</v>
      </c>
      <c r="H1789" t="inlineStr">
        <is>
          <t>Player trade (max rank)</t>
        </is>
      </c>
      <c r="I1789" t="inlineStr">
        <is>
          <t>Yes</t>
        </is>
      </c>
      <c r="K1789" t="inlineStr">
        <is>
          <t>Collection (optional)</t>
        </is>
      </c>
      <c r="L1789" t="n">
        <v>94</v>
      </c>
      <c r="M1789" t="n">
        <v>120</v>
      </c>
      <c r="N1789" t="n">
        <v>199</v>
      </c>
      <c r="O1789" t="inlineStr">
        <is>
          <t>2026-10-05 UTC (WFM pull 02:52-04:00)</t>
        </is>
      </c>
      <c r="P1789" t="inlineStr">
        <is>
          <t>OK</t>
        </is>
      </c>
      <c r="R1789" t="inlineStr">
        <is>
          <t>Arcanes share across items like mods (one max-rank copy covers every build).</t>
        </is>
      </c>
      <c r="S1789" t="inlineStr">
        <is>
          <t>magus_overload</t>
        </is>
      </c>
      <c r="T1789" t="n">
        <v>7</v>
      </c>
      <c r="U1789" t="n">
        <v>7</v>
      </c>
      <c r="V1789" t="n">
        <v>80</v>
      </c>
      <c r="W1789" t="n">
        <v>82.5</v>
      </c>
      <c r="X1789" t="n">
        <v>86.2</v>
      </c>
      <c r="Y1789" t="n">
        <v>48</v>
      </c>
      <c r="Z1789" t="n">
        <v>2</v>
      </c>
      <c r="AQ1789" t="n">
        <v>6</v>
      </c>
      <c r="AR1789" t="n">
        <v>126</v>
      </c>
      <c r="AS1789" t="inlineStr">
        <is>
          <t>Collection (optional)</t>
        </is>
      </c>
    </row>
    <row r="1790">
      <c r="A1790" t="inlineStr">
        <is>
          <t>Arcane</t>
        </is>
      </c>
      <c r="B1790" t="inlineStr">
        <is>
          <t>Magus Repair</t>
        </is>
      </c>
      <c r="E1790" t="inlineStr">
        <is>
          <t>Operator</t>
        </is>
      </c>
      <c r="F1790" t="n">
        <v>5</v>
      </c>
      <c r="G1790" t="n">
        <v>1</v>
      </c>
      <c r="H1790" t="inlineStr">
        <is>
          <t>Player trade (max rank)</t>
        </is>
      </c>
      <c r="I1790" t="inlineStr">
        <is>
          <t>Yes</t>
        </is>
      </c>
      <c r="K1790" t="inlineStr">
        <is>
          <t>Collection (optional)</t>
        </is>
      </c>
      <c r="L1790" t="n">
        <v>90</v>
      </c>
      <c r="M1790" t="n">
        <v>95</v>
      </c>
      <c r="N1790" t="n">
        <v>111</v>
      </c>
      <c r="O1790" t="inlineStr">
        <is>
          <t>2026-10-05 UTC (WFM pull 02:52-04:00)</t>
        </is>
      </c>
      <c r="P1790" t="inlineStr">
        <is>
          <t>OK</t>
        </is>
      </c>
      <c r="R1790" t="inlineStr">
        <is>
          <t>Arcanes share across items like mods (one max-rank copy covers every build).</t>
        </is>
      </c>
      <c r="S1790" t="inlineStr">
        <is>
          <t>magus_repair</t>
        </is>
      </c>
      <c r="T1790" t="n">
        <v>12</v>
      </c>
      <c r="U1790" t="n">
        <v>12</v>
      </c>
      <c r="V1790" t="n">
        <v>90</v>
      </c>
      <c r="W1790" t="n">
        <v>95</v>
      </c>
      <c r="X1790" t="n">
        <v>93.59999999999999</v>
      </c>
      <c r="Y1790" t="n">
        <v>802</v>
      </c>
      <c r="Z1790" t="n">
        <v>22</v>
      </c>
      <c r="AA1790" t="n">
        <v>65</v>
      </c>
      <c r="AB1790" t="n">
        <v>25</v>
      </c>
      <c r="AQ1790" t="n">
        <v>8</v>
      </c>
      <c r="AR1790" t="n">
        <v>168</v>
      </c>
      <c r="AS1790" t="inlineStr">
        <is>
          <t>Collection (optional)</t>
        </is>
      </c>
    </row>
    <row r="1791">
      <c r="A1791" t="inlineStr">
        <is>
          <t>Arcane</t>
        </is>
      </c>
      <c r="B1791" t="inlineStr">
        <is>
          <t>Magus Replenish</t>
        </is>
      </c>
      <c r="E1791" t="inlineStr">
        <is>
          <t>Operator</t>
        </is>
      </c>
      <c r="F1791" t="n">
        <v>5</v>
      </c>
      <c r="G1791" t="n">
        <v>1</v>
      </c>
      <c r="H1791" t="inlineStr">
        <is>
          <t>Player trade (max rank)</t>
        </is>
      </c>
      <c r="I1791" t="inlineStr">
        <is>
          <t>Yes</t>
        </is>
      </c>
      <c r="K1791" t="inlineStr">
        <is>
          <t>Collection (optional)</t>
        </is>
      </c>
      <c r="L1791" t="n">
        <v>70</v>
      </c>
      <c r="M1791" t="n">
        <v>90</v>
      </c>
      <c r="N1791" t="n">
        <v>199</v>
      </c>
      <c r="O1791" t="inlineStr">
        <is>
          <t>2026-10-05 UTC (WFM pull 02:52-04:00)</t>
        </is>
      </c>
      <c r="P1791" t="inlineStr">
        <is>
          <t>OK</t>
        </is>
      </c>
      <c r="R1791" t="inlineStr">
        <is>
          <t>Arcanes share across items like mods (one max-rank copy covers every build).</t>
        </is>
      </c>
      <c r="S1791" t="inlineStr">
        <is>
          <t>magus_replenish</t>
        </is>
      </c>
      <c r="T1791" t="n">
        <v>5</v>
      </c>
      <c r="U1791" t="n">
        <v>5</v>
      </c>
      <c r="V1791" t="n">
        <v>60</v>
      </c>
      <c r="W1791" t="n">
        <v>65</v>
      </c>
      <c r="X1791" t="n">
        <v>66.2</v>
      </c>
      <c r="Y1791" t="n">
        <v>113</v>
      </c>
      <c r="Z1791" t="n">
        <v>2</v>
      </c>
      <c r="AA1791" t="n">
        <v>21</v>
      </c>
      <c r="AB1791" t="n">
        <v>49</v>
      </c>
      <c r="AQ1791" t="n">
        <v>5</v>
      </c>
      <c r="AR1791" t="n">
        <v>105</v>
      </c>
      <c r="AS1791" t="inlineStr">
        <is>
          <t>Collection (optional)</t>
        </is>
      </c>
    </row>
    <row r="1792">
      <c r="A1792" t="inlineStr">
        <is>
          <t>Arcane</t>
        </is>
      </c>
      <c r="B1792" t="inlineStr">
        <is>
          <t>Magus Revert</t>
        </is>
      </c>
      <c r="E1792" t="inlineStr">
        <is>
          <t>Operator</t>
        </is>
      </c>
      <c r="F1792" t="n">
        <v>5</v>
      </c>
      <c r="G1792" t="n">
        <v>1</v>
      </c>
      <c r="H1792" t="inlineStr">
        <is>
          <t>Player trade (max rank)</t>
        </is>
      </c>
      <c r="I1792" t="inlineStr">
        <is>
          <t>Yes</t>
        </is>
      </c>
      <c r="K1792" t="inlineStr">
        <is>
          <t>Collection (optional)</t>
        </is>
      </c>
      <c r="L1792" t="n">
        <v>109</v>
      </c>
      <c r="M1792" t="n">
        <v>150</v>
      </c>
      <c r="N1792" t="n">
        <v>184</v>
      </c>
      <c r="O1792" t="inlineStr">
        <is>
          <t>2026-10-05 UTC (WFM pull 02:52-04:00)</t>
        </is>
      </c>
      <c r="P1792" t="inlineStr">
        <is>
          <t>OK</t>
        </is>
      </c>
      <c r="Q1792" t="inlineStr">
        <is>
          <t>Cheaper via 21x R0 (105p realistic) than buying max rank</t>
        </is>
      </c>
      <c r="R1792" t="inlineStr">
        <is>
          <t>Arcanes share across items like mods (one max-rank copy covers every build).</t>
        </is>
      </c>
      <c r="S1792" t="inlineStr">
        <is>
          <t>magus_revert</t>
        </is>
      </c>
      <c r="T1792" t="n">
        <v>6</v>
      </c>
      <c r="U1792" t="n">
        <v>6</v>
      </c>
      <c r="V1792" t="n">
        <v>100</v>
      </c>
      <c r="W1792" t="n">
        <v>95</v>
      </c>
      <c r="X1792" t="n">
        <v>96.09999999999999</v>
      </c>
      <c r="Y1792" t="n">
        <v>36</v>
      </c>
      <c r="Z1792" t="n">
        <v>0</v>
      </c>
      <c r="AA1792" t="n">
        <v>42</v>
      </c>
      <c r="AB1792" t="n">
        <v>67</v>
      </c>
      <c r="AQ1792" t="n">
        <v>5</v>
      </c>
      <c r="AR1792" t="n">
        <v>105</v>
      </c>
      <c r="AS1792" t="inlineStr">
        <is>
          <t>Collection (optional)</t>
        </is>
      </c>
    </row>
    <row r="1793">
      <c r="A1793" t="inlineStr">
        <is>
          <t>Arcane</t>
        </is>
      </c>
      <c r="B1793" t="inlineStr">
        <is>
          <t>Magus Vigor</t>
        </is>
      </c>
      <c r="E1793" t="inlineStr">
        <is>
          <t>Operator</t>
        </is>
      </c>
      <c r="F1793" t="n">
        <v>5</v>
      </c>
      <c r="G1793" t="n">
        <v>1</v>
      </c>
      <c r="H1793" t="inlineStr">
        <is>
          <t>Player trade (max rank)</t>
        </is>
      </c>
      <c r="I1793" t="inlineStr">
        <is>
          <t>Yes</t>
        </is>
      </c>
      <c r="K1793" t="inlineStr">
        <is>
          <t>Collection (optional)</t>
        </is>
      </c>
      <c r="L1793" t="n">
        <v>19</v>
      </c>
      <c r="M1793" t="n">
        <v>30.8</v>
      </c>
      <c r="N1793" t="n">
        <v>68</v>
      </c>
      <c r="O1793" t="inlineStr">
        <is>
          <t>2026-10-05 UTC (WFM pull 02:52-04:00)</t>
        </is>
      </c>
      <c r="P1793" t="inlineStr">
        <is>
          <t>OK</t>
        </is>
      </c>
      <c r="R1793" t="inlineStr">
        <is>
          <t>Arcanes share across items like mods (one max-rank copy covers every build).</t>
        </is>
      </c>
      <c r="S1793" t="inlineStr">
        <is>
          <t>magus_vigor</t>
        </is>
      </c>
      <c r="T1793" t="n">
        <v>4</v>
      </c>
      <c r="U1793" t="n">
        <v>4</v>
      </c>
      <c r="V1793" t="n">
        <v>20.5</v>
      </c>
      <c r="W1793" t="n">
        <v>22.5</v>
      </c>
      <c r="X1793" t="n">
        <v>22.7</v>
      </c>
      <c r="Y1793" t="n">
        <v>246</v>
      </c>
      <c r="Z1793" t="n">
        <v>7</v>
      </c>
      <c r="AQ1793" t="n">
        <v>3</v>
      </c>
      <c r="AR1793" t="n">
        <v>63</v>
      </c>
      <c r="AS1793" t="inlineStr">
        <is>
          <t>Collection (optional)</t>
        </is>
      </c>
    </row>
    <row r="1794">
      <c r="A1794" t="inlineStr">
        <is>
          <t>Arcane</t>
        </is>
      </c>
      <c r="B1794" t="inlineStr">
        <is>
          <t>Melee Afflictions</t>
        </is>
      </c>
      <c r="E1794" t="inlineStr">
        <is>
          <t>Melee</t>
        </is>
      </c>
      <c r="F1794" t="n">
        <v>5</v>
      </c>
      <c r="G1794" t="n">
        <v>1</v>
      </c>
      <c r="H1794" t="inlineStr">
        <is>
          <t>Player trade (max rank)</t>
        </is>
      </c>
      <c r="I1794" t="inlineStr">
        <is>
          <t>Yes</t>
        </is>
      </c>
      <c r="K1794" t="inlineStr">
        <is>
          <t>Collection (optional)</t>
        </is>
      </c>
      <c r="L1794" t="n">
        <v>70</v>
      </c>
      <c r="M1794" t="n">
        <v>70</v>
      </c>
      <c r="N1794" t="n">
        <v>83</v>
      </c>
      <c r="O1794" t="inlineStr">
        <is>
          <t>2026-10-05 UTC (WFM pull 02:52-04:00)</t>
        </is>
      </c>
      <c r="P1794" t="inlineStr">
        <is>
          <t>OK</t>
        </is>
      </c>
      <c r="R1794" t="inlineStr">
        <is>
          <t>Arcanes share across items like mods (one max-rank copy covers every build).</t>
        </is>
      </c>
      <c r="S1794" t="inlineStr">
        <is>
          <t>melee_afflictions</t>
        </is>
      </c>
      <c r="T1794" t="n">
        <v>15</v>
      </c>
      <c r="U1794" t="n">
        <v>15</v>
      </c>
      <c r="V1794" t="n">
        <v>69.5</v>
      </c>
      <c r="W1794" t="n">
        <v>61</v>
      </c>
      <c r="X1794" t="n">
        <v>62.2</v>
      </c>
      <c r="Y1794" t="n">
        <v>4663</v>
      </c>
      <c r="Z1794" t="n">
        <v>103</v>
      </c>
      <c r="AA1794" t="n">
        <v>50</v>
      </c>
      <c r="AB1794" t="n">
        <v>20</v>
      </c>
      <c r="AQ1794" t="n">
        <v>4</v>
      </c>
      <c r="AR1794" t="n">
        <v>84</v>
      </c>
      <c r="AS1794" t="inlineStr">
        <is>
          <t>Collection (optional)</t>
        </is>
      </c>
    </row>
    <row r="1795">
      <c r="A1795" t="inlineStr">
        <is>
          <t>Arcane</t>
        </is>
      </c>
      <c r="B1795" t="inlineStr">
        <is>
          <t>Melee Animosity</t>
        </is>
      </c>
      <c r="E1795" t="inlineStr">
        <is>
          <t>Melee</t>
        </is>
      </c>
      <c r="F1795" t="n">
        <v>5</v>
      </c>
      <c r="G1795" t="n">
        <v>1</v>
      </c>
      <c r="H1795" t="inlineStr">
        <is>
          <t>Player trade (max rank)</t>
        </is>
      </c>
      <c r="I1795" t="inlineStr">
        <is>
          <t>Yes</t>
        </is>
      </c>
      <c r="K1795" t="inlineStr">
        <is>
          <t>Required (v4.2 weapon/exalted builds)</t>
        </is>
      </c>
      <c r="L1795" t="n">
        <v>60</v>
      </c>
      <c r="M1795" t="n">
        <v>64</v>
      </c>
      <c r="N1795" t="n">
        <v>77</v>
      </c>
      <c r="O1795" t="inlineStr">
        <is>
          <t>2026-10-05 UTC (WFM pull 02:52-04:00)</t>
        </is>
      </c>
      <c r="P1795" t="inlineStr">
        <is>
          <t>OK</t>
        </is>
      </c>
      <c r="R1795" t="inlineStr">
        <is>
          <t>Arcanes share across items like mods (one max-rank copy covers every build).</t>
        </is>
      </c>
      <c r="S1795" t="inlineStr">
        <is>
          <t>melee_animosity</t>
        </is>
      </c>
      <c r="T1795" t="n">
        <v>11</v>
      </c>
      <c r="U1795" t="n">
        <v>11</v>
      </c>
      <c r="V1795" t="n">
        <v>59</v>
      </c>
      <c r="W1795" t="n">
        <v>60</v>
      </c>
      <c r="X1795" t="n">
        <v>58.5</v>
      </c>
      <c r="Y1795" t="n">
        <v>1554</v>
      </c>
      <c r="Z1795" t="n">
        <v>32</v>
      </c>
      <c r="AA1795" t="n">
        <v>34</v>
      </c>
      <c r="AB1795" t="n">
        <v>26</v>
      </c>
      <c r="AQ1795" t="n">
        <v>4.5</v>
      </c>
      <c r="AR1795" t="n">
        <v>94.5</v>
      </c>
      <c r="AS1795" t="inlineStr">
        <is>
          <t>Yes</t>
        </is>
      </c>
    </row>
    <row r="1796">
      <c r="A1796" t="inlineStr">
        <is>
          <t>Arcane</t>
        </is>
      </c>
      <c r="B1796" t="inlineStr">
        <is>
          <t>Melee Assimilation</t>
        </is>
      </c>
      <c r="E1796" t="inlineStr">
        <is>
          <t>Melee</t>
        </is>
      </c>
      <c r="F1796" t="n">
        <v>5</v>
      </c>
      <c r="G1796" t="n">
        <v>1</v>
      </c>
      <c r="H1796" t="inlineStr">
        <is>
          <t>Player trade (max rank)</t>
        </is>
      </c>
      <c r="I1796" t="inlineStr">
        <is>
          <t>Yes</t>
        </is>
      </c>
      <c r="K1796" t="inlineStr">
        <is>
          <t>Collection (optional)</t>
        </is>
      </c>
      <c r="L1796" t="n">
        <v>59</v>
      </c>
      <c r="M1796" t="n">
        <v>60</v>
      </c>
      <c r="N1796" t="n">
        <v>98</v>
      </c>
      <c r="O1796" t="inlineStr">
        <is>
          <t>2026-10-05 UTC (WFM pull 02:52-04:00)</t>
        </is>
      </c>
      <c r="P1796" t="inlineStr">
        <is>
          <t>OK</t>
        </is>
      </c>
      <c r="R1796" t="inlineStr">
        <is>
          <t>Arcanes share across items like mods (one max-rank copy covers every build).</t>
        </is>
      </c>
      <c r="S1796" t="inlineStr">
        <is>
          <t>melee_assimilation</t>
        </is>
      </c>
      <c r="T1796" t="n">
        <v>5</v>
      </c>
      <c r="U1796" t="n">
        <v>5</v>
      </c>
      <c r="V1796" t="n">
        <v>54</v>
      </c>
      <c r="W1796" t="n">
        <v>40</v>
      </c>
      <c r="X1796" t="n">
        <v>43.4</v>
      </c>
      <c r="Y1796" t="n">
        <v>789</v>
      </c>
      <c r="Z1796" t="n">
        <v>30</v>
      </c>
      <c r="AA1796" t="n">
        <v>40</v>
      </c>
      <c r="AB1796" t="n">
        <v>19</v>
      </c>
      <c r="AQ1796" t="n">
        <v>7</v>
      </c>
      <c r="AR1796" t="n">
        <v>147</v>
      </c>
      <c r="AS1796" t="inlineStr">
        <is>
          <t>Collection (optional)</t>
        </is>
      </c>
    </row>
    <row r="1797">
      <c r="A1797" t="inlineStr">
        <is>
          <t>Arcane</t>
        </is>
      </c>
      <c r="B1797" t="inlineStr">
        <is>
          <t>Melee Careen</t>
        </is>
      </c>
      <c r="E1797" t="inlineStr">
        <is>
          <t>Melee</t>
        </is>
      </c>
      <c r="F1797" t="n">
        <v>5</v>
      </c>
      <c r="G1797" t="n">
        <v>1</v>
      </c>
      <c r="H1797" t="inlineStr">
        <is>
          <t>Player trade (max rank)</t>
        </is>
      </c>
      <c r="I1797" t="inlineStr">
        <is>
          <t>Yes</t>
        </is>
      </c>
      <c r="K1797" t="inlineStr">
        <is>
          <t>Collection (optional)</t>
        </is>
      </c>
      <c r="L1797" t="n">
        <v>39</v>
      </c>
      <c r="M1797" t="n">
        <v>40</v>
      </c>
      <c r="N1797" t="n">
        <v>66</v>
      </c>
      <c r="O1797" t="inlineStr">
        <is>
          <t>2026-10-05 UTC (WFM pull 02:52-04:00)</t>
        </is>
      </c>
      <c r="P1797" t="inlineStr">
        <is>
          <t>OK</t>
        </is>
      </c>
      <c r="R1797" t="inlineStr">
        <is>
          <t>Arcanes share across items like mods (one max-rank copy covers every build).</t>
        </is>
      </c>
      <c r="S1797" t="inlineStr">
        <is>
          <t>melee_careen</t>
        </is>
      </c>
      <c r="T1797" t="n">
        <v>9</v>
      </c>
      <c r="U1797" t="n">
        <v>9</v>
      </c>
      <c r="V1797" t="n">
        <v>30</v>
      </c>
      <c r="W1797" t="n">
        <v>29</v>
      </c>
      <c r="X1797" t="n">
        <v>28.4</v>
      </c>
      <c r="Y1797" t="n">
        <v>1795</v>
      </c>
      <c r="Z1797" t="n">
        <v>62</v>
      </c>
      <c r="AA1797" t="n">
        <v>20</v>
      </c>
      <c r="AB1797" t="n">
        <v>19</v>
      </c>
      <c r="AQ1797" t="n">
        <v>3</v>
      </c>
      <c r="AR1797" t="n">
        <v>63</v>
      </c>
      <c r="AS1797" t="inlineStr">
        <is>
          <t>Collection (optional)</t>
        </is>
      </c>
    </row>
    <row r="1798">
      <c r="A1798" t="inlineStr">
        <is>
          <t>Arcane</t>
        </is>
      </c>
      <c r="B1798" t="inlineStr">
        <is>
          <t>Melee Crescendo</t>
        </is>
      </c>
      <c r="E1798" t="inlineStr">
        <is>
          <t>Melee</t>
        </is>
      </c>
      <c r="F1798" t="n">
        <v>5</v>
      </c>
      <c r="G1798" t="n">
        <v>1</v>
      </c>
      <c r="H1798" t="inlineStr">
        <is>
          <t>Player trade (max rank)</t>
        </is>
      </c>
      <c r="I1798" t="inlineStr">
        <is>
          <t>Yes</t>
        </is>
      </c>
      <c r="K1798" t="inlineStr">
        <is>
          <t>Required (v4.2 weapon/exalted builds)</t>
        </is>
      </c>
      <c r="L1798" t="n">
        <v>95</v>
      </c>
      <c r="M1798" t="n">
        <v>98</v>
      </c>
      <c r="N1798" t="n">
        <v>111</v>
      </c>
      <c r="O1798" t="inlineStr">
        <is>
          <t>2026-10-05 UTC (WFM pull 02:52-04:00)</t>
        </is>
      </c>
      <c r="P1798" t="inlineStr">
        <is>
          <t>OK</t>
        </is>
      </c>
      <c r="R1798" t="inlineStr">
        <is>
          <t>Arcanes share across items like mods (one max-rank copy covers every build).</t>
        </is>
      </c>
      <c r="S1798" t="inlineStr">
        <is>
          <t>melee_crescendo</t>
        </is>
      </c>
      <c r="T1798" t="n">
        <v>43</v>
      </c>
      <c r="U1798" t="n">
        <v>43</v>
      </c>
      <c r="V1798" t="n">
        <v>100</v>
      </c>
      <c r="W1798" t="n">
        <v>120</v>
      </c>
      <c r="X1798" t="n">
        <v>115.7</v>
      </c>
      <c r="Y1798" t="n">
        <v>2846</v>
      </c>
      <c r="Z1798" t="n">
        <v>71</v>
      </c>
      <c r="AA1798" t="n">
        <v>76</v>
      </c>
      <c r="AB1798" t="n">
        <v>19</v>
      </c>
      <c r="AQ1798" t="n">
        <v>5</v>
      </c>
      <c r="AR1798" t="n">
        <v>105</v>
      </c>
      <c r="AS1798" t="inlineStr">
        <is>
          <t>Yes</t>
        </is>
      </c>
    </row>
    <row r="1799">
      <c r="A1799" t="inlineStr">
        <is>
          <t>Arcane</t>
        </is>
      </c>
      <c r="B1799" t="inlineStr">
        <is>
          <t>Melee Doughty</t>
        </is>
      </c>
      <c r="E1799" t="inlineStr">
        <is>
          <t>Melee</t>
        </is>
      </c>
      <c r="F1799" t="n">
        <v>5</v>
      </c>
      <c r="G1799" t="n">
        <v>1</v>
      </c>
      <c r="H1799" t="inlineStr">
        <is>
          <t>Player trade (max rank)</t>
        </is>
      </c>
      <c r="I1799" t="inlineStr">
        <is>
          <t>Yes</t>
        </is>
      </c>
      <c r="K1799" t="inlineStr">
        <is>
          <t>Collection (optional)</t>
        </is>
      </c>
      <c r="L1799" t="n">
        <v>14</v>
      </c>
      <c r="M1799" t="n">
        <v>15</v>
      </c>
      <c r="N1799" t="n">
        <v>17</v>
      </c>
      <c r="O1799" t="inlineStr">
        <is>
          <t>2026-10-05 UTC (WFM pull 02:52-04:00)</t>
        </is>
      </c>
      <c r="P1799" t="inlineStr">
        <is>
          <t>OK</t>
        </is>
      </c>
      <c r="R1799" t="inlineStr">
        <is>
          <t>Arcanes share across items like mods (one max-rank copy covers every build).</t>
        </is>
      </c>
      <c r="S1799" t="inlineStr">
        <is>
          <t>melee_doughty</t>
        </is>
      </c>
      <c r="T1799" t="n">
        <v>24</v>
      </c>
      <c r="U1799" t="n">
        <v>24</v>
      </c>
      <c r="V1799" t="n">
        <v>15</v>
      </c>
      <c r="W1799" t="n">
        <v>15</v>
      </c>
      <c r="X1799" t="n">
        <v>14.5</v>
      </c>
      <c r="Y1799" t="n">
        <v>1355</v>
      </c>
      <c r="Z1799" t="n">
        <v>22</v>
      </c>
      <c r="AA1799" t="n">
        <v>5</v>
      </c>
      <c r="AB1799" t="n">
        <v>9</v>
      </c>
      <c r="AQ1799" t="n">
        <v>2</v>
      </c>
      <c r="AR1799" t="n">
        <v>42</v>
      </c>
      <c r="AS1799" t="inlineStr">
        <is>
          <t>Collection (optional)</t>
        </is>
      </c>
    </row>
    <row r="1800">
      <c r="A1800" t="inlineStr">
        <is>
          <t>Arcane</t>
        </is>
      </c>
      <c r="B1800" t="inlineStr">
        <is>
          <t>Melee Duplicate</t>
        </is>
      </c>
      <c r="E1800" t="inlineStr">
        <is>
          <t>Melee</t>
        </is>
      </c>
      <c r="F1800" t="n">
        <v>5</v>
      </c>
      <c r="G1800" t="n">
        <v>1</v>
      </c>
      <c r="H1800" t="inlineStr">
        <is>
          <t>Player trade (max rank)</t>
        </is>
      </c>
      <c r="I1800" t="inlineStr">
        <is>
          <t>Yes</t>
        </is>
      </c>
      <c r="K1800" t="inlineStr">
        <is>
          <t>Required (v4.2 weapon/exalted builds)</t>
        </is>
      </c>
      <c r="L1800" t="n">
        <v>170</v>
      </c>
      <c r="M1800" t="n">
        <v>180</v>
      </c>
      <c r="N1800" t="n">
        <v>221</v>
      </c>
      <c r="O1800" t="inlineStr">
        <is>
          <t>2026-10-05 UTC (WFM pull 02:52-04:00)</t>
        </is>
      </c>
      <c r="P1800" t="inlineStr">
        <is>
          <t>OK</t>
        </is>
      </c>
      <c r="Q1800" t="inlineStr">
        <is>
          <t>Cheaper via 21x R0 (147p realistic) than buying max rank</t>
        </is>
      </c>
      <c r="R1800" t="inlineStr">
        <is>
          <t>Arcanes share across items like mods (one max-rank copy covers every build).</t>
        </is>
      </c>
      <c r="S1800" t="inlineStr">
        <is>
          <t>melee_duplicate</t>
        </is>
      </c>
      <c r="T1800" t="n">
        <v>23</v>
      </c>
      <c r="U1800" t="n">
        <v>23</v>
      </c>
      <c r="V1800" t="n">
        <v>155</v>
      </c>
      <c r="W1800" t="n">
        <v>180</v>
      </c>
      <c r="X1800" t="n">
        <v>173.7</v>
      </c>
      <c r="Y1800" t="n">
        <v>3476</v>
      </c>
      <c r="Z1800" t="n">
        <v>88</v>
      </c>
      <c r="AA1800" t="n">
        <v>101</v>
      </c>
      <c r="AB1800" t="n">
        <v>69</v>
      </c>
      <c r="AQ1800" t="n">
        <v>7</v>
      </c>
      <c r="AR1800" t="n">
        <v>147</v>
      </c>
      <c r="AS1800" t="inlineStr">
        <is>
          <t>Yes</t>
        </is>
      </c>
    </row>
    <row r="1801">
      <c r="A1801" t="inlineStr">
        <is>
          <t>Arcane</t>
        </is>
      </c>
      <c r="B1801" t="inlineStr">
        <is>
          <t>Melee Exposure</t>
        </is>
      </c>
      <c r="E1801" t="inlineStr">
        <is>
          <t>Melee</t>
        </is>
      </c>
      <c r="F1801" t="n">
        <v>5</v>
      </c>
      <c r="G1801" t="n">
        <v>1</v>
      </c>
      <c r="H1801" t="inlineStr">
        <is>
          <t>Player trade (max rank)</t>
        </is>
      </c>
      <c r="I1801" t="inlineStr">
        <is>
          <t>Yes</t>
        </is>
      </c>
      <c r="K1801" t="inlineStr">
        <is>
          <t>Collection (optional)</t>
        </is>
      </c>
      <c r="L1801" t="n">
        <v>69</v>
      </c>
      <c r="M1801" t="n">
        <v>73</v>
      </c>
      <c r="N1801" t="n">
        <v>83</v>
      </c>
      <c r="O1801" t="inlineStr">
        <is>
          <t>2026-10-05 UTC (WFM pull 02:52-04:00)</t>
        </is>
      </c>
      <c r="P1801" t="inlineStr">
        <is>
          <t>OK</t>
        </is>
      </c>
      <c r="R1801" t="inlineStr">
        <is>
          <t>Arcanes share across items like mods (one max-rank copy covers every build).</t>
        </is>
      </c>
      <c r="S1801" t="inlineStr">
        <is>
          <t>melee_exposure</t>
        </is>
      </c>
      <c r="T1801" t="n">
        <v>28</v>
      </c>
      <c r="U1801" t="n">
        <v>28</v>
      </c>
      <c r="V1801" t="n">
        <v>75</v>
      </c>
      <c r="W1801" t="n">
        <v>75</v>
      </c>
      <c r="X1801" t="n">
        <v>73.2</v>
      </c>
      <c r="Y1801" t="n">
        <v>8763</v>
      </c>
      <c r="Z1801" t="n">
        <v>211</v>
      </c>
      <c r="AA1801" t="n">
        <v>57</v>
      </c>
      <c r="AB1801" t="n">
        <v>12</v>
      </c>
      <c r="AQ1801" t="n">
        <v>5</v>
      </c>
      <c r="AR1801" t="n">
        <v>105</v>
      </c>
      <c r="AS1801" t="inlineStr">
        <is>
          <t>Collection (optional)</t>
        </is>
      </c>
    </row>
    <row r="1802">
      <c r="A1802" t="inlineStr">
        <is>
          <t>Arcane</t>
        </is>
      </c>
      <c r="B1802" t="inlineStr">
        <is>
          <t>Melee Fortification</t>
        </is>
      </c>
      <c r="E1802" t="inlineStr">
        <is>
          <t>Melee</t>
        </is>
      </c>
      <c r="F1802" t="n">
        <v>5</v>
      </c>
      <c r="G1802" t="n">
        <v>1</v>
      </c>
      <c r="H1802" t="inlineStr">
        <is>
          <t>Player trade (max rank)</t>
        </is>
      </c>
      <c r="I1802" t="inlineStr">
        <is>
          <t>Yes</t>
        </is>
      </c>
      <c r="K1802" t="inlineStr">
        <is>
          <t>Collection (optional)</t>
        </is>
      </c>
      <c r="L1802" t="n">
        <v>14</v>
      </c>
      <c r="M1802" t="n">
        <v>15</v>
      </c>
      <c r="N1802" t="n">
        <v>17</v>
      </c>
      <c r="O1802" t="inlineStr">
        <is>
          <t>2026-10-05 UTC (WFM pull 02:52-04:00)</t>
        </is>
      </c>
      <c r="P1802" t="inlineStr">
        <is>
          <t>OK</t>
        </is>
      </c>
      <c r="R1802" t="inlineStr">
        <is>
          <t>Arcanes share across items like mods (one max-rank copy covers every build).</t>
        </is>
      </c>
      <c r="S1802" t="inlineStr">
        <is>
          <t>melee_fortification</t>
        </is>
      </c>
      <c r="T1802" t="n">
        <v>15</v>
      </c>
      <c r="U1802" t="n">
        <v>15</v>
      </c>
      <c r="V1802" t="n">
        <v>14.5</v>
      </c>
      <c r="W1802" t="n">
        <v>15</v>
      </c>
      <c r="X1802" t="n">
        <v>14.2</v>
      </c>
      <c r="Y1802" t="n">
        <v>456</v>
      </c>
      <c r="Z1802" t="n">
        <v>14</v>
      </c>
      <c r="AA1802" t="n">
        <v>5</v>
      </c>
      <c r="AB1802" t="n">
        <v>9</v>
      </c>
      <c r="AQ1802" t="n">
        <v>2</v>
      </c>
      <c r="AR1802" t="n">
        <v>42</v>
      </c>
      <c r="AS1802" t="inlineStr">
        <is>
          <t>Collection (optional)</t>
        </is>
      </c>
    </row>
    <row r="1803">
      <c r="A1803" t="inlineStr">
        <is>
          <t>Arcane</t>
        </is>
      </c>
      <c r="B1803" t="inlineStr">
        <is>
          <t>Melee Influence</t>
        </is>
      </c>
      <c r="E1803" t="inlineStr">
        <is>
          <t>Melee</t>
        </is>
      </c>
      <c r="F1803" t="n">
        <v>5</v>
      </c>
      <c r="G1803" t="n">
        <v>1</v>
      </c>
      <c r="H1803" t="inlineStr">
        <is>
          <t>Player trade (max rank)</t>
        </is>
      </c>
      <c r="I1803" t="inlineStr">
        <is>
          <t>Yes</t>
        </is>
      </c>
      <c r="K1803" t="inlineStr">
        <is>
          <t>Required (v4.2 weapon/exalted builds)</t>
        </is>
      </c>
      <c r="L1803" t="n">
        <v>59</v>
      </c>
      <c r="M1803" t="n">
        <v>65</v>
      </c>
      <c r="N1803" t="n">
        <v>72</v>
      </c>
      <c r="O1803" t="inlineStr">
        <is>
          <t>2026-10-05 UTC (WFM pull 02:52-04:00)</t>
        </is>
      </c>
      <c r="P1803" t="inlineStr">
        <is>
          <t>OK</t>
        </is>
      </c>
      <c r="R1803" t="inlineStr">
        <is>
          <t>Arcanes share across items like mods (one max-rank copy covers every build).</t>
        </is>
      </c>
      <c r="S1803" t="inlineStr">
        <is>
          <t>melee_influence</t>
        </is>
      </c>
      <c r="T1803" t="n">
        <v>45</v>
      </c>
      <c r="U1803" t="n">
        <v>45</v>
      </c>
      <c r="V1803" t="n">
        <v>63</v>
      </c>
      <c r="W1803" t="n">
        <v>65</v>
      </c>
      <c r="X1803" t="n">
        <v>66.2</v>
      </c>
      <c r="Y1803" t="n">
        <v>12312</v>
      </c>
      <c r="Z1803" t="n">
        <v>323</v>
      </c>
      <c r="AA1803" t="n">
        <v>50</v>
      </c>
      <c r="AB1803" t="n">
        <v>9</v>
      </c>
      <c r="AQ1803" t="n">
        <v>4</v>
      </c>
      <c r="AR1803" t="n">
        <v>84</v>
      </c>
      <c r="AS1803" t="inlineStr">
        <is>
          <t>Yes</t>
        </is>
      </c>
    </row>
    <row r="1804">
      <c r="A1804" t="inlineStr">
        <is>
          <t>Arcane</t>
        </is>
      </c>
      <c r="B1804" t="inlineStr">
        <is>
          <t>Melee Retaliation</t>
        </is>
      </c>
      <c r="E1804" t="inlineStr">
        <is>
          <t>Melee</t>
        </is>
      </c>
      <c r="F1804" t="n">
        <v>5</v>
      </c>
      <c r="G1804" t="n">
        <v>1</v>
      </c>
      <c r="H1804" t="inlineStr">
        <is>
          <t>Player trade (max rank)</t>
        </is>
      </c>
      <c r="I1804" t="inlineStr">
        <is>
          <t>Yes</t>
        </is>
      </c>
      <c r="K1804" t="inlineStr">
        <is>
          <t>Collection (optional)</t>
        </is>
      </c>
      <c r="L1804" t="n">
        <v>19</v>
      </c>
      <c r="M1804" t="n">
        <v>20</v>
      </c>
      <c r="N1804" t="n">
        <v>28</v>
      </c>
      <c r="O1804" t="inlineStr">
        <is>
          <t>2026-10-05 UTC (WFM pull 02:52-04:00)</t>
        </is>
      </c>
      <c r="P1804" t="inlineStr">
        <is>
          <t>OK</t>
        </is>
      </c>
      <c r="R1804" t="inlineStr">
        <is>
          <t>Arcanes share across items like mods (one max-rank copy covers every build).</t>
        </is>
      </c>
      <c r="S1804" t="inlineStr">
        <is>
          <t>melee_retaliation</t>
        </is>
      </c>
      <c r="T1804" t="n">
        <v>17</v>
      </c>
      <c r="U1804" t="n">
        <v>17</v>
      </c>
      <c r="V1804" t="n">
        <v>20</v>
      </c>
      <c r="W1804" t="n">
        <v>23</v>
      </c>
      <c r="X1804" t="n">
        <v>22.5</v>
      </c>
      <c r="Y1804" t="n">
        <v>1375</v>
      </c>
      <c r="Z1804" t="n">
        <v>26</v>
      </c>
      <c r="AA1804" t="n">
        <v>5</v>
      </c>
      <c r="AB1804" t="n">
        <v>14</v>
      </c>
      <c r="AQ1804" t="n">
        <v>2</v>
      </c>
      <c r="AR1804" t="n">
        <v>42</v>
      </c>
      <c r="AS1804" t="inlineStr">
        <is>
          <t>Collection (optional)</t>
        </is>
      </c>
    </row>
    <row r="1805">
      <c r="A1805" t="inlineStr">
        <is>
          <t>Arcane</t>
        </is>
      </c>
      <c r="B1805" t="inlineStr">
        <is>
          <t>Melee Vortex</t>
        </is>
      </c>
      <c r="E1805" t="inlineStr">
        <is>
          <t>Melee</t>
        </is>
      </c>
      <c r="F1805" t="n">
        <v>5</v>
      </c>
      <c r="G1805" t="n">
        <v>1</v>
      </c>
      <c r="H1805" t="inlineStr">
        <is>
          <t>Player trade (max rank)</t>
        </is>
      </c>
      <c r="I1805" t="inlineStr">
        <is>
          <t>Yes</t>
        </is>
      </c>
      <c r="K1805" t="inlineStr">
        <is>
          <t>Collection (optional)</t>
        </is>
      </c>
      <c r="L1805" t="n">
        <v>60</v>
      </c>
      <c r="M1805" t="n">
        <v>65</v>
      </c>
      <c r="N1805" t="n">
        <v>77</v>
      </c>
      <c r="O1805" t="inlineStr">
        <is>
          <t>2026-10-05 UTC (WFM pull 02:52-04:00)</t>
        </is>
      </c>
      <c r="P1805" t="inlineStr">
        <is>
          <t>OK</t>
        </is>
      </c>
      <c r="R1805" t="inlineStr">
        <is>
          <t>Arcanes share across items like mods (one max-rank copy covers every build).</t>
        </is>
      </c>
      <c r="S1805" t="inlineStr">
        <is>
          <t>melee_vortex</t>
        </is>
      </c>
      <c r="T1805" t="n">
        <v>16</v>
      </c>
      <c r="U1805" t="n">
        <v>16</v>
      </c>
      <c r="V1805" t="n">
        <v>60</v>
      </c>
      <c r="W1805" t="n">
        <v>60</v>
      </c>
      <c r="X1805" t="n">
        <v>58.4</v>
      </c>
      <c r="Y1805" t="n">
        <v>2006</v>
      </c>
      <c r="Z1805" t="n">
        <v>54</v>
      </c>
      <c r="AA1805" t="n">
        <v>50</v>
      </c>
      <c r="AB1805" t="n">
        <v>10</v>
      </c>
      <c r="AQ1805" t="n">
        <v>4</v>
      </c>
      <c r="AR1805" t="n">
        <v>84</v>
      </c>
      <c r="AS1805" t="inlineStr">
        <is>
          <t>Collection (optional)</t>
        </is>
      </c>
    </row>
    <row r="1806">
      <c r="A1806" t="inlineStr">
        <is>
          <t>Arcane</t>
        </is>
      </c>
      <c r="B1806" t="inlineStr">
        <is>
          <t>Molt Augmented</t>
        </is>
      </c>
      <c r="E1806" t="inlineStr">
        <is>
          <t>Warframe</t>
        </is>
      </c>
      <c r="F1806" t="n">
        <v>5</v>
      </c>
      <c r="G1806" t="n">
        <v>1</v>
      </c>
      <c r="H1806" t="inlineStr">
        <is>
          <t>Player trade (max rank)</t>
        </is>
      </c>
      <c r="I1806" t="inlineStr">
        <is>
          <t>Yes</t>
        </is>
      </c>
      <c r="K1806" t="inlineStr">
        <is>
          <t>Required (v4.2 frame builds)</t>
        </is>
      </c>
      <c r="L1806" t="n">
        <v>35</v>
      </c>
      <c r="M1806" t="n">
        <v>40</v>
      </c>
      <c r="N1806" t="n">
        <v>44</v>
      </c>
      <c r="O1806" t="inlineStr">
        <is>
          <t>2026-10-05 UTC (WFM pull 02:52-04:00)</t>
        </is>
      </c>
      <c r="P1806" t="inlineStr">
        <is>
          <t>OK</t>
        </is>
      </c>
      <c r="R1806" t="inlineStr">
        <is>
          <t>Arcanes share across items like mods (one max-rank copy covers every build).</t>
        </is>
      </c>
      <c r="S1806" t="inlineStr">
        <is>
          <t>molt_augmented</t>
        </is>
      </c>
      <c r="T1806" t="n">
        <v>67</v>
      </c>
      <c r="U1806" t="n">
        <v>67</v>
      </c>
      <c r="V1806" t="n">
        <v>40</v>
      </c>
      <c r="W1806" t="n">
        <v>49</v>
      </c>
      <c r="X1806" t="n">
        <v>45.2</v>
      </c>
      <c r="Y1806" t="n">
        <v>19940</v>
      </c>
      <c r="Z1806" t="n">
        <v>532</v>
      </c>
      <c r="AA1806" t="n">
        <v>21</v>
      </c>
      <c r="AB1806" t="n">
        <v>14</v>
      </c>
      <c r="AQ1806" t="n">
        <v>3</v>
      </c>
      <c r="AR1806" t="n">
        <v>63</v>
      </c>
      <c r="AS1806" t="inlineStr">
        <is>
          <t>Yes</t>
        </is>
      </c>
    </row>
    <row r="1807">
      <c r="A1807" t="inlineStr">
        <is>
          <t>Arcane</t>
        </is>
      </c>
      <c r="B1807" t="inlineStr">
        <is>
          <t>Molt Efficiency</t>
        </is>
      </c>
      <c r="E1807" t="inlineStr">
        <is>
          <t>Warframe</t>
        </is>
      </c>
      <c r="F1807" t="n">
        <v>5</v>
      </c>
      <c r="G1807" t="n">
        <v>1</v>
      </c>
      <c r="H1807" t="inlineStr">
        <is>
          <t>Player trade (max rank)</t>
        </is>
      </c>
      <c r="I1807" t="inlineStr">
        <is>
          <t>Yes</t>
        </is>
      </c>
      <c r="K1807" t="inlineStr">
        <is>
          <t>Collection (optional)</t>
        </is>
      </c>
      <c r="L1807" t="n">
        <v>28</v>
      </c>
      <c r="M1807" t="n">
        <v>30</v>
      </c>
      <c r="N1807" t="n">
        <v>33</v>
      </c>
      <c r="O1807" t="inlineStr">
        <is>
          <t>2026-10-05 UTC (WFM pull 02:52-04:00)</t>
        </is>
      </c>
      <c r="P1807" t="inlineStr">
        <is>
          <t>OK</t>
        </is>
      </c>
      <c r="R1807" t="inlineStr">
        <is>
          <t>Arcanes share across items like mods (one max-rank copy covers every build).</t>
        </is>
      </c>
      <c r="S1807" t="inlineStr">
        <is>
          <t>molt_efficiency</t>
        </is>
      </c>
      <c r="T1807" t="n">
        <v>26</v>
      </c>
      <c r="U1807" t="n">
        <v>26</v>
      </c>
      <c r="V1807" t="n">
        <v>30</v>
      </c>
      <c r="W1807" t="n">
        <v>30</v>
      </c>
      <c r="X1807" t="n">
        <v>30.2</v>
      </c>
      <c r="Y1807" t="n">
        <v>6315</v>
      </c>
      <c r="Z1807" t="n">
        <v>174</v>
      </c>
      <c r="AA1807" t="n">
        <v>10</v>
      </c>
      <c r="AB1807" t="n">
        <v>18</v>
      </c>
      <c r="AQ1807" t="n">
        <v>3</v>
      </c>
      <c r="AR1807" t="n">
        <v>63</v>
      </c>
      <c r="AS1807" t="inlineStr">
        <is>
          <t>Collection (optional)</t>
        </is>
      </c>
    </row>
    <row r="1808">
      <c r="A1808" t="inlineStr">
        <is>
          <t>Arcane</t>
        </is>
      </c>
      <c r="B1808" t="inlineStr">
        <is>
          <t>Molt Reconstruct</t>
        </is>
      </c>
      <c r="E1808" t="inlineStr">
        <is>
          <t>Warframe</t>
        </is>
      </c>
      <c r="F1808" t="n">
        <v>5</v>
      </c>
      <c r="G1808" t="n">
        <v>1</v>
      </c>
      <c r="H1808" t="inlineStr">
        <is>
          <t>Player trade (max rank)</t>
        </is>
      </c>
      <c r="I1808" t="inlineStr">
        <is>
          <t>Yes</t>
        </is>
      </c>
      <c r="K1808" t="inlineStr">
        <is>
          <t>Collection (optional)</t>
        </is>
      </c>
      <c r="L1808" t="n">
        <v>15</v>
      </c>
      <c r="M1808" t="n">
        <v>20</v>
      </c>
      <c r="N1808" t="n">
        <v>22</v>
      </c>
      <c r="O1808" t="inlineStr">
        <is>
          <t>2026-10-05 UTC (WFM pull 02:52-04:00)</t>
        </is>
      </c>
      <c r="P1808" t="inlineStr">
        <is>
          <t>OK</t>
        </is>
      </c>
      <c r="R1808" t="inlineStr">
        <is>
          <t>Arcanes share across items like mods (one max-rank copy covers every build).</t>
        </is>
      </c>
      <c r="S1808" t="inlineStr">
        <is>
          <t>molt_reconstruct</t>
        </is>
      </c>
      <c r="T1808" t="n">
        <v>27</v>
      </c>
      <c r="U1808" t="n">
        <v>27</v>
      </c>
      <c r="V1808" t="n">
        <v>20</v>
      </c>
      <c r="W1808" t="n">
        <v>20</v>
      </c>
      <c r="X1808" t="n">
        <v>21.5</v>
      </c>
      <c r="Y1808" t="n">
        <v>2756</v>
      </c>
      <c r="Z1808" t="n">
        <v>39</v>
      </c>
      <c r="AQ1808" t="n">
        <v>2</v>
      </c>
      <c r="AR1808" t="n">
        <v>42</v>
      </c>
      <c r="AS1808" t="inlineStr">
        <is>
          <t>Collection (optional)</t>
        </is>
      </c>
    </row>
    <row r="1809">
      <c r="A1809" t="inlineStr">
        <is>
          <t>Arcane</t>
        </is>
      </c>
      <c r="B1809" t="inlineStr">
        <is>
          <t>Molt Vigor</t>
        </is>
      </c>
      <c r="E1809" t="inlineStr">
        <is>
          <t>Warframe</t>
        </is>
      </c>
      <c r="F1809" t="n">
        <v>5</v>
      </c>
      <c r="G1809" t="n">
        <v>1</v>
      </c>
      <c r="H1809" t="inlineStr">
        <is>
          <t>Player trade (max rank)</t>
        </is>
      </c>
      <c r="I1809" t="inlineStr">
        <is>
          <t>Yes</t>
        </is>
      </c>
      <c r="K1809" t="inlineStr">
        <is>
          <t>Collection (optional)</t>
        </is>
      </c>
      <c r="L1809" t="n">
        <v>19</v>
      </c>
      <c r="M1809" t="n">
        <v>23</v>
      </c>
      <c r="N1809" t="n">
        <v>28</v>
      </c>
      <c r="O1809" t="inlineStr">
        <is>
          <t>2026-10-05 UTC (WFM pull 02:52-04:00)</t>
        </is>
      </c>
      <c r="P1809" t="inlineStr">
        <is>
          <t>OK</t>
        </is>
      </c>
      <c r="R1809" t="inlineStr">
        <is>
          <t>Arcanes share across items like mods (one max-rank copy covers every build).</t>
        </is>
      </c>
      <c r="S1809" t="inlineStr">
        <is>
          <t>molt_vigor</t>
        </is>
      </c>
      <c r="T1809" t="n">
        <v>24</v>
      </c>
      <c r="U1809" t="n">
        <v>24</v>
      </c>
      <c r="V1809" t="n">
        <v>23</v>
      </c>
      <c r="W1809" t="n">
        <v>24</v>
      </c>
      <c r="X1809" t="n">
        <v>23.1</v>
      </c>
      <c r="Y1809" t="n">
        <v>3810</v>
      </c>
      <c r="Z1809" t="n">
        <v>72</v>
      </c>
      <c r="AA1809" t="n">
        <v>18</v>
      </c>
      <c r="AB1809" t="n">
        <v>1</v>
      </c>
      <c r="AQ1809" t="n">
        <v>2</v>
      </c>
      <c r="AR1809" t="n">
        <v>42</v>
      </c>
      <c r="AS1809" t="inlineStr">
        <is>
          <t>Collection (optional)</t>
        </is>
      </c>
    </row>
    <row r="1810">
      <c r="A1810" t="inlineStr">
        <is>
          <t>Arcane</t>
        </is>
      </c>
      <c r="B1810" t="inlineStr">
        <is>
          <t>Pax Bolt</t>
        </is>
      </c>
      <c r="E1810" t="inlineStr">
        <is>
          <t>Kitgun</t>
        </is>
      </c>
      <c r="F1810" t="n">
        <v>3</v>
      </c>
      <c r="G1810" t="n">
        <v>1</v>
      </c>
      <c r="H1810" t="inlineStr">
        <is>
          <t>Player trade (max rank)</t>
        </is>
      </c>
      <c r="I1810" t="inlineStr">
        <is>
          <t>Yes</t>
        </is>
      </c>
      <c r="K1810" t="inlineStr">
        <is>
          <t>Collection (optional)</t>
        </is>
      </c>
      <c r="L1810" t="n">
        <v>35</v>
      </c>
      <c r="M1810" t="n">
        <v>50</v>
      </c>
      <c r="N1810" t="n">
        <v>83</v>
      </c>
      <c r="O1810" t="inlineStr">
        <is>
          <t>2026-10-05 UTC (WFM pull 02:52-04:00)</t>
        </is>
      </c>
      <c r="P1810" t="inlineStr">
        <is>
          <t>OK</t>
        </is>
      </c>
      <c r="Q1810" t="inlineStr">
        <is>
          <t>Cheaper via 10x R0 (40p realistic) than buying max rank</t>
        </is>
      </c>
      <c r="R1810" t="inlineStr">
        <is>
          <t>Arcanes share across items like mods (one max-rank copy covers every build).</t>
        </is>
      </c>
      <c r="S1810" t="inlineStr">
        <is>
          <t>pax_bolt</t>
        </is>
      </c>
      <c r="T1810" t="n">
        <v>7</v>
      </c>
      <c r="U1810" t="n">
        <v>7</v>
      </c>
      <c r="V1810" t="n">
        <v>35</v>
      </c>
      <c r="W1810" t="n">
        <v>37.5</v>
      </c>
      <c r="X1810" t="n">
        <v>36.8</v>
      </c>
      <c r="Y1810" t="n">
        <v>133</v>
      </c>
      <c r="Z1810" t="n">
        <v>6</v>
      </c>
      <c r="AA1810" t="n">
        <v>20</v>
      </c>
      <c r="AB1810" t="n">
        <v>15</v>
      </c>
      <c r="AQ1810" t="n">
        <v>4</v>
      </c>
      <c r="AR1810" t="n">
        <v>40</v>
      </c>
      <c r="AS1810" t="inlineStr">
        <is>
          <t>Collection (optional)</t>
        </is>
      </c>
    </row>
    <row r="1811">
      <c r="A1811" t="inlineStr">
        <is>
          <t>Arcane</t>
        </is>
      </c>
      <c r="B1811" t="inlineStr">
        <is>
          <t>Pax Charge</t>
        </is>
      </c>
      <c r="E1811" t="inlineStr">
        <is>
          <t>Kitgun</t>
        </is>
      </c>
      <c r="F1811" t="n">
        <v>3</v>
      </c>
      <c r="G1811" t="n">
        <v>1</v>
      </c>
      <c r="H1811" t="inlineStr">
        <is>
          <t>Player trade (max rank)</t>
        </is>
      </c>
      <c r="I1811" t="inlineStr">
        <is>
          <t>Yes</t>
        </is>
      </c>
      <c r="K1811" t="inlineStr">
        <is>
          <t>Collection (optional)</t>
        </is>
      </c>
      <c r="L1811" t="n">
        <v>49</v>
      </c>
      <c r="M1811" t="n">
        <v>50</v>
      </c>
      <c r="N1811" t="n">
        <v>66</v>
      </c>
      <c r="O1811" t="inlineStr">
        <is>
          <t>2026-10-05 UTC (WFM pull 02:52-04:00)</t>
        </is>
      </c>
      <c r="P1811" t="inlineStr">
        <is>
          <t>OK</t>
        </is>
      </c>
      <c r="R1811" t="inlineStr">
        <is>
          <t>Arcanes share across items like mods (one max-rank copy covers every build).</t>
        </is>
      </c>
      <c r="S1811" t="inlineStr">
        <is>
          <t>pax_charge</t>
        </is>
      </c>
      <c r="T1811" t="n">
        <v>8</v>
      </c>
      <c r="U1811" t="n">
        <v>8</v>
      </c>
      <c r="V1811" t="n">
        <v>40</v>
      </c>
      <c r="W1811" t="n">
        <v>44</v>
      </c>
      <c r="X1811" t="n">
        <v>43.6</v>
      </c>
      <c r="Y1811" t="n">
        <v>1527</v>
      </c>
      <c r="Z1811" t="n">
        <v>43</v>
      </c>
      <c r="AA1811" t="n">
        <v>30</v>
      </c>
      <c r="AB1811" t="n">
        <v>19</v>
      </c>
      <c r="AQ1811" t="n">
        <v>5</v>
      </c>
      <c r="AR1811" t="n">
        <v>50</v>
      </c>
      <c r="AS1811" t="inlineStr">
        <is>
          <t>Collection (optional)</t>
        </is>
      </c>
    </row>
    <row r="1812">
      <c r="A1812" t="inlineStr">
        <is>
          <t>Arcane</t>
        </is>
      </c>
      <c r="B1812" t="inlineStr">
        <is>
          <t>Pax Seeker</t>
        </is>
      </c>
      <c r="E1812" t="inlineStr">
        <is>
          <t>Kitgun</t>
        </is>
      </c>
      <c r="F1812" t="n">
        <v>3</v>
      </c>
      <c r="G1812" t="n">
        <v>1</v>
      </c>
      <c r="H1812" t="inlineStr">
        <is>
          <t>Player trade (max rank)</t>
        </is>
      </c>
      <c r="I1812" t="inlineStr">
        <is>
          <t>Yes</t>
        </is>
      </c>
      <c r="K1812" t="inlineStr">
        <is>
          <t>Collection (optional)</t>
        </is>
      </c>
      <c r="L1812" t="n">
        <v>49</v>
      </c>
      <c r="M1812" t="n">
        <v>69</v>
      </c>
      <c r="N1812" t="n">
        <v>152</v>
      </c>
      <c r="O1812" t="inlineStr">
        <is>
          <t>2026-10-05 UTC (WFM pull 02:52-04:00)</t>
        </is>
      </c>
      <c r="P1812" t="inlineStr">
        <is>
          <t>OK</t>
        </is>
      </c>
      <c r="Q1812" t="inlineStr">
        <is>
          <t>Cheaper via 10x R0 (30p realistic) than buying max rank</t>
        </is>
      </c>
      <c r="R1812" t="inlineStr">
        <is>
          <t>Arcanes share across items like mods (one max-rank copy covers every build).</t>
        </is>
      </c>
      <c r="S1812" t="inlineStr">
        <is>
          <t>pax_seeker</t>
        </is>
      </c>
      <c r="T1812" t="n">
        <v>5</v>
      </c>
      <c r="U1812" t="n">
        <v>5</v>
      </c>
      <c r="V1812" t="n">
        <v>50</v>
      </c>
      <c r="W1812" t="n">
        <v>50</v>
      </c>
      <c r="X1812" t="n">
        <v>52.8</v>
      </c>
      <c r="Y1812" t="n">
        <v>464</v>
      </c>
      <c r="Z1812" t="n">
        <v>13</v>
      </c>
      <c r="AA1812" t="n">
        <v>15</v>
      </c>
      <c r="AB1812" t="n">
        <v>34</v>
      </c>
      <c r="AQ1812" t="n">
        <v>3</v>
      </c>
      <c r="AR1812" t="n">
        <v>30</v>
      </c>
      <c r="AS1812" t="inlineStr">
        <is>
          <t>Collection (optional)</t>
        </is>
      </c>
    </row>
    <row r="1813">
      <c r="A1813" t="inlineStr">
        <is>
          <t>Arcane</t>
        </is>
      </c>
      <c r="B1813" t="inlineStr">
        <is>
          <t>Pax Soar</t>
        </is>
      </c>
      <c r="E1813" t="inlineStr">
        <is>
          <t>Kitgun</t>
        </is>
      </c>
      <c r="F1813" t="n">
        <v>3</v>
      </c>
      <c r="G1813" t="n">
        <v>1</v>
      </c>
      <c r="H1813" t="inlineStr">
        <is>
          <t>Player trade (max rank)</t>
        </is>
      </c>
      <c r="I1813" t="inlineStr">
        <is>
          <t>Yes</t>
        </is>
      </c>
      <c r="K1813" t="inlineStr">
        <is>
          <t>Collection (optional)</t>
        </is>
      </c>
      <c r="L1813" t="n">
        <v>25</v>
      </c>
      <c r="M1813" t="n">
        <v>40</v>
      </c>
      <c r="N1813" t="n">
        <v>88</v>
      </c>
      <c r="O1813" t="inlineStr">
        <is>
          <t>2026-10-05 UTC (WFM pull 02:52-04:00)</t>
        </is>
      </c>
      <c r="P1813" t="inlineStr">
        <is>
          <t>OK</t>
        </is>
      </c>
      <c r="R1813" t="inlineStr">
        <is>
          <t>Arcanes share across items like mods (one max-rank copy covers every build).</t>
        </is>
      </c>
      <c r="S1813" t="inlineStr">
        <is>
          <t>pax_soar</t>
        </is>
      </c>
      <c r="T1813" t="n">
        <v>6</v>
      </c>
      <c r="U1813" t="n">
        <v>6</v>
      </c>
      <c r="V1813" t="n">
        <v>30</v>
      </c>
      <c r="W1813" t="n">
        <v>30</v>
      </c>
      <c r="X1813" t="n">
        <v>33.4</v>
      </c>
      <c r="Y1813" t="n">
        <v>47</v>
      </c>
      <c r="Z1813" t="n">
        <v>6</v>
      </c>
      <c r="AA1813" t="n">
        <v>15</v>
      </c>
      <c r="AB1813" t="n">
        <v>10</v>
      </c>
      <c r="AQ1813" t="n">
        <v>4</v>
      </c>
      <c r="AR1813" t="n">
        <v>40</v>
      </c>
      <c r="AS1813" t="inlineStr">
        <is>
          <t>Collection (optional)</t>
        </is>
      </c>
    </row>
    <row r="1814">
      <c r="A1814" t="inlineStr">
        <is>
          <t>Arcane</t>
        </is>
      </c>
      <c r="B1814" t="inlineStr">
        <is>
          <t>Peculiar Audience</t>
        </is>
      </c>
      <c r="E1814" t="inlineStr">
        <is>
          <t>mod,peculiar,warframe</t>
        </is>
      </c>
      <c r="F1814" t="n">
        <v>5</v>
      </c>
      <c r="G1814" t="n">
        <v>1</v>
      </c>
      <c r="H1814" t="inlineStr">
        <is>
          <t>Player trade (max rank)</t>
        </is>
      </c>
      <c r="I1814" t="inlineStr">
        <is>
          <t>Yes</t>
        </is>
      </c>
      <c r="K1814" t="inlineStr">
        <is>
          <t>Collection (optional)</t>
        </is>
      </c>
      <c r="L1814" t="n">
        <v>44</v>
      </c>
      <c r="M1814" t="n">
        <v>44</v>
      </c>
      <c r="N1814" t="n">
        <v>56</v>
      </c>
      <c r="O1814" t="inlineStr">
        <is>
          <t>2026-10-05 UTC (WFM pull 02:52-04:00)</t>
        </is>
      </c>
      <c r="P1814" t="inlineStr">
        <is>
          <t>OK</t>
        </is>
      </c>
      <c r="R1814" t="inlineStr">
        <is>
          <t>Arcanes share across items like mods (one max-rank copy covers every build).</t>
        </is>
      </c>
      <c r="S1814" t="inlineStr">
        <is>
          <t>peculiar_audience</t>
        </is>
      </c>
      <c r="T1814" t="n">
        <v>3</v>
      </c>
      <c r="U1814" t="n">
        <v>3</v>
      </c>
      <c r="V1814" t="n">
        <v>18</v>
      </c>
      <c r="W1814" t="n">
        <v>20</v>
      </c>
      <c r="X1814" t="n">
        <v>22.6</v>
      </c>
      <c r="Y1814" t="n">
        <v>98</v>
      </c>
      <c r="Z1814" t="n">
        <v>6</v>
      </c>
      <c r="AQ1814" t="n">
        <v>10</v>
      </c>
      <c r="AR1814" t="n">
        <v>210</v>
      </c>
      <c r="AS1814" t="inlineStr">
        <is>
          <t>Collection (optional)</t>
        </is>
      </c>
    </row>
    <row r="1815">
      <c r="A1815" t="inlineStr">
        <is>
          <t>Arcane</t>
        </is>
      </c>
      <c r="B1815" t="inlineStr">
        <is>
          <t>Peculiar Bloom</t>
        </is>
      </c>
      <c r="E1815" t="inlineStr">
        <is>
          <t>mod,peculiar,warframe</t>
        </is>
      </c>
      <c r="F1815" t="n">
        <v>5</v>
      </c>
      <c r="G1815" t="n">
        <v>1</v>
      </c>
      <c r="H1815" t="inlineStr">
        <is>
          <t>Player trade (max rank)</t>
        </is>
      </c>
      <c r="I1815" t="inlineStr">
        <is>
          <t>Yes</t>
        </is>
      </c>
      <c r="K1815" t="inlineStr">
        <is>
          <t>Collection (optional)</t>
        </is>
      </c>
      <c r="L1815" t="n">
        <v>30</v>
      </c>
      <c r="M1815" t="n">
        <v>39</v>
      </c>
      <c r="N1815" t="n">
        <v>86</v>
      </c>
      <c r="O1815" t="inlineStr">
        <is>
          <t>2026-10-05 UTC (WFM pull 02:52-04:00)</t>
        </is>
      </c>
      <c r="P1815" t="inlineStr">
        <is>
          <t>OK</t>
        </is>
      </c>
      <c r="R1815" t="inlineStr">
        <is>
          <t>Arcanes share across items like mods (one max-rank copy covers every build).</t>
        </is>
      </c>
      <c r="S1815" t="inlineStr">
        <is>
          <t>peculiar_bloom</t>
        </is>
      </c>
      <c r="T1815" t="n">
        <v>4</v>
      </c>
      <c r="U1815" t="n">
        <v>4</v>
      </c>
      <c r="V1815" t="n">
        <v>26</v>
      </c>
      <c r="W1815" t="n">
        <v>30</v>
      </c>
      <c r="X1815" t="n">
        <v>32.7</v>
      </c>
      <c r="Y1815" t="n">
        <v>46</v>
      </c>
      <c r="Z1815" t="n">
        <v>1</v>
      </c>
      <c r="AQ1815" t="n">
        <v>20</v>
      </c>
      <c r="AR1815" t="n">
        <v>420</v>
      </c>
      <c r="AS1815" t="inlineStr">
        <is>
          <t>Collection (optional)</t>
        </is>
      </c>
    </row>
    <row r="1816">
      <c r="A1816" t="inlineStr">
        <is>
          <t>Arcane</t>
        </is>
      </c>
      <c r="B1816" t="inlineStr">
        <is>
          <t>Peculiar End</t>
        </is>
      </c>
      <c r="E1816" t="inlineStr">
        <is>
          <t>mod,peculiar,warframe</t>
        </is>
      </c>
      <c r="F1816" t="n">
        <v>5</v>
      </c>
      <c r="G1816" t="n">
        <v>1</v>
      </c>
      <c r="H1816" t="inlineStr">
        <is>
          <t>Player trade (max rank)</t>
        </is>
      </c>
      <c r="I1816" t="inlineStr">
        <is>
          <t>Yes</t>
        </is>
      </c>
      <c r="K1816" t="inlineStr">
        <is>
          <t>Collection (optional)</t>
        </is>
      </c>
      <c r="L1816" t="n">
        <v>40</v>
      </c>
      <c r="M1816" t="n">
        <v>45</v>
      </c>
      <c r="N1816" t="n">
        <v>56</v>
      </c>
      <c r="O1816" t="inlineStr">
        <is>
          <t>2026-10-05 UTC (WFM pull 02:52-04:00)</t>
        </is>
      </c>
      <c r="P1816" t="inlineStr">
        <is>
          <t>OK</t>
        </is>
      </c>
      <c r="R1816" t="inlineStr">
        <is>
          <t>Arcanes share across items like mods (one max-rank copy covers every build).</t>
        </is>
      </c>
      <c r="S1816" t="inlineStr">
        <is>
          <t>peculiar_end</t>
        </is>
      </c>
      <c r="T1816" t="n">
        <v>27</v>
      </c>
      <c r="U1816" t="n">
        <v>2</v>
      </c>
      <c r="V1816" t="n">
        <v>42.5</v>
      </c>
      <c r="W1816" t="n">
        <v>47.5</v>
      </c>
      <c r="X1816" t="n">
        <v>48</v>
      </c>
      <c r="Y1816" t="n">
        <v>47</v>
      </c>
      <c r="Z1816" t="n">
        <v>2</v>
      </c>
      <c r="AQ1816" t="n">
        <v>45</v>
      </c>
      <c r="AR1816" t="n">
        <v>945</v>
      </c>
      <c r="AS1816" t="inlineStr">
        <is>
          <t>Collection (optional)</t>
        </is>
      </c>
    </row>
    <row r="1817">
      <c r="A1817" t="inlineStr">
        <is>
          <t>Arcane</t>
        </is>
      </c>
      <c r="B1817" t="inlineStr">
        <is>
          <t>Peculiar Growth</t>
        </is>
      </c>
      <c r="E1817" t="inlineStr">
        <is>
          <t>mod,peculiar,warframe</t>
        </is>
      </c>
      <c r="F1817" t="n">
        <v>5</v>
      </c>
      <c r="G1817" t="n">
        <v>1</v>
      </c>
      <c r="H1817" t="inlineStr">
        <is>
          <t>Player trade (max rank)</t>
        </is>
      </c>
      <c r="I1817" t="inlineStr">
        <is>
          <t>Yes</t>
        </is>
      </c>
      <c r="K1817" t="inlineStr">
        <is>
          <t>Collection (optional)</t>
        </is>
      </c>
      <c r="L1817" t="n">
        <v>20</v>
      </c>
      <c r="M1817" t="n">
        <v>25</v>
      </c>
      <c r="N1817" t="n">
        <v>33</v>
      </c>
      <c r="O1817" t="inlineStr">
        <is>
          <t>2026-10-05 UTC (WFM pull 02:52-04:00)</t>
        </is>
      </c>
      <c r="P1817" t="inlineStr">
        <is>
          <t>OK</t>
        </is>
      </c>
      <c r="R1817" t="inlineStr">
        <is>
          <t>Arcanes share across items like mods (one max-rank copy covers every build).</t>
        </is>
      </c>
      <c r="S1817" t="inlineStr">
        <is>
          <t>peculiar_growth</t>
        </is>
      </c>
      <c r="T1817" t="n">
        <v>44</v>
      </c>
      <c r="U1817" t="n">
        <v>1</v>
      </c>
      <c r="V1817" t="n">
        <v>25</v>
      </c>
      <c r="W1817" t="n">
        <v>20</v>
      </c>
      <c r="X1817" t="n">
        <v>22.4</v>
      </c>
      <c r="Y1817" t="n">
        <v>52</v>
      </c>
      <c r="Z1817" t="n">
        <v>0</v>
      </c>
      <c r="AQ1817" t="n">
        <v>30</v>
      </c>
      <c r="AR1817" t="n">
        <v>630</v>
      </c>
      <c r="AS1817" t="inlineStr">
        <is>
          <t>Collection (optional)</t>
        </is>
      </c>
    </row>
    <row r="1818">
      <c r="A1818" t="inlineStr">
        <is>
          <t>Arcane</t>
        </is>
      </c>
      <c r="B1818" t="inlineStr">
        <is>
          <t>Primary Blight</t>
        </is>
      </c>
      <c r="E1818" t="inlineStr">
        <is>
          <t>Primary</t>
        </is>
      </c>
      <c r="F1818" t="n">
        <v>5</v>
      </c>
      <c r="G1818" t="n">
        <v>1</v>
      </c>
      <c r="H1818" t="inlineStr">
        <is>
          <t>Player trade (max rank)</t>
        </is>
      </c>
      <c r="I1818" t="inlineStr">
        <is>
          <t>Yes</t>
        </is>
      </c>
      <c r="K1818" t="inlineStr">
        <is>
          <t>Collection (optional)</t>
        </is>
      </c>
      <c r="L1818" t="n">
        <v>59</v>
      </c>
      <c r="M1818" t="n">
        <v>60</v>
      </c>
      <c r="N1818" t="n">
        <v>77</v>
      </c>
      <c r="O1818" t="inlineStr">
        <is>
          <t>2026-10-05 UTC (WFM pull 02:52-04:00)</t>
        </is>
      </c>
      <c r="P1818" t="inlineStr">
        <is>
          <t>OK</t>
        </is>
      </c>
      <c r="R1818" t="inlineStr">
        <is>
          <t>Arcanes share across items like mods (one max-rank copy covers every build).</t>
        </is>
      </c>
      <c r="S1818" t="inlineStr">
        <is>
          <t>primary_blight</t>
        </is>
      </c>
      <c r="T1818" t="n">
        <v>12</v>
      </c>
      <c r="U1818" t="n">
        <v>12</v>
      </c>
      <c r="V1818" t="n">
        <v>50</v>
      </c>
      <c r="W1818" t="n">
        <v>53</v>
      </c>
      <c r="X1818" t="n">
        <v>52.6</v>
      </c>
      <c r="Y1818" t="n">
        <v>6044</v>
      </c>
      <c r="Z1818" t="n">
        <v>129</v>
      </c>
      <c r="AA1818" t="n">
        <v>45</v>
      </c>
      <c r="AB1818" t="n">
        <v>14</v>
      </c>
      <c r="AQ1818" t="n">
        <v>5</v>
      </c>
      <c r="AR1818" t="n">
        <v>105</v>
      </c>
      <c r="AS1818" t="inlineStr">
        <is>
          <t>Collection (optional)</t>
        </is>
      </c>
    </row>
    <row r="1819">
      <c r="A1819" t="inlineStr">
        <is>
          <t>Arcane</t>
        </is>
      </c>
      <c r="B1819" t="inlineStr">
        <is>
          <t>Primary Bulwark</t>
        </is>
      </c>
      <c r="E1819" t="inlineStr">
        <is>
          <t>Primary</t>
        </is>
      </c>
      <c r="F1819" t="n">
        <v>5</v>
      </c>
      <c r="G1819" t="n">
        <v>1</v>
      </c>
      <c r="H1819" t="inlineStr">
        <is>
          <t>Player trade (max rank)</t>
        </is>
      </c>
      <c r="I1819" t="inlineStr">
        <is>
          <t>Yes</t>
        </is>
      </c>
      <c r="K1819" t="inlineStr">
        <is>
          <t>Collection (optional)</t>
        </is>
      </c>
      <c r="L1819" t="n">
        <v>39</v>
      </c>
      <c r="M1819" t="n">
        <v>40</v>
      </c>
      <c r="N1819" t="n">
        <v>44</v>
      </c>
      <c r="O1819" t="inlineStr">
        <is>
          <t>2026-10-05 UTC (WFM pull 02:52-04:00)</t>
        </is>
      </c>
      <c r="P1819" t="inlineStr">
        <is>
          <t>OK</t>
        </is>
      </c>
      <c r="R1819" t="inlineStr">
        <is>
          <t>Arcanes share across items like mods (one max-rank copy covers every build).</t>
        </is>
      </c>
      <c r="S1819" t="inlineStr">
        <is>
          <t>primary_bulwark</t>
        </is>
      </c>
      <c r="T1819" t="n">
        <v>17</v>
      </c>
      <c r="U1819" t="n">
        <v>17</v>
      </c>
      <c r="V1819" t="n">
        <v>35</v>
      </c>
      <c r="W1819" t="n">
        <v>30</v>
      </c>
      <c r="X1819" t="n">
        <v>32.2</v>
      </c>
      <c r="Y1819" t="n">
        <v>3334</v>
      </c>
      <c r="Z1819" t="n">
        <v>75</v>
      </c>
      <c r="AA1819" t="n">
        <v>20</v>
      </c>
      <c r="AB1819" t="n">
        <v>19</v>
      </c>
      <c r="AQ1819" t="n">
        <v>3</v>
      </c>
      <c r="AR1819" t="n">
        <v>63</v>
      </c>
      <c r="AS1819" t="inlineStr">
        <is>
          <t>Collection (optional)</t>
        </is>
      </c>
    </row>
    <row r="1820">
      <c r="A1820" t="inlineStr">
        <is>
          <t>Arcane</t>
        </is>
      </c>
      <c r="B1820" t="inlineStr">
        <is>
          <t>Primary Compression</t>
        </is>
      </c>
      <c r="E1820" t="inlineStr">
        <is>
          <t>Primary</t>
        </is>
      </c>
      <c r="F1820" t="n">
        <v>5</v>
      </c>
      <c r="G1820" t="n">
        <v>1</v>
      </c>
      <c r="H1820" t="inlineStr">
        <is>
          <t>Player trade (max rank)</t>
        </is>
      </c>
      <c r="I1820" t="inlineStr">
        <is>
          <t>Yes</t>
        </is>
      </c>
      <c r="K1820" t="inlineStr">
        <is>
          <t>Collection (optional)</t>
        </is>
      </c>
      <c r="L1820" t="n">
        <v>180</v>
      </c>
      <c r="M1820" t="n">
        <v>190</v>
      </c>
      <c r="N1820" t="n">
        <v>237</v>
      </c>
      <c r="O1820" t="inlineStr">
        <is>
          <t>2026-10-05 UTC (WFM pull 02:52-04:00)</t>
        </is>
      </c>
      <c r="P1820" t="inlineStr">
        <is>
          <t>OK</t>
        </is>
      </c>
      <c r="R1820" t="inlineStr">
        <is>
          <t>Arcanes share across items like mods (one max-rank copy covers every build).</t>
        </is>
      </c>
      <c r="S1820" t="inlineStr">
        <is>
          <t>primary_compression</t>
        </is>
      </c>
      <c r="T1820" t="n">
        <v>17</v>
      </c>
      <c r="U1820" t="n">
        <v>17</v>
      </c>
      <c r="V1820" t="n">
        <v>215</v>
      </c>
      <c r="W1820" t="n">
        <v>170</v>
      </c>
      <c r="X1820" t="n">
        <v>179.9</v>
      </c>
      <c r="Y1820" t="n">
        <v>8089</v>
      </c>
      <c r="Z1820" t="n">
        <v>177</v>
      </c>
      <c r="AA1820" t="n">
        <v>170</v>
      </c>
      <c r="AB1820" t="n">
        <v>10</v>
      </c>
      <c r="AQ1820" t="n">
        <v>10</v>
      </c>
      <c r="AR1820" t="n">
        <v>210</v>
      </c>
      <c r="AS1820" t="inlineStr">
        <is>
          <t>Collection (optional)</t>
        </is>
      </c>
    </row>
    <row r="1821">
      <c r="A1821" t="inlineStr">
        <is>
          <t>Arcane</t>
        </is>
      </c>
      <c r="B1821" t="inlineStr">
        <is>
          <t>Primary Crux</t>
        </is>
      </c>
      <c r="E1821" t="inlineStr">
        <is>
          <t>Primary</t>
        </is>
      </c>
      <c r="F1821" t="n">
        <v>5</v>
      </c>
      <c r="G1821" t="n">
        <v>1</v>
      </c>
      <c r="H1821" t="inlineStr">
        <is>
          <t>Player trade (max rank)</t>
        </is>
      </c>
      <c r="I1821" t="inlineStr">
        <is>
          <t>Yes</t>
        </is>
      </c>
      <c r="K1821" t="inlineStr">
        <is>
          <t>Collection (optional)</t>
        </is>
      </c>
      <c r="L1821" t="n">
        <v>25</v>
      </c>
      <c r="M1821" t="n">
        <v>29</v>
      </c>
      <c r="N1821" t="n">
        <v>33</v>
      </c>
      <c r="O1821" t="inlineStr">
        <is>
          <t>2026-10-05 UTC (WFM pull 02:52-04:00)</t>
        </is>
      </c>
      <c r="P1821" t="inlineStr">
        <is>
          <t>OK</t>
        </is>
      </c>
      <c r="R1821" t="inlineStr">
        <is>
          <t>Arcanes share across items like mods (one max-rank copy covers every build).</t>
        </is>
      </c>
      <c r="S1821" t="inlineStr">
        <is>
          <t>primary_crux</t>
        </is>
      </c>
      <c r="T1821" t="n">
        <v>28</v>
      </c>
      <c r="U1821" t="n">
        <v>28</v>
      </c>
      <c r="V1821" t="n">
        <v>25</v>
      </c>
      <c r="W1821" t="n">
        <v>25</v>
      </c>
      <c r="X1821" t="n">
        <v>25.8</v>
      </c>
      <c r="Y1821" t="n">
        <v>6246</v>
      </c>
      <c r="Z1821" t="n">
        <v>70</v>
      </c>
      <c r="AA1821" t="n">
        <v>8</v>
      </c>
      <c r="AB1821" t="n">
        <v>17</v>
      </c>
      <c r="AQ1821" t="n">
        <v>2</v>
      </c>
      <c r="AR1821" t="n">
        <v>42</v>
      </c>
      <c r="AS1821" t="inlineStr">
        <is>
          <t>Collection (optional)</t>
        </is>
      </c>
    </row>
    <row r="1822">
      <c r="A1822" t="inlineStr">
        <is>
          <t>Arcane</t>
        </is>
      </c>
      <c r="B1822" t="inlineStr">
        <is>
          <t>Primary Deadhead</t>
        </is>
      </c>
      <c r="E1822" t="inlineStr">
        <is>
          <t>Primary</t>
        </is>
      </c>
      <c r="F1822" t="n">
        <v>5</v>
      </c>
      <c r="G1822" t="n">
        <v>1</v>
      </c>
      <c r="H1822" t="inlineStr">
        <is>
          <t>Player trade (max rank)</t>
        </is>
      </c>
      <c r="I1822" t="inlineStr">
        <is>
          <t>Yes</t>
        </is>
      </c>
      <c r="K1822" t="inlineStr">
        <is>
          <t>Required (v4.2 weapon/exalted builds)</t>
        </is>
      </c>
      <c r="L1822" t="n">
        <v>13</v>
      </c>
      <c r="M1822" t="n">
        <v>13</v>
      </c>
      <c r="N1822" t="n">
        <v>17</v>
      </c>
      <c r="O1822" t="inlineStr">
        <is>
          <t>2026-10-05 UTC (WFM pull 02:52-04:00)</t>
        </is>
      </c>
      <c r="P1822" t="inlineStr">
        <is>
          <t>OK</t>
        </is>
      </c>
      <c r="R1822" t="inlineStr">
        <is>
          <t>Arcanes share across items like mods (one max-rank copy covers every build).</t>
        </is>
      </c>
      <c r="S1822" t="inlineStr">
        <is>
          <t>primary_deadhead</t>
        </is>
      </c>
      <c r="T1822" t="n">
        <v>38</v>
      </c>
      <c r="U1822" t="n">
        <v>38</v>
      </c>
      <c r="V1822" t="n">
        <v>15</v>
      </c>
      <c r="W1822" t="n">
        <v>15</v>
      </c>
      <c r="X1822" t="n">
        <v>14.1</v>
      </c>
      <c r="Y1822" t="n">
        <v>7566</v>
      </c>
      <c r="Z1822" t="n">
        <v>174</v>
      </c>
      <c r="AA1822" t="n">
        <v>40</v>
      </c>
      <c r="AB1822" t="n">
        <v>-27</v>
      </c>
      <c r="AQ1822" t="n">
        <v>2</v>
      </c>
      <c r="AR1822" t="n">
        <v>42</v>
      </c>
      <c r="AS1822" t="inlineStr">
        <is>
          <t>Yes</t>
        </is>
      </c>
    </row>
    <row r="1823">
      <c r="A1823" t="inlineStr">
        <is>
          <t>Arcane</t>
        </is>
      </c>
      <c r="B1823" t="inlineStr">
        <is>
          <t>Primary Debilitate</t>
        </is>
      </c>
      <c r="E1823" t="inlineStr">
        <is>
          <t>Primary</t>
        </is>
      </c>
      <c r="F1823" t="n">
        <v>5</v>
      </c>
      <c r="G1823" t="n">
        <v>1</v>
      </c>
      <c r="H1823" t="inlineStr">
        <is>
          <t>Player trade (max rank)</t>
        </is>
      </c>
      <c r="I1823" t="inlineStr">
        <is>
          <t>Yes</t>
        </is>
      </c>
      <c r="K1823" t="inlineStr">
        <is>
          <t>Collection (optional)</t>
        </is>
      </c>
      <c r="L1823" t="n">
        <v>40</v>
      </c>
      <c r="M1823" t="n">
        <v>40</v>
      </c>
      <c r="N1823" t="n">
        <v>54</v>
      </c>
      <c r="O1823" t="inlineStr">
        <is>
          <t>2026-10-05 UTC (WFM pull 02:52-04:00)</t>
        </is>
      </c>
      <c r="P1823" t="inlineStr">
        <is>
          <t>OK</t>
        </is>
      </c>
      <c r="R1823" t="inlineStr">
        <is>
          <t>Arcanes share across items like mods (one max-rank copy covers every build).</t>
        </is>
      </c>
      <c r="S1823" t="inlineStr">
        <is>
          <t>primary_debilitate</t>
        </is>
      </c>
      <c r="T1823" t="n">
        <v>14</v>
      </c>
      <c r="U1823" t="n">
        <v>14</v>
      </c>
      <c r="V1823" t="n">
        <v>34</v>
      </c>
      <c r="W1823" t="n">
        <v>30</v>
      </c>
      <c r="X1823" t="n">
        <v>32.1</v>
      </c>
      <c r="Y1823" t="n">
        <v>3751</v>
      </c>
      <c r="Z1823" t="n">
        <v>99</v>
      </c>
      <c r="AA1823" t="n">
        <v>21</v>
      </c>
      <c r="AB1823" t="n">
        <v>19</v>
      </c>
      <c r="AQ1823" t="n">
        <v>3</v>
      </c>
      <c r="AR1823" t="n">
        <v>63</v>
      </c>
      <c r="AS1823" t="inlineStr">
        <is>
          <t>Collection (optional)</t>
        </is>
      </c>
    </row>
    <row r="1824">
      <c r="A1824" t="inlineStr">
        <is>
          <t>Arcane</t>
        </is>
      </c>
      <c r="B1824" t="inlineStr">
        <is>
          <t>Primary Dexterity</t>
        </is>
      </c>
      <c r="E1824" t="inlineStr">
        <is>
          <t>Primary</t>
        </is>
      </c>
      <c r="F1824" t="n">
        <v>5</v>
      </c>
      <c r="G1824" t="n">
        <v>1</v>
      </c>
      <c r="H1824" t="inlineStr">
        <is>
          <t>Player trade (max rank)</t>
        </is>
      </c>
      <c r="I1824" t="inlineStr">
        <is>
          <t>Yes</t>
        </is>
      </c>
      <c r="K1824" t="inlineStr">
        <is>
          <t>Collection (optional)</t>
        </is>
      </c>
      <c r="L1824" t="n">
        <v>6</v>
      </c>
      <c r="M1824" t="n">
        <v>7</v>
      </c>
      <c r="N1824" t="n">
        <v>9</v>
      </c>
      <c r="O1824" t="inlineStr">
        <is>
          <t>2026-10-05 UTC (WFM pull 02:52-04:00)</t>
        </is>
      </c>
      <c r="P1824" t="inlineStr">
        <is>
          <t>OK</t>
        </is>
      </c>
      <c r="R1824" t="inlineStr">
        <is>
          <t>Arcanes share across items like mods (one max-rank copy covers every build).</t>
        </is>
      </c>
      <c r="S1824" t="inlineStr">
        <is>
          <t>primary_dexterity</t>
        </is>
      </c>
      <c r="T1824" t="n">
        <v>50</v>
      </c>
      <c r="U1824" t="n">
        <v>50</v>
      </c>
      <c r="V1824" t="n">
        <v>8</v>
      </c>
      <c r="W1824" t="n">
        <v>8</v>
      </c>
      <c r="X1824" t="n">
        <v>7.9</v>
      </c>
      <c r="Y1824" t="n">
        <v>3926</v>
      </c>
      <c r="Z1824" t="n">
        <v>88</v>
      </c>
      <c r="AA1824" t="n">
        <v>36</v>
      </c>
      <c r="AB1824" t="n">
        <v>-30</v>
      </c>
      <c r="AQ1824" t="n">
        <v>1</v>
      </c>
      <c r="AR1824" t="n">
        <v>21</v>
      </c>
      <c r="AS1824" t="inlineStr">
        <is>
          <t>Collection (optional)</t>
        </is>
      </c>
    </row>
    <row r="1825">
      <c r="A1825" t="inlineStr">
        <is>
          <t>Arcane</t>
        </is>
      </c>
      <c r="B1825" t="inlineStr">
        <is>
          <t>Primary Exhilarate</t>
        </is>
      </c>
      <c r="E1825" t="inlineStr">
        <is>
          <t>Primary</t>
        </is>
      </c>
      <c r="F1825" t="n">
        <v>5</v>
      </c>
      <c r="G1825" t="n">
        <v>1</v>
      </c>
      <c r="H1825" t="inlineStr">
        <is>
          <t>Player trade (max rank)</t>
        </is>
      </c>
      <c r="I1825" t="inlineStr">
        <is>
          <t>Yes</t>
        </is>
      </c>
      <c r="K1825" t="inlineStr">
        <is>
          <t>Collection (optional)</t>
        </is>
      </c>
      <c r="L1825" t="n">
        <v>30</v>
      </c>
      <c r="M1825" t="n">
        <v>35</v>
      </c>
      <c r="N1825" t="n">
        <v>44</v>
      </c>
      <c r="O1825" t="inlineStr">
        <is>
          <t>2026-10-05 UTC (WFM pull 02:52-04:00)</t>
        </is>
      </c>
      <c r="P1825" t="inlineStr">
        <is>
          <t>OK</t>
        </is>
      </c>
      <c r="R1825" t="inlineStr">
        <is>
          <t>Arcanes share across items like mods (one max-rank copy covers every build).</t>
        </is>
      </c>
      <c r="S1825" t="inlineStr">
        <is>
          <t>primary_exhilarate</t>
        </is>
      </c>
      <c r="T1825" t="n">
        <v>12</v>
      </c>
      <c r="U1825" t="n">
        <v>12</v>
      </c>
      <c r="V1825" t="n">
        <v>35</v>
      </c>
      <c r="W1825" t="n">
        <v>35</v>
      </c>
      <c r="X1825" t="n">
        <v>35.8</v>
      </c>
      <c r="Y1825" t="n">
        <v>505</v>
      </c>
      <c r="Z1825" t="n">
        <v>10</v>
      </c>
      <c r="AA1825" t="n">
        <v>15</v>
      </c>
      <c r="AB1825" t="n">
        <v>15</v>
      </c>
      <c r="AQ1825" t="n">
        <v>4</v>
      </c>
      <c r="AR1825" t="n">
        <v>84</v>
      </c>
      <c r="AS1825" t="inlineStr">
        <is>
          <t>Collection (optional)</t>
        </is>
      </c>
    </row>
    <row r="1826">
      <c r="A1826" t="inlineStr">
        <is>
          <t>Arcane</t>
        </is>
      </c>
      <c r="B1826" t="inlineStr">
        <is>
          <t>Primary Frostbite</t>
        </is>
      </c>
      <c r="E1826" t="inlineStr">
        <is>
          <t>Primary</t>
        </is>
      </c>
      <c r="F1826" t="n">
        <v>5</v>
      </c>
      <c r="G1826" t="n">
        <v>1</v>
      </c>
      <c r="H1826" t="inlineStr">
        <is>
          <t>Player trade (max rank)</t>
        </is>
      </c>
      <c r="I1826" t="inlineStr">
        <is>
          <t>Yes</t>
        </is>
      </c>
      <c r="K1826" t="inlineStr">
        <is>
          <t>Collection (optional)</t>
        </is>
      </c>
      <c r="L1826" t="n">
        <v>35</v>
      </c>
      <c r="M1826" t="n">
        <v>40</v>
      </c>
      <c r="N1826" t="n">
        <v>66</v>
      </c>
      <c r="O1826" t="inlineStr">
        <is>
          <t>2026-10-05 UTC (WFM pull 02:52-04:00)</t>
        </is>
      </c>
      <c r="P1826" t="inlineStr">
        <is>
          <t>OK</t>
        </is>
      </c>
      <c r="R1826" t="inlineStr">
        <is>
          <t>Arcanes share across items like mods (one max-rank copy covers every build).</t>
        </is>
      </c>
      <c r="S1826" t="inlineStr">
        <is>
          <t>primary_frostbite</t>
        </is>
      </c>
      <c r="T1826" t="n">
        <v>7</v>
      </c>
      <c r="U1826" t="n">
        <v>7</v>
      </c>
      <c r="V1826" t="n">
        <v>30</v>
      </c>
      <c r="W1826" t="n">
        <v>25</v>
      </c>
      <c r="X1826" t="n">
        <v>26.9</v>
      </c>
      <c r="Y1826" t="n">
        <v>5192</v>
      </c>
      <c r="Z1826" t="n">
        <v>209</v>
      </c>
      <c r="AA1826" t="n">
        <v>10</v>
      </c>
      <c r="AB1826" t="n">
        <v>25</v>
      </c>
      <c r="AQ1826" t="n">
        <v>3</v>
      </c>
      <c r="AR1826" t="n">
        <v>63</v>
      </c>
      <c r="AS1826" t="inlineStr">
        <is>
          <t>Collection (optional)</t>
        </is>
      </c>
    </row>
    <row r="1827">
      <c r="A1827" t="inlineStr">
        <is>
          <t>Arcane</t>
        </is>
      </c>
      <c r="B1827" t="inlineStr">
        <is>
          <t>Primary Merciless</t>
        </is>
      </c>
      <c r="E1827" t="inlineStr">
        <is>
          <t>Primary</t>
        </is>
      </c>
      <c r="F1827" t="n">
        <v>5</v>
      </c>
      <c r="G1827" t="n">
        <v>1</v>
      </c>
      <c r="H1827" t="inlineStr">
        <is>
          <t>Player trade (max rank)</t>
        </is>
      </c>
      <c r="I1827" t="inlineStr">
        <is>
          <t>Yes</t>
        </is>
      </c>
      <c r="K1827" t="inlineStr">
        <is>
          <t>Required (v4.2 weapon/exalted builds)</t>
        </is>
      </c>
      <c r="L1827" t="n">
        <v>12</v>
      </c>
      <c r="M1827" t="n">
        <v>15</v>
      </c>
      <c r="N1827" t="n">
        <v>22</v>
      </c>
      <c r="O1827" t="inlineStr">
        <is>
          <t>2026-10-05 UTC (WFM pull 02:52-04:00)</t>
        </is>
      </c>
      <c r="P1827" t="inlineStr">
        <is>
          <t>OK</t>
        </is>
      </c>
      <c r="R1827" t="inlineStr">
        <is>
          <t>Arcanes share across items like mods (one max-rank copy covers every build).</t>
        </is>
      </c>
      <c r="S1827" t="inlineStr">
        <is>
          <t>primary_merciless</t>
        </is>
      </c>
      <c r="T1827" t="n">
        <v>28</v>
      </c>
      <c r="U1827" t="n">
        <v>28</v>
      </c>
      <c r="V1827" t="n">
        <v>15</v>
      </c>
      <c r="W1827" t="n">
        <v>15</v>
      </c>
      <c r="X1827" t="n">
        <v>15.4</v>
      </c>
      <c r="Y1827" t="n">
        <v>9325</v>
      </c>
      <c r="Z1827" t="n">
        <v>283</v>
      </c>
      <c r="AA1827" t="n">
        <v>40</v>
      </c>
      <c r="AB1827" t="n">
        <v>-28</v>
      </c>
      <c r="AQ1827" t="n">
        <v>2</v>
      </c>
      <c r="AR1827" t="n">
        <v>42</v>
      </c>
      <c r="AS1827" t="inlineStr">
        <is>
          <t>Yes</t>
        </is>
      </c>
    </row>
    <row r="1828">
      <c r="A1828" t="inlineStr">
        <is>
          <t>Arcane</t>
        </is>
      </c>
      <c r="B1828" t="inlineStr">
        <is>
          <t>Primary Obstruct</t>
        </is>
      </c>
      <c r="E1828" t="inlineStr">
        <is>
          <t>Primary</t>
        </is>
      </c>
      <c r="F1828" t="n">
        <v>5</v>
      </c>
      <c r="G1828" t="n">
        <v>1</v>
      </c>
      <c r="H1828" t="inlineStr">
        <is>
          <t>Player trade (max rank)</t>
        </is>
      </c>
      <c r="I1828" t="inlineStr">
        <is>
          <t>Yes</t>
        </is>
      </c>
      <c r="K1828" t="inlineStr">
        <is>
          <t>Collection (optional)</t>
        </is>
      </c>
      <c r="L1828" t="n">
        <v>30</v>
      </c>
      <c r="M1828" t="n">
        <v>35</v>
      </c>
      <c r="N1828" t="n">
        <v>44</v>
      </c>
      <c r="O1828" t="inlineStr">
        <is>
          <t>2026-10-05 UTC (WFM pull 02:52-04:00)</t>
        </is>
      </c>
      <c r="P1828" t="inlineStr">
        <is>
          <t>OK</t>
        </is>
      </c>
      <c r="R1828" t="inlineStr">
        <is>
          <t>Arcanes share across items like mods (one max-rank copy covers every build).</t>
        </is>
      </c>
      <c r="S1828" t="inlineStr">
        <is>
          <t>primary_obstruct</t>
        </is>
      </c>
      <c r="T1828" t="n">
        <v>12</v>
      </c>
      <c r="U1828" t="n">
        <v>12</v>
      </c>
      <c r="V1828" t="n">
        <v>35</v>
      </c>
      <c r="W1828" t="n">
        <v>40</v>
      </c>
      <c r="X1828" t="n">
        <v>38.6</v>
      </c>
      <c r="Y1828" t="n">
        <v>503</v>
      </c>
      <c r="Z1828" t="n">
        <v>26</v>
      </c>
      <c r="AA1828" t="n">
        <v>15</v>
      </c>
      <c r="AB1828" t="n">
        <v>15</v>
      </c>
      <c r="AQ1828" t="n">
        <v>3</v>
      </c>
      <c r="AR1828" t="n">
        <v>63</v>
      </c>
      <c r="AS1828" t="inlineStr">
        <is>
          <t>Collection (optional)</t>
        </is>
      </c>
    </row>
    <row r="1829">
      <c r="A1829" t="inlineStr">
        <is>
          <t>Arcane</t>
        </is>
      </c>
      <c r="B1829" t="inlineStr">
        <is>
          <t>Primary Overcharge</t>
        </is>
      </c>
      <c r="E1829" t="inlineStr">
        <is>
          <t>Primary</t>
        </is>
      </c>
      <c r="F1829" t="n">
        <v>5</v>
      </c>
      <c r="G1829" t="n">
        <v>1</v>
      </c>
      <c r="H1829" t="inlineStr">
        <is>
          <t>Player trade (max rank)</t>
        </is>
      </c>
      <c r="I1829" t="inlineStr">
        <is>
          <t>Yes</t>
        </is>
      </c>
      <c r="K1829" t="inlineStr">
        <is>
          <t>Collection (optional)</t>
        </is>
      </c>
      <c r="L1829" t="n">
        <v>40</v>
      </c>
      <c r="M1829" t="n">
        <v>44</v>
      </c>
      <c r="N1829" t="n">
        <v>54</v>
      </c>
      <c r="O1829" t="inlineStr">
        <is>
          <t>2026-10-05 UTC (WFM pull 02:52-04:00)</t>
        </is>
      </c>
      <c r="P1829" t="inlineStr">
        <is>
          <t>OK</t>
        </is>
      </c>
      <c r="R1829" t="inlineStr">
        <is>
          <t>Arcanes share across items like mods (one max-rank copy covers every build).</t>
        </is>
      </c>
      <c r="S1829" t="inlineStr">
        <is>
          <t>primary_overcharge</t>
        </is>
      </c>
      <c r="T1829" t="n">
        <v>14</v>
      </c>
      <c r="U1829" t="n">
        <v>14</v>
      </c>
      <c r="V1829" t="n">
        <v>38</v>
      </c>
      <c r="W1829" t="n">
        <v>35</v>
      </c>
      <c r="X1829" t="n">
        <v>34</v>
      </c>
      <c r="Y1829" t="n">
        <v>4116</v>
      </c>
      <c r="Z1829" t="n">
        <v>92</v>
      </c>
      <c r="AA1829" t="n">
        <v>30</v>
      </c>
      <c r="AB1829" t="n">
        <v>10</v>
      </c>
      <c r="AQ1829" t="n">
        <v>3</v>
      </c>
      <c r="AR1829" t="n">
        <v>63</v>
      </c>
      <c r="AS1829" t="inlineStr">
        <is>
          <t>Collection (optional)</t>
        </is>
      </c>
    </row>
    <row r="1830">
      <c r="A1830" t="inlineStr">
        <is>
          <t>Arcane</t>
        </is>
      </c>
      <c r="B1830" t="inlineStr">
        <is>
          <t>Primary Plated Round</t>
        </is>
      </c>
      <c r="E1830" t="inlineStr">
        <is>
          <t>Primary</t>
        </is>
      </c>
      <c r="F1830" t="n">
        <v>5</v>
      </c>
      <c r="G1830" t="n">
        <v>1</v>
      </c>
      <c r="H1830" t="inlineStr">
        <is>
          <t>Player trade (max rank)</t>
        </is>
      </c>
      <c r="I1830" t="inlineStr">
        <is>
          <t>Yes</t>
        </is>
      </c>
      <c r="K1830" t="inlineStr">
        <is>
          <t>Collection (optional)</t>
        </is>
      </c>
      <c r="L1830" t="n">
        <v>80</v>
      </c>
      <c r="M1830" t="n">
        <v>85</v>
      </c>
      <c r="N1830" t="n">
        <v>109</v>
      </c>
      <c r="O1830" t="inlineStr">
        <is>
          <t>2026-10-05 UTC (WFM pull 02:52-04:00)</t>
        </is>
      </c>
      <c r="P1830" t="inlineStr">
        <is>
          <t>OK</t>
        </is>
      </c>
      <c r="R1830" t="inlineStr">
        <is>
          <t>Arcanes share across items like mods (one max-rank copy covers every build).</t>
        </is>
      </c>
      <c r="S1830" t="inlineStr">
        <is>
          <t>primary_plated_round</t>
        </is>
      </c>
      <c r="T1830" t="n">
        <v>9</v>
      </c>
      <c r="U1830" t="n">
        <v>9</v>
      </c>
      <c r="V1830" t="n">
        <v>87.5</v>
      </c>
      <c r="W1830" t="n">
        <v>70</v>
      </c>
      <c r="X1830" t="n">
        <v>72.90000000000001</v>
      </c>
      <c r="Y1830" t="n">
        <v>562</v>
      </c>
      <c r="Z1830" t="n">
        <v>7</v>
      </c>
      <c r="AA1830" t="n">
        <v>51</v>
      </c>
      <c r="AB1830" t="n">
        <v>29</v>
      </c>
      <c r="AQ1830" t="n">
        <v>6</v>
      </c>
      <c r="AR1830" t="n">
        <v>126</v>
      </c>
      <c r="AS1830" t="inlineStr">
        <is>
          <t>Collection (optional)</t>
        </is>
      </c>
    </row>
    <row r="1831">
      <c r="A1831" t="inlineStr">
        <is>
          <t>Arcane</t>
        </is>
      </c>
      <c r="B1831" t="inlineStr">
        <is>
          <t>Residual Boils</t>
        </is>
      </c>
      <c r="E1831" t="inlineStr">
        <is>
          <t>Kitgun</t>
        </is>
      </c>
      <c r="F1831" t="n">
        <v>3</v>
      </c>
      <c r="G1831" t="n">
        <v>1</v>
      </c>
      <c r="H1831" t="inlineStr">
        <is>
          <t>Player trade (max rank)</t>
        </is>
      </c>
      <c r="I1831" t="inlineStr">
        <is>
          <t>Yes</t>
        </is>
      </c>
      <c r="K1831" t="inlineStr">
        <is>
          <t>Collection (optional)</t>
        </is>
      </c>
      <c r="L1831" t="n">
        <v>23</v>
      </c>
      <c r="M1831" t="n">
        <v>25</v>
      </c>
      <c r="N1831" t="n">
        <v>33</v>
      </c>
      <c r="O1831" t="inlineStr">
        <is>
          <t>2026-10-05 UTC (WFM pull 02:52-04:00)</t>
        </is>
      </c>
      <c r="P1831" t="inlineStr">
        <is>
          <t>OK</t>
        </is>
      </c>
      <c r="R1831" t="inlineStr">
        <is>
          <t>Arcanes share across items like mods (one max-rank copy covers every build).</t>
        </is>
      </c>
      <c r="S1831" t="inlineStr">
        <is>
          <t>residual_boils</t>
        </is>
      </c>
      <c r="T1831" t="n">
        <v>7</v>
      </c>
      <c r="U1831" t="n">
        <v>7</v>
      </c>
      <c r="V1831" t="n">
        <v>20</v>
      </c>
      <c r="W1831" t="n">
        <v>20</v>
      </c>
      <c r="X1831" t="n">
        <v>20.3</v>
      </c>
      <c r="Y1831" t="n">
        <v>168</v>
      </c>
      <c r="Z1831" t="n">
        <v>6</v>
      </c>
      <c r="AQ1831" t="n">
        <v>3</v>
      </c>
      <c r="AR1831" t="n">
        <v>30</v>
      </c>
      <c r="AS1831" t="inlineStr">
        <is>
          <t>Collection (optional)</t>
        </is>
      </c>
    </row>
    <row r="1832">
      <c r="A1832" t="inlineStr">
        <is>
          <t>Arcane</t>
        </is>
      </c>
      <c r="B1832" t="inlineStr">
        <is>
          <t>Residual Malodor</t>
        </is>
      </c>
      <c r="E1832" t="inlineStr">
        <is>
          <t>Kitgun</t>
        </is>
      </c>
      <c r="F1832" t="n">
        <v>3</v>
      </c>
      <c r="G1832" t="n">
        <v>1</v>
      </c>
      <c r="H1832" t="inlineStr">
        <is>
          <t>Player trade (max rank)</t>
        </is>
      </c>
      <c r="I1832" t="inlineStr">
        <is>
          <t>Yes</t>
        </is>
      </c>
      <c r="K1832" t="inlineStr">
        <is>
          <t>Collection (optional)</t>
        </is>
      </c>
      <c r="L1832" t="n">
        <v>15</v>
      </c>
      <c r="M1832" t="n">
        <v>19</v>
      </c>
      <c r="N1832" t="n">
        <v>22</v>
      </c>
      <c r="O1832" t="inlineStr">
        <is>
          <t>2026-10-05 UTC (WFM pull 02:52-04:00)</t>
        </is>
      </c>
      <c r="P1832" t="inlineStr">
        <is>
          <t>OK</t>
        </is>
      </c>
      <c r="R1832" t="inlineStr">
        <is>
          <t>Arcanes share across items like mods (one max-rank copy covers every build).</t>
        </is>
      </c>
      <c r="S1832" t="inlineStr">
        <is>
          <t>residual_malodor</t>
        </is>
      </c>
      <c r="T1832" t="n">
        <v>9</v>
      </c>
      <c r="U1832" t="n">
        <v>9</v>
      </c>
      <c r="V1832" t="n">
        <v>15</v>
      </c>
      <c r="W1832" t="n">
        <v>15</v>
      </c>
      <c r="X1832" t="n">
        <v>15.9</v>
      </c>
      <c r="Y1832" t="n">
        <v>91</v>
      </c>
      <c r="Z1832" t="n">
        <v>3</v>
      </c>
      <c r="AQ1832" t="n">
        <v>3</v>
      </c>
      <c r="AR1832" t="n">
        <v>30</v>
      </c>
      <c r="AS1832" t="inlineStr">
        <is>
          <t>Collection (optional)</t>
        </is>
      </c>
    </row>
    <row r="1833">
      <c r="A1833" t="inlineStr">
        <is>
          <t>Arcane</t>
        </is>
      </c>
      <c r="B1833" t="inlineStr">
        <is>
          <t>Residual Shock</t>
        </is>
      </c>
      <c r="E1833" t="inlineStr">
        <is>
          <t>Kitgun</t>
        </is>
      </c>
      <c r="F1833" t="n">
        <v>3</v>
      </c>
      <c r="G1833" t="n">
        <v>1</v>
      </c>
      <c r="H1833" t="inlineStr">
        <is>
          <t>Player trade (max rank)</t>
        </is>
      </c>
      <c r="I1833" t="inlineStr">
        <is>
          <t>Yes</t>
        </is>
      </c>
      <c r="K1833" t="inlineStr">
        <is>
          <t>Collection (optional)</t>
        </is>
      </c>
      <c r="L1833" t="n">
        <v>20</v>
      </c>
      <c r="M1833" t="n">
        <v>25</v>
      </c>
      <c r="N1833" t="n">
        <v>33</v>
      </c>
      <c r="O1833" t="inlineStr">
        <is>
          <t>2026-10-05 UTC (WFM pull 02:52-04:00)</t>
        </is>
      </c>
      <c r="P1833" t="inlineStr">
        <is>
          <t>OK</t>
        </is>
      </c>
      <c r="R1833" t="inlineStr">
        <is>
          <t>Arcanes share across items like mods (one max-rank copy covers every build).</t>
        </is>
      </c>
      <c r="S1833" t="inlineStr">
        <is>
          <t>residual_shock</t>
        </is>
      </c>
      <c r="T1833" t="n">
        <v>8</v>
      </c>
      <c r="U1833" t="n">
        <v>8</v>
      </c>
      <c r="V1833" t="n">
        <v>22.5</v>
      </c>
      <c r="W1833" t="n">
        <v>25</v>
      </c>
      <c r="X1833" t="n">
        <v>26</v>
      </c>
      <c r="Y1833" t="n">
        <v>156</v>
      </c>
      <c r="Z1833" t="n">
        <v>7</v>
      </c>
      <c r="AQ1833" t="n">
        <v>3</v>
      </c>
      <c r="AR1833" t="n">
        <v>30</v>
      </c>
      <c r="AS1833" t="inlineStr">
        <is>
          <t>Collection (optional)</t>
        </is>
      </c>
    </row>
    <row r="1834">
      <c r="A1834" t="inlineStr">
        <is>
          <t>Arcane</t>
        </is>
      </c>
      <c r="B1834" t="inlineStr">
        <is>
          <t>Residual Viremia</t>
        </is>
      </c>
      <c r="E1834" t="inlineStr">
        <is>
          <t>Kitgun</t>
        </is>
      </c>
      <c r="F1834" t="n">
        <v>3</v>
      </c>
      <c r="G1834" t="n">
        <v>1</v>
      </c>
      <c r="H1834" t="inlineStr">
        <is>
          <t>Player trade (max rank)</t>
        </is>
      </c>
      <c r="I1834" t="inlineStr">
        <is>
          <t>Yes</t>
        </is>
      </c>
      <c r="K1834" t="inlineStr">
        <is>
          <t>Collection (optional)</t>
        </is>
      </c>
      <c r="L1834" t="n">
        <v>20</v>
      </c>
      <c r="M1834" t="n">
        <v>25</v>
      </c>
      <c r="N1834" t="n">
        <v>56</v>
      </c>
      <c r="O1834" t="inlineStr">
        <is>
          <t>2026-10-05 UTC (WFM pull 02:52-04:00)</t>
        </is>
      </c>
      <c r="P1834" t="inlineStr">
        <is>
          <t>OK</t>
        </is>
      </c>
      <c r="Q1834" t="inlineStr">
        <is>
          <t>Cheaper via 10x R0 (20p realistic) than buying max rank</t>
        </is>
      </c>
      <c r="R1834" t="inlineStr">
        <is>
          <t>Arcanes share across items like mods (one max-rank copy covers every build).</t>
        </is>
      </c>
      <c r="S1834" t="inlineStr">
        <is>
          <t>residual_viremia</t>
        </is>
      </c>
      <c r="T1834" t="n">
        <v>6</v>
      </c>
      <c r="U1834" t="n">
        <v>6</v>
      </c>
      <c r="V1834" t="n">
        <v>24</v>
      </c>
      <c r="W1834" t="n">
        <v>25</v>
      </c>
      <c r="X1834" t="n">
        <v>26.5</v>
      </c>
      <c r="Y1834" t="n">
        <v>187</v>
      </c>
      <c r="Z1834" t="n">
        <v>4</v>
      </c>
      <c r="AQ1834" t="n">
        <v>2</v>
      </c>
      <c r="AR1834" t="n">
        <v>20</v>
      </c>
      <c r="AS1834" t="inlineStr">
        <is>
          <t>Collection (optional)</t>
        </is>
      </c>
    </row>
    <row r="1835">
      <c r="A1835" t="inlineStr">
        <is>
          <t>Arcane</t>
        </is>
      </c>
      <c r="B1835" t="inlineStr">
        <is>
          <t>Secondary Cryogenic</t>
        </is>
      </c>
      <c r="E1835" t="inlineStr">
        <is>
          <t>Secondary</t>
        </is>
      </c>
      <c r="F1835" t="n">
        <v>5</v>
      </c>
      <c r="G1835" t="n">
        <v>1</v>
      </c>
      <c r="H1835" t="inlineStr">
        <is>
          <t>Player trade (max rank)</t>
        </is>
      </c>
      <c r="I1835" t="inlineStr">
        <is>
          <t>Yes</t>
        </is>
      </c>
      <c r="K1835" t="inlineStr">
        <is>
          <t>Collection (optional)</t>
        </is>
      </c>
      <c r="L1835" t="n">
        <v>100</v>
      </c>
      <c r="M1835" t="n">
        <v>102</v>
      </c>
      <c r="N1835" t="n">
        <v>221</v>
      </c>
      <c r="O1835" t="inlineStr">
        <is>
          <t>2026-10-05 UTC (WFM pull 02:52-04:00)</t>
        </is>
      </c>
      <c r="P1835" t="inlineStr">
        <is>
          <t>OK</t>
        </is>
      </c>
      <c r="R1835" t="inlineStr">
        <is>
          <t>Arcanes share across items like mods (one max-rank copy covers every build).</t>
        </is>
      </c>
      <c r="S1835" t="inlineStr">
        <is>
          <t>secondary_cryogenic</t>
        </is>
      </c>
      <c r="T1835" t="n">
        <v>7</v>
      </c>
      <c r="U1835" t="n">
        <v>7</v>
      </c>
      <c r="V1835" t="n">
        <v>70</v>
      </c>
      <c r="W1835" t="n">
        <v>44</v>
      </c>
      <c r="X1835" t="n">
        <v>60</v>
      </c>
      <c r="Y1835" t="n">
        <v>981</v>
      </c>
      <c r="Z1835" t="n">
        <v>44</v>
      </c>
      <c r="AA1835" t="n">
        <v>35</v>
      </c>
      <c r="AB1835" t="n">
        <v>65</v>
      </c>
      <c r="AQ1835" t="n">
        <v>5</v>
      </c>
      <c r="AR1835" t="n">
        <v>105</v>
      </c>
      <c r="AS1835" t="inlineStr">
        <is>
          <t>Collection (optional)</t>
        </is>
      </c>
    </row>
    <row r="1836">
      <c r="A1836" t="inlineStr">
        <is>
          <t>Arcane</t>
        </is>
      </c>
      <c r="B1836" t="inlineStr">
        <is>
          <t>Secondary Deadhead</t>
        </is>
      </c>
      <c r="E1836" t="inlineStr">
        <is>
          <t>Secondary</t>
        </is>
      </c>
      <c r="F1836" t="n">
        <v>5</v>
      </c>
      <c r="G1836" t="n">
        <v>1</v>
      </c>
      <c r="H1836" t="inlineStr">
        <is>
          <t>Player trade (max rank)</t>
        </is>
      </c>
      <c r="I1836" t="inlineStr">
        <is>
          <t>Yes</t>
        </is>
      </c>
      <c r="K1836" t="inlineStr">
        <is>
          <t>Required (v4.2 weapon/exalted builds)</t>
        </is>
      </c>
      <c r="L1836" t="n">
        <v>8</v>
      </c>
      <c r="M1836" t="n">
        <v>10</v>
      </c>
      <c r="N1836" t="n">
        <v>11</v>
      </c>
      <c r="O1836" t="inlineStr">
        <is>
          <t>2026-10-05 UTC (WFM pull 02:52-04:00)</t>
        </is>
      </c>
      <c r="P1836" t="inlineStr">
        <is>
          <t>OK</t>
        </is>
      </c>
      <c r="R1836" t="inlineStr">
        <is>
          <t>Arcanes share across items like mods (one max-rank copy covers every build).</t>
        </is>
      </c>
      <c r="S1836" t="inlineStr">
        <is>
          <t>secondary_deadhead</t>
        </is>
      </c>
      <c r="T1836" t="n">
        <v>39</v>
      </c>
      <c r="U1836" t="n">
        <v>39</v>
      </c>
      <c r="V1836" t="n">
        <v>9</v>
      </c>
      <c r="W1836" t="n">
        <v>9</v>
      </c>
      <c r="X1836" t="n">
        <v>8.699999999999999</v>
      </c>
      <c r="Y1836" t="n">
        <v>4517</v>
      </c>
      <c r="Z1836" t="n">
        <v>168</v>
      </c>
      <c r="AA1836" t="n">
        <v>40</v>
      </c>
      <c r="AB1836" t="n">
        <v>-32</v>
      </c>
      <c r="AQ1836" t="n">
        <v>1</v>
      </c>
      <c r="AR1836" t="n">
        <v>21</v>
      </c>
      <c r="AS1836" t="inlineStr">
        <is>
          <t>Yes</t>
        </is>
      </c>
    </row>
    <row r="1837">
      <c r="A1837" t="inlineStr">
        <is>
          <t>Arcane</t>
        </is>
      </c>
      <c r="B1837" t="inlineStr">
        <is>
          <t>Secondary Dexterity</t>
        </is>
      </c>
      <c r="E1837" t="inlineStr">
        <is>
          <t>Secondary</t>
        </is>
      </c>
      <c r="F1837" t="n">
        <v>5</v>
      </c>
      <c r="G1837" t="n">
        <v>1</v>
      </c>
      <c r="H1837" t="inlineStr">
        <is>
          <t>Player trade (max rank)</t>
        </is>
      </c>
      <c r="I1837" t="inlineStr">
        <is>
          <t>Yes</t>
        </is>
      </c>
      <c r="K1837" t="inlineStr">
        <is>
          <t>Collection (optional)</t>
        </is>
      </c>
      <c r="L1837" t="n">
        <v>8</v>
      </c>
      <c r="M1837" t="n">
        <v>9</v>
      </c>
      <c r="N1837" t="n">
        <v>11</v>
      </c>
      <c r="O1837" t="inlineStr">
        <is>
          <t>2026-10-05 UTC (WFM pull 02:52-04:00)</t>
        </is>
      </c>
      <c r="P1837" t="inlineStr">
        <is>
          <t>OK</t>
        </is>
      </c>
      <c r="R1837" t="inlineStr">
        <is>
          <t>Arcanes share across items like mods (one max-rank copy covers every build).</t>
        </is>
      </c>
      <c r="S1837" t="inlineStr">
        <is>
          <t>secondary_dexterity</t>
        </is>
      </c>
      <c r="T1837" t="n">
        <v>50</v>
      </c>
      <c r="U1837" t="n">
        <v>50</v>
      </c>
      <c r="V1837" t="n">
        <v>8</v>
      </c>
      <c r="W1837" t="n">
        <v>8</v>
      </c>
      <c r="X1837" t="n">
        <v>7.8</v>
      </c>
      <c r="Y1837" t="n">
        <v>3454</v>
      </c>
      <c r="Z1837" t="n">
        <v>71</v>
      </c>
      <c r="AA1837" t="n">
        <v>36</v>
      </c>
      <c r="AB1837" t="n">
        <v>-28</v>
      </c>
      <c r="AQ1837" t="n">
        <v>1</v>
      </c>
      <c r="AR1837" t="n">
        <v>21</v>
      </c>
      <c r="AS1837" t="inlineStr">
        <is>
          <t>Collection (optional)</t>
        </is>
      </c>
    </row>
    <row r="1838">
      <c r="A1838" t="inlineStr">
        <is>
          <t>Arcane</t>
        </is>
      </c>
      <c r="B1838" t="inlineStr">
        <is>
          <t>Secondary Encumber</t>
        </is>
      </c>
      <c r="E1838" t="inlineStr">
        <is>
          <t>Secondary</t>
        </is>
      </c>
      <c r="F1838" t="n">
        <v>5</v>
      </c>
      <c r="G1838" t="n">
        <v>1</v>
      </c>
      <c r="H1838" t="inlineStr">
        <is>
          <t>Player trade (max rank)</t>
        </is>
      </c>
      <c r="I1838" t="inlineStr">
        <is>
          <t>Yes</t>
        </is>
      </c>
      <c r="K1838" t="inlineStr">
        <is>
          <t>Required (v4.2 weapon/exalted builds)</t>
        </is>
      </c>
      <c r="L1838" t="n">
        <v>59</v>
      </c>
      <c r="M1838" t="n">
        <v>60</v>
      </c>
      <c r="N1838" t="n">
        <v>85</v>
      </c>
      <c r="O1838" t="inlineStr">
        <is>
          <t>2026-10-05 UTC (WFM pull 02:52-04:00)</t>
        </is>
      </c>
      <c r="P1838" t="inlineStr">
        <is>
          <t>OK</t>
        </is>
      </c>
      <c r="R1838" t="inlineStr">
        <is>
          <t>Arcanes share across items like mods (one max-rank copy covers every build).</t>
        </is>
      </c>
      <c r="S1838" t="inlineStr">
        <is>
          <t>secondary_encumber</t>
        </is>
      </c>
      <c r="T1838" t="n">
        <v>14</v>
      </c>
      <c r="U1838" t="n">
        <v>14</v>
      </c>
      <c r="V1838" t="n">
        <v>55.5</v>
      </c>
      <c r="W1838" t="n">
        <v>54</v>
      </c>
      <c r="X1838" t="n">
        <v>53.5</v>
      </c>
      <c r="Y1838" t="n">
        <v>6884</v>
      </c>
      <c r="Z1838" t="n">
        <v>184</v>
      </c>
      <c r="AA1838" t="n">
        <v>50</v>
      </c>
      <c r="AB1838" t="n">
        <v>9</v>
      </c>
      <c r="AQ1838" t="n">
        <v>4</v>
      </c>
      <c r="AR1838" t="n">
        <v>84</v>
      </c>
      <c r="AS1838" t="inlineStr">
        <is>
          <t>Yes</t>
        </is>
      </c>
    </row>
    <row r="1839">
      <c r="A1839" t="inlineStr">
        <is>
          <t>Arcane</t>
        </is>
      </c>
      <c r="B1839" t="inlineStr">
        <is>
          <t>Secondary Enervate</t>
        </is>
      </c>
      <c r="E1839" t="inlineStr">
        <is>
          <t>Secondary</t>
        </is>
      </c>
      <c r="F1839" t="n">
        <v>5</v>
      </c>
      <c r="G1839" t="n">
        <v>1</v>
      </c>
      <c r="H1839" t="inlineStr">
        <is>
          <t>Player trade (max rank)</t>
        </is>
      </c>
      <c r="I1839" t="inlineStr">
        <is>
          <t>Yes</t>
        </is>
      </c>
      <c r="K1839" t="inlineStr">
        <is>
          <t>Collection (optional)</t>
        </is>
      </c>
      <c r="L1839" t="n">
        <v>23</v>
      </c>
      <c r="M1839" t="n">
        <v>24</v>
      </c>
      <c r="N1839" t="n">
        <v>28</v>
      </c>
      <c r="O1839" t="inlineStr">
        <is>
          <t>2026-10-05 UTC (WFM pull 02:52-04:00)</t>
        </is>
      </c>
      <c r="P1839" t="inlineStr">
        <is>
          <t>OK</t>
        </is>
      </c>
      <c r="R1839" t="inlineStr">
        <is>
          <t>Arcanes share across items like mods (one max-rank copy covers every build).</t>
        </is>
      </c>
      <c r="S1839" t="inlineStr">
        <is>
          <t>secondary_enervate</t>
        </is>
      </c>
      <c r="T1839" t="n">
        <v>47</v>
      </c>
      <c r="U1839" t="n">
        <v>47</v>
      </c>
      <c r="V1839" t="n">
        <v>25</v>
      </c>
      <c r="W1839" t="n">
        <v>27</v>
      </c>
      <c r="X1839" t="n">
        <v>26.7</v>
      </c>
      <c r="Y1839" t="n">
        <v>15398</v>
      </c>
      <c r="Z1839" t="n">
        <v>298</v>
      </c>
      <c r="AA1839" t="n">
        <v>12</v>
      </c>
      <c r="AB1839" t="n">
        <v>11</v>
      </c>
      <c r="AQ1839" t="n">
        <v>2</v>
      </c>
      <c r="AR1839" t="n">
        <v>42</v>
      </c>
      <c r="AS1839" t="inlineStr">
        <is>
          <t>Collection (optional)</t>
        </is>
      </c>
    </row>
    <row r="1840">
      <c r="A1840" t="inlineStr">
        <is>
          <t>Arcane</t>
        </is>
      </c>
      <c r="B1840" t="inlineStr">
        <is>
          <t>Secondary Fortifier</t>
        </is>
      </c>
      <c r="E1840" t="inlineStr">
        <is>
          <t>Secondary</t>
        </is>
      </c>
      <c r="F1840" t="n">
        <v>5</v>
      </c>
      <c r="G1840" t="n">
        <v>1</v>
      </c>
      <c r="H1840" t="inlineStr">
        <is>
          <t>Player trade (max rank)</t>
        </is>
      </c>
      <c r="I1840" t="inlineStr">
        <is>
          <t>Yes</t>
        </is>
      </c>
      <c r="K1840" t="inlineStr">
        <is>
          <t>Collection (optional)</t>
        </is>
      </c>
      <c r="L1840" t="n">
        <v>60</v>
      </c>
      <c r="M1840" t="n">
        <v>60</v>
      </c>
      <c r="N1840" t="n">
        <v>73</v>
      </c>
      <c r="O1840" t="inlineStr">
        <is>
          <t>2026-10-05 UTC (WFM pull 02:52-04:00)</t>
        </is>
      </c>
      <c r="P1840" t="inlineStr">
        <is>
          <t>OK</t>
        </is>
      </c>
      <c r="R1840" t="inlineStr">
        <is>
          <t>Arcanes share across items like mods (one max-rank copy covers every build).</t>
        </is>
      </c>
      <c r="S1840" t="inlineStr">
        <is>
          <t>secondary_fortifier</t>
        </is>
      </c>
      <c r="T1840" t="n">
        <v>12</v>
      </c>
      <c r="U1840" t="n">
        <v>12</v>
      </c>
      <c r="V1840" t="n">
        <v>54.5</v>
      </c>
      <c r="W1840" t="n">
        <v>50</v>
      </c>
      <c r="X1840" t="n">
        <v>52.4</v>
      </c>
      <c r="Y1840" t="n">
        <v>6200</v>
      </c>
      <c r="Z1840" t="n">
        <v>142</v>
      </c>
      <c r="AA1840" t="n">
        <v>41</v>
      </c>
      <c r="AB1840" t="n">
        <v>19</v>
      </c>
      <c r="AQ1840" t="n">
        <v>4</v>
      </c>
      <c r="AR1840" t="n">
        <v>84</v>
      </c>
      <c r="AS1840" t="inlineStr">
        <is>
          <t>Collection (optional)</t>
        </is>
      </c>
    </row>
    <row r="1841">
      <c r="A1841" t="inlineStr">
        <is>
          <t>Arcane</t>
        </is>
      </c>
      <c r="B1841" t="inlineStr">
        <is>
          <t>Secondary Irradiate</t>
        </is>
      </c>
      <c r="E1841" t="inlineStr">
        <is>
          <t>Secondary</t>
        </is>
      </c>
      <c r="F1841" t="n">
        <v>5</v>
      </c>
      <c r="G1841" t="n">
        <v>1</v>
      </c>
      <c r="H1841" t="inlineStr">
        <is>
          <t>Player trade (max rank)</t>
        </is>
      </c>
      <c r="I1841" t="inlineStr">
        <is>
          <t>Yes</t>
        </is>
      </c>
      <c r="K1841" t="inlineStr">
        <is>
          <t>Collection (optional)</t>
        </is>
      </c>
      <c r="L1841" t="n">
        <v>33</v>
      </c>
      <c r="M1841" t="n">
        <v>38</v>
      </c>
      <c r="N1841" t="n">
        <v>43</v>
      </c>
      <c r="O1841" t="inlineStr">
        <is>
          <t>2026-10-05 UTC (WFM pull 02:52-04:00)</t>
        </is>
      </c>
      <c r="P1841" t="inlineStr">
        <is>
          <t>OK</t>
        </is>
      </c>
      <c r="R1841" t="inlineStr">
        <is>
          <t>Arcanes share across items like mods (one max-rank copy covers every build).</t>
        </is>
      </c>
      <c r="S1841" t="inlineStr">
        <is>
          <t>secondary_irradiate</t>
        </is>
      </c>
      <c r="T1841" t="n">
        <v>14</v>
      </c>
      <c r="U1841" t="n">
        <v>14</v>
      </c>
      <c r="V1841" t="n">
        <v>30</v>
      </c>
      <c r="W1841" t="n">
        <v>30</v>
      </c>
      <c r="X1841" t="n">
        <v>30.1</v>
      </c>
      <c r="Y1841" t="n">
        <v>2337</v>
      </c>
      <c r="Z1841" t="n">
        <v>28</v>
      </c>
      <c r="AA1841" t="n">
        <v>10</v>
      </c>
      <c r="AB1841" t="n">
        <v>23</v>
      </c>
      <c r="AQ1841" t="n">
        <v>3</v>
      </c>
      <c r="AR1841" t="n">
        <v>63</v>
      </c>
      <c r="AS1841" t="inlineStr">
        <is>
          <t>Collection (optional)</t>
        </is>
      </c>
    </row>
    <row r="1842">
      <c r="A1842" t="inlineStr">
        <is>
          <t>Arcane</t>
        </is>
      </c>
      <c r="B1842" t="inlineStr">
        <is>
          <t>Secondary Kinship</t>
        </is>
      </c>
      <c r="E1842" t="inlineStr">
        <is>
          <t>Secondary</t>
        </is>
      </c>
      <c r="F1842" t="n">
        <v>5</v>
      </c>
      <c r="G1842" t="n">
        <v>1</v>
      </c>
      <c r="H1842" t="inlineStr">
        <is>
          <t>Player trade (max rank)</t>
        </is>
      </c>
      <c r="I1842" t="inlineStr">
        <is>
          <t>Yes</t>
        </is>
      </c>
      <c r="K1842" t="inlineStr">
        <is>
          <t>Collection (optional)</t>
        </is>
      </c>
      <c r="L1842" t="n">
        <v>39</v>
      </c>
      <c r="M1842" t="n">
        <v>40</v>
      </c>
      <c r="N1842" t="n">
        <v>51</v>
      </c>
      <c r="O1842" t="inlineStr">
        <is>
          <t>2026-10-05 UTC (WFM pull 02:52-04:00)</t>
        </is>
      </c>
      <c r="P1842" t="inlineStr">
        <is>
          <t>OK</t>
        </is>
      </c>
      <c r="R1842" t="inlineStr">
        <is>
          <t>Arcanes share across items like mods (one max-rank copy covers every build).</t>
        </is>
      </c>
      <c r="S1842" t="inlineStr">
        <is>
          <t>secondary_kinship</t>
        </is>
      </c>
      <c r="T1842" t="n">
        <v>11</v>
      </c>
      <c r="U1842" t="n">
        <v>11</v>
      </c>
      <c r="V1842" t="n">
        <v>40</v>
      </c>
      <c r="W1842" t="n">
        <v>40</v>
      </c>
      <c r="X1842" t="n">
        <v>39.2</v>
      </c>
      <c r="Y1842" t="n">
        <v>271</v>
      </c>
      <c r="Z1842" t="n">
        <v>4</v>
      </c>
      <c r="AA1842" t="n">
        <v>10</v>
      </c>
      <c r="AB1842" t="n">
        <v>29</v>
      </c>
      <c r="AQ1842" t="n">
        <v>3</v>
      </c>
      <c r="AR1842" t="n">
        <v>63</v>
      </c>
      <c r="AS1842" t="inlineStr">
        <is>
          <t>Collection (optional)</t>
        </is>
      </c>
    </row>
    <row r="1843">
      <c r="A1843" t="inlineStr">
        <is>
          <t>Arcane</t>
        </is>
      </c>
      <c r="B1843" t="inlineStr">
        <is>
          <t>Secondary Merciless</t>
        </is>
      </c>
      <c r="E1843" t="inlineStr">
        <is>
          <t>Secondary</t>
        </is>
      </c>
      <c r="F1843" t="n">
        <v>5</v>
      </c>
      <c r="G1843" t="n">
        <v>1</v>
      </c>
      <c r="H1843" t="inlineStr">
        <is>
          <t>Player trade (max rank)</t>
        </is>
      </c>
      <c r="I1843" t="inlineStr">
        <is>
          <t>Yes</t>
        </is>
      </c>
      <c r="K1843" t="inlineStr">
        <is>
          <t>Required (v4.2 weapon/exalted builds)</t>
        </is>
      </c>
      <c r="L1843" t="n">
        <v>7</v>
      </c>
      <c r="M1843" t="n">
        <v>8</v>
      </c>
      <c r="N1843" t="n">
        <v>11</v>
      </c>
      <c r="O1843" t="inlineStr">
        <is>
          <t>2026-10-05 UTC (WFM pull 02:52-04:00)</t>
        </is>
      </c>
      <c r="P1843" t="inlineStr">
        <is>
          <t>OK</t>
        </is>
      </c>
      <c r="R1843" t="inlineStr">
        <is>
          <t>Arcanes share across items like mods (one max-rank copy covers every build).</t>
        </is>
      </c>
      <c r="S1843" t="inlineStr">
        <is>
          <t>secondary_merciless</t>
        </is>
      </c>
      <c r="T1843" t="n">
        <v>46</v>
      </c>
      <c r="U1843" t="n">
        <v>46</v>
      </c>
      <c r="V1843" t="n">
        <v>8</v>
      </c>
      <c r="W1843" t="n">
        <v>8</v>
      </c>
      <c r="X1843" t="n">
        <v>8.4</v>
      </c>
      <c r="Y1843" t="n">
        <v>4166</v>
      </c>
      <c r="Z1843" t="n">
        <v>104</v>
      </c>
      <c r="AA1843" t="n">
        <v>40</v>
      </c>
      <c r="AB1843" t="n">
        <v>-33</v>
      </c>
      <c r="AQ1843" t="n">
        <v>1</v>
      </c>
      <c r="AR1843" t="n">
        <v>21</v>
      </c>
      <c r="AS1843" t="inlineStr">
        <is>
          <t>Yes</t>
        </is>
      </c>
    </row>
    <row r="1844">
      <c r="A1844" t="inlineStr">
        <is>
          <t>Arcane</t>
        </is>
      </c>
      <c r="B1844" t="inlineStr">
        <is>
          <t>Secondary Outburst</t>
        </is>
      </c>
      <c r="E1844" t="inlineStr">
        <is>
          <t>Secondary</t>
        </is>
      </c>
      <c r="F1844" t="n">
        <v>5</v>
      </c>
      <c r="G1844" t="n">
        <v>1</v>
      </c>
      <c r="H1844" t="inlineStr">
        <is>
          <t>Player trade (max rank)</t>
        </is>
      </c>
      <c r="I1844" t="inlineStr">
        <is>
          <t>Yes</t>
        </is>
      </c>
      <c r="K1844" t="inlineStr">
        <is>
          <t>Required (v4.2 weapon/exalted builds)</t>
        </is>
      </c>
      <c r="L1844" t="n">
        <v>90</v>
      </c>
      <c r="M1844" t="n">
        <v>90</v>
      </c>
      <c r="N1844" t="n">
        <v>111</v>
      </c>
      <c r="O1844" t="inlineStr">
        <is>
          <t>2026-10-05 UTC (WFM pull 02:52-04:00)</t>
        </is>
      </c>
      <c r="P1844" t="inlineStr">
        <is>
          <t>OK</t>
        </is>
      </c>
      <c r="R1844" t="inlineStr">
        <is>
          <t>Arcanes share across items like mods (one max-rank copy covers every build).</t>
        </is>
      </c>
      <c r="S1844" t="inlineStr">
        <is>
          <t>secondary_outburst</t>
        </is>
      </c>
      <c r="T1844" t="n">
        <v>24</v>
      </c>
      <c r="U1844" t="n">
        <v>24</v>
      </c>
      <c r="V1844" t="n">
        <v>100</v>
      </c>
      <c r="W1844" t="n">
        <v>115</v>
      </c>
      <c r="X1844" t="n">
        <v>115.6</v>
      </c>
      <c r="Y1844" t="n">
        <v>2709</v>
      </c>
      <c r="Z1844" t="n">
        <v>57</v>
      </c>
      <c r="AA1844" t="n">
        <v>51</v>
      </c>
      <c r="AB1844" t="n">
        <v>39</v>
      </c>
      <c r="AQ1844" t="n">
        <v>8</v>
      </c>
      <c r="AR1844" t="n">
        <v>168</v>
      </c>
      <c r="AS1844" t="inlineStr">
        <is>
          <t>Yes</t>
        </is>
      </c>
    </row>
    <row r="1845">
      <c r="A1845" t="inlineStr">
        <is>
          <t>Arcane</t>
        </is>
      </c>
      <c r="B1845" t="inlineStr">
        <is>
          <t>Secondary Shiver</t>
        </is>
      </c>
      <c r="E1845" t="inlineStr">
        <is>
          <t>Secondary</t>
        </is>
      </c>
      <c r="F1845" t="n">
        <v>5</v>
      </c>
      <c r="G1845" t="n">
        <v>1</v>
      </c>
      <c r="H1845" t="inlineStr">
        <is>
          <t>Player trade (max rank)</t>
        </is>
      </c>
      <c r="I1845" t="inlineStr">
        <is>
          <t>Yes</t>
        </is>
      </c>
      <c r="K1845" t="inlineStr">
        <is>
          <t>Collection (optional)</t>
        </is>
      </c>
      <c r="L1845" t="n">
        <v>219</v>
      </c>
      <c r="M1845" t="n">
        <v>240</v>
      </c>
      <c r="N1845" t="n">
        <v>281</v>
      </c>
      <c r="O1845" t="inlineStr">
        <is>
          <t>2026-10-05 UTC (WFM pull 02:52-04:00)</t>
        </is>
      </c>
      <c r="P1845" t="inlineStr">
        <is>
          <t>OK</t>
        </is>
      </c>
      <c r="R1845" t="inlineStr">
        <is>
          <t>Arcanes share across items like mods (one max-rank copy covers every build).</t>
        </is>
      </c>
      <c r="S1845" t="inlineStr">
        <is>
          <t>secondary_shiver</t>
        </is>
      </c>
      <c r="T1845" t="n">
        <v>12</v>
      </c>
      <c r="U1845" t="n">
        <v>12</v>
      </c>
      <c r="V1845" t="n">
        <v>255</v>
      </c>
      <c r="W1845" t="n">
        <v>149</v>
      </c>
      <c r="X1845" t="n">
        <v>206.8</v>
      </c>
      <c r="Y1845" t="n">
        <v>769</v>
      </c>
      <c r="Z1845" t="n">
        <v>36</v>
      </c>
      <c r="AA1845" t="n">
        <v>140</v>
      </c>
      <c r="AB1845" t="n">
        <v>79</v>
      </c>
      <c r="AQ1845" t="n">
        <v>13.5</v>
      </c>
      <c r="AR1845" t="n">
        <v>283.5</v>
      </c>
      <c r="AS1845" t="inlineStr">
        <is>
          <t>Collection (optional)</t>
        </is>
      </c>
    </row>
    <row r="1846">
      <c r="A1846" t="inlineStr">
        <is>
          <t>Arcane</t>
        </is>
      </c>
      <c r="B1846" t="inlineStr">
        <is>
          <t>Secondary Surge</t>
        </is>
      </c>
      <c r="E1846" t="inlineStr">
        <is>
          <t>Secondary</t>
        </is>
      </c>
      <c r="F1846" t="n">
        <v>5</v>
      </c>
      <c r="G1846" t="n">
        <v>1</v>
      </c>
      <c r="H1846" t="inlineStr">
        <is>
          <t>Player trade (max rank)</t>
        </is>
      </c>
      <c r="I1846" t="inlineStr">
        <is>
          <t>Yes</t>
        </is>
      </c>
      <c r="K1846" t="inlineStr">
        <is>
          <t>Collection (optional)</t>
        </is>
      </c>
      <c r="L1846" t="n">
        <v>25</v>
      </c>
      <c r="M1846" t="n">
        <v>30</v>
      </c>
      <c r="N1846" t="n">
        <v>50</v>
      </c>
      <c r="O1846" t="inlineStr">
        <is>
          <t>2026-10-05 UTC (WFM pull 02:52-04:00)</t>
        </is>
      </c>
      <c r="P1846" t="inlineStr">
        <is>
          <t>OK</t>
        </is>
      </c>
      <c r="R1846" t="inlineStr">
        <is>
          <t>Arcanes share across items like mods (one max-rank copy covers every build).</t>
        </is>
      </c>
      <c r="S1846" t="inlineStr">
        <is>
          <t>secondary_surge</t>
        </is>
      </c>
      <c r="T1846" t="n">
        <v>8</v>
      </c>
      <c r="U1846" t="n">
        <v>8</v>
      </c>
      <c r="V1846" t="n">
        <v>25</v>
      </c>
      <c r="W1846" t="n">
        <v>24</v>
      </c>
      <c r="X1846" t="n">
        <v>24.2</v>
      </c>
      <c r="Y1846" t="n">
        <v>429</v>
      </c>
      <c r="Z1846" t="n">
        <v>14</v>
      </c>
      <c r="AA1846" t="n">
        <v>6</v>
      </c>
      <c r="AB1846" t="n">
        <v>19</v>
      </c>
      <c r="AQ1846" t="n">
        <v>3</v>
      </c>
      <c r="AR1846" t="n">
        <v>63</v>
      </c>
      <c r="AS1846" t="inlineStr">
        <is>
          <t>Collection (optional)</t>
        </is>
      </c>
    </row>
    <row r="1847">
      <c r="A1847" t="inlineStr">
        <is>
          <t>Arcane</t>
        </is>
      </c>
      <c r="B1847" t="inlineStr">
        <is>
          <t>Shotgun Vendetta</t>
        </is>
      </c>
      <c r="E1847" t="inlineStr">
        <is>
          <t>Shotgun</t>
        </is>
      </c>
      <c r="F1847" t="n">
        <v>5</v>
      </c>
      <c r="G1847" t="n">
        <v>1</v>
      </c>
      <c r="H1847" t="inlineStr">
        <is>
          <t>Player trade (max rank)</t>
        </is>
      </c>
      <c r="I1847" t="inlineStr">
        <is>
          <t>Yes</t>
        </is>
      </c>
      <c r="K1847" t="inlineStr">
        <is>
          <t>Required (v4.2 weapon/exalted builds)</t>
        </is>
      </c>
      <c r="L1847" t="n">
        <v>99</v>
      </c>
      <c r="M1847" t="n">
        <v>100</v>
      </c>
      <c r="N1847" t="n">
        <v>176</v>
      </c>
      <c r="O1847" t="inlineStr">
        <is>
          <t>2026-10-05 UTC (WFM pull 02:52-04:00)</t>
        </is>
      </c>
      <c r="P1847" t="inlineStr">
        <is>
          <t>OK</t>
        </is>
      </c>
      <c r="R1847" t="inlineStr">
        <is>
          <t>Arcanes share across items like mods (one max-rank copy covers every build).</t>
        </is>
      </c>
      <c r="S1847" t="inlineStr">
        <is>
          <t>shotgun_vendetta</t>
        </is>
      </c>
      <c r="T1847" t="n">
        <v>19</v>
      </c>
      <c r="U1847" t="n">
        <v>19</v>
      </c>
      <c r="V1847" t="n">
        <v>160</v>
      </c>
      <c r="W1847" t="n">
        <v>110</v>
      </c>
      <c r="X1847" t="n">
        <v>127.4</v>
      </c>
      <c r="Y1847" t="n">
        <v>3374</v>
      </c>
      <c r="Z1847" t="n">
        <v>80</v>
      </c>
      <c r="AA1847" t="n">
        <v>80</v>
      </c>
      <c r="AB1847" t="n">
        <v>19</v>
      </c>
      <c r="AQ1847" t="n">
        <v>7</v>
      </c>
      <c r="AR1847" t="n">
        <v>147</v>
      </c>
      <c r="AS1847" t="inlineStr">
        <is>
          <t>Yes</t>
        </is>
      </c>
    </row>
    <row r="1848">
      <c r="A1848" t="inlineStr">
        <is>
          <t>Arcane</t>
        </is>
      </c>
      <c r="B1848" t="inlineStr">
        <is>
          <t>Theorem Contagion</t>
        </is>
      </c>
      <c r="E1848" t="inlineStr">
        <is>
          <t>Warframe</t>
        </is>
      </c>
      <c r="F1848" t="n">
        <v>5</v>
      </c>
      <c r="G1848" t="n">
        <v>1</v>
      </c>
      <c r="H1848" t="inlineStr">
        <is>
          <t>Player trade (max rank)</t>
        </is>
      </c>
      <c r="I1848" t="inlineStr">
        <is>
          <t>Yes</t>
        </is>
      </c>
      <c r="K1848" t="inlineStr">
        <is>
          <t>Collection (optional)</t>
        </is>
      </c>
      <c r="L1848" t="n">
        <v>30</v>
      </c>
      <c r="M1848" t="n">
        <v>35</v>
      </c>
      <c r="N1848" t="n">
        <v>44</v>
      </c>
      <c r="O1848" t="inlineStr">
        <is>
          <t>2026-10-05 UTC (WFM pull 02:52-04:00)</t>
        </is>
      </c>
      <c r="P1848" t="inlineStr">
        <is>
          <t>OK</t>
        </is>
      </c>
      <c r="R1848" t="inlineStr">
        <is>
          <t>Arcanes share across items like mods (one max-rank copy covers every build).</t>
        </is>
      </c>
      <c r="S1848" t="inlineStr">
        <is>
          <t>theorem_contagion</t>
        </is>
      </c>
      <c r="T1848" t="n">
        <v>16</v>
      </c>
      <c r="U1848" t="n">
        <v>16</v>
      </c>
      <c r="V1848" t="n">
        <v>30</v>
      </c>
      <c r="W1848" t="n">
        <v>36.5</v>
      </c>
      <c r="X1848" t="n">
        <v>34.9</v>
      </c>
      <c r="Y1848" t="n">
        <v>114</v>
      </c>
      <c r="Z1848" t="n">
        <v>1</v>
      </c>
      <c r="AA1848" t="n">
        <v>15</v>
      </c>
      <c r="AB1848" t="n">
        <v>15</v>
      </c>
      <c r="AQ1848" t="n">
        <v>4.5</v>
      </c>
      <c r="AR1848" t="n">
        <v>94.5</v>
      </c>
      <c r="AS1848" t="inlineStr">
        <is>
          <t>Collection (optional)</t>
        </is>
      </c>
    </row>
    <row r="1849">
      <c r="A1849" t="inlineStr">
        <is>
          <t>Arcane</t>
        </is>
      </c>
      <c r="B1849" t="inlineStr">
        <is>
          <t>Theorem Demulcent</t>
        </is>
      </c>
      <c r="E1849" t="inlineStr">
        <is>
          <t>Warframe</t>
        </is>
      </c>
      <c r="F1849" t="n">
        <v>5</v>
      </c>
      <c r="G1849" t="n">
        <v>1</v>
      </c>
      <c r="H1849" t="inlineStr">
        <is>
          <t>Player trade (max rank)</t>
        </is>
      </c>
      <c r="I1849" t="inlineStr">
        <is>
          <t>Yes</t>
        </is>
      </c>
      <c r="K1849" t="inlineStr">
        <is>
          <t>Collection (optional)</t>
        </is>
      </c>
      <c r="L1849" t="n">
        <v>30</v>
      </c>
      <c r="M1849" t="n">
        <v>35</v>
      </c>
      <c r="N1849" t="n">
        <v>43</v>
      </c>
      <c r="O1849" t="inlineStr">
        <is>
          <t>2026-10-05 UTC (WFM pull 02:52-04:00)</t>
        </is>
      </c>
      <c r="P1849" t="inlineStr">
        <is>
          <t>OK</t>
        </is>
      </c>
      <c r="R1849" t="inlineStr">
        <is>
          <t>Arcanes share across items like mods (one max-rank copy covers every build).</t>
        </is>
      </c>
      <c r="S1849" t="inlineStr">
        <is>
          <t>theorem_demulcent</t>
        </is>
      </c>
      <c r="T1849" t="n">
        <v>16</v>
      </c>
      <c r="U1849" t="n">
        <v>16</v>
      </c>
      <c r="V1849" t="n">
        <v>35</v>
      </c>
      <c r="W1849" t="n">
        <v>37</v>
      </c>
      <c r="X1849" t="n">
        <v>36.7</v>
      </c>
      <c r="Y1849" t="n">
        <v>98</v>
      </c>
      <c r="Z1849" t="n">
        <v>1</v>
      </c>
      <c r="AA1849" t="n">
        <v>5</v>
      </c>
      <c r="AB1849" t="n">
        <v>25</v>
      </c>
      <c r="AQ1849" t="n">
        <v>4</v>
      </c>
      <c r="AR1849" t="n">
        <v>84</v>
      </c>
      <c r="AS1849" t="inlineStr">
        <is>
          <t>Collection (optional)</t>
        </is>
      </c>
    </row>
    <row r="1850">
      <c r="A1850" t="inlineStr">
        <is>
          <t>Arcane</t>
        </is>
      </c>
      <c r="B1850" t="inlineStr">
        <is>
          <t>Theorem Infection</t>
        </is>
      </c>
      <c r="E1850" t="inlineStr">
        <is>
          <t>Warframe</t>
        </is>
      </c>
      <c r="F1850" t="n">
        <v>5</v>
      </c>
      <c r="G1850" t="n">
        <v>1</v>
      </c>
      <c r="H1850" t="inlineStr">
        <is>
          <t>Player trade (max rank)</t>
        </is>
      </c>
      <c r="I1850" t="inlineStr">
        <is>
          <t>Yes</t>
        </is>
      </c>
      <c r="K1850" t="inlineStr">
        <is>
          <t>Collection (optional)</t>
        </is>
      </c>
      <c r="L1850" t="n">
        <v>84</v>
      </c>
      <c r="M1850" t="n">
        <v>96</v>
      </c>
      <c r="N1850" t="n">
        <v>109</v>
      </c>
      <c r="O1850" t="inlineStr">
        <is>
          <t>2026-10-05 UTC (WFM pull 02:52-04:00)</t>
        </is>
      </c>
      <c r="P1850" t="inlineStr">
        <is>
          <t>OK</t>
        </is>
      </c>
      <c r="R1850" t="inlineStr">
        <is>
          <t>Arcanes share across items like mods (one max-rank copy covers every build).</t>
        </is>
      </c>
      <c r="S1850" t="inlineStr">
        <is>
          <t>theorem_infection</t>
        </is>
      </c>
      <c r="T1850" t="n">
        <v>14</v>
      </c>
      <c r="U1850" t="n">
        <v>14</v>
      </c>
      <c r="V1850" t="n">
        <v>89</v>
      </c>
      <c r="W1850" t="n">
        <v>87</v>
      </c>
      <c r="X1850" t="n">
        <v>88.7</v>
      </c>
      <c r="Y1850" t="n">
        <v>412</v>
      </c>
      <c r="Z1850" t="n">
        <v>7</v>
      </c>
      <c r="AA1850" t="n">
        <v>30</v>
      </c>
      <c r="AB1850" t="n">
        <v>54</v>
      </c>
      <c r="AQ1850" t="n">
        <v>6.5</v>
      </c>
      <c r="AR1850" t="n">
        <v>136.5</v>
      </c>
      <c r="AS1850" t="inlineStr">
        <is>
          <t>Collection (optional)</t>
        </is>
      </c>
    </row>
    <row r="1851">
      <c r="A1851" t="inlineStr">
        <is>
          <t>Arcane</t>
        </is>
      </c>
      <c r="B1851" t="inlineStr">
        <is>
          <t>Virtuos Forge</t>
        </is>
      </c>
      <c r="E1851" t="inlineStr">
        <is>
          <t>Amp</t>
        </is>
      </c>
      <c r="F1851" t="n">
        <v>3</v>
      </c>
      <c r="G1851" t="n">
        <v>1</v>
      </c>
      <c r="H1851" t="inlineStr">
        <is>
          <t>Player trade (max rank)</t>
        </is>
      </c>
      <c r="I1851" t="inlineStr">
        <is>
          <t>Yes</t>
        </is>
      </c>
      <c r="K1851" t="inlineStr">
        <is>
          <t>Collection (optional)</t>
        </is>
      </c>
      <c r="L1851" t="n">
        <v>54</v>
      </c>
      <c r="M1851" t="n">
        <v>56.2</v>
      </c>
      <c r="N1851" t="n">
        <v>124</v>
      </c>
      <c r="O1851" t="inlineStr">
        <is>
          <t>2026-10-05 UTC (WFM pull 02:52-04:00)</t>
        </is>
      </c>
      <c r="P1851" t="inlineStr">
        <is>
          <t>OK</t>
        </is>
      </c>
      <c r="Q1851" t="inlineStr">
        <is>
          <t>Cheaper via 10x R0 (40p realistic) than buying max rank</t>
        </is>
      </c>
      <c r="R1851" t="inlineStr">
        <is>
          <t>Arcanes share across items like mods (one max-rank copy covers every build).</t>
        </is>
      </c>
      <c r="S1851" t="inlineStr">
        <is>
          <t>virtuos_forge</t>
        </is>
      </c>
      <c r="T1851" t="n">
        <v>5</v>
      </c>
      <c r="U1851" t="n">
        <v>5</v>
      </c>
      <c r="V1851" t="n">
        <v>37.5</v>
      </c>
      <c r="W1851" t="n">
        <v>38.5</v>
      </c>
      <c r="X1851" t="n">
        <v>38.1</v>
      </c>
      <c r="Y1851" t="n">
        <v>161</v>
      </c>
      <c r="Z1851" t="n">
        <v>7</v>
      </c>
      <c r="AA1851" t="n">
        <v>20</v>
      </c>
      <c r="AB1851" t="n">
        <v>34</v>
      </c>
      <c r="AQ1851" t="n">
        <v>4</v>
      </c>
      <c r="AR1851" t="n">
        <v>40</v>
      </c>
      <c r="AS1851" t="inlineStr">
        <is>
          <t>Collection (optional)</t>
        </is>
      </c>
    </row>
    <row r="1852">
      <c r="A1852" t="inlineStr">
        <is>
          <t>Arcane</t>
        </is>
      </c>
      <c r="B1852" t="inlineStr">
        <is>
          <t>Virtuos Fury</t>
        </is>
      </c>
      <c r="E1852" t="inlineStr">
        <is>
          <t>Amp</t>
        </is>
      </c>
      <c r="F1852" t="n">
        <v>3</v>
      </c>
      <c r="G1852" t="n">
        <v>1</v>
      </c>
      <c r="H1852" t="inlineStr">
        <is>
          <t>Player trade (max rank)</t>
        </is>
      </c>
      <c r="I1852" t="inlineStr">
        <is>
          <t>Yes</t>
        </is>
      </c>
      <c r="K1852" t="inlineStr">
        <is>
          <t>Collection (optional)</t>
        </is>
      </c>
      <c r="L1852" t="n">
        <v>30</v>
      </c>
      <c r="M1852" t="n">
        <v>40</v>
      </c>
      <c r="N1852" t="n">
        <v>88</v>
      </c>
      <c r="O1852" t="inlineStr">
        <is>
          <t>2026-10-05 UTC (WFM pull 02:52-04:00)</t>
        </is>
      </c>
      <c r="P1852" t="inlineStr">
        <is>
          <t>OK</t>
        </is>
      </c>
      <c r="R1852" t="inlineStr">
        <is>
          <t>Arcanes share across items like mods (one max-rank copy covers every build).</t>
        </is>
      </c>
      <c r="S1852" t="inlineStr">
        <is>
          <t>virtuos_fury</t>
        </is>
      </c>
      <c r="T1852" t="n">
        <v>5</v>
      </c>
      <c r="U1852" t="n">
        <v>5</v>
      </c>
      <c r="V1852" t="n">
        <v>30</v>
      </c>
      <c r="W1852" t="n">
        <v>30</v>
      </c>
      <c r="X1852" t="n">
        <v>30.1</v>
      </c>
      <c r="Y1852" t="n">
        <v>96</v>
      </c>
      <c r="Z1852" t="n">
        <v>2</v>
      </c>
      <c r="AQ1852" t="n">
        <v>5</v>
      </c>
      <c r="AR1852" t="n">
        <v>50</v>
      </c>
      <c r="AS1852" t="inlineStr">
        <is>
          <t>Collection (optional)</t>
        </is>
      </c>
    </row>
    <row r="1853">
      <c r="A1853" t="inlineStr">
        <is>
          <t>Arcane</t>
        </is>
      </c>
      <c r="B1853" t="inlineStr">
        <is>
          <t>Virtuos Ghost</t>
        </is>
      </c>
      <c r="E1853" t="inlineStr">
        <is>
          <t>Amp</t>
        </is>
      </c>
      <c r="F1853" t="n">
        <v>3</v>
      </c>
      <c r="G1853" t="n">
        <v>1</v>
      </c>
      <c r="H1853" t="inlineStr">
        <is>
          <t>Player trade (max rank)</t>
        </is>
      </c>
      <c r="I1853" t="inlineStr">
        <is>
          <t>Yes</t>
        </is>
      </c>
      <c r="K1853" t="inlineStr">
        <is>
          <t>Collection (optional)</t>
        </is>
      </c>
      <c r="L1853" t="n">
        <v>30</v>
      </c>
      <c r="M1853" t="n">
        <v>32.5</v>
      </c>
      <c r="N1853" t="n">
        <v>72</v>
      </c>
      <c r="O1853" t="inlineStr">
        <is>
          <t>2026-10-05 UTC (WFM pull 02:52-04:00)</t>
        </is>
      </c>
      <c r="P1853" t="inlineStr">
        <is>
          <t>OK</t>
        </is>
      </c>
      <c r="R1853" t="inlineStr">
        <is>
          <t>Arcanes share across items like mods (one max-rank copy covers every build).</t>
        </is>
      </c>
      <c r="S1853" t="inlineStr">
        <is>
          <t>virtuos_ghost</t>
        </is>
      </c>
      <c r="T1853" t="n">
        <v>4</v>
      </c>
      <c r="U1853" t="n">
        <v>4</v>
      </c>
      <c r="V1853" t="n">
        <v>30</v>
      </c>
      <c r="W1853" t="n">
        <v>30</v>
      </c>
      <c r="X1853" t="n">
        <v>33.4</v>
      </c>
      <c r="Y1853" t="n">
        <v>74</v>
      </c>
      <c r="Z1853" t="n">
        <v>1</v>
      </c>
      <c r="AQ1853" t="n">
        <v>4</v>
      </c>
      <c r="AR1853" t="n">
        <v>40</v>
      </c>
      <c r="AS1853" t="inlineStr">
        <is>
          <t>Collection (optional)</t>
        </is>
      </c>
    </row>
    <row r="1854">
      <c r="A1854" t="inlineStr">
        <is>
          <t>Arcane</t>
        </is>
      </c>
      <c r="B1854" t="inlineStr">
        <is>
          <t>Virtuos Null</t>
        </is>
      </c>
      <c r="E1854" t="inlineStr">
        <is>
          <t>Amp</t>
        </is>
      </c>
      <c r="F1854" t="n">
        <v>3</v>
      </c>
      <c r="G1854" t="n">
        <v>1</v>
      </c>
      <c r="H1854" t="inlineStr">
        <is>
          <t>Player trade (max rank)</t>
        </is>
      </c>
      <c r="I1854" t="inlineStr">
        <is>
          <t>Yes</t>
        </is>
      </c>
      <c r="K1854" t="inlineStr">
        <is>
          <t>Collection (optional)</t>
        </is>
      </c>
      <c r="L1854" t="n">
        <v>14</v>
      </c>
      <c r="M1854" t="n">
        <v>15</v>
      </c>
      <c r="N1854" t="n">
        <v>17</v>
      </c>
      <c r="O1854" t="inlineStr">
        <is>
          <t>2026-10-05 UTC (WFM pull 02:52-04:00)</t>
        </is>
      </c>
      <c r="P1854" t="inlineStr">
        <is>
          <t>OK</t>
        </is>
      </c>
      <c r="R1854" t="inlineStr">
        <is>
          <t>Arcanes share across items like mods (one max-rank copy covers every build).</t>
        </is>
      </c>
      <c r="S1854" t="inlineStr">
        <is>
          <t>virtuos_null</t>
        </is>
      </c>
      <c r="T1854" t="n">
        <v>10</v>
      </c>
      <c r="U1854" t="n">
        <v>10</v>
      </c>
      <c r="V1854" t="n">
        <v>14.5</v>
      </c>
      <c r="W1854" t="n">
        <v>14.5</v>
      </c>
      <c r="X1854" t="n">
        <v>14.5</v>
      </c>
      <c r="Y1854" t="n">
        <v>59</v>
      </c>
      <c r="Z1854" t="n">
        <v>0</v>
      </c>
      <c r="AQ1854" t="n">
        <v>4.5</v>
      </c>
      <c r="AR1854" t="n">
        <v>45</v>
      </c>
      <c r="AS1854" t="inlineStr">
        <is>
          <t>Collection (optional)</t>
        </is>
      </c>
    </row>
    <row r="1855">
      <c r="A1855" t="inlineStr">
        <is>
          <t>Arcane</t>
        </is>
      </c>
      <c r="B1855" t="inlineStr">
        <is>
          <t>Virtuos Shadow</t>
        </is>
      </c>
      <c r="E1855" t="inlineStr">
        <is>
          <t>Amp</t>
        </is>
      </c>
      <c r="F1855" t="n">
        <v>3</v>
      </c>
      <c r="G1855" t="n">
        <v>1</v>
      </c>
      <c r="H1855" t="inlineStr">
        <is>
          <t>Player trade (max rank)</t>
        </is>
      </c>
      <c r="I1855" t="inlineStr">
        <is>
          <t>Yes</t>
        </is>
      </c>
      <c r="K1855" t="inlineStr">
        <is>
          <t>Collection (optional)</t>
        </is>
      </c>
      <c r="L1855" t="n">
        <v>25</v>
      </c>
      <c r="M1855" t="n">
        <v>35</v>
      </c>
      <c r="N1855" t="n">
        <v>77</v>
      </c>
      <c r="O1855" t="inlineStr">
        <is>
          <t>2026-10-05 UTC (WFM pull 02:52-04:00)</t>
        </is>
      </c>
      <c r="P1855" t="inlineStr">
        <is>
          <t>OK</t>
        </is>
      </c>
      <c r="R1855" t="inlineStr">
        <is>
          <t>Arcanes share across items like mods (one max-rank copy covers every build).</t>
        </is>
      </c>
      <c r="S1855" t="inlineStr">
        <is>
          <t>virtuos_shadow</t>
        </is>
      </c>
      <c r="T1855" t="n">
        <v>5</v>
      </c>
      <c r="U1855" t="n">
        <v>5</v>
      </c>
      <c r="V1855" t="n">
        <v>25</v>
      </c>
      <c r="W1855" t="n">
        <v>27.5</v>
      </c>
      <c r="X1855" t="n">
        <v>26.4</v>
      </c>
      <c r="Y1855" t="n">
        <v>333</v>
      </c>
      <c r="Z1855" t="n">
        <v>11</v>
      </c>
      <c r="AQ1855" t="n">
        <v>5</v>
      </c>
      <c r="AR1855" t="n">
        <v>50</v>
      </c>
      <c r="AS1855" t="inlineStr">
        <is>
          <t>Collection (optional)</t>
        </is>
      </c>
    </row>
    <row r="1856">
      <c r="A1856" t="inlineStr">
        <is>
          <t>Arcane</t>
        </is>
      </c>
      <c r="B1856" t="inlineStr">
        <is>
          <t>Virtuos Spike</t>
        </is>
      </c>
      <c r="E1856" t="inlineStr">
        <is>
          <t>Amp</t>
        </is>
      </c>
      <c r="F1856" t="n">
        <v>3</v>
      </c>
      <c r="G1856" t="n">
        <v>1</v>
      </c>
      <c r="H1856" t="inlineStr">
        <is>
          <t>Player trade (max rank)</t>
        </is>
      </c>
      <c r="I1856" t="inlineStr">
        <is>
          <t>Yes</t>
        </is>
      </c>
      <c r="K1856" t="inlineStr">
        <is>
          <t>Collection (optional)</t>
        </is>
      </c>
      <c r="L1856" t="n">
        <v>18</v>
      </c>
      <c r="M1856" t="n">
        <v>19</v>
      </c>
      <c r="N1856" t="n">
        <v>33</v>
      </c>
      <c r="O1856" t="inlineStr">
        <is>
          <t>2026-10-05 UTC (WFM pull 02:52-04:00)</t>
        </is>
      </c>
      <c r="P1856" t="inlineStr">
        <is>
          <t>OK</t>
        </is>
      </c>
      <c r="R1856" t="inlineStr">
        <is>
          <t>Arcanes share across items like mods (one max-rank copy covers every build).</t>
        </is>
      </c>
      <c r="S1856" t="inlineStr">
        <is>
          <t>virtuos_spike</t>
        </is>
      </c>
      <c r="T1856" t="n">
        <v>94</v>
      </c>
      <c r="U1856" t="n">
        <v>2</v>
      </c>
      <c r="V1856" t="n">
        <v>30</v>
      </c>
      <c r="W1856" t="n">
        <v>25</v>
      </c>
      <c r="X1856" t="n">
        <v>27.7</v>
      </c>
      <c r="Y1856" t="n">
        <v>48</v>
      </c>
      <c r="Z1856" t="n">
        <v>1</v>
      </c>
      <c r="AQ1856" t="n">
        <v>5</v>
      </c>
      <c r="AR1856" t="n">
        <v>50</v>
      </c>
      <c r="AS1856" t="inlineStr">
        <is>
          <t>Collection (optional)</t>
        </is>
      </c>
    </row>
    <row r="1857">
      <c r="A1857" t="inlineStr">
        <is>
          <t>Arcane</t>
        </is>
      </c>
      <c r="B1857" t="inlineStr">
        <is>
          <t>Virtuos Strike</t>
        </is>
      </c>
      <c r="E1857" t="inlineStr">
        <is>
          <t>Amp</t>
        </is>
      </c>
      <c r="F1857" t="n">
        <v>3</v>
      </c>
      <c r="G1857" t="n">
        <v>1</v>
      </c>
      <c r="H1857" t="inlineStr">
        <is>
          <t>Player trade (max rank)</t>
        </is>
      </c>
      <c r="I1857" t="inlineStr">
        <is>
          <t>Yes</t>
        </is>
      </c>
      <c r="K1857" t="inlineStr">
        <is>
          <t>Collection (optional)</t>
        </is>
      </c>
      <c r="L1857" t="n">
        <v>28</v>
      </c>
      <c r="M1857" t="n">
        <v>30</v>
      </c>
      <c r="N1857" t="n">
        <v>39</v>
      </c>
      <c r="O1857" t="inlineStr">
        <is>
          <t>2026-10-05 UTC (WFM pull 02:52-04:00)</t>
        </is>
      </c>
      <c r="P1857" t="inlineStr">
        <is>
          <t>OK</t>
        </is>
      </c>
      <c r="R1857" t="inlineStr">
        <is>
          <t>Arcanes share across items like mods (one max-rank copy covers every build).</t>
        </is>
      </c>
      <c r="S1857" t="inlineStr">
        <is>
          <t>virtuos_strike</t>
        </is>
      </c>
      <c r="T1857" t="n">
        <v>7</v>
      </c>
      <c r="U1857" t="n">
        <v>7</v>
      </c>
      <c r="V1857" t="n">
        <v>25</v>
      </c>
      <c r="W1857" t="n">
        <v>28</v>
      </c>
      <c r="X1857" t="n">
        <v>27.8</v>
      </c>
      <c r="Y1857" t="n">
        <v>1080</v>
      </c>
      <c r="Z1857" t="n">
        <v>22</v>
      </c>
      <c r="AQ1857" t="n">
        <v>4</v>
      </c>
      <c r="AR1857" t="n">
        <v>40</v>
      </c>
      <c r="AS1857" t="inlineStr">
        <is>
          <t>Collection (optional)</t>
        </is>
      </c>
    </row>
    <row r="1858">
      <c r="A1858" t="inlineStr">
        <is>
          <t>Arcane</t>
        </is>
      </c>
      <c r="B1858" t="inlineStr">
        <is>
          <t>Virtuos Surge</t>
        </is>
      </c>
      <c r="E1858" t="inlineStr">
        <is>
          <t>Amp</t>
        </is>
      </c>
      <c r="F1858" t="n">
        <v>3</v>
      </c>
      <c r="G1858" t="n">
        <v>1</v>
      </c>
      <c r="H1858" t="inlineStr">
        <is>
          <t>Player trade (max rank)</t>
        </is>
      </c>
      <c r="I1858" t="inlineStr">
        <is>
          <t>Yes</t>
        </is>
      </c>
      <c r="K1858" t="inlineStr">
        <is>
          <t>Collection (optional)</t>
        </is>
      </c>
      <c r="L1858" t="n">
        <v>18</v>
      </c>
      <c r="M1858" t="n">
        <v>20</v>
      </c>
      <c r="N1858" t="n">
        <v>33</v>
      </c>
      <c r="O1858" t="inlineStr">
        <is>
          <t>2026-10-05 UTC (WFM pull 02:52-04:00)</t>
        </is>
      </c>
      <c r="P1858" t="inlineStr">
        <is>
          <t>OK</t>
        </is>
      </c>
      <c r="R1858" t="inlineStr">
        <is>
          <t>Arcanes share across items like mods (one max-rank copy covers every build).</t>
        </is>
      </c>
      <c r="S1858" t="inlineStr">
        <is>
          <t>virtuos_surge</t>
        </is>
      </c>
      <c r="T1858" t="n">
        <v>104</v>
      </c>
      <c r="U1858" t="n">
        <v>2</v>
      </c>
      <c r="V1858" t="n">
        <v>30</v>
      </c>
      <c r="W1858" t="n">
        <v>29</v>
      </c>
      <c r="X1858" t="n">
        <v>28.3</v>
      </c>
      <c r="Y1858" t="n">
        <v>64</v>
      </c>
      <c r="Z1858" t="n">
        <v>0</v>
      </c>
      <c r="AQ1858" t="n">
        <v>3</v>
      </c>
      <c r="AR1858" t="n">
        <v>30</v>
      </c>
      <c r="AS1858" t="inlineStr">
        <is>
          <t>Collection (optional)</t>
        </is>
      </c>
    </row>
    <row r="1859">
      <c r="A1859" t="inlineStr">
        <is>
          <t>Arcane</t>
        </is>
      </c>
      <c r="B1859" t="inlineStr">
        <is>
          <t>Virtuos Tempo</t>
        </is>
      </c>
      <c r="E1859" t="inlineStr">
        <is>
          <t>Amp</t>
        </is>
      </c>
      <c r="F1859" t="n">
        <v>3</v>
      </c>
      <c r="G1859" t="n">
        <v>1</v>
      </c>
      <c r="H1859" t="inlineStr">
        <is>
          <t>Player trade (max rank)</t>
        </is>
      </c>
      <c r="I1859" t="inlineStr">
        <is>
          <t>Yes</t>
        </is>
      </c>
      <c r="K1859" t="inlineStr">
        <is>
          <t>Collection (optional)</t>
        </is>
      </c>
      <c r="L1859" t="n">
        <v>21</v>
      </c>
      <c r="M1859" t="n">
        <v>30</v>
      </c>
      <c r="N1859" t="n">
        <v>66</v>
      </c>
      <c r="O1859" t="inlineStr">
        <is>
          <t>2026-10-05 UTC (WFM pull 02:52-04:00)</t>
        </is>
      </c>
      <c r="P1859" t="inlineStr">
        <is>
          <t>OK</t>
        </is>
      </c>
      <c r="R1859" t="inlineStr">
        <is>
          <t>Arcanes share across items like mods (one max-rank copy covers every build).</t>
        </is>
      </c>
      <c r="S1859" t="inlineStr">
        <is>
          <t>virtuos_tempo</t>
        </is>
      </c>
      <c r="T1859" t="n">
        <v>6</v>
      </c>
      <c r="U1859" t="n">
        <v>6</v>
      </c>
      <c r="V1859" t="n">
        <v>23</v>
      </c>
      <c r="W1859" t="n">
        <v>24</v>
      </c>
      <c r="X1859" t="n">
        <v>23.9</v>
      </c>
      <c r="Y1859" t="n">
        <v>475</v>
      </c>
      <c r="Z1859" t="n">
        <v>13</v>
      </c>
      <c r="AQ1859" t="n">
        <v>3</v>
      </c>
      <c r="AR1859" t="n">
        <v>30</v>
      </c>
      <c r="AS1859" t="inlineStr">
        <is>
          <t>Collection (optional)</t>
        </is>
      </c>
    </row>
    <row r="1860">
      <c r="A1860" t="inlineStr">
        <is>
          <t>Arcane</t>
        </is>
      </c>
      <c r="B1860" t="inlineStr">
        <is>
          <t>Virtuos Trojan</t>
        </is>
      </c>
      <c r="E1860" t="inlineStr">
        <is>
          <t>Amp</t>
        </is>
      </c>
      <c r="F1860" t="n">
        <v>3</v>
      </c>
      <c r="G1860" t="n">
        <v>1</v>
      </c>
      <c r="H1860" t="inlineStr">
        <is>
          <t>Player trade (max rank)</t>
        </is>
      </c>
      <c r="I1860" t="inlineStr">
        <is>
          <t>Yes</t>
        </is>
      </c>
      <c r="K1860" t="inlineStr">
        <is>
          <t>Collection (optional)</t>
        </is>
      </c>
      <c r="L1860" t="n">
        <v>54</v>
      </c>
      <c r="M1860" t="n">
        <v>71.2</v>
      </c>
      <c r="N1860" t="n">
        <v>157</v>
      </c>
      <c r="O1860" t="inlineStr">
        <is>
          <t>2026-10-05 UTC (WFM pull 02:52-04:00)</t>
        </is>
      </c>
      <c r="P1860" t="inlineStr">
        <is>
          <t>OK</t>
        </is>
      </c>
      <c r="R1860" t="inlineStr">
        <is>
          <t>Arcanes share across items like mods (one max-rank copy covers every build).</t>
        </is>
      </c>
      <c r="S1860" t="inlineStr">
        <is>
          <t>virtuos_trojan</t>
        </is>
      </c>
      <c r="T1860" t="n">
        <v>3</v>
      </c>
      <c r="U1860" t="n">
        <v>3</v>
      </c>
      <c r="V1860" t="n">
        <v>47.5</v>
      </c>
      <c r="W1860" t="n">
        <v>50</v>
      </c>
      <c r="X1860" t="n">
        <v>51</v>
      </c>
      <c r="Y1860" t="n">
        <v>269</v>
      </c>
      <c r="Z1860" t="n">
        <v>7</v>
      </c>
      <c r="AA1860" t="n">
        <v>25</v>
      </c>
      <c r="AB1860" t="n">
        <v>29</v>
      </c>
      <c r="AQ1860" t="n">
        <v>8.199999999999999</v>
      </c>
      <c r="AR1860" t="n">
        <v>82</v>
      </c>
      <c r="AS1860" t="inlineStr">
        <is>
          <t>Collection (optional)</t>
        </is>
      </c>
    </row>
    <row r="1861">
      <c r="A1861" t="inlineStr">
        <is>
          <t>Arcane</t>
        </is>
      </c>
      <c r="B1861" t="inlineStr">
        <is>
          <t>Zid-an Asheir</t>
        </is>
      </c>
      <c r="E1861" t="inlineStr">
        <is>
          <t>Tektolyst Artifacts</t>
        </is>
      </c>
      <c r="F1861" t="n">
        <v>5</v>
      </c>
      <c r="G1861" t="n">
        <v>1</v>
      </c>
      <c r="H1861" t="inlineStr">
        <is>
          <t>Player trade (max rank)</t>
        </is>
      </c>
      <c r="I1861" t="inlineStr">
        <is>
          <t>Yes</t>
        </is>
      </c>
      <c r="K1861" t="inlineStr">
        <is>
          <t>Collection (optional)</t>
        </is>
      </c>
      <c r="L1861" t="n">
        <v>28</v>
      </c>
      <c r="M1861" t="n">
        <v>40</v>
      </c>
      <c r="N1861" t="n">
        <v>44</v>
      </c>
      <c r="O1861" t="inlineStr">
        <is>
          <t>2026-10-05 UTC (WFM pull 02:52-04:00)</t>
        </is>
      </c>
      <c r="P1861" t="inlineStr">
        <is>
          <t>OK</t>
        </is>
      </c>
      <c r="R1861" t="inlineStr">
        <is>
          <t>Arcanes share across items like mods (one max-rank copy covers every build).</t>
        </is>
      </c>
      <c r="S1861" t="inlineStr">
        <is>
          <t>zid_an_asheir</t>
        </is>
      </c>
      <c r="T1861" t="n">
        <v>9</v>
      </c>
      <c r="U1861" t="n">
        <v>9</v>
      </c>
      <c r="V1861" t="n">
        <v>30</v>
      </c>
      <c r="W1861" t="n">
        <v>32</v>
      </c>
      <c r="X1861" t="n">
        <v>32.4</v>
      </c>
      <c r="Y1861" t="n">
        <v>419</v>
      </c>
      <c r="Z1861" t="n">
        <v>9</v>
      </c>
      <c r="AQ1861" t="n">
        <v>3</v>
      </c>
      <c r="AR1861" t="n">
        <v>63</v>
      </c>
      <c r="AS1861" t="inlineStr">
        <is>
          <t>Collection (optional)</t>
        </is>
      </c>
    </row>
    <row r="1862">
      <c r="A1862" t="inlineStr">
        <is>
          <t>Arcane</t>
        </is>
      </c>
      <c r="B1862" t="inlineStr">
        <is>
          <t>Zid-an Haras</t>
        </is>
      </c>
      <c r="E1862" t="inlineStr">
        <is>
          <t>Tektolyst Artifacts</t>
        </is>
      </c>
      <c r="F1862" t="n">
        <v>5</v>
      </c>
      <c r="G1862" t="n">
        <v>1</v>
      </c>
      <c r="H1862" t="inlineStr">
        <is>
          <t>Player trade (max rank)</t>
        </is>
      </c>
      <c r="I1862" t="inlineStr">
        <is>
          <t>Yes</t>
        </is>
      </c>
      <c r="K1862" t="inlineStr">
        <is>
          <t>Collection (optional)</t>
        </is>
      </c>
      <c r="L1862" t="n">
        <v>50</v>
      </c>
      <c r="M1862" t="n">
        <v>50</v>
      </c>
      <c r="N1862" t="n">
        <v>111</v>
      </c>
      <c r="O1862" t="inlineStr">
        <is>
          <t>2026-10-05 UTC (WFM pull 02:52-04:00)</t>
        </is>
      </c>
      <c r="P1862" t="inlineStr">
        <is>
          <t>OK</t>
        </is>
      </c>
      <c r="R1862" t="inlineStr">
        <is>
          <t>Arcanes share across items like mods (one max-rank copy covers every build).</t>
        </is>
      </c>
      <c r="S1862" t="inlineStr">
        <is>
          <t>zid_an_haras</t>
        </is>
      </c>
      <c r="T1862" t="n">
        <v>9</v>
      </c>
      <c r="U1862" t="n">
        <v>9</v>
      </c>
      <c r="V1862" t="n">
        <v>25</v>
      </c>
      <c r="W1862" t="n">
        <v>25</v>
      </c>
      <c r="X1862" t="n">
        <v>24.7</v>
      </c>
      <c r="Y1862" t="n">
        <v>339</v>
      </c>
      <c r="Z1862" t="n">
        <v>7</v>
      </c>
      <c r="AQ1862" t="n">
        <v>3</v>
      </c>
      <c r="AR1862" t="n">
        <v>63</v>
      </c>
      <c r="AS1862" t="inlineStr">
        <is>
          <t>Collection (optional)</t>
        </is>
      </c>
    </row>
    <row r="1863">
      <c r="A1863" t="inlineStr">
        <is>
          <t>Arcane</t>
        </is>
      </c>
      <c r="B1863" t="inlineStr">
        <is>
          <t>Zid-an Osbok</t>
        </is>
      </c>
      <c r="E1863" t="inlineStr">
        <is>
          <t>Tektolyst Artifacts</t>
        </is>
      </c>
      <c r="F1863" t="n">
        <v>5</v>
      </c>
      <c r="G1863" t="n">
        <v>1</v>
      </c>
      <c r="H1863" t="inlineStr">
        <is>
          <t>Player trade (max rank)</t>
        </is>
      </c>
      <c r="I1863" t="inlineStr">
        <is>
          <t>Yes</t>
        </is>
      </c>
      <c r="K1863" t="inlineStr">
        <is>
          <t>Collection (optional)</t>
        </is>
      </c>
      <c r="L1863" t="n">
        <v>60</v>
      </c>
      <c r="M1863" t="n">
        <v>70</v>
      </c>
      <c r="N1863" t="n">
        <v>88</v>
      </c>
      <c r="O1863" t="inlineStr">
        <is>
          <t>2026-10-05 UTC (WFM pull 02:52-04:00)</t>
        </is>
      </c>
      <c r="P1863" t="inlineStr">
        <is>
          <t>OK</t>
        </is>
      </c>
      <c r="R1863" t="inlineStr">
        <is>
          <t>Arcanes share across items like mods (one max-rank copy covers every build).</t>
        </is>
      </c>
      <c r="S1863" t="inlineStr">
        <is>
          <t>zid_an_osbok</t>
        </is>
      </c>
      <c r="T1863" t="n">
        <v>8</v>
      </c>
      <c r="U1863" t="n">
        <v>8</v>
      </c>
      <c r="V1863" t="n">
        <v>59.5</v>
      </c>
      <c r="W1863" t="n">
        <v>59.5</v>
      </c>
      <c r="X1863" t="n">
        <v>57.6</v>
      </c>
      <c r="Y1863" t="n">
        <v>771</v>
      </c>
      <c r="Z1863" t="n">
        <v>21</v>
      </c>
      <c r="AA1863" t="n">
        <v>35</v>
      </c>
      <c r="AB1863" t="n">
        <v>25</v>
      </c>
      <c r="AQ1863" t="n">
        <v>4</v>
      </c>
      <c r="AR1863" t="n">
        <v>84</v>
      </c>
      <c r="AS1863" t="inlineStr">
        <is>
          <t>Collection (optional)</t>
        </is>
      </c>
    </row>
    <row r="1864">
      <c r="A1864" t="inlineStr">
        <is>
          <t>Arcane</t>
        </is>
      </c>
      <c r="B1864" t="inlineStr">
        <is>
          <t>Zid-an Sek-eel</t>
        </is>
      </c>
      <c r="E1864" t="inlineStr">
        <is>
          <t>Tektolyst Artifacts</t>
        </is>
      </c>
      <c r="F1864" t="n">
        <v>5</v>
      </c>
      <c r="G1864" t="n">
        <v>1</v>
      </c>
      <c r="H1864" t="inlineStr">
        <is>
          <t>Player trade (max rank)</t>
        </is>
      </c>
      <c r="I1864" t="inlineStr">
        <is>
          <t>Yes</t>
        </is>
      </c>
      <c r="K1864" t="inlineStr">
        <is>
          <t>Collection (optional)</t>
        </is>
      </c>
      <c r="L1864" t="n">
        <v>29</v>
      </c>
      <c r="M1864" t="n">
        <v>37.5</v>
      </c>
      <c r="N1864" t="n">
        <v>83</v>
      </c>
      <c r="O1864" t="inlineStr">
        <is>
          <t>2026-10-05 UTC (WFM pull 02:52-04:00)</t>
        </is>
      </c>
      <c r="P1864" t="inlineStr">
        <is>
          <t>OK</t>
        </is>
      </c>
      <c r="R1864" t="inlineStr">
        <is>
          <t>Arcanes share across items like mods (one max-rank copy covers every build).</t>
        </is>
      </c>
      <c r="S1864" t="inlineStr">
        <is>
          <t>zid_an_sek_eel</t>
        </is>
      </c>
      <c r="T1864" t="n">
        <v>10</v>
      </c>
      <c r="U1864" t="n">
        <v>10</v>
      </c>
      <c r="V1864" t="n">
        <v>25</v>
      </c>
      <c r="W1864" t="n">
        <v>29</v>
      </c>
      <c r="X1864" t="n">
        <v>27.9</v>
      </c>
      <c r="Y1864" t="n">
        <v>331</v>
      </c>
      <c r="Z1864" t="n">
        <v>13</v>
      </c>
      <c r="AQ1864" t="n">
        <v>3</v>
      </c>
      <c r="AR1864" t="n">
        <v>63</v>
      </c>
      <c r="AS1864" t="inlineStr">
        <is>
          <t>Collection (optional)</t>
        </is>
      </c>
    </row>
    <row r="1865">
      <c r="A1865" t="inlineStr">
        <is>
          <t>Arcane</t>
        </is>
      </c>
      <c r="B1865" t="inlineStr">
        <is>
          <t>Zid-an Uskos</t>
        </is>
      </c>
      <c r="E1865" t="inlineStr">
        <is>
          <t>Tektolyst Artifacts</t>
        </is>
      </c>
      <c r="F1865" t="n">
        <v>5</v>
      </c>
      <c r="G1865" t="n">
        <v>1</v>
      </c>
      <c r="H1865" t="inlineStr">
        <is>
          <t>Player trade (max rank)</t>
        </is>
      </c>
      <c r="I1865" t="inlineStr">
        <is>
          <t>Yes</t>
        </is>
      </c>
      <c r="K1865" t="inlineStr">
        <is>
          <t>Collection (optional)</t>
        </is>
      </c>
      <c r="L1865" t="n">
        <v>95</v>
      </c>
      <c r="M1865" t="n">
        <v>105</v>
      </c>
      <c r="N1865" t="n">
        <v>232</v>
      </c>
      <c r="O1865" t="inlineStr">
        <is>
          <t>2026-10-05 UTC (WFM pull 02:52-04:00)</t>
        </is>
      </c>
      <c r="P1865" t="inlineStr">
        <is>
          <t>OK</t>
        </is>
      </c>
      <c r="R1865" t="inlineStr">
        <is>
          <t>Arcanes share across items like mods (one max-rank copy covers every build).</t>
        </is>
      </c>
      <c r="S1865" t="inlineStr">
        <is>
          <t>zid_an_uskos</t>
        </is>
      </c>
      <c r="T1865" t="n">
        <v>5</v>
      </c>
      <c r="U1865" t="n">
        <v>5</v>
      </c>
      <c r="V1865" t="n">
        <v>70</v>
      </c>
      <c r="W1865" t="n">
        <v>70</v>
      </c>
      <c r="X1865" t="n">
        <v>73.40000000000001</v>
      </c>
      <c r="Y1865" t="n">
        <v>1370</v>
      </c>
      <c r="Z1865" t="n">
        <v>25</v>
      </c>
      <c r="AA1865" t="n">
        <v>55</v>
      </c>
      <c r="AB1865" t="n">
        <v>40</v>
      </c>
      <c r="AQ1865" t="n">
        <v>7</v>
      </c>
      <c r="AR1865" t="n">
        <v>147</v>
      </c>
      <c r="AS1865" t="inlineStr">
        <is>
          <t>Collection (optional)</t>
        </is>
      </c>
    </row>
  </sheetData>
  <autoFilter ref="A1:AS18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2026-10-05T05:24:26Z</dcterms:created>
  <dcterms:modified xsi:type="dcterms:W3CDTF">2026-10-05T05:24:28Z</dcterms:modified>
</cp:coreProperties>
</file>