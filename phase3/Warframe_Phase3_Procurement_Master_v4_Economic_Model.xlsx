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Corrections Log" sheetId="2" state="visible" r:id="rId2"/>
    <sheet name="Live Content Reconciliation" sheetId="3" state="visible" r:id="rId3"/>
    <sheet name="Upcoming (Not Live)" sheetId="4" state="visible" r:id="rId4"/>
    <sheet name="Weapon Allocation v4" sheetId="5" state="visible" r:id="rId5"/>
    <sheet name="Roster v4 (live)" sheetId="6" state="visible" r:id="rId6"/>
    <sheet name="Open Items" sheetId="7" state="visible" r:id="rId7"/>
    <sheet name="Frames" sheetId="8" state="visible" r:id="rId8"/>
    <sheet name="Weapons" sheetId="9" state="visible" r:id="rId9"/>
    <sheet name="Adversary" sheetId="10" state="visible" r:id="rId10"/>
    <sheet name="Incarnon Genesis" sheetId="11" state="visible" r:id="rId11"/>
    <sheet name="Arcanes" sheetId="12" state="visible" r:id="rId12"/>
    <sheet name="Mods" sheetId="13" state="visible" r:id="rId13"/>
    <sheet name="Archon Shards" sheetId="14" state="visible" r:id="rId14"/>
    <sheet name="Companions" sheetId="15" state="visible" r:id="rId15"/>
    <sheet name="Account Infrastructure" sheetId="16" state="visible" r:id="rId16"/>
    <sheet name="Sources" sheetId="17" state="visible" r:id="rId17"/>
    <sheet name="Normalization Log" sheetId="18" state="visible" r:id="rId18"/>
    <sheet name="Economic Model" sheetId="19" state="visible" r:id="rId19"/>
    <sheet name="Procurement Master" sheetId="20" state="visible" r:id="rId20"/>
  </sheets>
  <definedNames>
    <definedName name="_xlnm._FilterDatabase" localSheetId="1" hidden="1">'Corrections Log'!$A$1:$E$25</definedName>
    <definedName name="_xlnm._FilterDatabase" localSheetId="2" hidden="1">'Live Content Reconciliation'!$A$1:$I$135</definedName>
    <definedName name="_xlnm._FilterDatabase" localSheetId="3" hidden="1">'Upcoming (Not Live)'!$A$1:$E$7</definedName>
    <definedName name="_xlnm._FilterDatabase" localSheetId="4" hidden="1">'Weapon Allocation v4'!$A$1:$H$67</definedName>
    <definedName name="_xlnm._FilterDatabase" localSheetId="5" hidden="1">'Roster v4 (live)'!$A$1:$G$67</definedName>
    <definedName name="_xlnm._FilterDatabase" localSheetId="6" hidden="1">'Open Items'!$A$1:$C$13</definedName>
    <definedName name="_xlnm._FilterDatabase" localSheetId="19" hidden="1">'Procurement Master'!$A$1:$AS$1864</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2"/>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+ 14 Exalted/intrinsic (v4 normalized)</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25</v>
      </c>
      <c r="F8" t="inlineStr">
        <is>
          <t>14 v3 + 11 v4 weapon baseline</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Do not bulk-Forma before LIVE TEST flags are cleared. Adversary weapons need 5 Forma each for Rank 40.</t>
        </is>
      </c>
      <c r="D11" t="inlineStr">
        <is>
          <t>Adversary targets</t>
        </is>
      </c>
      <c r="E11" t="n">
        <v>12</v>
      </c>
      <c r="F11" t="inlineStr">
        <is>
          <t>v4</t>
        </is>
      </c>
    </row>
    <row r="12">
      <c r="A12" t="inlineStr">
        <is>
          <t>Shards</t>
        </is>
      </c>
      <c r="B12" t="inlineStr">
        <is>
          <t>Account-bound. Tauforged is final target; use Ascent Fusion where efficient.</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Model'!D31</f>
        <v/>
      </c>
      <c r="F15" t="inlineStr">
        <is>
          <t>Farmable; optional Platinum shortcut</t>
        </is>
      </c>
    </row>
    <row r="16">
      <c r="D16" t="inlineStr">
        <is>
          <t>Gross fixed shortcut Pt</t>
        </is>
      </c>
      <c r="E16">
        <f>'Economic Model'!D26+'Economic Model'!D31</f>
        <v/>
      </c>
      <c r="F16" t="inlineStr">
        <is>
          <t>Storage + listed potatoes</t>
        </is>
      </c>
    </row>
    <row r="17">
      <c r="D17" t="inlineStr">
        <is>
          <t>$1k official-store benchmark Pt</t>
        </is>
      </c>
      <c r="E17" t="n">
        <v>23000</v>
      </c>
      <c r="F17" t="inlineStr">
        <is>
          <t>Undiscounted benchmark</t>
        </is>
      </c>
    </row>
    <row r="19">
      <c r="A19" t="inlineStr"/>
      <c r="B19" t="inlineStr"/>
      <c r="C19" t="inlineStr"/>
      <c r="D19" t="inlineStr">
        <is>
          <t>Realistic total reconstruction Pt (v4)</t>
        </is>
      </c>
      <c r="E19">
        <f>'Economic Model'!C34</f>
        <v/>
      </c>
      <c r="F19" t="inlineStr">
        <is>
          <t>Trade + net fixed infrastructure</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LIVE TEST if a different ruling is wanted.</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Mods sheet</t>
        </is>
      </c>
      <c r="B20" t="inlineStr">
        <is>
          <t>Savage Silence listed as Ash augment</t>
        </is>
      </c>
      <c r="C20" t="inlineStr">
        <is>
          <t>Mod data: Savage Silence is the Banshee Silence augment.</t>
        </is>
      </c>
      <c r="D20" t="inlineStr">
        <is>
          <t>Reassigned to Banshee.</t>
        </is>
      </c>
      <c r="E20" t="inlineStr">
        <is>
          <t>None (collection buys every mod).</t>
        </is>
      </c>
    </row>
    <row r="21">
      <c r="A21" t="inlineStr">
        <is>
          <t>Mods sheet</t>
        </is>
      </c>
      <c r="B21" t="inlineStr">
        <is>
          <t>Repelling Bastille (Vauban)</t>
        </is>
      </c>
      <c r="C21" t="inlineStr">
        <is>
          <t>Mod data: no such mod exists live; the Bastille augment is Enduring Bastille.</t>
        </is>
      </c>
      <c r="D21" t="inlineStr">
        <is>
          <t>Replaced with Enduring Bastille.</t>
        </is>
      </c>
      <c r="E21" t="inlineStr">
        <is>
          <t>None (collection).</t>
        </is>
      </c>
    </row>
    <row r="22">
      <c r="A22" t="inlineStr">
        <is>
          <t>Archon Shards</t>
        </is>
      </c>
      <c r="B22" t="inlineStr">
        <is>
          <t>230 planned shards</t>
        </is>
      </c>
      <c r="C22" t="inlineStr">
        <is>
          <t>66 frames x 5 slots = 330.</t>
        </is>
      </c>
      <c r="D22" t="inlineStr">
        <is>
          <t>100 shards unplanned; flagged.</t>
        </is>
      </c>
      <c r="E22" t="inlineStr">
        <is>
          <t>Account-bound; no plat effect.</t>
        </is>
      </c>
    </row>
    <row r="23">
      <c r="A23" t="inlineStr">
        <is>
          <t>Companion slots</t>
        </is>
      </c>
      <c r="B23" t="inlineStr">
        <is>
          <t>7 pairs (14 slots) x 12p, zero free</t>
        </is>
      </c>
      <c r="C23" t="inlineStr">
        <is>
          <t>13 companions + 7 sentinel robotic weapons = 20 companion slots; 10 starter slots.</t>
        </is>
      </c>
      <c r="D23" t="inlineStr">
        <is>
          <t>Gross 10 pairs (120p); net 5 pairs (60p).</t>
        </is>
      </c>
      <c r="E23" t="inlineStr">
        <is>
          <t>Infrastructure recalculated.</t>
        </is>
      </c>
    </row>
    <row r="24">
      <c r="A24" t="inlineStr">
        <is>
          <t>Arcanes</t>
        </is>
      </c>
      <c r="B24" t="inlineStr">
        <is>
          <t>14 Warframe + Melee Crescendo only</t>
        </is>
      </c>
      <c r="C24" t="inlineStr">
        <is>
          <t>183 ordinary weapons have arcane slots but no weapon arcanes were specified.</t>
        </is>
      </c>
      <c r="D24" t="inlineStr">
        <is>
          <t>Added a v4 weapon-arcane baseline (11 Arcanes) as required.</t>
        </is>
      </c>
      <c r="E24" t="inlineStr">
        <is>
          <t>Required Arcane total increases.</t>
        </is>
      </c>
    </row>
    <row r="25">
      <c r="A25" t="inlineStr">
        <is>
          <t>Summary counts</t>
        </is>
      </c>
      <c r="B25" t="inlineStr">
        <is>
          <t>Adversary targets 11 / Incarnon 18 / weapons 176</t>
        </is>
      </c>
      <c r="C25" t="inlineStr">
        <is>
          <t>Normalized: adversary 12, Incarnon 39 (32 Genesis + 7 innate), 183 slot weapons + 14 Exalted/intrinsic.</t>
        </is>
      </c>
      <c r="D25" t="inlineStr">
        <is>
          <t>Summary updated.</t>
        </is>
      </c>
      <c r="E25" t="inlineStr">
        <is>
          <t>Slots, Catalysts, Elemental Vice (12) recalculated.</t>
        </is>
      </c>
    </row>
  </sheetData>
  <autoFilter ref="A1:E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None (Companion)</t>
        </is>
      </c>
      <c r="H135" t="inlineStr">
        <is>
          <t>Companion: OK</t>
        </is>
      </c>
      <c r="I135" t="inlineStr">
        <is>
          <t>None</t>
        </is>
      </c>
    </row>
  </sheetData>
  <autoFilter ref="A1:I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c r="G2" t="inlineStr"/>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c r="G7" t="inlineStr"/>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c r="G12" t="inlineStr"/>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c r="G13" t="inlineStr"/>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c r="G16" t="inlineStr"/>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c r="G24" t="inlineStr"/>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c r="G25" t="inlineStr"/>
    </row>
    <row r="26">
      <c r="A26" t="inlineStr">
        <is>
          <t>Ivara Prime</t>
        </is>
      </c>
      <c r="B26" t="inlineStr">
        <is>
          <t>Prime</t>
        </is>
      </c>
      <c r="C26" t="inlineStr">
        <is>
          <t>27.0.4</t>
        </is>
      </c>
      <c r="D26" t="inlineStr">
        <is>
          <t>Quiver, Navigator, Prowl, Artemis Bow</t>
        </is>
      </c>
      <c r="E26" t="inlineStr">
        <is>
          <t>Senses nearby enemies within 50m.</t>
        </is>
      </c>
      <c r="F26" t="inlineStr">
        <is>
          <t>Quiver</t>
        </is>
      </c>
      <c r="G26" t="inlineStr"/>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c r="G32" t="inlineStr"/>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c r="G33" t="inlineStr"/>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c r="G34" t="inlineStr"/>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c r="G35" t="inlineStr"/>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c r="G38" t="inlineStr"/>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c r="G39" t="inlineStr"/>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c r="G40" t="inlineStr"/>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c r="G42" t="inlineStr"/>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c r="G43" t="inlineStr"/>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c r="G44" t="inlineStr"/>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c r="G50" t="inlineStr"/>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c r="G51" t="inlineStr"/>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c r="G56" t="inlineStr"/>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c r="G57" t="inlineStr"/>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c r="G59" t="inlineStr"/>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c r="G60" t="inlineStr"/>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c r="G61" t="inlineStr"/>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c r="G64" t="inlineStr"/>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c r="G67" t="inlineStr"/>
    </row>
  </sheetData>
  <autoFilter ref="A1:G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Helminth Roar on Temporal Anchor conflicts with Temporal Artillery</t>
        </is>
      </c>
      <c r="C2" t="inlineStr">
        <is>
          <t>Pick: Roar over Grenade Fan (recommended) or drop Temporal Artillery</t>
        </is>
      </c>
    </row>
    <row r="3">
      <c r="A3" t="inlineStr">
        <is>
          <t>Dante</t>
        </is>
      </c>
      <c r="B3" t="inlineStr">
        <is>
          <t>Noctua ruled additional Exalted (no Secondary replacement)</t>
        </is>
      </c>
      <c r="C3" t="inlineStr">
        <is>
          <t>LIVE TEST REQUIRED if replacement is wanted</t>
        </is>
      </c>
    </row>
    <row r="4">
      <c r="A4" t="inlineStr">
        <is>
          <t>Sirius &amp; Orion</t>
        </is>
      </c>
      <c r="B4" t="inlineStr">
        <is>
          <t>Orion is an Exalted Warframe sharing rank/upgrades; Reactor count assumes one per S&amp;O</t>
        </is>
      </c>
      <c r="C4" t="inlineStr">
        <is>
          <t>LIVE CHECK: confirm Orion shares the Reactor</t>
        </is>
      </c>
    </row>
    <row r="5">
      <c r="A5" t="inlineStr">
        <is>
          <t>Signature preference</t>
        </is>
      </c>
      <c r="B5" t="inlineStr">
        <is>
          <t>v4.1 allocated uncontested no-bonus signatures (Temple Riot-848, Mirage Akzani, S&amp;O Pride)</t>
        </is>
      </c>
      <c r="C5" t="inlineStr">
        <is>
          <t>Revert to Athodai / Prisma Twin Gremlins / Caustacyst if preferred; counts unchanged</t>
        </is>
      </c>
    </row>
    <row r="6">
      <c r="A6" t="inlineStr">
        <is>
          <t>Builds</t>
        </is>
      </c>
      <c r="B6" t="inlineStr">
        <is>
          <t>v3 holds no per-frame aura/exilus/mod/arcane/shard/focus sheets</t>
        </is>
      </c>
      <c r="C6" t="inlineStr">
        <is>
          <t>Mods are covered by the all-mods mandate and Arcanes by the required + collection lines; per-frame build sheets still need authoring</t>
        </is>
      </c>
    </row>
    <row r="7">
      <c r="A7" t="inlineStr">
        <is>
          <t>Archon Shards</t>
        </is>
      </c>
      <c r="B7" t="inlineStr">
        <is>
          <t>Plan covers 230 of 330 shard slots</t>
        </is>
      </c>
      <c r="C7" t="inlineStr">
        <is>
          <t>Extend shard plan to all 66 frames</t>
        </is>
      </c>
    </row>
    <row r="8">
      <c r="A8" t="inlineStr">
        <is>
          <t>Sentinel weapons</t>
        </is>
      </c>
      <c r="B8" t="inlineStr">
        <is>
          <t>Resolved v4.1: default weapons bundled (Verglas Prime, Prime Laser Rifle, Deth Machine Rifle Prime, Burst Laser Prime, Deconstructor Prime, Vulklok, Artax)</t>
        </is>
      </c>
      <c r="C8" t="inlineStr">
        <is>
          <t>Change only if non-default sentinel weapons are wanted</t>
        </is>
      </c>
    </row>
    <row r="9">
      <c r="A9" t="inlineStr">
        <is>
          <t>Brysko</t>
        </is>
      </c>
      <c r="B9" t="inlineStr">
        <is>
          <t>Tracked in Upcoming (Not Live); excluded from live cost</t>
        </is>
      </c>
      <c r="C9" t="inlineStr">
        <is>
          <t>Integrate on release: frame, Corecracker ruling, Rain &amp; Shine, Hound, Sentient shotgun</t>
        </is>
      </c>
    </row>
    <row r="10">
      <c r="A10" t="inlineStr">
        <is>
          <t>Tigris Incarnon</t>
        </is>
      </c>
      <c r="B10" t="inlineStr">
        <is>
          <t>Announced Incarnon adapter (Nekros Tigris Prime) not live</t>
        </is>
      </c>
      <c r="C10" t="inlineStr">
        <is>
          <t>Add Genesis row on release</t>
        </is>
      </c>
    </row>
    <row r="11">
      <c r="A11" t="inlineStr">
        <is>
          <t>Adversary elements</t>
        </is>
      </c>
      <c r="B11" t="inlineStr">
        <is>
          <t>v3 had no element targets; v4 set them</t>
        </is>
      </c>
      <c r="C11" t="inlineStr">
        <is>
          <t>Confirm per-frame elements</t>
        </is>
      </c>
    </row>
    <row r="12">
      <c r="A12" t="inlineStr">
        <is>
          <t>Variant families</t>
        </is>
      </c>
      <c r="B12" t="inlineStr">
        <is>
          <t>Vectis/Prime, Trumna/Prime, Dual Keres/Prime, Epitaph/Prime, Cedo/Prime, Pyrana/Prime, Ohma/Prisma Ohma</t>
        </is>
      </c>
      <c r="C12" t="inlineStr">
        <is>
          <t>Distinct items; optional further uniqueness pass</t>
        </is>
      </c>
    </row>
    <row r="13">
      <c r="A13" t="inlineStr">
        <is>
          <t>Account purchase</t>
        </is>
      </c>
      <c r="B13" t="inlineStr">
        <is>
          <t>No candidate account inventory supplied</t>
        </is>
      </c>
      <c r="C13" t="inlineStr">
        <is>
          <t>Provide export for the equivalency audit</t>
        </is>
      </c>
    </row>
  </sheetData>
  <autoFilter ref="A1:C1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 Roar/Temporal Artillery conflict - see Open Items</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LIVE TEST intrinsic weapons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 LIVE TEST if replacement is wanted</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cols>
    <col width="24" customWidth="1" style="26" min="1" max="1"/>
    <col width="18" customWidth="1" style="26" min="2" max="2"/>
    <col width="12" customWidth="1" style="26" min="3" max="3"/>
    <col width="22" customWidth="1" style="26" min="4" max="4"/>
    <col width="42" customWidth="1" style="26" min="5" max="5"/>
    <col width="16" customWidth="1" style="26" min="6" max="6"/>
  </cols>
  <sheetData>
    <row r="1">
      <c r="A1" s="51" t="inlineStr">
        <is>
          <t>Arcane</t>
        </is>
      </c>
      <c r="B1" s="51" t="inlineStr">
        <is>
          <t>Slot</t>
        </is>
      </c>
      <c r="C1" s="51" t="inlineStr">
        <is>
          <t>Target</t>
        </is>
      </c>
      <c r="D1" s="51" t="inlineStr">
        <is>
          <t>Acquisition</t>
        </is>
      </c>
      <c r="E1" s="51" t="inlineStr">
        <is>
          <t>Notes</t>
        </is>
      </c>
      <c r="F1" s="51" t="inlineStr">
        <is>
          <t>Status</t>
        </is>
      </c>
      <c r="G1" s="51" t="inlineStr">
        <is>
          <t>Floor Pt</t>
        </is>
      </c>
      <c r="H1" s="51" t="inlineStr">
        <is>
          <t>Realistic Pt</t>
        </is>
      </c>
      <c r="I1" s="51" t="inlineStr">
        <is>
          <t>Conservative Pt</t>
        </is>
      </c>
      <c r="J1" s="51" t="inlineStr">
        <is>
          <t>Via R0 copies Pt</t>
        </is>
      </c>
      <c r="K1" s="51" t="inlineStr">
        <is>
          <t>Market status</t>
        </is>
      </c>
    </row>
    <row r="2">
      <c r="A2" s="37" t="inlineStr">
        <is>
          <t>Molt Augmented</t>
        </is>
      </c>
      <c r="B2" s="37" t="inlineStr">
        <is>
          <t>Warframe</t>
        </is>
      </c>
      <c r="C2" s="37" t="inlineStr">
        <is>
          <t>Rank 5</t>
        </is>
      </c>
      <c r="D2" s="37" t="inlineStr">
        <is>
          <t>Tradeable</t>
        </is>
      </c>
      <c r="E2" s="37" t="inlineStr">
        <is>
          <t>High quantity: used across roster</t>
        </is>
      </c>
      <c r="G2" t="n">
        <v>35</v>
      </c>
      <c r="H2" t="n">
        <v>40</v>
      </c>
      <c r="I2" t="n">
        <v>44</v>
      </c>
      <c r="J2" t="n">
        <v>63</v>
      </c>
      <c r="K2" t="inlineStr">
        <is>
          <t>OK</t>
        </is>
      </c>
    </row>
    <row r="3">
      <c r="A3" s="37" t="inlineStr">
        <is>
          <t>Arcane Energize</t>
        </is>
      </c>
      <c r="B3" s="37" t="inlineStr">
        <is>
          <t>Warframe</t>
        </is>
      </c>
      <c r="C3" s="37" t="inlineStr">
        <is>
          <t>Rank 5</t>
        </is>
      </c>
      <c r="D3" s="37" t="inlineStr">
        <is>
          <t>Tradeable</t>
        </is>
      </c>
      <c r="E3" s="37" t="inlineStr">
        <is>
          <t>High quantity: one max-rank copy can be moved</t>
        </is>
      </c>
      <c r="G3" t="n">
        <v>139</v>
      </c>
      <c r="H3" t="n">
        <v>140</v>
      </c>
      <c r="I3" t="n">
        <v>154</v>
      </c>
      <c r="J3" t="n">
        <v>168</v>
      </c>
      <c r="K3" t="inlineStr">
        <is>
          <t>OK</t>
        </is>
      </c>
    </row>
    <row r="4">
      <c r="A4" s="37" t="inlineStr">
        <is>
          <t>Arcane Grace</t>
        </is>
      </c>
      <c r="B4" s="37" t="inlineStr">
        <is>
          <t>Warframe</t>
        </is>
      </c>
      <c r="C4" s="37" t="inlineStr">
        <is>
          <t>Rank 5</t>
        </is>
      </c>
      <c r="D4" s="37" t="inlineStr">
        <is>
          <t>Tradeable</t>
        </is>
      </c>
      <c r="E4" s="37" t="str"/>
      <c r="G4" t="n">
        <v>100</v>
      </c>
      <c r="H4" t="n">
        <v>100</v>
      </c>
      <c r="I4" t="n">
        <v>122</v>
      </c>
      <c r="J4" t="n">
        <v>210</v>
      </c>
      <c r="K4" t="inlineStr">
        <is>
          <t>OK</t>
        </is>
      </c>
    </row>
    <row r="5">
      <c r="A5" s="37" t="inlineStr">
        <is>
          <t>Arcane Guardian</t>
        </is>
      </c>
      <c r="B5" s="37" t="inlineStr">
        <is>
          <t>Warframe</t>
        </is>
      </c>
      <c r="C5" s="37" t="inlineStr">
        <is>
          <t>Rank 5</t>
        </is>
      </c>
      <c r="D5" s="37" t="inlineStr">
        <is>
          <t>Tradeable</t>
        </is>
      </c>
      <c r="E5" s="37" t="str"/>
      <c r="G5" t="n">
        <v>50</v>
      </c>
      <c r="H5" t="n">
        <v>60</v>
      </c>
      <c r="I5" t="n">
        <v>66</v>
      </c>
      <c r="J5" t="n">
        <v>63</v>
      </c>
      <c r="K5" t="inlineStr">
        <is>
          <t>OK</t>
        </is>
      </c>
    </row>
    <row r="6">
      <c r="A6" s="37" t="inlineStr">
        <is>
          <t>Arcane Fury</t>
        </is>
      </c>
      <c r="B6" s="37" t="inlineStr">
        <is>
          <t>Warframe</t>
        </is>
      </c>
      <c r="C6" s="37" t="inlineStr">
        <is>
          <t>Rank 5</t>
        </is>
      </c>
      <c r="D6" s="37" t="inlineStr">
        <is>
          <t>Tradeable</t>
        </is>
      </c>
      <c r="E6" s="37" t="str"/>
      <c r="G6" t="n">
        <v>120</v>
      </c>
      <c r="H6" t="n">
        <v>120</v>
      </c>
      <c r="I6" t="n">
        <v>149</v>
      </c>
      <c r="J6" t="n">
        <v>168</v>
      </c>
      <c r="K6" t="inlineStr">
        <is>
          <t>OK</t>
        </is>
      </c>
    </row>
    <row r="7">
      <c r="A7" s="37" t="inlineStr">
        <is>
          <t>Arcane Strike</t>
        </is>
      </c>
      <c r="B7" s="37" t="inlineStr">
        <is>
          <t>Warframe</t>
        </is>
      </c>
      <c r="C7" s="37" t="inlineStr">
        <is>
          <t>Rank 5</t>
        </is>
      </c>
      <c r="D7" s="37" t="inlineStr">
        <is>
          <t>Tradeable</t>
        </is>
      </c>
      <c r="E7" s="37" t="str"/>
      <c r="G7" t="n">
        <v>80</v>
      </c>
      <c r="H7" t="n">
        <v>88</v>
      </c>
      <c r="I7" t="n">
        <v>108</v>
      </c>
      <c r="J7" t="n">
        <v>157.5</v>
      </c>
      <c r="K7" t="inlineStr">
        <is>
          <t>OK</t>
        </is>
      </c>
    </row>
    <row r="8">
      <c r="A8" s="37" t="inlineStr">
        <is>
          <t>Arcane Aegis</t>
        </is>
      </c>
      <c r="B8" s="37" t="inlineStr">
        <is>
          <t>Warframe</t>
        </is>
      </c>
      <c r="C8" s="37" t="inlineStr">
        <is>
          <t>Rank 5</t>
        </is>
      </c>
      <c r="D8" s="37" t="inlineStr">
        <is>
          <t>Tradeable</t>
        </is>
      </c>
      <c r="E8" s="37" t="str"/>
      <c r="G8" t="n">
        <v>120</v>
      </c>
      <c r="H8" t="n">
        <v>129</v>
      </c>
      <c r="I8" t="n">
        <v>143</v>
      </c>
      <c r="J8" t="n">
        <v>168</v>
      </c>
      <c r="K8" t="inlineStr">
        <is>
          <t>OK</t>
        </is>
      </c>
    </row>
    <row r="9">
      <c r="A9" s="37" t="inlineStr">
        <is>
          <t>Arcane Avenger</t>
        </is>
      </c>
      <c r="B9" s="37" t="inlineStr">
        <is>
          <t>Warframe</t>
        </is>
      </c>
      <c r="C9" s="37" t="inlineStr">
        <is>
          <t>Rank 5</t>
        </is>
      </c>
      <c r="D9" s="37" t="inlineStr">
        <is>
          <t>Tradeable</t>
        </is>
      </c>
      <c r="E9" s="37" t="str"/>
      <c r="G9" t="n">
        <v>90</v>
      </c>
      <c r="H9" t="n">
        <v>90</v>
      </c>
      <c r="I9" t="n">
        <v>105</v>
      </c>
      <c r="J9" t="n">
        <v>105</v>
      </c>
      <c r="K9" t="inlineStr">
        <is>
          <t>OK</t>
        </is>
      </c>
    </row>
    <row r="10">
      <c r="A10" s="37" t="inlineStr">
        <is>
          <t>Arcane Precision</t>
        </is>
      </c>
      <c r="B10" s="37" t="inlineStr">
        <is>
          <t>Warframe</t>
        </is>
      </c>
      <c r="C10" s="37" t="inlineStr">
        <is>
          <t>Rank 5</t>
        </is>
      </c>
      <c r="D10" s="37" t="inlineStr">
        <is>
          <t>Tradeable</t>
        </is>
      </c>
      <c r="E10" s="37" t="str"/>
      <c r="G10" t="n">
        <v>145</v>
      </c>
      <c r="H10" t="n">
        <v>150</v>
      </c>
      <c r="I10" t="n">
        <v>176</v>
      </c>
      <c r="J10" t="n">
        <v>210</v>
      </c>
      <c r="K10" t="inlineStr">
        <is>
          <t>OK</t>
        </is>
      </c>
    </row>
    <row r="11">
      <c r="A11" s="37" t="inlineStr">
        <is>
          <t>Arcane Velocity</t>
        </is>
      </c>
      <c r="B11" s="37" t="inlineStr">
        <is>
          <t>Warframe</t>
        </is>
      </c>
      <c r="C11" s="37" t="inlineStr">
        <is>
          <t>Rank 5</t>
        </is>
      </c>
      <c r="D11" s="37" t="inlineStr">
        <is>
          <t>Tradeable</t>
        </is>
      </c>
      <c r="E11" s="37" t="str"/>
      <c r="G11" t="n">
        <v>180</v>
      </c>
      <c r="H11" t="n">
        <v>180</v>
      </c>
      <c r="I11" t="n">
        <v>210</v>
      </c>
      <c r="J11" t="n">
        <v>210</v>
      </c>
      <c r="K11" t="inlineStr">
        <is>
          <t>OK</t>
        </is>
      </c>
    </row>
    <row r="12">
      <c r="A12" s="37" t="inlineStr">
        <is>
          <t>Molt Efficiency</t>
        </is>
      </c>
      <c r="B12" s="37" t="inlineStr">
        <is>
          <t>Warframe</t>
        </is>
      </c>
      <c r="C12" s="37" t="inlineStr">
        <is>
          <t>Rank 5</t>
        </is>
      </c>
      <c r="D12" s="37" t="inlineStr">
        <is>
          <t>Tradeable</t>
        </is>
      </c>
      <c r="E12" s="37" t="str"/>
      <c r="G12" t="n">
        <v>28</v>
      </c>
      <c r="H12" t="n">
        <v>30</v>
      </c>
      <c r="I12" t="n">
        <v>33</v>
      </c>
      <c r="J12" t="n">
        <v>63</v>
      </c>
      <c r="K12" t="inlineStr">
        <is>
          <t>OK</t>
        </is>
      </c>
    </row>
    <row r="13">
      <c r="A13" s="37" t="inlineStr">
        <is>
          <t>Molt Reconstruct</t>
        </is>
      </c>
      <c r="B13" s="37" t="inlineStr">
        <is>
          <t>Warframe</t>
        </is>
      </c>
      <c r="C13" s="37" t="inlineStr">
        <is>
          <t>Rank 5</t>
        </is>
      </c>
      <c r="D13" s="37" t="inlineStr">
        <is>
          <t>Tradeable</t>
        </is>
      </c>
      <c r="E13" s="37" t="str"/>
      <c r="G13" t="n">
        <v>15</v>
      </c>
      <c r="H13" t="n">
        <v>20</v>
      </c>
      <c r="I13" t="n">
        <v>22</v>
      </c>
      <c r="J13" t="n">
        <v>42</v>
      </c>
      <c r="K13" t="inlineStr">
        <is>
          <t>OK</t>
        </is>
      </c>
    </row>
    <row r="14">
      <c r="A14" s="37" t="inlineStr">
        <is>
          <t>Arcane Blessing</t>
        </is>
      </c>
      <c r="B14" s="37" t="inlineStr">
        <is>
          <t>Warframe</t>
        </is>
      </c>
      <c r="C14" s="37" t="inlineStr">
        <is>
          <t>Rank 5</t>
        </is>
      </c>
      <c r="D14" s="37" t="inlineStr">
        <is>
          <t>Tradeable</t>
        </is>
      </c>
      <c r="E14" s="37" t="str"/>
      <c r="G14" t="n">
        <v>34</v>
      </c>
      <c r="H14" t="n">
        <v>40</v>
      </c>
      <c r="I14" t="n">
        <v>50</v>
      </c>
      <c r="J14" t="n">
        <v>42</v>
      </c>
      <c r="K14" t="inlineStr">
        <is>
          <t>OK</t>
        </is>
      </c>
    </row>
    <row r="15">
      <c r="A15" s="37" t="inlineStr">
        <is>
          <t>Melee Crescendo</t>
        </is>
      </c>
      <c r="B15" s="37" t="inlineStr">
        <is>
          <t>Melee</t>
        </is>
      </c>
      <c r="C15" s="37" t="inlineStr">
        <is>
          <t>Rank 5</t>
        </is>
      </c>
      <c r="D15" s="37" t="inlineStr">
        <is>
          <t>Tradeable</t>
        </is>
      </c>
      <c r="E15" s="37" t="inlineStr">
        <is>
          <t>Ash Shadow Clones</t>
        </is>
      </c>
      <c r="G15" t="n">
        <v>95</v>
      </c>
      <c r="H15" t="n">
        <v>98</v>
      </c>
      <c r="I15" t="n">
        <v>111</v>
      </c>
      <c r="J15" t="n">
        <v>105</v>
      </c>
      <c r="K15" t="inlineStr">
        <is>
          <t>OK</t>
        </is>
      </c>
    </row>
    <row r="16">
      <c r="A16" t="inlineStr">
        <is>
          <t>Primary Merciless</t>
        </is>
      </c>
      <c r="B16" t="inlineStr">
        <is>
          <t>Primary</t>
        </is>
      </c>
      <c r="C16" t="inlineStr">
        <is>
          <t>Rank 5</t>
        </is>
      </c>
      <c r="D16" t="inlineStr">
        <is>
          <t>Tradeable</t>
        </is>
      </c>
      <c r="E16" t="inlineStr">
        <is>
          <t>v4 weapon-arcane baseline</t>
        </is>
      </c>
      <c r="F16" t="inlineStr">
        <is>
          <t>Need</t>
        </is>
      </c>
      <c r="G16" t="n">
        <v>12</v>
      </c>
      <c r="H16" t="n">
        <v>15</v>
      </c>
      <c r="I16" t="n">
        <v>22</v>
      </c>
      <c r="J16" t="n">
        <v>42</v>
      </c>
      <c r="K16" t="inlineStr">
        <is>
          <t>OK</t>
        </is>
      </c>
    </row>
    <row r="17">
      <c r="A17" t="inlineStr">
        <is>
          <t>Primary Deadhead</t>
        </is>
      </c>
      <c r="B17" t="inlineStr">
        <is>
          <t>Primary</t>
        </is>
      </c>
      <c r="C17" t="inlineStr">
        <is>
          <t>Rank 5</t>
        </is>
      </c>
      <c r="D17" t="inlineStr">
        <is>
          <t>Tradeable</t>
        </is>
      </c>
      <c r="E17" t="inlineStr">
        <is>
          <t>v4 weapon-arcane baseline</t>
        </is>
      </c>
      <c r="F17" t="inlineStr">
        <is>
          <t>Need</t>
        </is>
      </c>
      <c r="G17" t="n">
        <v>13</v>
      </c>
      <c r="H17" t="n">
        <v>13</v>
      </c>
      <c r="I17" t="n">
        <v>17</v>
      </c>
      <c r="J17" t="n">
        <v>42</v>
      </c>
      <c r="K17" t="inlineStr">
        <is>
          <t>OK</t>
        </is>
      </c>
    </row>
    <row r="18">
      <c r="A18" t="inlineStr">
        <is>
          <t>Primary Dexterity</t>
        </is>
      </c>
      <c r="B18" t="inlineStr">
        <is>
          <t>Primary</t>
        </is>
      </c>
      <c r="C18" t="inlineStr">
        <is>
          <t>Rank 5</t>
        </is>
      </c>
      <c r="D18" t="inlineStr">
        <is>
          <t>Tradeable</t>
        </is>
      </c>
      <c r="E18" t="inlineStr">
        <is>
          <t>v4 weapon-arcane baseline</t>
        </is>
      </c>
      <c r="F18" t="inlineStr">
        <is>
          <t>Need</t>
        </is>
      </c>
      <c r="G18" t="n">
        <v>6</v>
      </c>
      <c r="H18" t="n">
        <v>7</v>
      </c>
      <c r="I18" t="n">
        <v>9</v>
      </c>
      <c r="J18" t="n">
        <v>21</v>
      </c>
      <c r="K18" t="inlineStr">
        <is>
          <t>OK</t>
        </is>
      </c>
    </row>
    <row r="19">
      <c r="A19" t="inlineStr">
        <is>
          <t>Secondary Merciless</t>
        </is>
      </c>
      <c r="B19" t="inlineStr">
        <is>
          <t>Secondary</t>
        </is>
      </c>
      <c r="C19" t="inlineStr">
        <is>
          <t>Rank 5</t>
        </is>
      </c>
      <c r="D19" t="inlineStr">
        <is>
          <t>Tradeable</t>
        </is>
      </c>
      <c r="E19" t="inlineStr">
        <is>
          <t>v4 weapon-arcane baseline</t>
        </is>
      </c>
      <c r="F19" t="inlineStr">
        <is>
          <t>Need</t>
        </is>
      </c>
      <c r="G19" t="n">
        <v>7</v>
      </c>
      <c r="H19" t="n">
        <v>8</v>
      </c>
      <c r="I19" t="n">
        <v>11</v>
      </c>
      <c r="J19" t="n">
        <v>21</v>
      </c>
      <c r="K19" t="inlineStr">
        <is>
          <t>OK</t>
        </is>
      </c>
    </row>
    <row r="20">
      <c r="A20" t="inlineStr">
        <is>
          <t>Secondary Deadhead</t>
        </is>
      </c>
      <c r="B20" t="inlineStr">
        <is>
          <t>Secondary</t>
        </is>
      </c>
      <c r="C20" t="inlineStr">
        <is>
          <t>Rank 5</t>
        </is>
      </c>
      <c r="D20" t="inlineStr">
        <is>
          <t>Tradeable</t>
        </is>
      </c>
      <c r="E20" t="inlineStr">
        <is>
          <t>v4 weapon-arcane baseline</t>
        </is>
      </c>
      <c r="F20" t="inlineStr">
        <is>
          <t>Need</t>
        </is>
      </c>
      <c r="G20" t="n">
        <v>8</v>
      </c>
      <c r="H20" t="n">
        <v>10</v>
      </c>
      <c r="I20" t="n">
        <v>11</v>
      </c>
      <c r="J20" t="n">
        <v>21</v>
      </c>
      <c r="K20" t="inlineStr">
        <is>
          <t>OK</t>
        </is>
      </c>
    </row>
    <row r="21">
      <c r="A21" t="inlineStr">
        <is>
          <t>Secondary Dexterity</t>
        </is>
      </c>
      <c r="B21" t="inlineStr">
        <is>
          <t>Secondary</t>
        </is>
      </c>
      <c r="C21" t="inlineStr">
        <is>
          <t>Rank 5</t>
        </is>
      </c>
      <c r="D21" t="inlineStr">
        <is>
          <t>Tradeable</t>
        </is>
      </c>
      <c r="E21" t="inlineStr">
        <is>
          <t>v4 weapon-arcane baseline</t>
        </is>
      </c>
      <c r="F21" t="inlineStr">
        <is>
          <t>Need</t>
        </is>
      </c>
      <c r="G21" t="n">
        <v>8</v>
      </c>
      <c r="H21" t="n">
        <v>9</v>
      </c>
      <c r="I21" t="n">
        <v>11</v>
      </c>
      <c r="J21" t="n">
        <v>21</v>
      </c>
      <c r="K21" t="inlineStr">
        <is>
          <t>OK</t>
        </is>
      </c>
    </row>
    <row r="22">
      <c r="A22" t="inlineStr">
        <is>
          <t>Melee Influence</t>
        </is>
      </c>
      <c r="B22" t="inlineStr">
        <is>
          <t>Melee</t>
        </is>
      </c>
      <c r="C22" t="inlineStr">
        <is>
          <t>Rank 5</t>
        </is>
      </c>
      <c r="D22" t="inlineStr">
        <is>
          <t>Tradeable</t>
        </is>
      </c>
      <c r="E22" t="inlineStr">
        <is>
          <t>v4 weapon-arcane baseline</t>
        </is>
      </c>
      <c r="F22" t="inlineStr">
        <is>
          <t>Need</t>
        </is>
      </c>
      <c r="G22" t="n">
        <v>59</v>
      </c>
      <c r="H22" t="n">
        <v>65</v>
      </c>
      <c r="I22" t="n">
        <v>72</v>
      </c>
      <c r="J22" t="n">
        <v>84</v>
      </c>
      <c r="K22" t="inlineStr">
        <is>
          <t>OK</t>
        </is>
      </c>
    </row>
    <row r="23">
      <c r="A23" t="inlineStr">
        <is>
          <t>Melee Animosity</t>
        </is>
      </c>
      <c r="B23" t="inlineStr">
        <is>
          <t>Melee</t>
        </is>
      </c>
      <c r="C23" t="inlineStr">
        <is>
          <t>Rank 5</t>
        </is>
      </c>
      <c r="D23" t="inlineStr">
        <is>
          <t>Tradeable</t>
        </is>
      </c>
      <c r="E23" t="inlineStr">
        <is>
          <t>v4 weapon-arcane baseline</t>
        </is>
      </c>
      <c r="F23" t="inlineStr">
        <is>
          <t>Need</t>
        </is>
      </c>
      <c r="G23" t="n">
        <v>60</v>
      </c>
      <c r="H23" t="n">
        <v>64</v>
      </c>
      <c r="I23" t="n">
        <v>77</v>
      </c>
      <c r="J23" t="n">
        <v>94.5</v>
      </c>
      <c r="K23" t="inlineStr">
        <is>
          <t>OK</t>
        </is>
      </c>
    </row>
    <row r="24">
      <c r="A24" t="inlineStr">
        <is>
          <t>Melee Duplicate</t>
        </is>
      </c>
      <c r="B24" t="inlineStr">
        <is>
          <t>Melee</t>
        </is>
      </c>
      <c r="C24" t="inlineStr">
        <is>
          <t>Rank 5</t>
        </is>
      </c>
      <c r="D24" t="inlineStr">
        <is>
          <t>Tradeable</t>
        </is>
      </c>
      <c r="E24" t="inlineStr">
        <is>
          <t>v4 weapon-arcane baseline</t>
        </is>
      </c>
      <c r="F24" t="inlineStr">
        <is>
          <t>Need</t>
        </is>
      </c>
      <c r="G24" t="n">
        <v>170</v>
      </c>
      <c r="H24" t="n">
        <v>180</v>
      </c>
      <c r="I24" t="n">
        <v>221</v>
      </c>
      <c r="J24" t="n">
        <v>147</v>
      </c>
      <c r="K24" t="inlineStr">
        <is>
          <t>OK</t>
        </is>
      </c>
    </row>
    <row r="25">
      <c r="A25" t="inlineStr">
        <is>
          <t>Melee Exposure</t>
        </is>
      </c>
      <c r="B25" t="inlineStr">
        <is>
          <t>Melee</t>
        </is>
      </c>
      <c r="C25" t="inlineStr">
        <is>
          <t>Rank 5</t>
        </is>
      </c>
      <c r="D25" t="inlineStr">
        <is>
          <t>Tradeable</t>
        </is>
      </c>
      <c r="E25" t="inlineStr">
        <is>
          <t>v4 weapon-arcane baseline</t>
        </is>
      </c>
      <c r="F25" t="inlineStr">
        <is>
          <t>Need</t>
        </is>
      </c>
      <c r="G25" t="n">
        <v>69</v>
      </c>
      <c r="H25" t="n">
        <v>73</v>
      </c>
      <c r="I25" t="n">
        <v>83</v>
      </c>
      <c r="J25" t="n">
        <v>105</v>
      </c>
      <c r="K25" t="inlineStr">
        <is>
          <t>OK</t>
        </is>
      </c>
    </row>
    <row r="26">
      <c r="A26" t="inlineStr">
        <is>
          <t>Melee Vortex</t>
        </is>
      </c>
      <c r="B26" t="inlineStr">
        <is>
          <t>Melee</t>
        </is>
      </c>
      <c r="C26" t="inlineStr">
        <is>
          <t>Rank 5</t>
        </is>
      </c>
      <c r="D26" t="inlineStr">
        <is>
          <t>Tradeable</t>
        </is>
      </c>
      <c r="E26" t="inlineStr">
        <is>
          <t>v4 weapon-arcane baseline</t>
        </is>
      </c>
      <c r="F26" t="inlineStr">
        <is>
          <t>Need</t>
        </is>
      </c>
      <c r="G26" t="n">
        <v>60</v>
      </c>
      <c r="H26" t="n">
        <v>65</v>
      </c>
      <c r="I26" t="n">
        <v>77</v>
      </c>
      <c r="J26" t="n">
        <v>84</v>
      </c>
      <c r="K26" t="inlineStr">
        <is>
          <t>OK</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row>
    <row r="5">
      <c r="A5" s="37" t="inlineStr">
        <is>
          <t>Warframe core</t>
        </is>
      </c>
      <c r="B5" s="37" t="inlineStr">
        <is>
          <t>Umbral Vitality</t>
        </is>
      </c>
      <c r="C5" s="37" t="inlineStr">
        <is>
          <t>MAX</t>
        </is>
      </c>
      <c r="D5" s="37" t="inlineStr">
        <is>
          <t>Account-bound progression</t>
        </is>
      </c>
      <c r="E5" s="37" t="inlineStr">
        <is>
          <t>Not a trade purchase</t>
        </is>
      </c>
      <c r="F5" s="37" t="str"/>
    </row>
    <row r="6">
      <c r="A6" s="37" t="inlineStr">
        <is>
          <t>Warframe core</t>
        </is>
      </c>
      <c r="B6" s="37" t="inlineStr">
        <is>
          <t>Umbral Fiber</t>
        </is>
      </c>
      <c r="C6" s="37" t="inlineStr">
        <is>
          <t>MAX</t>
        </is>
      </c>
      <c r="D6" s="37" t="inlineStr">
        <is>
          <t>Account-bound progression</t>
        </is>
      </c>
      <c r="E6" s="37" t="inlineStr">
        <is>
          <t>Not a trade purchase</t>
        </is>
      </c>
      <c r="F6" s="37" t="str"/>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LIVE TEST with Helminth config</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1387 mods priced at max rank</t>
        </is>
      </c>
      <c r="C62" t="inlineStr">
        <is>
          <t>MAX RANK</t>
        </is>
      </c>
      <c r="D62" t="inlineStr">
        <is>
          <t>See Procurement Master</t>
        </is>
      </c>
      <c r="E62" t="inlineStr"/>
      <c r="F62" t="inlineStr">
        <is>
          <t>Full list incl. category, Endo/credit relevance</t>
        </is>
      </c>
      <c r="G62" t="inlineStr"/>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2" customWidth="1" style="26" min="1" max="1"/>
    <col width="14" customWidth="1" style="26" min="2" max="2"/>
    <col width="18" customWidth="1" style="26" min="3" max="3"/>
    <col width="52" customWidth="1" style="26" min="4" max="4"/>
    <col width="30" customWidth="1" style="26" min="5" max="5"/>
    <col width="16" customWidth="1" style="26" min="6" max="6"/>
  </cols>
  <sheetData>
    <row r="1">
      <c r="A1" s="36" t="inlineStr">
        <is>
          <t>Shard Target</t>
        </is>
      </c>
      <c r="B1" s="36" t="inlineStr">
        <is>
          <t>Planning Qty</t>
        </is>
      </c>
      <c r="C1" s="36" t="inlineStr">
        <is>
          <t>Trade Status</t>
        </is>
      </c>
      <c r="D1" s="36" t="inlineStr">
        <is>
          <t>Acquisition</t>
        </is>
      </c>
      <c r="E1" s="36" t="inlineStr">
        <is>
          <t>Notes</t>
        </is>
      </c>
      <c r="F1" s="33" t="inlineStr">
        <is>
          <t>Status</t>
        </is>
      </c>
    </row>
    <row r="2">
      <c r="A2" s="37" t="inlineStr">
        <is>
          <t>Tauforged Strength</t>
        </is>
      </c>
      <c r="B2" s="37" t="n">
        <v>95</v>
      </c>
      <c r="C2" s="37" t="inlineStr">
        <is>
          <t>Account-bound</t>
        </is>
      </c>
      <c r="D2" s="37" t="inlineStr">
        <is>
          <t>Archon Hunts/Netracells/Deep Archimedea/vendor + Ascent Fusion</t>
        </is>
      </c>
      <c r="E2" s="37" t="inlineStr">
        <is>
          <t>Highest demand</t>
        </is>
      </c>
    </row>
    <row r="3">
      <c r="A3" s="37" t="inlineStr">
        <is>
          <t>Tauforged Casting Speed</t>
        </is>
      </c>
      <c r="B3" s="37" t="n">
        <v>57</v>
      </c>
      <c r="C3" s="37" t="inlineStr">
        <is>
          <t>Account-bound</t>
        </is>
      </c>
      <c r="D3" s="37" t="inlineStr">
        <is>
          <t>Same</t>
        </is>
      </c>
      <c r="E3" s="37" t="str"/>
    </row>
    <row r="4">
      <c r="A4" s="37" t="inlineStr">
        <is>
          <t>Tauforged Duration</t>
        </is>
      </c>
      <c r="B4" s="37" t="n">
        <v>35</v>
      </c>
      <c r="C4" s="37" t="inlineStr">
        <is>
          <t>Account-bound</t>
        </is>
      </c>
      <c r="D4" s="37" t="inlineStr">
        <is>
          <t>Same</t>
        </is>
      </c>
      <c r="E4" s="37" t="str"/>
    </row>
    <row r="5">
      <c r="A5" s="37" t="inlineStr">
        <is>
          <t>Tauforged Melee Critical Damage</t>
        </is>
      </c>
      <c r="B5" s="37" t="n">
        <v>18</v>
      </c>
      <c r="C5" s="37" t="inlineStr">
        <is>
          <t>Account-bound</t>
        </is>
      </c>
      <c r="D5" s="37" t="inlineStr">
        <is>
          <t>Same</t>
        </is>
      </c>
      <c r="E5" s="37" t="str"/>
    </row>
    <row r="6">
      <c r="A6" s="37" t="inlineStr">
        <is>
          <t>Tauforged Secondary Critical Chance</t>
        </is>
      </c>
      <c r="B6" s="37" t="n">
        <v>14</v>
      </c>
      <c r="C6" s="37" t="inlineStr">
        <is>
          <t>Account-bound</t>
        </is>
      </c>
      <c r="D6" s="37" t="inlineStr">
        <is>
          <t>Same</t>
        </is>
      </c>
      <c r="E6" s="37" t="str"/>
    </row>
    <row r="7">
      <c r="A7" s="37" t="inlineStr">
        <is>
          <t>Tauforged Armor</t>
        </is>
      </c>
      <c r="B7" s="37" t="n">
        <v>4</v>
      </c>
      <c r="C7" s="37" t="inlineStr">
        <is>
          <t>Account-bound</t>
        </is>
      </c>
      <c r="D7" s="37" t="inlineStr">
        <is>
          <t>Same</t>
        </is>
      </c>
      <c r="E7" s="37" t="str"/>
    </row>
    <row r="8">
      <c r="A8" s="37" t="inlineStr">
        <is>
          <t>Tauforged Energy Maximum</t>
        </is>
      </c>
      <c r="B8" s="37" t="n">
        <v>3</v>
      </c>
      <c r="C8" s="37" t="inlineStr">
        <is>
          <t>Account-bound</t>
        </is>
      </c>
      <c r="D8" s="37" t="inlineStr">
        <is>
          <t>Same</t>
        </is>
      </c>
      <c r="E8" s="37" t="str"/>
    </row>
    <row r="9">
      <c r="A9" s="37" t="inlineStr">
        <is>
          <t>Tauforged Parkour Velocity</t>
        </is>
      </c>
      <c r="B9" s="37" t="n">
        <v>2</v>
      </c>
      <c r="C9" s="37" t="inlineStr">
        <is>
          <t>Account-bound</t>
        </is>
      </c>
      <c r="D9" s="37" t="inlineStr">
        <is>
          <t>Same</t>
        </is>
      </c>
      <c r="E9" s="37" t="str"/>
    </row>
    <row r="10">
      <c r="A10" s="37" t="inlineStr">
        <is>
          <t>Tauforged Primary Critical Chance</t>
        </is>
      </c>
      <c r="B10" s="37" t="n">
        <v>2</v>
      </c>
      <c r="C10" s="37" t="inlineStr">
        <is>
          <t>Account-bound</t>
        </is>
      </c>
      <c r="D10" s="37" t="inlineStr">
        <is>
          <t>Same</t>
        </is>
      </c>
      <c r="E10" s="37" t="str"/>
    </row>
    <row r="11">
      <c r="A11" t="inlineStr">
        <is>
          <t>TOTAL PLANNED</t>
        </is>
      </c>
      <c r="B11" t="n">
        <v>230</v>
      </c>
      <c r="C11" t="inlineStr"/>
      <c r="D11" t="inlineStr"/>
      <c r="E11" t="inlineStr">
        <is>
          <t>v4: 66 frames x 5 = 330 slots; 100 unplanned</t>
        </is>
      </c>
      <c r="F11" t="inlineStr">
        <is>
          <t>OPEN</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Cyte-09 may already have one; verify before purchase</t>
        </is>
      </c>
    </row>
    <row r="3">
      <c r="A3" s="37" t="inlineStr">
        <is>
          <t>Orokin Catalysts</t>
        </is>
      </c>
      <c r="B3" s="37" t="inlineStr">
        <is>
          <t>171 ordinary non-adversary weapons (v4)</t>
        </is>
      </c>
      <c r="C3" s="37" t="inlineStr">
        <is>
          <t>Market/Nightwave/etc.</t>
        </is>
      </c>
      <c r="D3" s="37" t="inlineStr">
        <is>
          <t>Do not buy until weapon conflict audit is resolved</t>
        </is>
      </c>
    </row>
    <row r="4">
      <c r="A4" s="37" t="inlineStr">
        <is>
          <t>Forma</t>
        </is>
      </c>
      <c r="B4" s="37" t="inlineStr">
        <is>
          <t>Large reserve</t>
        </is>
      </c>
      <c r="C4" s="37" t="inlineStr">
        <is>
          <t>Relics/Market</t>
        </is>
      </c>
      <c r="D4" s="37" t="inlineStr">
        <is>
          <t>Adversary weapon: 5 each to Rank 40; Exalteds and permanent weapons also need polarization</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Master'!$L$2:$L$1864,'Procurement Master'!$A$2:$A$1864,"Warframe",'Procurement Master'!$AS$2:$AS$1864,"Yes")</f>
        <v/>
      </c>
      <c r="C6" s="55">
        <f>SUMIFS('Procurement Master'!$M$2:$M$1864,'Procurement Master'!$A$2:$A$1864,"Warframe",'Procurement Master'!$AS$2:$AS$1864,"Yes")</f>
        <v/>
      </c>
      <c r="D6" s="55">
        <f>SUMIFS('Procurement Master'!$N$2:$N$1864,'Procurement Master'!$A$2:$A$1864,"Warframe",'Procurement Master'!$AS$2:$AS$1864,"Yes")</f>
        <v/>
      </c>
      <c r="E6" s="55">
        <f>COUNTIFS('Procurement Master'!$A$2:$A$1864,"Warframe",'Procurement Master'!$AS$2:$AS$1864,"Yes")</f>
        <v/>
      </c>
      <c r="F6" s="55">
        <f>COUNTIFS('Procurement Master'!$A$2:$A$1864,"Warframe",'Procurement Master'!$AS$2:$AS$1864,"Yes",'Procurement Master'!$L$2:$L$1864,"")</f>
        <v/>
      </c>
      <c r="G6" s="55">
        <f>COUNTIFS('Procurement Master'!$A$2:$A$1864,"Warframe",'Procurement Master'!$P$2:$P$1864,"*UNAVAILABLE*")</f>
        <v/>
      </c>
      <c r="H6" t="inlineStr">
        <is>
          <t>51 Prime sets; 15 base/quest frames are account-bound (0p)</t>
        </is>
      </c>
    </row>
    <row r="7">
      <c r="A7" t="inlineStr">
        <is>
          <t>Weapon acquisition (ordinary, tradeable)</t>
        </is>
      </c>
      <c r="B7" s="55">
        <f>SUMIFS('Procurement Master'!$L$2:$L$1864,'Procurement Master'!$A$2:$A$1864,"Weapon",'Procurement Master'!$AS$2:$AS$1864,"Yes")</f>
        <v/>
      </c>
      <c r="C7" s="55">
        <f>SUMIFS('Procurement Master'!$M$2:$M$1864,'Procurement Master'!$A$2:$A$1864,"Weapon",'Procurement Master'!$AS$2:$AS$1864,"Yes")</f>
        <v/>
      </c>
      <c r="D7" s="55">
        <f>SUMIFS('Procurement Master'!$N$2:$N$1864,'Procurement Master'!$A$2:$A$1864,"Weapon",'Procurement Master'!$AS$2:$AS$1864,"Yes")</f>
        <v/>
      </c>
      <c r="E7" s="55">
        <f>COUNTIFS('Procurement Master'!$A$2:$A$1864,"Weapon",'Procurement Master'!$AS$2:$AS$1864,"Yes")</f>
        <v/>
      </c>
      <c r="F7" s="55">
        <f>COUNTIFS('Procurement Master'!$A$2:$A$1864,"Weapon",'Procurement Master'!$AS$2:$AS$1864,"Yes",'Procurement Master'!$L$2:$L$1864,"")</f>
        <v/>
      </c>
      <c r="G7" s="55">
        <f>COUNTIFS('Procurement Master'!$A$2:$A$1864,"Weapon",'Procurement Master'!$P$2:$P$1864,"*UNAVAILABLE*")</f>
        <v/>
      </c>
      <c r="H7" t="inlineStr">
        <is>
          <t>Prime sets, Vandal/Wraith/Prisma, Zariman/Entrati blueprints</t>
        </is>
      </c>
    </row>
    <row r="8">
      <c r="A8" t="inlineStr">
        <is>
          <t>Adversary acquisition (Kuva/Tenet)</t>
        </is>
      </c>
      <c r="B8" s="55">
        <f>SUMIFS('Procurement Master'!$L$2:$L$1864,'Procurement Master'!$A$2:$A$1864,"Adversary Weapon",'Procurement Master'!$AS$2:$AS$1864,"Yes")</f>
        <v/>
      </c>
      <c r="C8" s="55">
        <f>SUMIFS('Procurement Master'!$M$2:$M$1864,'Procurement Master'!$A$2:$A$1864,"Adversary Weapon",'Procurement Master'!$AS$2:$AS$1864,"Yes")</f>
        <v/>
      </c>
      <c r="D8" s="55">
        <f>SUMIFS('Procurement Master'!$N$2:$N$1864,'Procurement Master'!$A$2:$A$1864,"Adversary Weapon",'Procurement Master'!$AS$2:$AS$1864,"Yes")</f>
        <v/>
      </c>
      <c r="E8" s="55">
        <f>COUNTIFS('Procurement Master'!$A$2:$A$1864,"Adversary Weapon",'Procurement Master'!$AS$2:$AS$1864,"Yes")</f>
        <v/>
      </c>
      <c r="F8" s="55">
        <f>COUNTIFS('Procurement Master'!$A$2:$A$1864,"Adversary Weapon",'Procurement Master'!$AS$2:$AS$1864,"Yes",'Procurement Master'!$L$2:$L$1864,"")</f>
        <v/>
      </c>
      <c r="G8" s="55">
        <f>COUNTIFS('Procurement Master'!$A$2:$A$1864,"Adversary Weapon",'Procurement Master'!$P$2:$P$1864,"*UNAVAILABLE*")</f>
        <v/>
      </c>
      <c r="H8" t="inlineStr">
        <is>
          <t>12 weapons, target element, &gt;=58% valence</t>
        </is>
      </c>
    </row>
    <row r="9">
      <c r="A9" t="inlineStr">
        <is>
          <t>Max-rank mod acquisition (PvE, every tradeable mod)</t>
        </is>
      </c>
      <c r="B9" s="55">
        <f>SUMIFS('Procurement Master'!$L$2:$L$1864,'Procurement Master'!$A$2:$A$1864,"Mod",'Procurement Master'!$AS$2:$AS$1864,"Yes")</f>
        <v/>
      </c>
      <c r="C9" s="55">
        <f>SUMIFS('Procurement Master'!$M$2:$M$1864,'Procurement Master'!$A$2:$A$1864,"Mod",'Procurement Master'!$AS$2:$AS$1864,"Yes")</f>
        <v/>
      </c>
      <c r="D9" s="55">
        <f>SUMIFS('Procurement Master'!$N$2:$N$1864,'Procurement Master'!$A$2:$A$1864,"Mod",'Procurement Master'!$AS$2:$AS$1864,"Yes")</f>
        <v/>
      </c>
      <c r="E9" s="55">
        <f>COUNTIFS('Procurement Master'!$A$2:$A$1864,"Mod",'Procurement Master'!$AS$2:$AS$1864,"Yes")</f>
        <v/>
      </c>
      <c r="F9" s="55">
        <f>COUNTIFS('Procurement Master'!$A$2:$A$1864,"Mod",'Procurement Master'!$AS$2:$AS$1864,"Yes",'Procurement Master'!$L$2:$L$1864,"")</f>
        <v/>
      </c>
      <c r="G9" s="55">
        <f>COUNTIFS('Procurement Master'!$A$2:$A$1864,"Mod",'Procurement Master'!$P$2:$P$1864,"*UNAVAILABLE*")</f>
        <v/>
      </c>
      <c r="H9" t="inlineStr">
        <is>
          <t>All WFM mods ex Rivens/Flawed/locators; Conclave reported separately</t>
        </is>
      </c>
    </row>
    <row r="10">
      <c r="A10" t="inlineStr">
        <is>
          <t>Max-rank Arcane acquisition (required)</t>
        </is>
      </c>
      <c r="B10" s="55">
        <f>SUMIFS('Procurement Master'!$L$2:$L$1864,'Procurement Master'!$A$2:$A$1864,"Arcane",'Procurement Master'!$AS$2:$AS$1864,"Yes")</f>
        <v/>
      </c>
      <c r="C10" s="55">
        <f>SUMIFS('Procurement Master'!$M$2:$M$1864,'Procurement Master'!$A$2:$A$1864,"Arcane",'Procurement Master'!$AS$2:$AS$1864,"Yes")</f>
        <v/>
      </c>
      <c r="D10" s="55">
        <f>SUMIFS('Procurement Master'!$N$2:$N$1864,'Procurement Master'!$A$2:$A$1864,"Arcane",'Procurement Master'!$AS$2:$AS$1864,"Yes")</f>
        <v/>
      </c>
      <c r="E10" s="55">
        <f>COUNTIFS('Procurement Master'!$A$2:$A$1864,"Arcane",'Procurement Master'!$AS$2:$AS$1864,"Yes")</f>
        <v/>
      </c>
      <c r="F10" s="55">
        <f>COUNTIFS('Procurement Master'!$A$2:$A$1864,"Arcane",'Procurement Master'!$AS$2:$AS$1864,"Yes",'Procurement Master'!$L$2:$L$1864,"")</f>
        <v/>
      </c>
      <c r="G10" s="55">
        <f>COUNTIFS('Procurement Master'!$A$2:$A$1864,"Arcane",'Procurement Master'!$P$2:$P$1864,"*UNAVAILABLE*")</f>
        <v/>
      </c>
      <c r="H10" t="inlineStr">
        <is>
          <t>v3 14 required + v4 11 weapon-arcane baseline</t>
        </is>
      </c>
    </row>
    <row r="11">
      <c r="A11" t="inlineStr">
        <is>
          <t>Companions (Prime sentinel sets)</t>
        </is>
      </c>
      <c r="B11" s="55">
        <f>SUMIFS('Procurement Master'!$L$2:$L$1864,'Procurement Master'!$A$2:$A$1864,"Companion",'Procurement Master'!$AS$2:$AS$1864,"Yes")</f>
        <v/>
      </c>
      <c r="C11" s="55">
        <f>SUMIFS('Procurement Master'!$M$2:$M$1864,'Procurement Master'!$A$2:$A$1864,"Companion",'Procurement Master'!$AS$2:$AS$1864,"Yes")</f>
        <v/>
      </c>
      <c r="D11" s="55">
        <f>SUMIFS('Procurement Master'!$N$2:$N$1864,'Procurement Master'!$A$2:$A$1864,"Companion",'Procurement Master'!$AS$2:$AS$1864,"Yes")</f>
        <v/>
      </c>
      <c r="E11" s="55">
        <f>COUNTIFS('Procurement Master'!$A$2:$A$1864,"Companion",'Procurement Master'!$AS$2:$AS$1864,"Yes")</f>
        <v/>
      </c>
      <c r="F11" s="55">
        <f>COUNTIFS('Procurement Master'!$A$2:$A$1864,"Companion",'Procurement Master'!$AS$2:$AS$1864,"Yes",'Procurement Master'!$L$2:$L$1864,"")</f>
        <v/>
      </c>
      <c r="G11" s="55">
        <f>COUNTIFS('Procurement Master'!$A$2:$A$1864,"Companion",'Procurement Master'!$P$2:$P$1864,"*UNAVAILABLE*")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4"/>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Master'!$L$2:$L$1864,'Procurement Master'!$A$2:$A$1864,"Mod",'Procurement Master'!$AS$2:$AS$1864,"PvP subtotal")</f>
        <v/>
      </c>
      <c r="C16" s="55">
        <f>SUMIFS('Procurement Master'!$M$2:$M$1864,'Procurement Master'!$A$2:$A$1864,"Mod",'Procurement Master'!$AS$2:$AS$1864,"PvP subtotal")</f>
        <v/>
      </c>
      <c r="D16" s="55">
        <f>SUMIFS('Procurement Master'!$N$2:$N$1864,'Procurement Master'!$A$2:$A$1864,"Mod",'Procurement Master'!$AS$2:$AS$1864,"PvP subtotal")</f>
        <v/>
      </c>
    </row>
    <row r="17">
      <c r="A17" t="inlineStr">
        <is>
          <t>Remaining Arcane collection (all other tradeable Arcanes, max rank)</t>
        </is>
      </c>
      <c r="B17" s="55">
        <f>SUMIFS('Procurement Master'!$L$2:$L$1864,'Procurement Master'!$A$2:$A$1864,"Arcane",'Procurement Master'!$AS$2:$AS$1864,"Collection (optional)")</f>
        <v/>
      </c>
      <c r="C17" s="55">
        <f>SUMIFS('Procurement Master'!$M$2:$M$1864,'Procurement Master'!$A$2:$A$1864,"Arcane",'Procurement Master'!$AS$2:$AS$1864,"Collection (optional)")</f>
        <v/>
      </c>
      <c r="D17" s="55">
        <f>SUMIFS('Procurement Master'!$N$2:$N$1864,'Procurement Master'!$A$2:$A$1864,"Arcane",'Procurement Master'!$AS$2:$AS$1864,"Collection (optional)")</f>
        <v/>
      </c>
    </row>
    <row r="18">
      <c r="A18" t="inlineStr">
        <is>
          <t>Signature archguns (Larkspur Prime; Mandonel/Arbucep farmed)</t>
        </is>
      </c>
      <c r="B18" s="55">
        <f>SUMIFS('Procurement Master'!$L$2:$L$1864,'Procurement Master'!$A$2:$A$1864,"Archgun",'Procurement Master'!$AS$2:$AS$1864,"Optional")</f>
        <v/>
      </c>
      <c r="C18" s="55">
        <f>SUMIFS('Procurement Master'!$M$2:$M$1864,'Procurement Master'!$A$2:$A$1864,"Archgun",'Procurement Master'!$AS$2:$AS$1864,"Optional")</f>
        <v/>
      </c>
      <c r="D18" s="55">
        <f>SUMIFS('Procurement Master'!$N$2:$N$1864,'Procurement Master'!$A$2:$A$1864,"Archgun",'Procurement Master'!$AS$2:$AS$1864,"Optional")</f>
        <v/>
      </c>
    </row>
    <row r="19">
      <c r="A19" t="inlineStr">
        <is>
          <t>Signature extras for Exalted-replaced/shared slots (Reconifex, Cobra &amp; Crane Prime; Skiajati/Wrath farmed)</t>
        </is>
      </c>
      <c r="B19" s="55">
        <f>SUMIFS('Procurement Master'!$L$2:$L$1864,'Procurement Master'!$A$2:$A$1864,"Signature Extra",'Procurement Master'!$AS$2:$AS$1864,"Optional")</f>
        <v/>
      </c>
      <c r="C19" s="55">
        <f>SUMIFS('Procurement Master'!$M$2:$M$1864,'Procurement Master'!$A$2:$A$1864,"Signature Extra",'Procurement Master'!$AS$2:$AS$1864,"Optional")</f>
        <v/>
      </c>
      <c r="D19" s="55">
        <f>SUMIFS('Procurement Master'!$N$2:$N$1864,'Procurement Master'!$A$2:$A$1864,"Signature Extra",'Procurement Master'!$AS$2:$AS$1864,"Optional")</f>
        <v/>
      </c>
    </row>
    <row r="20">
      <c r="A20" t="inlineStr">
        <is>
          <t>Upcoming / not live (Brysko, Corecracker, Rain &amp; Shine, Hound, Sentient shotgun, Tigris Incarnon)</t>
        </is>
      </c>
      <c r="B20" t="inlineStr">
        <is>
          <t>EXCLUDED</t>
        </is>
      </c>
      <c r="C20" t="inlineStr">
        <is>
          <t>EXCLUDED</t>
        </is>
      </c>
      <c r="D20" t="inlineStr">
        <is>
          <t>EXCLUDED</t>
        </is>
      </c>
    </row>
    <row r="21"/>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G23" t="inlineStr"/>
      <c r="H23" t="inlineStr">
        <is>
          <t>Free: 3 starter, Excalibur Umbra (Sacrifice), Nora's Mix</t>
        </is>
      </c>
    </row>
    <row r="24">
      <c r="A24" t="inlineStr">
        <is>
          <t>Weapon slots (2 per 12p)</t>
        </is>
      </c>
      <c r="B24" t="n">
        <v>183</v>
      </c>
      <c r="C24" t="n">
        <v>6</v>
      </c>
      <c r="D24" s="55">
        <f>CEILING(B24/2,1)*12</f>
        <v/>
      </c>
      <c r="E24" t="n">
        <v>23</v>
      </c>
      <c r="F24" s="55">
        <f>CEILING((B24-E24)/2,1)*12</f>
        <v/>
      </c>
      <c r="G24" t="inlineStr"/>
      <c r="H24" t="inlineStr">
        <is>
          <t>183 slot-taking weapons (Exalted/intrinsic excluded; Vinquibus counted once). Free: 11 starter + 12 junction/quest (quest weapons such as Thornbak, Broken War, Skiajati and Rumblejack must be sold to free theirs)</t>
        </is>
      </c>
    </row>
    <row r="25">
      <c r="A25" t="inlineStr">
        <is>
          <t>Companion slots (2 per 12p)</t>
        </is>
      </c>
      <c r="B25" t="n">
        <v>20</v>
      </c>
      <c r="C25" t="n">
        <v>6</v>
      </c>
      <c r="D25" s="55">
        <f>CEILING(B25/2,1)*12</f>
        <v/>
      </c>
      <c r="E25" t="n">
        <v>10</v>
      </c>
      <c r="F25" s="55">
        <f>MAX(0,CEILING((B25-E25)/2,1)*12)</f>
        <v/>
      </c>
      <c r="G25" t="inlineStr"/>
      <c r="H25" t="inlineStr">
        <is>
          <t>13 v3 companions + 7 sentinel robotic weapons share companion slots; 10 starter</t>
        </is>
      </c>
    </row>
    <row r="26">
      <c r="A26" s="54" t="inlineStr">
        <is>
          <t>FIXED INFRASTRUCTURE TOTAL</t>
        </is>
      </c>
      <c r="B26" s="54" t="inlineStr"/>
      <c r="C26" s="54" t="inlineStr"/>
      <c r="D26" s="56">
        <f>SUM(D23:D25)</f>
        <v/>
      </c>
      <c r="E26" s="54" t="inlineStr"/>
      <c r="F26" s="56">
        <f>SUM(F23:F25)</f>
        <v/>
      </c>
      <c r="G26" s="54" t="n"/>
      <c r="H26" s="54" t="n"/>
    </row>
    <row r="27"/>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E29" t="inlineStr"/>
      <c r="F29" t="inlineStr"/>
      <c r="G29" t="inlineStr"/>
      <c r="H29" t="inlineStr">
        <is>
          <t>66 frames minus Excalibur Umbra (pre-installed). Cyte-09 counted: verify</t>
        </is>
      </c>
    </row>
    <row r="30">
      <c r="A30" t="inlineStr">
        <is>
          <t>Orokin Catalysts</t>
        </is>
      </c>
      <c r="B30" t="n">
        <v>171</v>
      </c>
      <c r="C30" t="n">
        <v>20</v>
      </c>
      <c r="D30" s="55">
        <f>B30*C30</f>
        <v/>
      </c>
      <c r="E30" t="inlineStr"/>
      <c r="F30" t="inlineStr"/>
      <c r="G30" t="inlineStr"/>
      <c r="H30" t="inlineStr">
        <is>
          <t>171 ordinary non-adversary weapons (Kuva/Tenet pre-installed; Exalted use frame Reactor)</t>
        </is>
      </c>
    </row>
    <row r="31">
      <c r="A31" s="54" t="inlineStr">
        <is>
          <t>OPTIONAL CONVENIENCE TOTAL</t>
        </is>
      </c>
      <c r="B31" s="54" t="inlineStr"/>
      <c r="C31" s="54" t="inlineStr"/>
      <c r="D31" s="56">
        <f>SUM(D29:D30)</f>
        <v/>
      </c>
      <c r="E31" s="54" t="n"/>
      <c r="F31" s="54" t="n"/>
      <c r="G31" s="54" t="n"/>
      <c r="H31" s="54" t="n"/>
    </row>
    <row r="32"/>
    <row r="33">
      <c r="A33" s="54" t="inlineStr">
        <is>
          <t>4. RECONSTRUCTION TOTALS</t>
        </is>
      </c>
      <c r="B33" s="54" t="inlineStr">
        <is>
          <t>Floor Pt</t>
        </is>
      </c>
      <c r="C33" s="54" t="inlineStr">
        <is>
          <t>Realistic Pt</t>
        </is>
      </c>
      <c r="D33" s="54" t="inlineStr">
        <is>
          <t>Conservative Pt</t>
        </is>
      </c>
      <c r="E33" s="54" t="inlineStr">
        <is>
          <t>USD Floor</t>
        </is>
      </c>
      <c r="F33" s="54" t="inlineStr">
        <is>
          <t>USD Realistic</t>
        </is>
      </c>
      <c r="G33" s="54" t="inlineStr">
        <is>
          <t>USD Conservative</t>
        </is>
      </c>
      <c r="H33" s="54" t="n"/>
    </row>
    <row r="34">
      <c r="A34" t="inlineStr">
        <is>
          <t>TOTAL RECONSTRUCTION (trade + fixed infra net of free slots)</t>
        </is>
      </c>
      <c r="B34" s="55">
        <f>B12+F26</f>
        <v/>
      </c>
      <c r="C34" s="55">
        <f>C12+F26</f>
        <v/>
      </c>
      <c r="D34" s="55">
        <f>D12+F26</f>
        <v/>
      </c>
      <c r="E34" s="57">
        <f>B34*0.043478260869565216</f>
        <v/>
      </c>
      <c r="F34" s="57">
        <f>C34*0.043478260869565216</f>
        <v/>
      </c>
      <c r="G34" s="57">
        <f>D34*0.043478260869565216</f>
        <v/>
      </c>
    </row>
    <row r="35">
      <c r="A35" t="inlineStr">
        <is>
          <t>TOTAL RECONSTRUCTION (trade + fixed infra gross, v3 method)</t>
        </is>
      </c>
      <c r="B35" s="55">
        <f>B12+D26</f>
        <v/>
      </c>
      <c r="C35" s="55">
        <f>C12+D26</f>
        <v/>
      </c>
      <c r="D35" s="55">
        <f>D12+D26</f>
        <v/>
      </c>
      <c r="E35" s="57">
        <f>B35*0.043478260869565216</f>
        <v/>
      </c>
      <c r="F35" s="57">
        <f>C35*0.043478260869565216</f>
        <v/>
      </c>
      <c r="G35" s="57">
        <f>D35*0.043478260869565216</f>
        <v/>
      </c>
    </row>
    <row r="36">
      <c r="A36" t="inlineStr">
        <is>
          <t>TOTAL incl. optional Reactors/Catalysts (gross)</t>
        </is>
      </c>
      <c r="B36" s="55">
        <f>B12+D26+D31</f>
        <v/>
      </c>
      <c r="C36" s="55">
        <f>C12+D26+D31</f>
        <v/>
      </c>
      <c r="D36" s="55">
        <f>D12+D26+D31</f>
        <v/>
      </c>
      <c r="E36" s="57">
        <f>B36*0.043478260869565216</f>
        <v/>
      </c>
      <c r="F36" s="57">
        <f>C36*0.043478260869565216</f>
        <v/>
      </c>
      <c r="G36" s="57">
        <f>D36*0.043478260869565216</f>
        <v/>
      </c>
    </row>
    <row r="37"/>
    <row r="38">
      <c r="A38" s="54" t="inlineStr">
        <is>
          <t>5. COMPARISON vs ~$1,000 / ~23,000p</t>
        </is>
      </c>
      <c r="B38" s="54" t="inlineStr">
        <is>
          <t>Floor</t>
        </is>
      </c>
      <c r="C38" s="54" t="inlineStr">
        <is>
          <t>Realistic</t>
        </is>
      </c>
      <c r="D38" s="54" t="inlineStr">
        <is>
          <t>Conservative</t>
        </is>
      </c>
      <c r="E38" s="54" t="n"/>
      <c r="F38" s="54" t="n"/>
      <c r="G38" s="54" t="n"/>
      <c r="H38" s="54" t="n"/>
    </row>
    <row r="39">
      <c r="A39" t="inlineStr">
        <is>
          <t>Net reconstruction / 23,000p</t>
        </is>
      </c>
      <c r="B39" s="58">
        <f>B34/23000</f>
        <v/>
      </c>
      <c r="C39" s="58">
        <f>C34/23000</f>
        <v/>
      </c>
      <c r="D39" s="58">
        <f>D34/23000</f>
        <v/>
      </c>
    </row>
    <row r="40">
      <c r="A40" t="inlineStr">
        <is>
          <t>Gross + potatoes / 23,000p</t>
        </is>
      </c>
      <c r="B40" s="58">
        <f>B36/23000</f>
        <v/>
      </c>
      <c r="C40" s="58">
        <f>C36/23000</f>
        <v/>
      </c>
      <c r="D40" s="58">
        <f>D36/23000</f>
        <v/>
      </c>
    </row>
    <row r="41">
      <c r="A41" t="inlineStr">
        <is>
          <t>Interpretation: see 7. MODEL NOTES. Account-purchase risk (ban/recovery/ToS) is NOT priced here and must be assessed separately.</t>
        </is>
      </c>
    </row>
    <row r="42"/>
    <row r="43">
      <c r="A43" s="54" t="inlineStr">
        <is>
          <t>6. FARMABLE SAVINGS / ACCOUNT-BOUND (not plat)</t>
        </is>
      </c>
      <c r="B43" s="54" t="inlineStr">
        <is>
          <t>Value</t>
        </is>
      </c>
      <c r="C43" s="54" t="inlineStr"/>
      <c r="D43" s="54" t="inlineStr"/>
      <c r="E43" s="54" t="inlineStr"/>
      <c r="F43" s="54" t="inlineStr"/>
      <c r="G43" s="54" t="inlineStr"/>
      <c r="H43" s="54" t="inlineStr">
        <is>
          <t>Note</t>
        </is>
      </c>
    </row>
    <row r="44">
      <c r="A44" t="inlineStr">
        <is>
          <t>Mods bought at R0 instead of max (realistic plat)</t>
        </is>
      </c>
      <c r="B44" s="55">
        <f>SUMIFS('Procurement Master'!$AQ$2:$AQ$1864,'Procurement Master'!$A$2:$A$1864,"Mod",'Procurement Master'!$AS$2:$AS$1864,"Yes")</f>
        <v/>
      </c>
      <c r="C44" t="inlineStr"/>
      <c r="D44" t="inlineStr"/>
      <c r="E44" t="inlineStr"/>
      <c r="F44" t="inlineStr"/>
      <c r="G44" t="inlineStr"/>
      <c r="H44" t="inlineStr">
        <is>
          <t>Requires the Endo/credits below; R0 not on market for some mods</t>
        </is>
      </c>
    </row>
    <row r="45">
      <c r="A45" t="inlineStr">
        <is>
          <t xml:space="preserve">  Endo needed to max every PvE mod yourself</t>
        </is>
      </c>
      <c r="B45" s="55">
        <f>SUMIFS('Procurement Master'!$AO$2:$AO$1864,'Procurement Master'!$A$2:$A$1864,"Mod",'Procurement Master'!$AS$2:$AS$1864,"Yes")</f>
        <v/>
      </c>
    </row>
    <row r="46">
      <c r="A46" t="inlineStr">
        <is>
          <t xml:space="preserve">  Credits needed to max every PvE mod yourself</t>
        </is>
      </c>
      <c r="B46" s="55">
        <f>SUMIFS('Procurement Master'!$AP$2:$AP$1864,'Procurement Master'!$A$2:$A$1864,"Mod",'Procurement Master'!$AS$2:$AS$1864,"Yes")</f>
        <v/>
      </c>
    </row>
    <row r="47">
      <c r="A47" t="inlineStr">
        <is>
          <t>Arcanes via R0 copies (sum where available, required set)</t>
        </is>
      </c>
      <c r="B47" s="55">
        <f>SUMIFS('Procurement Master'!$AR$2:$AR$1864,'Procurement Master'!$A$2:$A$1864,"Arcane",'Procurement Master'!$AS$2:$AS$1864,"Yes")</f>
        <v/>
      </c>
    </row>
    <row r="48">
      <c r="A48" t="inlineStr">
        <is>
          <t>Non-tradeable frames/weapons/companions (farm/quest/vendor/Dojo)</t>
        </is>
      </c>
      <c r="B48" s="55">
        <f>COUNTIFS('Procurement Master'!$P$2:$P$1864,"FARMABLE*")</f>
        <v/>
      </c>
      <c r="C48" t="inlineStr"/>
      <c r="D48" t="inlineStr"/>
      <c r="E48" t="inlineStr"/>
      <c r="F48" t="inlineStr"/>
      <c r="G48" t="inlineStr"/>
      <c r="H48" t="inlineStr">
        <is>
          <t>items; 0p by definition</t>
        </is>
      </c>
    </row>
    <row r="49">
      <c r="A49" t="inlineStr">
        <is>
          <t>Incarnon Genesis adapters (Steel Path Circuit)</t>
        </is>
      </c>
      <c r="B49" s="55">
        <f>COUNTIFS('Procurement Master'!$AF$2:$AF$1864,"Incarnon*")</f>
        <v/>
      </c>
      <c r="C49" t="inlineStr"/>
      <c r="D49" t="inlineStr"/>
      <c r="E49" t="inlineStr"/>
      <c r="F49" t="inlineStr"/>
      <c r="G49" t="inlineStr"/>
      <c r="H49" t="inlineStr">
        <is>
          <t>adapters</t>
        </is>
      </c>
    </row>
    <row r="50">
      <c r="A50" t="inlineStr">
        <is>
          <t>Archon Shards (account-bound)</t>
        </is>
      </c>
      <c r="B50" t="n">
        <v>330</v>
      </c>
      <c r="C50" t="inlineStr"/>
      <c r="D50" t="inlineStr"/>
      <c r="E50" t="inlineStr"/>
      <c r="F50" t="inlineStr"/>
      <c r="G50" t="inlineStr"/>
      <c r="H50" t="inlineStr">
        <is>
          <t>66 frames x 5; v3 shard plan covers only 230</t>
        </is>
      </c>
    </row>
    <row r="51"/>
    <row r="52">
      <c r="A52" t="inlineStr">
        <is>
          <t>Official Platinum pack</t>
        </is>
      </c>
      <c r="B52" t="n">
        <v>4600</v>
      </c>
      <c r="C52" t="n">
        <v>199.99</v>
      </c>
      <c r="D52" t="inlineStr"/>
      <c r="E52" t="inlineStr"/>
      <c r="F52" t="inlineStr"/>
      <c r="G52" t="inlineStr"/>
      <c r="H52" t="inlineStr">
        <is>
          <t>Current undiscounted USD price (v3)</t>
        </is>
      </c>
    </row>
    <row r="53">
      <c r="A53" t="inlineStr">
        <is>
          <t>$1,000 benchmark packs</t>
        </is>
      </c>
      <c r="B53" t="n">
        <v>5</v>
      </c>
      <c r="C53" t="n">
        <v>4600</v>
      </c>
      <c r="D53" s="55">
        <f>B53*C53</f>
        <v/>
      </c>
      <c r="E53" t="inlineStr"/>
      <c r="F53" t="inlineStr"/>
      <c r="G53" t="inlineStr"/>
      <c r="H53" t="inlineStr">
        <is>
          <t>Five 4,600p packs = 23,000p for $999.95</t>
        </is>
      </c>
    </row>
    <row r="54"/>
    <row r="55">
      <c r="A55" s="54" t="inlineStr">
        <is>
          <t>7. MODEL NOTES</t>
        </is>
      </c>
      <c r="B55" s="54" t="n"/>
      <c r="C55" s="54" t="n"/>
      <c r="D55" s="54" t="n"/>
      <c r="E55" s="54" t="n"/>
      <c r="F55" s="54" t="n"/>
      <c r="G55" s="54" t="n"/>
      <c r="H55" s="54" t="n"/>
    </row>
    <row r="56">
      <c r="A56" t="inlineStr">
        <is>
          <t xml:space="preserve">  - Mods are ~70% of the player-trade total. Buying every PvE mod already at max rank is the most expensive acquisition route; buying R0 copies and ranking them yourself (section 6) removes most of that premium at the cost of Endo/credits.</t>
        </is>
      </c>
    </row>
    <row r="57">
      <c r="A57" t="inlineStr">
        <is>
          <t xml:space="preserve">  - Many collection mods (common drops, syndicate offerings, Nightwave/Cephalon Simaris items) are farmable at no plat cost; the max-rank trade total is an upper-bound valuation of the mandate, not a recommended spend plan.</t>
        </is>
      </c>
    </row>
    <row r="58">
      <c r="A58" t="inlineStr">
        <is>
          <t xml:space="preserve">  - Conservative mod pricing is wide because many max-rank books are thin (few sellers). Use Realistic for decisions; Conservative is an allowance.</t>
        </is>
      </c>
    </row>
    <row r="59">
      <c r="A59" t="inlineStr">
        <is>
          <t xml:space="preserve">  - Prime frames/weapons are priced as complete sets; buying parts or cracking relics is cheaper but slower.</t>
        </is>
      </c>
    </row>
    <row r="60">
      <c r="A60" t="inlineStr">
        <is>
          <t xml:space="preserve">  - Account purchase comparison: the $1,000 / 23,000p benchmark should be compared to the portion of THIS procurement universe a candidate account already satisfies (equivalency audit), not to its raw inventory. Purchase risk is separate.</t>
        </is>
      </c>
    </row>
    <row r="61">
      <c r="A61" t="inlineStr">
        <is>
          <t xml:space="preserve">  - Platinum totals exclude Forma, Archon Shards, Focus, Helminth, Incarnon Genesis, Endo and credits (all farmable/account-bound).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S18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R237" t="inlineStr">
        <is>
          <t>Unchanged from v3 allocation</t>
        </is>
      </c>
      <c r="AC237" t="inlineStr">
        <is>
          <t>Non-signature</t>
        </is>
      </c>
      <c r="AE237" t="inlineStr">
        <is>
          <t>No</t>
        </is>
      </c>
      <c r="AL237" t="inlineStr">
        <is>
          <t>Yes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R251" t="inlineStr">
        <is>
          <t>Unchanged from v3 allocation</t>
        </is>
      </c>
      <c r="AC251" t="inlineStr">
        <is>
          <t>Non-signature</t>
        </is>
      </c>
      <c r="AE251" t="inlineStr">
        <is>
          <t>No</t>
        </is>
      </c>
      <c r="AL251" t="inlineStr">
        <is>
          <t>Yes</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Core</t>
        </is>
      </c>
      <c r="P261" t="inlineStr">
        <is>
          <t>INCLUDED WITH COMPANION</t>
        </is>
      </c>
      <c r="R261" t="inlineStr">
        <is>
          <t>Default sentinel weapon (wiki); uses one Companion slot</t>
        </is>
      </c>
      <c r="AL261" t="inlineStr">
        <is>
          <t>Yes (optional)</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(optional)</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(optional)</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Core</t>
        </is>
      </c>
      <c r="P264" t="inlineStr">
        <is>
          <t>INCLUDED WITH COMPANION</t>
        </is>
      </c>
      <c r="R264" t="inlineStr">
        <is>
          <t>Default sentinel weapon (wiki); uses one Companion slot</t>
        </is>
      </c>
      <c r="AL264" t="inlineStr">
        <is>
          <t>Yes (optional)</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(optional)</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(optional)</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Core</t>
        </is>
      </c>
      <c r="P267" t="inlineStr">
        <is>
          <t>INCLUDED WITH COMPANION</t>
        </is>
      </c>
      <c r="R267" t="inlineStr">
        <is>
          <t>Default sentinel weapon (wiki); uses one Companion slot</t>
        </is>
      </c>
      <c r="AL267" t="inlineStr">
        <is>
          <t>Yes (optional)</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 LIVE TEST if replacement is wanted</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Collection</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Collection</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Collection</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Collection</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Collection</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Collection</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Collection</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Collection</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Corroding Barrage</t>
        </is>
      </c>
      <c r="E1677" t="inlineStr">
        <is>
          <t>Hydroid</t>
        </is>
      </c>
      <c r="F1677" t="n">
        <v>3</v>
      </c>
      <c r="G1677" t="n">
        <v>1</v>
      </c>
      <c r="H1677" t="inlineStr">
        <is>
          <t>Player trade (in-game only)</t>
        </is>
      </c>
      <c r="I1677" t="inlineStr">
        <is>
          <t>Yes (wiki)</t>
        </is>
      </c>
      <c r="P1677" t="inlineStr">
        <is>
          <t>MARKET DATA UNAVAILABLE</t>
        </is>
      </c>
      <c r="R1677" t="inlineStr">
        <is>
          <t>Wiki lists as tradeable; no Warframe.Market listing</t>
        </is>
      </c>
      <c r="AN1677" t="inlineStr">
        <is>
          <t>Hydroid</t>
        </is>
      </c>
      <c r="AS1677" t="inlineStr">
        <is>
          <t>No (no data)</t>
        </is>
      </c>
    </row>
    <row r="1678">
      <c r="A1678" t="inlineStr">
        <is>
          <t>Mod</t>
        </is>
      </c>
      <c r="B1678" t="inlineStr">
        <is>
          <t>Resonating Quake</t>
        </is>
      </c>
      <c r="E1678" t="inlineStr">
        <is>
          <t>Banshee</t>
        </is>
      </c>
      <c r="F1678" t="n">
        <v>3</v>
      </c>
      <c r="G1678" t="n">
        <v>1</v>
      </c>
      <c r="H1678" t="inlineStr">
        <is>
          <t>Player trade (in-game only)</t>
        </is>
      </c>
      <c r="I1678" t="inlineStr">
        <is>
          <t>Yes (wiki)</t>
        </is>
      </c>
      <c r="P1678" t="inlineStr">
        <is>
          <t>MARKET DATA UNAVAILABLE</t>
        </is>
      </c>
      <c r="R1678" t="inlineStr">
        <is>
          <t>Wiki lists as tradeable; no Warframe.Market listing</t>
        </is>
      </c>
      <c r="AN1678" t="inlineStr">
        <is>
          <t>Banshee</t>
        </is>
      </c>
      <c r="AS1678" t="inlineStr">
        <is>
          <t>No (no data)</t>
        </is>
      </c>
    </row>
    <row r="1679">
      <c r="A1679" t="inlineStr">
        <is>
          <t>Mod</t>
        </is>
      </c>
      <c r="B1679" t="inlineStr">
        <is>
          <t>Negation Swarm</t>
        </is>
      </c>
      <c r="E1679" t="inlineStr">
        <is>
          <t>Inaros</t>
        </is>
      </c>
      <c r="F1679" t="n">
        <v>3</v>
      </c>
      <c r="G1679" t="n">
        <v>1</v>
      </c>
      <c r="H1679" t="inlineStr">
        <is>
          <t>Player trade (in-game only)</t>
        </is>
      </c>
      <c r="I1679" t="inlineStr">
        <is>
          <t>Yes (wiki)</t>
        </is>
      </c>
      <c r="P1679" t="inlineStr">
        <is>
          <t>MARKET DATA UNAVAILABLE</t>
        </is>
      </c>
      <c r="R1679" t="inlineStr">
        <is>
          <t>Wiki lists as tradeable; no Warframe.Market listing</t>
        </is>
      </c>
      <c r="AN1679" t="inlineStr">
        <is>
          <t>Inaros</t>
        </is>
      </c>
      <c r="AS1679" t="inlineStr">
        <is>
          <t>No (no data)</t>
        </is>
      </c>
    </row>
    <row r="1680">
      <c r="A1680" t="inlineStr">
        <is>
          <t>Mod</t>
        </is>
      </c>
      <c r="B1680" t="inlineStr">
        <is>
          <t>Fatal Teleport</t>
        </is>
      </c>
      <c r="E1680" t="inlineStr">
        <is>
          <t>Ash</t>
        </is>
      </c>
      <c r="F1680" t="n">
        <v>3</v>
      </c>
      <c r="G1680" t="n">
        <v>1</v>
      </c>
      <c r="H1680" t="inlineStr">
        <is>
          <t>Player trade (in-game only)</t>
        </is>
      </c>
      <c r="I1680" t="inlineStr">
        <is>
          <t>Yes (wiki)</t>
        </is>
      </c>
      <c r="P1680" t="inlineStr">
        <is>
          <t>MARKET DATA UNAVAILABLE</t>
        </is>
      </c>
      <c r="R1680" t="inlineStr">
        <is>
          <t>Wiki lists as tradeable; no Warframe.Market listing</t>
        </is>
      </c>
      <c r="AN1680" t="inlineStr">
        <is>
          <t>Ash</t>
        </is>
      </c>
      <c r="AS1680" t="inlineStr">
        <is>
          <t>No (no data)</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Core</t>
        </is>
      </c>
      <c r="L1683" t="n">
        <v>50</v>
      </c>
      <c r="M1683" t="n">
        <v>55</v>
      </c>
      <c r="N1683" t="n">
        <v>61</v>
      </c>
      <c r="O1683" t="inlineStr">
        <is>
          <t>2026-10-05 UTC (WFM pull 02:52-04:00)</t>
        </is>
      </c>
      <c r="P1683" t="inlineStr">
        <is>
          <t>OK</t>
        </is>
      </c>
      <c r="Q1683" t="inlineStr">
        <is>
          <t>Sentinel weapon not specified in v3 - OPEN</t>
        </is>
      </c>
      <c r="R1683" t="inlineStr">
        <is>
          <t>v3 companion list</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Yes</t>
        </is>
      </c>
    </row>
    <row r="1684">
      <c r="A1684" t="inlineStr">
        <is>
          <t>Companion</t>
        </is>
      </c>
      <c r="B1684" t="inlineStr">
        <is>
          <t>Wyrm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Sentinel weapon not specified in v3 - OPEN</t>
        </is>
      </c>
      <c r="R1684" t="inlineStr">
        <is>
          <t>v3 companion list</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Sentinel weapon not specified in v3 - OPEN</t>
        </is>
      </c>
      <c r="R1685" t="inlineStr">
        <is>
          <t>v3 companion list</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Adarza Kavat</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v3 companion list</t>
        </is>
      </c>
      <c r="S1687" t="inlineStr">
        <is>
          <t>adarza_kavat_imprint</t>
        </is>
      </c>
      <c r="AS1687" t="inlineStr">
        <is>
          <t>No</t>
        </is>
      </c>
    </row>
    <row r="1688">
      <c r="A1688" t="inlineStr">
        <is>
          <t>Companion</t>
        </is>
      </c>
      <c r="B1688" t="inlineStr">
        <is>
          <t>Smeeta Kavat</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v3 companion list</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Core</t>
        </is>
      </c>
      <c r="L1689" t="n">
        <v>55</v>
      </c>
      <c r="M1689" t="n">
        <v>55</v>
      </c>
      <c r="N1689" t="n">
        <v>61</v>
      </c>
      <c r="O1689" t="inlineStr">
        <is>
          <t>2026-10-05 UTC (WFM pull 02:52-04:00)</t>
        </is>
      </c>
      <c r="P1689" t="inlineStr">
        <is>
          <t>OK</t>
        </is>
      </c>
      <c r="Q1689" t="inlineStr">
        <is>
          <t>Sentinel weapon not specified in v3 - OPEN</t>
        </is>
      </c>
      <c r="R1689" t="inlineStr">
        <is>
          <t>v3 companion list</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Yes</t>
        </is>
      </c>
    </row>
    <row r="1690">
      <c r="A1690" t="inlineStr">
        <is>
          <t>Companion</t>
        </is>
      </c>
      <c r="B1690" t="inlineStr">
        <is>
          <t>Huras Kubrow</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v3 companion list</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Core</t>
        </is>
      </c>
      <c r="P1691" t="inlineStr">
        <is>
          <t>FARMABLE / ACCOUNT-BOUND</t>
        </is>
      </c>
      <c r="R1691" t="inlineStr">
        <is>
          <t>v3 companion list</t>
        </is>
      </c>
      <c r="AS1691" t="inlineStr">
        <is>
          <t>No</t>
        </is>
      </c>
    </row>
    <row r="1692">
      <c r="A1692" t="inlineStr">
        <is>
          <t>Companion</t>
        </is>
      </c>
      <c r="B1692" t="inlineStr">
        <is>
          <t>Helios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Sentinel weapon not specified in v3 - OPEN</t>
        </is>
      </c>
      <c r="R1692" t="inlineStr">
        <is>
          <t>v3 companion list</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Core</t>
        </is>
      </c>
      <c r="P1693" t="inlineStr">
        <is>
          <t>FARMABLE / ACCOUNT-BOUND</t>
        </is>
      </c>
      <c r="R1693" t="inlineStr">
        <is>
          <t>v3 companion list</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Core</t>
        </is>
      </c>
      <c r="P1694" t="inlineStr">
        <is>
          <t>FARMABLE / ACCOUNT-BOUND</t>
        </is>
      </c>
      <c r="R1694" t="inlineStr">
        <is>
          <t>v3 companion list</t>
        </is>
      </c>
      <c r="AS1694" t="inlineStr">
        <is>
          <t>No</t>
        </is>
      </c>
    </row>
    <row r="1695">
      <c r="A1695" t="inlineStr">
        <is>
          <t>Arcane</t>
        </is>
      </c>
      <c r="B1695" t="inlineStr">
        <is>
          <t>Akimbo Slip Shot</t>
        </is>
      </c>
      <c r="E1695" t="inlineStr">
        <is>
          <t>Secondary</t>
        </is>
      </c>
      <c r="F1695" t="n">
        <v>5</v>
      </c>
      <c r="G1695" t="n">
        <v>1</v>
      </c>
      <c r="H1695" t="inlineStr">
        <is>
          <t>Player trade (max rank)</t>
        </is>
      </c>
      <c r="I1695" t="inlineStr">
        <is>
          <t>Yes</t>
        </is>
      </c>
      <c r="K1695" t="inlineStr">
        <is>
          <t>Collection (optional)</t>
        </is>
      </c>
      <c r="L1695" t="n">
        <v>30</v>
      </c>
      <c r="M1695" t="n">
        <v>40</v>
      </c>
      <c r="N1695" t="n">
        <v>44</v>
      </c>
      <c r="O1695" t="inlineStr">
        <is>
          <t>2026-10-05 UTC (WFM pull 02:52-04:00)</t>
        </is>
      </c>
      <c r="P1695" t="inlineStr">
        <is>
          <t>OK</t>
        </is>
      </c>
      <c r="R1695" t="inlineStr">
        <is>
          <t>Arcanes share across items like mods (one max-rank copy covers every build).</t>
        </is>
      </c>
      <c r="S1695" t="inlineStr">
        <is>
          <t>akimbo_slip_shot</t>
        </is>
      </c>
      <c r="T1695" t="n">
        <v>11</v>
      </c>
      <c r="U1695" t="n">
        <v>11</v>
      </c>
      <c r="V1695" t="n">
        <v>30</v>
      </c>
      <c r="W1695" t="n">
        <v>30</v>
      </c>
      <c r="X1695" t="n">
        <v>30.3</v>
      </c>
      <c r="Y1695" t="n">
        <v>501</v>
      </c>
      <c r="Z1695" t="n">
        <v>14</v>
      </c>
      <c r="AA1695" t="n">
        <v>20</v>
      </c>
      <c r="AB1695" t="n">
        <v>10</v>
      </c>
      <c r="AQ1695" t="n">
        <v>4.5</v>
      </c>
      <c r="AR1695" t="n">
        <v>94.5</v>
      </c>
      <c r="AS1695" t="inlineStr">
        <is>
          <t>Collection (optional)</t>
        </is>
      </c>
    </row>
    <row r="1696">
      <c r="A1696" t="inlineStr">
        <is>
          <t>Arcane</t>
        </is>
      </c>
      <c r="B1696" t="inlineStr">
        <is>
          <t>Arcane Acceleration</t>
        </is>
      </c>
      <c r="E1696" t="inlineStr">
        <is>
          <t>Warframe</t>
        </is>
      </c>
      <c r="F1696" t="n">
        <v>5</v>
      </c>
      <c r="G1696" t="n">
        <v>1</v>
      </c>
      <c r="H1696" t="inlineStr">
        <is>
          <t>Player trade (max rank)</t>
        </is>
      </c>
      <c r="I1696" t="inlineStr">
        <is>
          <t>Yes</t>
        </is>
      </c>
      <c r="K1696" t="inlineStr">
        <is>
          <t>Collection (optional)</t>
        </is>
      </c>
      <c r="L1696" t="n">
        <v>70</v>
      </c>
      <c r="M1696" t="n">
        <v>85</v>
      </c>
      <c r="N1696" t="n">
        <v>100</v>
      </c>
      <c r="O1696" t="inlineStr">
        <is>
          <t>2026-10-05 UTC (WFM pull 02:52-04:00)</t>
        </is>
      </c>
      <c r="P1696" t="inlineStr">
        <is>
          <t>OK</t>
        </is>
      </c>
      <c r="R1696" t="inlineStr">
        <is>
          <t>Arcanes share across items like mods (one max-rank copy covers every build).</t>
        </is>
      </c>
      <c r="S1696" t="inlineStr">
        <is>
          <t>arcane_acceleration</t>
        </is>
      </c>
      <c r="T1696" t="n">
        <v>26</v>
      </c>
      <c r="U1696" t="n">
        <v>26</v>
      </c>
      <c r="V1696" t="n">
        <v>90</v>
      </c>
      <c r="W1696" t="n">
        <v>70</v>
      </c>
      <c r="X1696" t="n">
        <v>73.2</v>
      </c>
      <c r="Y1696" t="n">
        <v>3248</v>
      </c>
      <c r="Z1696" t="n">
        <v>85</v>
      </c>
      <c r="AA1696" t="n">
        <v>60</v>
      </c>
      <c r="AB1696" t="n">
        <v>10</v>
      </c>
      <c r="AQ1696" t="n">
        <v>7.5</v>
      </c>
      <c r="AR1696" t="n">
        <v>157.5</v>
      </c>
      <c r="AS1696" t="inlineStr">
        <is>
          <t>Collection (optional)</t>
        </is>
      </c>
    </row>
    <row r="1697">
      <c r="A1697" t="inlineStr">
        <is>
          <t>Arcane</t>
        </is>
      </c>
      <c r="B1697" t="inlineStr">
        <is>
          <t>Arcane Aegis</t>
        </is>
      </c>
      <c r="E1697" t="inlineStr">
        <is>
          <t>Warframe</t>
        </is>
      </c>
      <c r="F1697" t="n">
        <v>5</v>
      </c>
      <c r="G1697" t="n">
        <v>1</v>
      </c>
      <c r="H1697" t="inlineStr">
        <is>
          <t>Player trade (max rank)</t>
        </is>
      </c>
      <c r="I1697" t="inlineStr">
        <is>
          <t>Yes</t>
        </is>
      </c>
      <c r="K1697" t="inlineStr">
        <is>
          <t>Required (v3 build list)</t>
        </is>
      </c>
      <c r="L1697" t="n">
        <v>120</v>
      </c>
      <c r="M1697" t="n">
        <v>129</v>
      </c>
      <c r="N1697" t="n">
        <v>143</v>
      </c>
      <c r="O1697" t="inlineStr">
        <is>
          <t>2026-10-05 UTC (WFM pull 02:52-04:00)</t>
        </is>
      </c>
      <c r="P1697" t="inlineStr">
        <is>
          <t>OK</t>
        </is>
      </c>
      <c r="R1697" t="inlineStr">
        <is>
          <t>Arcanes share across items like mods (one max-rank copy covers every build).</t>
        </is>
      </c>
      <c r="S1697" t="inlineStr">
        <is>
          <t>arcane_aegis</t>
        </is>
      </c>
      <c r="T1697" t="n">
        <v>37</v>
      </c>
      <c r="U1697" t="n">
        <v>37</v>
      </c>
      <c r="V1697" t="n">
        <v>130</v>
      </c>
      <c r="W1697" t="n">
        <v>130</v>
      </c>
      <c r="X1697" t="n">
        <v>123.4</v>
      </c>
      <c r="Y1697" t="n">
        <v>8267</v>
      </c>
      <c r="Z1697" t="n">
        <v>165</v>
      </c>
      <c r="AA1697" t="n">
        <v>110</v>
      </c>
      <c r="AB1697" t="n">
        <v>10</v>
      </c>
      <c r="AQ1697" t="n">
        <v>8</v>
      </c>
      <c r="AR1697" t="n">
        <v>168</v>
      </c>
      <c r="AS1697" t="inlineStr">
        <is>
          <t>Yes</t>
        </is>
      </c>
    </row>
    <row r="1698">
      <c r="A1698" t="inlineStr">
        <is>
          <t>Arcane</t>
        </is>
      </c>
      <c r="B1698" t="inlineStr">
        <is>
          <t>Arcane Agility</t>
        </is>
      </c>
      <c r="E1698" t="inlineStr">
        <is>
          <t>Warframe</t>
        </is>
      </c>
      <c r="F1698" t="n">
        <v>5</v>
      </c>
      <c r="G1698" t="n">
        <v>1</v>
      </c>
      <c r="H1698" t="inlineStr">
        <is>
          <t>Player trade (max rank)</t>
        </is>
      </c>
      <c r="I1698" t="inlineStr">
        <is>
          <t>Yes</t>
        </is>
      </c>
      <c r="K1698" t="inlineStr">
        <is>
          <t>Collection (optional)</t>
        </is>
      </c>
      <c r="L1698" t="n">
        <v>60</v>
      </c>
      <c r="M1698" t="n">
        <v>60</v>
      </c>
      <c r="N1698" t="n">
        <v>88</v>
      </c>
      <c r="O1698" t="inlineStr">
        <is>
          <t>2026-10-05 UTC (WFM pull 02:52-04:00)</t>
        </is>
      </c>
      <c r="P1698" t="inlineStr">
        <is>
          <t>OK</t>
        </is>
      </c>
      <c r="R1698" t="inlineStr">
        <is>
          <t>Arcanes share across items like mods (one max-rank copy covers every build).</t>
        </is>
      </c>
      <c r="S1698" t="inlineStr">
        <is>
          <t>arcane_agility</t>
        </is>
      </c>
      <c r="T1698" t="n">
        <v>3</v>
      </c>
      <c r="U1698" t="n">
        <v>3</v>
      </c>
      <c r="V1698" t="n">
        <v>37</v>
      </c>
      <c r="W1698" t="n">
        <v>35</v>
      </c>
      <c r="X1698" t="n">
        <v>36.1</v>
      </c>
      <c r="Y1698" t="n">
        <v>770</v>
      </c>
      <c r="Z1698" t="n">
        <v>18</v>
      </c>
      <c r="AA1698" t="n">
        <v>28</v>
      </c>
      <c r="AB1698" t="n">
        <v>32</v>
      </c>
      <c r="AQ1698" t="n">
        <v>3</v>
      </c>
      <c r="AR1698" t="n">
        <v>63</v>
      </c>
      <c r="AS1698" t="inlineStr">
        <is>
          <t>Collection (optional)</t>
        </is>
      </c>
    </row>
    <row r="1699">
      <c r="A1699" t="inlineStr">
        <is>
          <t>Arcane</t>
        </is>
      </c>
      <c r="B1699" t="inlineStr">
        <is>
          <t>Arcane Arachne</t>
        </is>
      </c>
      <c r="E1699" t="inlineStr">
        <is>
          <t>Warframe</t>
        </is>
      </c>
      <c r="F1699" t="n">
        <v>5</v>
      </c>
      <c r="G1699" t="n">
        <v>1</v>
      </c>
      <c r="H1699" t="inlineStr">
        <is>
          <t>Player trade (max rank)</t>
        </is>
      </c>
      <c r="I1699" t="inlineStr">
        <is>
          <t>Yes</t>
        </is>
      </c>
      <c r="K1699" t="inlineStr">
        <is>
          <t>Collection (optional)</t>
        </is>
      </c>
      <c r="L1699" t="n">
        <v>75</v>
      </c>
      <c r="M1699" t="n">
        <v>75</v>
      </c>
      <c r="N1699" t="n">
        <v>88</v>
      </c>
      <c r="O1699" t="inlineStr">
        <is>
          <t>2026-10-05 UTC (WFM pull 02:52-04:00)</t>
        </is>
      </c>
      <c r="P1699" t="inlineStr">
        <is>
          <t>OK</t>
        </is>
      </c>
      <c r="R1699" t="inlineStr">
        <is>
          <t>Arcanes share across items like mods (one max-rank copy covers every build).</t>
        </is>
      </c>
      <c r="S1699" t="inlineStr">
        <is>
          <t>arcane_arachne</t>
        </is>
      </c>
      <c r="T1699" t="n">
        <v>18</v>
      </c>
      <c r="U1699" t="n">
        <v>18</v>
      </c>
      <c r="V1699" t="n">
        <v>70</v>
      </c>
      <c r="W1699" t="n">
        <v>79.5</v>
      </c>
      <c r="X1699" t="n">
        <v>76.3</v>
      </c>
      <c r="Y1699" t="n">
        <v>3415</v>
      </c>
      <c r="Z1699" t="n">
        <v>70</v>
      </c>
      <c r="AA1699" t="n">
        <v>60</v>
      </c>
      <c r="AB1699" t="n">
        <v>15</v>
      </c>
      <c r="AQ1699" t="n">
        <v>7.5</v>
      </c>
      <c r="AR1699" t="n">
        <v>157.5</v>
      </c>
      <c r="AS1699" t="inlineStr">
        <is>
          <t>Collection (optional)</t>
        </is>
      </c>
    </row>
    <row r="1700">
      <c r="A1700" t="inlineStr">
        <is>
          <t>Arcane</t>
        </is>
      </c>
      <c r="B1700" t="inlineStr">
        <is>
          <t>Arcane Avenger</t>
        </is>
      </c>
      <c r="E1700" t="inlineStr">
        <is>
          <t>Warframe</t>
        </is>
      </c>
      <c r="F1700" t="n">
        <v>5</v>
      </c>
      <c r="G1700" t="n">
        <v>1</v>
      </c>
      <c r="H1700" t="inlineStr">
        <is>
          <t>Player trade (max rank)</t>
        </is>
      </c>
      <c r="I1700" t="inlineStr">
        <is>
          <t>Yes</t>
        </is>
      </c>
      <c r="K1700" t="inlineStr">
        <is>
          <t>Required (v3 build list)</t>
        </is>
      </c>
      <c r="L1700" t="n">
        <v>90</v>
      </c>
      <c r="M1700" t="n">
        <v>90</v>
      </c>
      <c r="N1700" t="n">
        <v>105</v>
      </c>
      <c r="O1700" t="inlineStr">
        <is>
          <t>2026-10-05 UTC (WFM pull 02:52-04:00)</t>
        </is>
      </c>
      <c r="P1700" t="inlineStr">
        <is>
          <t>OK</t>
        </is>
      </c>
      <c r="R1700" t="inlineStr">
        <is>
          <t>Arcanes share across items like mods (one max-rank copy covers every build).</t>
        </is>
      </c>
      <c r="S1700" t="inlineStr">
        <is>
          <t>arcane_avenger</t>
        </is>
      </c>
      <c r="T1700" t="n">
        <v>29</v>
      </c>
      <c r="U1700" t="n">
        <v>29</v>
      </c>
      <c r="V1700" t="n">
        <v>85</v>
      </c>
      <c r="W1700" t="n">
        <v>80</v>
      </c>
      <c r="X1700" t="n">
        <v>79</v>
      </c>
      <c r="Y1700" t="n">
        <v>7013</v>
      </c>
      <c r="Z1700" t="n">
        <v>195</v>
      </c>
      <c r="AA1700" t="n">
        <v>70</v>
      </c>
      <c r="AB1700" t="n">
        <v>20</v>
      </c>
      <c r="AQ1700" t="n">
        <v>5</v>
      </c>
      <c r="AR1700" t="n">
        <v>105</v>
      </c>
      <c r="AS1700" t="inlineStr">
        <is>
          <t>Yes</t>
        </is>
      </c>
    </row>
    <row r="1701">
      <c r="A1701" t="inlineStr">
        <is>
          <t>Arcane</t>
        </is>
      </c>
      <c r="B1701" t="inlineStr">
        <is>
          <t>Arcane Awakening</t>
        </is>
      </c>
      <c r="E1701" t="inlineStr">
        <is>
          <t>Warframe</t>
        </is>
      </c>
      <c r="F1701" t="n">
        <v>5</v>
      </c>
      <c r="G1701" t="n">
        <v>1</v>
      </c>
      <c r="H1701" t="inlineStr">
        <is>
          <t>Player trade (max rank)</t>
        </is>
      </c>
      <c r="I1701" t="inlineStr">
        <is>
          <t>Yes</t>
        </is>
      </c>
      <c r="K1701" t="inlineStr">
        <is>
          <t>Collection (optional)</t>
        </is>
      </c>
      <c r="L1701" t="n">
        <v>39</v>
      </c>
      <c r="M1701" t="n">
        <v>40</v>
      </c>
      <c r="N1701" t="n">
        <v>50</v>
      </c>
      <c r="O1701" t="inlineStr">
        <is>
          <t>2026-10-05 UTC (WFM pull 02:52-04:00)</t>
        </is>
      </c>
      <c r="P1701" t="inlineStr">
        <is>
          <t>OK</t>
        </is>
      </c>
      <c r="R1701" t="inlineStr">
        <is>
          <t>Arcanes share across items like mods (one max-rank copy covers every build).</t>
        </is>
      </c>
      <c r="S1701" t="inlineStr">
        <is>
          <t>arcane_awakening</t>
        </is>
      </c>
      <c r="T1701" t="n">
        <v>9</v>
      </c>
      <c r="U1701" t="n">
        <v>9</v>
      </c>
      <c r="V1701" t="n">
        <v>30</v>
      </c>
      <c r="W1701" t="n">
        <v>30</v>
      </c>
      <c r="X1701" t="n">
        <v>32</v>
      </c>
      <c r="Y1701" t="n">
        <v>984</v>
      </c>
      <c r="Z1701" t="n">
        <v>25</v>
      </c>
      <c r="AA1701" t="n">
        <v>15</v>
      </c>
      <c r="AB1701" t="n">
        <v>24</v>
      </c>
      <c r="AQ1701" t="n">
        <v>2</v>
      </c>
      <c r="AR1701" t="n">
        <v>42</v>
      </c>
      <c r="AS1701" t="inlineStr">
        <is>
          <t>Collection (optional)</t>
        </is>
      </c>
    </row>
    <row r="1702">
      <c r="A1702" t="inlineStr">
        <is>
          <t>Arcane</t>
        </is>
      </c>
      <c r="B1702" t="inlineStr">
        <is>
          <t>Arcane Barrier</t>
        </is>
      </c>
      <c r="E1702" t="inlineStr">
        <is>
          <t>Warframe</t>
        </is>
      </c>
      <c r="F1702" t="n">
        <v>5</v>
      </c>
      <c r="G1702" t="n">
        <v>1</v>
      </c>
      <c r="H1702" t="inlineStr">
        <is>
          <t>Player trade (max rank)</t>
        </is>
      </c>
      <c r="I1702" t="inlineStr">
        <is>
          <t>Yes</t>
        </is>
      </c>
      <c r="K1702" t="inlineStr">
        <is>
          <t>Collection (optional)</t>
        </is>
      </c>
      <c r="L1702" t="n">
        <v>40</v>
      </c>
      <c r="M1702" t="n">
        <v>40</v>
      </c>
      <c r="N1702" t="n">
        <v>50</v>
      </c>
      <c r="O1702" t="inlineStr">
        <is>
          <t>2026-10-05 UTC (WFM pull 02:52-04:00)</t>
        </is>
      </c>
      <c r="P1702" t="inlineStr">
        <is>
          <t>OK</t>
        </is>
      </c>
      <c r="R1702" t="inlineStr">
        <is>
          <t>Arcanes share across items like mods (one max-rank copy covers every build).</t>
        </is>
      </c>
      <c r="S1702" t="inlineStr">
        <is>
          <t>arcane_barrier</t>
        </is>
      </c>
      <c r="T1702" t="n">
        <v>32</v>
      </c>
      <c r="U1702" t="n">
        <v>32</v>
      </c>
      <c r="V1702" t="n">
        <v>40</v>
      </c>
      <c r="W1702" t="n">
        <v>40</v>
      </c>
      <c r="X1702" t="n">
        <v>40.6</v>
      </c>
      <c r="Y1702" t="n">
        <v>1010</v>
      </c>
      <c r="Z1702" t="n">
        <v>21</v>
      </c>
      <c r="AA1702" t="n">
        <v>30</v>
      </c>
      <c r="AB1702" t="n">
        <v>10</v>
      </c>
      <c r="AQ1702" t="n">
        <v>4</v>
      </c>
      <c r="AR1702" t="n">
        <v>84</v>
      </c>
      <c r="AS1702" t="inlineStr">
        <is>
          <t>Collection (optional)</t>
        </is>
      </c>
    </row>
    <row r="1703">
      <c r="A1703" t="inlineStr">
        <is>
          <t>Arcane</t>
        </is>
      </c>
      <c r="B1703" t="inlineStr">
        <is>
          <t>Arcane Battery</t>
        </is>
      </c>
      <c r="E1703" t="inlineStr">
        <is>
          <t>Warframe</t>
        </is>
      </c>
      <c r="F1703" t="n">
        <v>5</v>
      </c>
      <c r="G1703" t="n">
        <v>1</v>
      </c>
      <c r="H1703" t="inlineStr">
        <is>
          <t>Player trade (max rank)</t>
        </is>
      </c>
      <c r="I1703" t="inlineStr">
        <is>
          <t>Yes</t>
        </is>
      </c>
      <c r="K1703" t="inlineStr">
        <is>
          <t>Collection (optional)</t>
        </is>
      </c>
      <c r="L1703" t="n">
        <v>80</v>
      </c>
      <c r="M1703" t="n">
        <v>80</v>
      </c>
      <c r="N1703" t="n">
        <v>100</v>
      </c>
      <c r="O1703" t="inlineStr">
        <is>
          <t>2026-10-05 UTC (WFM pull 02:52-04:00)</t>
        </is>
      </c>
      <c r="P1703" t="inlineStr">
        <is>
          <t>OK</t>
        </is>
      </c>
      <c r="R1703" t="inlineStr">
        <is>
          <t>Arcanes share across items like mods (one max-rank copy covers every build).</t>
        </is>
      </c>
      <c r="S1703" t="inlineStr">
        <is>
          <t>arcane_battery</t>
        </is>
      </c>
      <c r="T1703" t="n">
        <v>14</v>
      </c>
      <c r="U1703" t="n">
        <v>14</v>
      </c>
      <c r="V1703" t="n">
        <v>70</v>
      </c>
      <c r="W1703" t="n">
        <v>60</v>
      </c>
      <c r="X1703" t="n">
        <v>63.1</v>
      </c>
      <c r="Y1703" t="n">
        <v>7981</v>
      </c>
      <c r="Z1703" t="n">
        <v>224</v>
      </c>
      <c r="AA1703" t="n">
        <v>75</v>
      </c>
      <c r="AB1703" t="n">
        <v>5</v>
      </c>
      <c r="AQ1703" t="n">
        <v>4</v>
      </c>
      <c r="AR1703" t="n">
        <v>84</v>
      </c>
      <c r="AS1703" t="inlineStr">
        <is>
          <t>Collection (optional)</t>
        </is>
      </c>
    </row>
    <row r="1704">
      <c r="A1704" t="inlineStr">
        <is>
          <t>Arcane</t>
        </is>
      </c>
      <c r="B1704" t="inlineStr">
        <is>
          <t>Arcane Bellicose</t>
        </is>
      </c>
      <c r="E1704" t="inlineStr">
        <is>
          <t>Warframe</t>
        </is>
      </c>
      <c r="F1704" t="n">
        <v>5</v>
      </c>
      <c r="G1704" t="n">
        <v>1</v>
      </c>
      <c r="H1704" t="inlineStr">
        <is>
          <t>Player trade (max rank)</t>
        </is>
      </c>
      <c r="I1704" t="inlineStr">
        <is>
          <t>Yes</t>
        </is>
      </c>
      <c r="K1704" t="inlineStr">
        <is>
          <t>Collection (optional)</t>
        </is>
      </c>
      <c r="L1704" t="n">
        <v>25</v>
      </c>
      <c r="M1704" t="n">
        <v>27</v>
      </c>
      <c r="N1704" t="n">
        <v>31</v>
      </c>
      <c r="O1704" t="inlineStr">
        <is>
          <t>2026-10-05 UTC (WFM pull 02:52-04:00)</t>
        </is>
      </c>
      <c r="P1704" t="inlineStr">
        <is>
          <t>OK</t>
        </is>
      </c>
      <c r="R1704" t="inlineStr">
        <is>
          <t>Arcanes share across items like mods (one max-rank copy covers every build).</t>
        </is>
      </c>
      <c r="S1704" t="inlineStr">
        <is>
          <t>arcane_bellicose</t>
        </is>
      </c>
      <c r="T1704" t="n">
        <v>39</v>
      </c>
      <c r="U1704" t="n">
        <v>39</v>
      </c>
      <c r="V1704" t="n">
        <v>25</v>
      </c>
      <c r="W1704" t="n">
        <v>25</v>
      </c>
      <c r="X1704" t="n">
        <v>26.5</v>
      </c>
      <c r="Y1704" t="n">
        <v>8787</v>
      </c>
      <c r="Z1704" t="n">
        <v>185</v>
      </c>
      <c r="AA1704" t="n">
        <v>11</v>
      </c>
      <c r="AB1704" t="n">
        <v>14</v>
      </c>
      <c r="AQ1704" t="n">
        <v>2</v>
      </c>
      <c r="AR1704" t="n">
        <v>42</v>
      </c>
      <c r="AS1704" t="inlineStr">
        <is>
          <t>Collection (optional)</t>
        </is>
      </c>
    </row>
    <row r="1705">
      <c r="A1705" t="inlineStr">
        <is>
          <t>Arcane</t>
        </is>
      </c>
      <c r="B1705" t="inlineStr">
        <is>
          <t>Arcane Blade Charger</t>
        </is>
      </c>
      <c r="E1705" t="inlineStr">
        <is>
          <t>Warframe</t>
        </is>
      </c>
      <c r="F1705" t="n">
        <v>5</v>
      </c>
      <c r="G1705" t="n">
        <v>1</v>
      </c>
      <c r="H1705" t="inlineStr">
        <is>
          <t>Player trade (max rank)</t>
        </is>
      </c>
      <c r="I1705" t="inlineStr">
        <is>
          <t>Yes</t>
        </is>
      </c>
      <c r="K1705" t="inlineStr">
        <is>
          <t>Collection (optional)</t>
        </is>
      </c>
      <c r="L1705" t="n">
        <v>22</v>
      </c>
      <c r="M1705" t="n">
        <v>25</v>
      </c>
      <c r="N1705" t="n">
        <v>28</v>
      </c>
      <c r="O1705" t="inlineStr">
        <is>
          <t>2026-10-05 UTC (WFM pull 02:52-04:00)</t>
        </is>
      </c>
      <c r="P1705" t="inlineStr">
        <is>
          <t>OK</t>
        </is>
      </c>
      <c r="R1705" t="inlineStr">
        <is>
          <t>Arcanes share across items like mods (one max-rank copy covers every build).</t>
        </is>
      </c>
      <c r="S1705" t="inlineStr">
        <is>
          <t>arcane_blade_charger</t>
        </is>
      </c>
      <c r="T1705" t="n">
        <v>10</v>
      </c>
      <c r="U1705" t="n">
        <v>10</v>
      </c>
      <c r="V1705" t="n">
        <v>24.5</v>
      </c>
      <c r="W1705" t="n">
        <v>26</v>
      </c>
      <c r="X1705" t="n">
        <v>25.7</v>
      </c>
      <c r="Y1705" t="n">
        <v>419</v>
      </c>
      <c r="Z1705" t="n">
        <v>13</v>
      </c>
      <c r="AA1705" t="n">
        <v>6</v>
      </c>
      <c r="AB1705" t="n">
        <v>16</v>
      </c>
      <c r="AQ1705" t="n">
        <v>3</v>
      </c>
      <c r="AR1705" t="n">
        <v>63</v>
      </c>
      <c r="AS1705" t="inlineStr">
        <is>
          <t>Collection (optional)</t>
        </is>
      </c>
    </row>
    <row r="1706">
      <c r="A1706" t="inlineStr">
        <is>
          <t>Arcane</t>
        </is>
      </c>
      <c r="B1706" t="inlineStr">
        <is>
          <t>Arcane Blessing</t>
        </is>
      </c>
      <c r="E1706" t="inlineStr">
        <is>
          <t>Warframe</t>
        </is>
      </c>
      <c r="F1706" t="n">
        <v>5</v>
      </c>
      <c r="G1706" t="n">
        <v>1</v>
      </c>
      <c r="H1706" t="inlineStr">
        <is>
          <t>Player trade (max rank)</t>
        </is>
      </c>
      <c r="I1706" t="inlineStr">
        <is>
          <t>Yes</t>
        </is>
      </c>
      <c r="K1706" t="inlineStr">
        <is>
          <t>Required (v3 build list)</t>
        </is>
      </c>
      <c r="L1706" t="n">
        <v>34</v>
      </c>
      <c r="M1706" t="n">
        <v>40</v>
      </c>
      <c r="N1706" t="n">
        <v>50</v>
      </c>
      <c r="O1706" t="inlineStr">
        <is>
          <t>2026-10-05 UTC (WFM pull 02:52-04:00)</t>
        </is>
      </c>
      <c r="P1706" t="inlineStr">
        <is>
          <t>OK</t>
        </is>
      </c>
      <c r="R1706" t="inlineStr">
        <is>
          <t>Arcanes share across items like mods (one max-rank copy covers every build).</t>
        </is>
      </c>
      <c r="S1706" t="inlineStr">
        <is>
          <t>arcane_blessing</t>
        </is>
      </c>
      <c r="T1706" t="n">
        <v>9</v>
      </c>
      <c r="U1706" t="n">
        <v>9</v>
      </c>
      <c r="V1706" t="n">
        <v>30</v>
      </c>
      <c r="W1706" t="n">
        <v>29</v>
      </c>
      <c r="X1706" t="n">
        <v>27.7</v>
      </c>
      <c r="Y1706" t="n">
        <v>6860</v>
      </c>
      <c r="Z1706" t="n">
        <v>193</v>
      </c>
      <c r="AA1706" t="n">
        <v>15</v>
      </c>
      <c r="AB1706" t="n">
        <v>19</v>
      </c>
      <c r="AQ1706" t="n">
        <v>2</v>
      </c>
      <c r="AR1706" t="n">
        <v>42</v>
      </c>
      <c r="AS1706" t="inlineStr">
        <is>
          <t>Yes</t>
        </is>
      </c>
    </row>
    <row r="1707">
      <c r="A1707" t="inlineStr">
        <is>
          <t>Arcane</t>
        </is>
      </c>
      <c r="B1707" t="inlineStr">
        <is>
          <t>Arcane Bodyguard</t>
        </is>
      </c>
      <c r="E1707" t="inlineStr">
        <is>
          <t>Warframe</t>
        </is>
      </c>
      <c r="F1707" t="n">
        <v>5</v>
      </c>
      <c r="G1707" t="n">
        <v>1</v>
      </c>
      <c r="H1707" t="inlineStr">
        <is>
          <t>Player trade (max rank)</t>
        </is>
      </c>
      <c r="I1707" t="inlineStr">
        <is>
          <t>Yes</t>
        </is>
      </c>
      <c r="K1707" t="inlineStr">
        <is>
          <t>Collection (optional)</t>
        </is>
      </c>
      <c r="L1707" t="n">
        <v>24</v>
      </c>
      <c r="M1707" t="n">
        <v>34.5</v>
      </c>
      <c r="N1707" t="n">
        <v>76</v>
      </c>
      <c r="O1707" t="inlineStr">
        <is>
          <t>2026-10-05 UTC (WFM pull 02:52-04:00)</t>
        </is>
      </c>
      <c r="P1707" t="inlineStr">
        <is>
          <t>OK</t>
        </is>
      </c>
      <c r="R1707" t="inlineStr">
        <is>
          <t>Arcanes share across items like mods (one max-rank copy covers every build).</t>
        </is>
      </c>
      <c r="S1707" t="inlineStr">
        <is>
          <t>arcane_bodyguard</t>
        </is>
      </c>
      <c r="T1707" t="n">
        <v>3</v>
      </c>
      <c r="U1707" t="n">
        <v>3</v>
      </c>
      <c r="V1707" t="n">
        <v>23</v>
      </c>
      <c r="W1707" t="n">
        <v>27.5</v>
      </c>
      <c r="X1707" t="n">
        <v>27.3</v>
      </c>
      <c r="Y1707" t="n">
        <v>102</v>
      </c>
      <c r="Z1707" t="n">
        <v>4</v>
      </c>
      <c r="AA1707" t="n">
        <v>15</v>
      </c>
      <c r="AB1707" t="n">
        <v>9</v>
      </c>
      <c r="AQ1707" t="n">
        <v>4.5</v>
      </c>
      <c r="AR1707" t="n">
        <v>94.5</v>
      </c>
      <c r="AS1707" t="inlineStr">
        <is>
          <t>Collection (optional)</t>
        </is>
      </c>
    </row>
    <row r="1708">
      <c r="A1708" t="inlineStr">
        <is>
          <t>Arcane</t>
        </is>
      </c>
      <c r="B1708" t="inlineStr">
        <is>
          <t>Arcane Camisado</t>
        </is>
      </c>
      <c r="E1708" t="inlineStr">
        <is>
          <t>Warframe</t>
        </is>
      </c>
      <c r="F1708" t="n">
        <v>5</v>
      </c>
      <c r="G1708" t="n">
        <v>1</v>
      </c>
      <c r="H1708" t="inlineStr">
        <is>
          <t>Player trade (max rank)</t>
        </is>
      </c>
      <c r="I1708" t="inlineStr">
        <is>
          <t>Yes</t>
        </is>
      </c>
      <c r="K1708" t="inlineStr">
        <is>
          <t>Collection (optional)</t>
        </is>
      </c>
      <c r="L1708" t="n">
        <v>20</v>
      </c>
      <c r="M1708" t="n">
        <v>30</v>
      </c>
      <c r="N1708" t="n">
        <v>33</v>
      </c>
      <c r="O1708" t="inlineStr">
        <is>
          <t>2026-10-05 UTC (WFM pull 02:52-04:00)</t>
        </is>
      </c>
      <c r="P1708" t="inlineStr">
        <is>
          <t>OK</t>
        </is>
      </c>
      <c r="R1708" t="inlineStr">
        <is>
          <t>Arcanes share across items like mods (one max-rank copy covers every build).</t>
        </is>
      </c>
      <c r="S1708" t="inlineStr">
        <is>
          <t>arcane_camisado</t>
        </is>
      </c>
      <c r="T1708" t="n">
        <v>27</v>
      </c>
      <c r="U1708" t="n">
        <v>27</v>
      </c>
      <c r="V1708" t="n">
        <v>25</v>
      </c>
      <c r="W1708" t="n">
        <v>25</v>
      </c>
      <c r="X1708" t="n">
        <v>25.6</v>
      </c>
      <c r="Y1708" t="n">
        <v>7559</v>
      </c>
      <c r="Z1708" t="n">
        <v>239</v>
      </c>
      <c r="AA1708" t="n">
        <v>10</v>
      </c>
      <c r="AB1708" t="n">
        <v>10</v>
      </c>
      <c r="AQ1708" t="n">
        <v>2</v>
      </c>
      <c r="AR1708" t="n">
        <v>42</v>
      </c>
      <c r="AS1708" t="inlineStr">
        <is>
          <t>Collection (optional)</t>
        </is>
      </c>
    </row>
    <row r="1709">
      <c r="A1709" t="inlineStr">
        <is>
          <t>Arcane</t>
        </is>
      </c>
      <c r="B1709" t="inlineStr">
        <is>
          <t>Arcane Circumvent</t>
        </is>
      </c>
      <c r="E1709" t="inlineStr">
        <is>
          <t>Warframe</t>
        </is>
      </c>
      <c r="F1709" t="n">
        <v>5</v>
      </c>
      <c r="G1709" t="n">
        <v>1</v>
      </c>
      <c r="H1709" t="inlineStr">
        <is>
          <t>Player trade (max rank)</t>
        </is>
      </c>
      <c r="I1709" t="inlineStr">
        <is>
          <t>Yes</t>
        </is>
      </c>
      <c r="K1709" t="inlineStr">
        <is>
          <t>Collection (optional)</t>
        </is>
      </c>
      <c r="L1709" t="n">
        <v>40</v>
      </c>
      <c r="M1709" t="n">
        <v>40</v>
      </c>
      <c r="N1709" t="n">
        <v>50</v>
      </c>
      <c r="O1709" t="inlineStr">
        <is>
          <t>2026-10-05 UTC (WFM pull 02:52-04:00)</t>
        </is>
      </c>
      <c r="P1709" t="inlineStr">
        <is>
          <t>OK</t>
        </is>
      </c>
      <c r="R1709" t="inlineStr">
        <is>
          <t>Arcanes share across items like mods (one max-rank copy covers every build).</t>
        </is>
      </c>
      <c r="S1709" t="inlineStr">
        <is>
          <t>arcane_circumvent</t>
        </is>
      </c>
      <c r="T1709" t="n">
        <v>14</v>
      </c>
      <c r="U1709" t="n">
        <v>14</v>
      </c>
      <c r="V1709" t="n">
        <v>35</v>
      </c>
      <c r="W1709" t="n">
        <v>34</v>
      </c>
      <c r="X1709" t="n">
        <v>33.1</v>
      </c>
      <c r="Y1709" t="n">
        <v>4554</v>
      </c>
      <c r="Z1709" t="n">
        <v>117</v>
      </c>
      <c r="AA1709" t="n">
        <v>21</v>
      </c>
      <c r="AB1709" t="n">
        <v>19</v>
      </c>
      <c r="AQ1709" t="n">
        <v>3</v>
      </c>
      <c r="AR1709" t="n">
        <v>63</v>
      </c>
      <c r="AS1709" t="inlineStr">
        <is>
          <t>Collection (optional)</t>
        </is>
      </c>
    </row>
    <row r="1710">
      <c r="A1710" t="inlineStr">
        <is>
          <t>Arcane</t>
        </is>
      </c>
      <c r="B1710" t="inlineStr">
        <is>
          <t>Arcane Concentration</t>
        </is>
      </c>
      <c r="E1710" t="inlineStr">
        <is>
          <t>Warframe</t>
        </is>
      </c>
      <c r="F1710" t="n">
        <v>5</v>
      </c>
      <c r="G1710" t="n">
        <v>1</v>
      </c>
      <c r="H1710" t="inlineStr">
        <is>
          <t>Player trade (max rank)</t>
        </is>
      </c>
      <c r="I1710" t="inlineStr">
        <is>
          <t>Yes</t>
        </is>
      </c>
      <c r="K1710" t="inlineStr">
        <is>
          <t>Collection (optional)</t>
        </is>
      </c>
      <c r="L1710" t="n">
        <v>39</v>
      </c>
      <c r="M1710" t="n">
        <v>40</v>
      </c>
      <c r="N1710" t="n">
        <v>54</v>
      </c>
      <c r="O1710" t="inlineStr">
        <is>
          <t>2026-10-05 UTC (WFM pull 02:52-04:00)</t>
        </is>
      </c>
      <c r="P1710" t="inlineStr">
        <is>
          <t>OK</t>
        </is>
      </c>
      <c r="R1710" t="inlineStr">
        <is>
          <t>Arcanes share across items like mods (one max-rank copy covers every build).</t>
        </is>
      </c>
      <c r="S1710" t="inlineStr">
        <is>
          <t>arcane_concentration</t>
        </is>
      </c>
      <c r="T1710" t="n">
        <v>13</v>
      </c>
      <c r="U1710" t="n">
        <v>13</v>
      </c>
      <c r="V1710" t="n">
        <v>35</v>
      </c>
      <c r="W1710" t="n">
        <v>30</v>
      </c>
      <c r="X1710" t="n">
        <v>31.6</v>
      </c>
      <c r="Y1710" t="n">
        <v>14481</v>
      </c>
      <c r="Z1710" t="n">
        <v>430</v>
      </c>
      <c r="AA1710" t="n">
        <v>20</v>
      </c>
      <c r="AB1710" t="n">
        <v>19</v>
      </c>
      <c r="AQ1710" t="n">
        <v>3</v>
      </c>
      <c r="AR1710" t="n">
        <v>63</v>
      </c>
      <c r="AS1710" t="inlineStr">
        <is>
          <t>Collection (optional)</t>
        </is>
      </c>
    </row>
    <row r="1711">
      <c r="A1711" t="inlineStr">
        <is>
          <t>Arcane</t>
        </is>
      </c>
      <c r="B1711" t="inlineStr">
        <is>
          <t>Arcane Consequence</t>
        </is>
      </c>
      <c r="E1711" t="inlineStr">
        <is>
          <t>Warframe</t>
        </is>
      </c>
      <c r="F1711" t="n">
        <v>5</v>
      </c>
      <c r="G1711" t="n">
        <v>1</v>
      </c>
      <c r="H1711" t="inlineStr">
        <is>
          <t>Player trade (max rank)</t>
        </is>
      </c>
      <c r="I1711" t="inlineStr">
        <is>
          <t>Yes</t>
        </is>
      </c>
      <c r="K1711" t="inlineStr">
        <is>
          <t>Collection (optional)</t>
        </is>
      </c>
      <c r="L1711" t="n">
        <v>28</v>
      </c>
      <c r="M1711" t="n">
        <v>35</v>
      </c>
      <c r="N1711" t="n">
        <v>44</v>
      </c>
      <c r="O1711" t="inlineStr">
        <is>
          <t>2026-10-05 UTC (WFM pull 02:52-04:00)</t>
        </is>
      </c>
      <c r="P1711" t="inlineStr">
        <is>
          <t>OK</t>
        </is>
      </c>
      <c r="R1711" t="inlineStr">
        <is>
          <t>Arcanes share across items like mods (one max-rank copy covers every build).</t>
        </is>
      </c>
      <c r="S1711" t="inlineStr">
        <is>
          <t>arcane_consequence</t>
        </is>
      </c>
      <c r="T1711" t="n">
        <v>8</v>
      </c>
      <c r="U1711" t="n">
        <v>8</v>
      </c>
      <c r="V1711" t="n">
        <v>29.5</v>
      </c>
      <c r="W1711" t="n">
        <v>30</v>
      </c>
      <c r="X1711" t="n">
        <v>29.2</v>
      </c>
      <c r="Y1711" t="n">
        <v>430</v>
      </c>
      <c r="Z1711" t="n">
        <v>8</v>
      </c>
      <c r="AQ1711" t="n">
        <v>3</v>
      </c>
      <c r="AR1711" t="n">
        <v>63</v>
      </c>
      <c r="AS1711" t="inlineStr">
        <is>
          <t>Collection (optional)</t>
        </is>
      </c>
    </row>
    <row r="1712">
      <c r="A1712" t="inlineStr">
        <is>
          <t>Arcane</t>
        </is>
      </c>
      <c r="B1712" t="inlineStr">
        <is>
          <t>Arcane Crepuscular</t>
        </is>
      </c>
      <c r="E1712" t="inlineStr">
        <is>
          <t>Warframe</t>
        </is>
      </c>
      <c r="F1712" t="n">
        <v>5</v>
      </c>
      <c r="G1712" t="n">
        <v>1</v>
      </c>
      <c r="H1712" t="inlineStr">
        <is>
          <t>Player trade (max rank)</t>
        </is>
      </c>
      <c r="I1712" t="inlineStr">
        <is>
          <t>Yes</t>
        </is>
      </c>
      <c r="K1712" t="inlineStr">
        <is>
          <t>Collection (optional)</t>
        </is>
      </c>
      <c r="L1712" t="n">
        <v>25</v>
      </c>
      <c r="M1712" t="n">
        <v>29</v>
      </c>
      <c r="N1712" t="n">
        <v>33</v>
      </c>
      <c r="O1712" t="inlineStr">
        <is>
          <t>2026-10-05 UTC (WFM pull 02:52-04:00)</t>
        </is>
      </c>
      <c r="P1712" t="inlineStr">
        <is>
          <t>OK</t>
        </is>
      </c>
      <c r="R1712" t="inlineStr">
        <is>
          <t>Arcanes share across items like mods (one max-rank copy covers every build).</t>
        </is>
      </c>
      <c r="S1712" t="inlineStr">
        <is>
          <t>arcane_crepuscular</t>
        </is>
      </c>
      <c r="T1712" t="n">
        <v>33</v>
      </c>
      <c r="U1712" t="n">
        <v>33</v>
      </c>
      <c r="V1712" t="n">
        <v>25</v>
      </c>
      <c r="W1712" t="n">
        <v>27</v>
      </c>
      <c r="X1712" t="n">
        <v>27</v>
      </c>
      <c r="Y1712" t="n">
        <v>9263</v>
      </c>
      <c r="Z1712" t="n">
        <v>283</v>
      </c>
      <c r="AA1712" t="n">
        <v>17</v>
      </c>
      <c r="AB1712" t="n">
        <v>8</v>
      </c>
      <c r="AQ1712" t="n">
        <v>2</v>
      </c>
      <c r="AR1712" t="n">
        <v>42</v>
      </c>
      <c r="AS1712" t="inlineStr">
        <is>
          <t>Collection (optional)</t>
        </is>
      </c>
    </row>
    <row r="1713">
      <c r="A1713" t="inlineStr">
        <is>
          <t>Arcane</t>
        </is>
      </c>
      <c r="B1713" t="inlineStr">
        <is>
          <t>Arcane Deflection</t>
        </is>
      </c>
      <c r="E1713" t="inlineStr">
        <is>
          <t>Warframe</t>
        </is>
      </c>
      <c r="F1713" t="n">
        <v>5</v>
      </c>
      <c r="G1713" t="n">
        <v>1</v>
      </c>
      <c r="H1713" t="inlineStr">
        <is>
          <t>Player trade (max rank)</t>
        </is>
      </c>
      <c r="I1713" t="inlineStr">
        <is>
          <t>Yes</t>
        </is>
      </c>
      <c r="K1713" t="inlineStr">
        <is>
          <t>Collection (optional)</t>
        </is>
      </c>
      <c r="L1713" t="n">
        <v>25</v>
      </c>
      <c r="M1713" t="n">
        <v>29.5</v>
      </c>
      <c r="N1713" t="n">
        <v>65</v>
      </c>
      <c r="O1713" t="inlineStr">
        <is>
          <t>2026-10-05 UTC (WFM pull 02:52-04:00)</t>
        </is>
      </c>
      <c r="P1713" t="inlineStr">
        <is>
          <t>OK</t>
        </is>
      </c>
      <c r="R1713" t="inlineStr">
        <is>
          <t>Arcanes share across items like mods (one max-rank copy covers every build).</t>
        </is>
      </c>
      <c r="S1713" t="inlineStr">
        <is>
          <t>arcane_deflection</t>
        </is>
      </c>
      <c r="T1713" t="n">
        <v>4</v>
      </c>
      <c r="U1713" t="n">
        <v>4</v>
      </c>
      <c r="V1713" t="n">
        <v>24.5</v>
      </c>
      <c r="W1713" t="n">
        <v>21.5</v>
      </c>
      <c r="X1713" t="n">
        <v>22.1</v>
      </c>
      <c r="Y1713" t="n">
        <v>97</v>
      </c>
      <c r="Z1713" t="n">
        <v>2</v>
      </c>
      <c r="AA1713" t="n">
        <v>10</v>
      </c>
      <c r="AB1713" t="n">
        <v>15</v>
      </c>
      <c r="AQ1713" t="n">
        <v>3</v>
      </c>
      <c r="AR1713" t="n">
        <v>63</v>
      </c>
      <c r="AS1713" t="inlineStr">
        <is>
          <t>Collection (optional)</t>
        </is>
      </c>
    </row>
    <row r="1714">
      <c r="A1714" t="inlineStr">
        <is>
          <t>Arcane</t>
        </is>
      </c>
      <c r="B1714" t="inlineStr">
        <is>
          <t>Arcane Double Back</t>
        </is>
      </c>
      <c r="E1714" t="inlineStr">
        <is>
          <t>Warframe</t>
        </is>
      </c>
      <c r="F1714" t="n">
        <v>5</v>
      </c>
      <c r="G1714" t="n">
        <v>1</v>
      </c>
      <c r="H1714" t="inlineStr">
        <is>
          <t>Player trade (max rank)</t>
        </is>
      </c>
      <c r="I1714" t="inlineStr">
        <is>
          <t>Yes</t>
        </is>
      </c>
      <c r="K1714" t="inlineStr">
        <is>
          <t>Collection (optional)</t>
        </is>
      </c>
      <c r="L1714" t="n">
        <v>51</v>
      </c>
      <c r="M1714" t="n">
        <v>59</v>
      </c>
      <c r="N1714" t="n">
        <v>77</v>
      </c>
      <c r="O1714" t="inlineStr">
        <is>
          <t>2026-10-05 UTC (WFM pull 02:52-04:00)</t>
        </is>
      </c>
      <c r="P1714" t="inlineStr">
        <is>
          <t>OK</t>
        </is>
      </c>
      <c r="R1714" t="inlineStr">
        <is>
          <t>Arcanes share across items like mods (one max-rank copy covers every build).</t>
        </is>
      </c>
      <c r="S1714" t="inlineStr">
        <is>
          <t>arcane_double_back</t>
        </is>
      </c>
      <c r="T1714" t="n">
        <v>10</v>
      </c>
      <c r="U1714" t="n">
        <v>10</v>
      </c>
      <c r="V1714" t="n">
        <v>47</v>
      </c>
      <c r="W1714" t="n">
        <v>40</v>
      </c>
      <c r="X1714" t="n">
        <v>43</v>
      </c>
      <c r="Y1714" t="n">
        <v>318</v>
      </c>
      <c r="Z1714" t="n">
        <v>6</v>
      </c>
      <c r="AA1714" t="n">
        <v>50</v>
      </c>
      <c r="AB1714" t="n">
        <v>1</v>
      </c>
      <c r="AQ1714" t="n">
        <v>3</v>
      </c>
      <c r="AR1714" t="n">
        <v>63</v>
      </c>
      <c r="AS1714" t="inlineStr">
        <is>
          <t>Collection (optional)</t>
        </is>
      </c>
    </row>
    <row r="1715">
      <c r="A1715" t="inlineStr">
        <is>
          <t>Arcane</t>
        </is>
      </c>
      <c r="B1715" t="inlineStr">
        <is>
          <t>Arcane Energize</t>
        </is>
      </c>
      <c r="E1715" t="inlineStr">
        <is>
          <t>Warframe</t>
        </is>
      </c>
      <c r="F1715" t="n">
        <v>5</v>
      </c>
      <c r="G1715" t="n">
        <v>1</v>
      </c>
      <c r="H1715" t="inlineStr">
        <is>
          <t>Player trade (max rank)</t>
        </is>
      </c>
      <c r="I1715" t="inlineStr">
        <is>
          <t>Yes</t>
        </is>
      </c>
      <c r="K1715" t="inlineStr">
        <is>
          <t>Required (v3 build list)</t>
        </is>
      </c>
      <c r="L1715" t="n">
        <v>139</v>
      </c>
      <c r="M1715" t="n">
        <v>140</v>
      </c>
      <c r="N1715" t="n">
        <v>154</v>
      </c>
      <c r="O1715" t="inlineStr">
        <is>
          <t>2026-10-05 UTC (WFM pull 02:52-04:00)</t>
        </is>
      </c>
      <c r="P1715" t="inlineStr">
        <is>
          <t>OK</t>
        </is>
      </c>
      <c r="R1715" t="inlineStr">
        <is>
          <t>Arcanes share across items like mods (one max-rank copy covers every build).</t>
        </is>
      </c>
      <c r="S1715" t="inlineStr">
        <is>
          <t>arcane_energize</t>
        </is>
      </c>
      <c r="T1715" t="n">
        <v>59</v>
      </c>
      <c r="U1715" t="n">
        <v>59</v>
      </c>
      <c r="V1715" t="n">
        <v>134</v>
      </c>
      <c r="W1715" t="n">
        <v>130</v>
      </c>
      <c r="X1715" t="n">
        <v>126.5</v>
      </c>
      <c r="Y1715" t="n">
        <v>10798</v>
      </c>
      <c r="Z1715" t="n">
        <v>260</v>
      </c>
      <c r="AA1715" t="n">
        <v>90</v>
      </c>
      <c r="AB1715" t="n">
        <v>49</v>
      </c>
      <c r="AQ1715" t="n">
        <v>8</v>
      </c>
      <c r="AR1715" t="n">
        <v>168</v>
      </c>
      <c r="AS1715" t="inlineStr">
        <is>
          <t>Yes</t>
        </is>
      </c>
    </row>
    <row r="1716">
      <c r="A1716" t="inlineStr">
        <is>
          <t>Arcane</t>
        </is>
      </c>
      <c r="B1716" t="inlineStr">
        <is>
          <t>Arcane Eruption</t>
        </is>
      </c>
      <c r="E1716" t="inlineStr">
        <is>
          <t>Warframe</t>
        </is>
      </c>
      <c r="F1716" t="n">
        <v>5</v>
      </c>
      <c r="G1716" t="n">
        <v>1</v>
      </c>
      <c r="H1716" t="inlineStr">
        <is>
          <t>Player trade (max rank)</t>
        </is>
      </c>
      <c r="I1716" t="inlineStr">
        <is>
          <t>Yes</t>
        </is>
      </c>
      <c r="K1716" t="inlineStr">
        <is>
          <t>Collection (optional)</t>
        </is>
      </c>
      <c r="L1716" t="n">
        <v>35</v>
      </c>
      <c r="M1716" t="n">
        <v>44.2</v>
      </c>
      <c r="N1716" t="n">
        <v>98</v>
      </c>
      <c r="O1716" t="inlineStr">
        <is>
          <t>2026-10-05 UTC (WFM pull 02:52-04:00)</t>
        </is>
      </c>
      <c r="P1716" t="inlineStr">
        <is>
          <t>OK</t>
        </is>
      </c>
      <c r="R1716" t="inlineStr">
        <is>
          <t>Arcanes share across items like mods (one max-rank copy covers every build).</t>
        </is>
      </c>
      <c r="S1716" t="inlineStr">
        <is>
          <t>arcane_eruption</t>
        </is>
      </c>
      <c r="T1716" t="n">
        <v>6</v>
      </c>
      <c r="U1716" t="n">
        <v>6</v>
      </c>
      <c r="V1716" t="n">
        <v>29.5</v>
      </c>
      <c r="W1716" t="n">
        <v>27.5</v>
      </c>
      <c r="X1716" t="n">
        <v>26.2</v>
      </c>
      <c r="Y1716" t="n">
        <v>384</v>
      </c>
      <c r="Z1716" t="n">
        <v>16</v>
      </c>
      <c r="AA1716" t="n">
        <v>7</v>
      </c>
      <c r="AB1716" t="n">
        <v>28</v>
      </c>
      <c r="AQ1716" t="n">
        <v>3</v>
      </c>
      <c r="AR1716" t="n">
        <v>63</v>
      </c>
      <c r="AS1716" t="inlineStr">
        <is>
          <t>Collection (optional)</t>
        </is>
      </c>
    </row>
    <row r="1717">
      <c r="A1717" t="inlineStr">
        <is>
          <t>Arcane</t>
        </is>
      </c>
      <c r="B1717" t="inlineStr">
        <is>
          <t>Arcane Escapist</t>
        </is>
      </c>
      <c r="E1717" t="inlineStr">
        <is>
          <t>Warframe</t>
        </is>
      </c>
      <c r="F1717" t="n">
        <v>5</v>
      </c>
      <c r="G1717" t="n">
        <v>1</v>
      </c>
      <c r="H1717" t="inlineStr">
        <is>
          <t>Player trade (max rank)</t>
        </is>
      </c>
      <c r="I1717" t="inlineStr">
        <is>
          <t>Yes</t>
        </is>
      </c>
      <c r="K1717" t="inlineStr">
        <is>
          <t>Collection (optional)</t>
        </is>
      </c>
      <c r="L1717" t="n">
        <v>29</v>
      </c>
      <c r="M1717" t="n">
        <v>30</v>
      </c>
      <c r="N1717" t="n">
        <v>33</v>
      </c>
      <c r="O1717" t="inlineStr">
        <is>
          <t>2026-10-05 UTC (WFM pull 02:52-04:00)</t>
        </is>
      </c>
      <c r="P1717" t="inlineStr">
        <is>
          <t>OK</t>
        </is>
      </c>
      <c r="R1717" t="inlineStr">
        <is>
          <t>Arcanes share across items like mods (one max-rank copy covers every build).</t>
        </is>
      </c>
      <c r="S1717" t="inlineStr">
        <is>
          <t>arcane_escapist</t>
        </is>
      </c>
      <c r="T1717" t="n">
        <v>27</v>
      </c>
      <c r="U1717" t="n">
        <v>27</v>
      </c>
      <c r="V1717" t="n">
        <v>29</v>
      </c>
      <c r="W1717" t="n">
        <v>30</v>
      </c>
      <c r="X1717" t="n">
        <v>29.7</v>
      </c>
      <c r="Y1717" t="n">
        <v>602</v>
      </c>
      <c r="Z1717" t="n">
        <v>15</v>
      </c>
      <c r="AA1717" t="n">
        <v>25</v>
      </c>
      <c r="AB1717" t="n">
        <v>4</v>
      </c>
      <c r="AQ1717" t="n">
        <v>3</v>
      </c>
      <c r="AR1717" t="n">
        <v>63</v>
      </c>
      <c r="AS1717" t="inlineStr">
        <is>
          <t>Collection (optional)</t>
        </is>
      </c>
    </row>
    <row r="1718">
      <c r="A1718" t="inlineStr">
        <is>
          <t>Arcane</t>
        </is>
      </c>
      <c r="B1718" t="inlineStr">
        <is>
          <t>Arcane Expertise</t>
        </is>
      </c>
      <c r="E1718" t="inlineStr">
        <is>
          <t>Warframe</t>
        </is>
      </c>
      <c r="F1718" t="n">
        <v>5</v>
      </c>
      <c r="G1718" t="n">
        <v>1</v>
      </c>
      <c r="H1718" t="inlineStr">
        <is>
          <t>Player trade (max rank)</t>
        </is>
      </c>
      <c r="I1718" t="inlineStr">
        <is>
          <t>Yes</t>
        </is>
      </c>
      <c r="K1718" t="inlineStr">
        <is>
          <t>Collection (optional)</t>
        </is>
      </c>
      <c r="L1718" t="n">
        <v>35</v>
      </c>
      <c r="M1718" t="n">
        <v>39</v>
      </c>
      <c r="N1718" t="n">
        <v>44</v>
      </c>
      <c r="O1718" t="inlineStr">
        <is>
          <t>2026-10-05 UTC (WFM pull 02:52-04:00)</t>
        </is>
      </c>
      <c r="P1718" t="inlineStr">
        <is>
          <t>OK</t>
        </is>
      </c>
      <c r="R1718" t="inlineStr">
        <is>
          <t>Arcanes share across items like mods (one max-rank copy covers every build).</t>
        </is>
      </c>
      <c r="S1718" t="inlineStr">
        <is>
          <t>arcane_expertise</t>
        </is>
      </c>
      <c r="T1718" t="n">
        <v>23</v>
      </c>
      <c r="U1718" t="n">
        <v>23</v>
      </c>
      <c r="V1718" t="n">
        <v>30</v>
      </c>
      <c r="W1718" t="n">
        <v>30</v>
      </c>
      <c r="X1718" t="n">
        <v>31.2</v>
      </c>
      <c r="Y1718" t="n">
        <v>10195</v>
      </c>
      <c r="Z1718" t="n">
        <v>210</v>
      </c>
      <c r="AA1718" t="n">
        <v>22</v>
      </c>
      <c r="AB1718" t="n">
        <v>13</v>
      </c>
      <c r="AQ1718" t="n">
        <v>3</v>
      </c>
      <c r="AR1718" t="n">
        <v>63</v>
      </c>
      <c r="AS1718" t="inlineStr">
        <is>
          <t>Collection (optional)</t>
        </is>
      </c>
    </row>
    <row r="1719">
      <c r="A1719" t="inlineStr">
        <is>
          <t>Arcane</t>
        </is>
      </c>
      <c r="B1719" t="inlineStr">
        <is>
          <t>Arcane Fury</t>
        </is>
      </c>
      <c r="E1719" t="inlineStr">
        <is>
          <t>Warframe</t>
        </is>
      </c>
      <c r="F1719" t="n">
        <v>5</v>
      </c>
      <c r="G1719" t="n">
        <v>1</v>
      </c>
      <c r="H1719" t="inlineStr">
        <is>
          <t>Player trade (max rank)</t>
        </is>
      </c>
      <c r="I1719" t="inlineStr">
        <is>
          <t>Yes</t>
        </is>
      </c>
      <c r="K1719" t="inlineStr">
        <is>
          <t>Required (v3 build list)</t>
        </is>
      </c>
      <c r="L1719" t="n">
        <v>120</v>
      </c>
      <c r="M1719" t="n">
        <v>120</v>
      </c>
      <c r="N1719" t="n">
        <v>149</v>
      </c>
      <c r="O1719" t="inlineStr">
        <is>
          <t>2026-10-05 UTC (WFM pull 02:52-04:00)</t>
        </is>
      </c>
      <c r="P1719" t="inlineStr">
        <is>
          <t>OK</t>
        </is>
      </c>
      <c r="R1719" t="inlineStr">
        <is>
          <t>Arcanes share across items like mods (one max-rank copy covers every build).</t>
        </is>
      </c>
      <c r="S1719" t="inlineStr">
        <is>
          <t>arcane_fury</t>
        </is>
      </c>
      <c r="T1719" t="n">
        <v>34</v>
      </c>
      <c r="U1719" t="n">
        <v>34</v>
      </c>
      <c r="V1719" t="n">
        <v>135</v>
      </c>
      <c r="W1719" t="n">
        <v>135</v>
      </c>
      <c r="X1719" t="n">
        <v>125</v>
      </c>
      <c r="Y1719" t="n">
        <v>9266</v>
      </c>
      <c r="Z1719" t="n">
        <v>192</v>
      </c>
      <c r="AA1719" t="n">
        <v>108</v>
      </c>
      <c r="AB1719" t="n">
        <v>12</v>
      </c>
      <c r="AQ1719" t="n">
        <v>8</v>
      </c>
      <c r="AR1719" t="n">
        <v>168</v>
      </c>
      <c r="AS1719" t="inlineStr">
        <is>
          <t>Yes</t>
        </is>
      </c>
    </row>
    <row r="1720">
      <c r="A1720" t="inlineStr">
        <is>
          <t>Arcane</t>
        </is>
      </c>
      <c r="B1720" t="inlineStr">
        <is>
          <t>Arcane Grace</t>
        </is>
      </c>
      <c r="E1720" t="inlineStr">
        <is>
          <t>Warframe</t>
        </is>
      </c>
      <c r="F1720" t="n">
        <v>5</v>
      </c>
      <c r="G1720" t="n">
        <v>1</v>
      </c>
      <c r="H1720" t="inlineStr">
        <is>
          <t>Player trade (max rank)</t>
        </is>
      </c>
      <c r="I1720" t="inlineStr">
        <is>
          <t>Yes</t>
        </is>
      </c>
      <c r="K1720" t="inlineStr">
        <is>
          <t>Required (v3 build list)</t>
        </is>
      </c>
      <c r="L1720" t="n">
        <v>100</v>
      </c>
      <c r="M1720" t="n">
        <v>100</v>
      </c>
      <c r="N1720" t="n">
        <v>122</v>
      </c>
      <c r="O1720" t="inlineStr">
        <is>
          <t>2026-10-05 UTC (WFM pull 02:52-04:00)</t>
        </is>
      </c>
      <c r="P1720" t="inlineStr">
        <is>
          <t>OK</t>
        </is>
      </c>
      <c r="R1720" t="inlineStr">
        <is>
          <t>Arcanes share across items like mods (one max-rank copy covers every build).</t>
        </is>
      </c>
      <c r="S1720" t="inlineStr">
        <is>
          <t>arcane_grace</t>
        </is>
      </c>
      <c r="T1720" t="n">
        <v>30</v>
      </c>
      <c r="U1720" t="n">
        <v>30</v>
      </c>
      <c r="V1720" t="n">
        <v>100</v>
      </c>
      <c r="W1720" t="n">
        <v>100</v>
      </c>
      <c r="X1720" t="n">
        <v>100.2</v>
      </c>
      <c r="Y1720" t="n">
        <v>3267</v>
      </c>
      <c r="Z1720" t="n">
        <v>82</v>
      </c>
      <c r="AA1720" t="n">
        <v>60</v>
      </c>
      <c r="AB1720" t="n">
        <v>40</v>
      </c>
      <c r="AQ1720" t="n">
        <v>10</v>
      </c>
      <c r="AR1720" t="n">
        <v>210</v>
      </c>
      <c r="AS1720" t="inlineStr">
        <is>
          <t>Yes</t>
        </is>
      </c>
    </row>
    <row r="1721">
      <c r="A1721" t="inlineStr">
        <is>
          <t>Arcane</t>
        </is>
      </c>
      <c r="B1721" t="inlineStr">
        <is>
          <t>Arcane Guardian</t>
        </is>
      </c>
      <c r="E1721" t="inlineStr">
        <is>
          <t>Warframe</t>
        </is>
      </c>
      <c r="F1721" t="n">
        <v>5</v>
      </c>
      <c r="G1721" t="n">
        <v>1</v>
      </c>
      <c r="H1721" t="inlineStr">
        <is>
          <t>Player trade (max rank)</t>
        </is>
      </c>
      <c r="I1721" t="inlineStr">
        <is>
          <t>Yes</t>
        </is>
      </c>
      <c r="K1721" t="inlineStr">
        <is>
          <t>Required (v3 build list)</t>
        </is>
      </c>
      <c r="L1721" t="n">
        <v>50</v>
      </c>
      <c r="M1721" t="n">
        <v>60</v>
      </c>
      <c r="N1721" t="n">
        <v>66</v>
      </c>
      <c r="O1721" t="inlineStr">
        <is>
          <t>2026-10-05 UTC (WFM pull 02:52-04:00)</t>
        </is>
      </c>
      <c r="P1721" t="inlineStr">
        <is>
          <t>OK</t>
        </is>
      </c>
      <c r="R1721" t="inlineStr">
        <is>
          <t>Arcanes share across items like mods (one max-rank copy covers every build).</t>
        </is>
      </c>
      <c r="S1721" t="inlineStr">
        <is>
          <t>arcane_guardian</t>
        </is>
      </c>
      <c r="T1721" t="n">
        <v>15</v>
      </c>
      <c r="U1721" t="n">
        <v>15</v>
      </c>
      <c r="V1721" t="n">
        <v>55</v>
      </c>
      <c r="W1721" t="n">
        <v>50</v>
      </c>
      <c r="X1721" t="n">
        <v>51</v>
      </c>
      <c r="Y1721" t="n">
        <v>2921</v>
      </c>
      <c r="Z1721" t="n">
        <v>77</v>
      </c>
      <c r="AA1721" t="n">
        <v>27</v>
      </c>
      <c r="AB1721" t="n">
        <v>23</v>
      </c>
      <c r="AQ1721" t="n">
        <v>3</v>
      </c>
      <c r="AR1721" t="n">
        <v>63</v>
      </c>
      <c r="AS1721" t="inlineStr">
        <is>
          <t>Yes</t>
        </is>
      </c>
    </row>
    <row r="1722">
      <c r="A1722" t="inlineStr">
        <is>
          <t>Arcane</t>
        </is>
      </c>
      <c r="B1722" t="inlineStr">
        <is>
          <t>Arcane Healing</t>
        </is>
      </c>
      <c r="E1722" t="inlineStr">
        <is>
          <t>Warframe</t>
        </is>
      </c>
      <c r="F1722" t="n">
        <v>5</v>
      </c>
      <c r="G1722" t="n">
        <v>1</v>
      </c>
      <c r="H1722" t="inlineStr">
        <is>
          <t>Player trade (max rank)</t>
        </is>
      </c>
      <c r="I1722" t="inlineStr">
        <is>
          <t>Yes</t>
        </is>
      </c>
      <c r="K1722" t="inlineStr">
        <is>
          <t>Collection (optional)</t>
        </is>
      </c>
      <c r="L1722" t="n">
        <v>19</v>
      </c>
      <c r="M1722" t="n">
        <v>20</v>
      </c>
      <c r="N1722" t="n">
        <v>28</v>
      </c>
      <c r="O1722" t="inlineStr">
        <is>
          <t>2026-10-05 UTC (WFM pull 02:52-04:00)</t>
        </is>
      </c>
      <c r="P1722" t="inlineStr">
        <is>
          <t>OK</t>
        </is>
      </c>
      <c r="R1722" t="inlineStr">
        <is>
          <t>Arcanes share across items like mods (one max-rank copy covers every build).</t>
        </is>
      </c>
      <c r="S1722" t="inlineStr">
        <is>
          <t>arcane_healing</t>
        </is>
      </c>
      <c r="T1722" t="n">
        <v>7</v>
      </c>
      <c r="U1722" t="n">
        <v>7</v>
      </c>
      <c r="V1722" t="n">
        <v>17</v>
      </c>
      <c r="W1722" t="n">
        <v>19</v>
      </c>
      <c r="X1722" t="n">
        <v>17.5</v>
      </c>
      <c r="Y1722" t="n">
        <v>89</v>
      </c>
      <c r="Z1722" t="n">
        <v>3</v>
      </c>
      <c r="AA1722" t="n">
        <v>10</v>
      </c>
      <c r="AB1722" t="n">
        <v>9</v>
      </c>
      <c r="AQ1722" t="n">
        <v>3</v>
      </c>
      <c r="AR1722" t="n">
        <v>63</v>
      </c>
      <c r="AS1722" t="inlineStr">
        <is>
          <t>Collection (optional)</t>
        </is>
      </c>
    </row>
    <row r="1723">
      <c r="A1723" t="inlineStr">
        <is>
          <t>Arcane</t>
        </is>
      </c>
      <c r="B1723" t="inlineStr">
        <is>
          <t>Arcane Hot Shot</t>
        </is>
      </c>
      <c r="E1723" t="inlineStr">
        <is>
          <t>Warframe</t>
        </is>
      </c>
      <c r="F1723" t="n">
        <v>5</v>
      </c>
      <c r="G1723" t="n">
        <v>1</v>
      </c>
      <c r="H1723" t="inlineStr">
        <is>
          <t>Player trade (max rank)</t>
        </is>
      </c>
      <c r="I1723" t="inlineStr">
        <is>
          <t>Yes</t>
        </is>
      </c>
      <c r="K1723" t="inlineStr">
        <is>
          <t>Collection (optional)</t>
        </is>
      </c>
      <c r="L1723" t="n">
        <v>310</v>
      </c>
      <c r="M1723" t="n">
        <v>320</v>
      </c>
      <c r="N1723" t="n">
        <v>386</v>
      </c>
      <c r="O1723" t="inlineStr">
        <is>
          <t>2026-10-05 UTC (WFM pull 02:52-04:00)</t>
        </is>
      </c>
      <c r="P1723" t="inlineStr">
        <is>
          <t>OK</t>
        </is>
      </c>
      <c r="Q1723" t="inlineStr">
        <is>
          <t>Cheaper via 21x R0 (294p realistic) than buying max rank</t>
        </is>
      </c>
      <c r="R1723" t="inlineStr">
        <is>
          <t>Arcanes share across items like mods (one max-rank copy covers every build).</t>
        </is>
      </c>
      <c r="S1723" t="inlineStr">
        <is>
          <t>arcane_hot_shot</t>
        </is>
      </c>
      <c r="T1723" t="n">
        <v>84</v>
      </c>
      <c r="U1723" t="n">
        <v>84</v>
      </c>
      <c r="V1723" t="n">
        <v>350</v>
      </c>
      <c r="W1723" t="n">
        <v>449</v>
      </c>
      <c r="X1723" t="n">
        <v>434.2</v>
      </c>
      <c r="Y1723" t="n">
        <v>12285</v>
      </c>
      <c r="Z1723" t="n">
        <v>337</v>
      </c>
      <c r="AA1723" t="n">
        <v>290</v>
      </c>
      <c r="AB1723" t="n">
        <v>20</v>
      </c>
      <c r="AQ1723" t="n">
        <v>14</v>
      </c>
      <c r="AR1723" t="n">
        <v>294</v>
      </c>
      <c r="AS1723" t="inlineStr">
        <is>
          <t>Collection (optional)</t>
        </is>
      </c>
    </row>
    <row r="1724">
      <c r="A1724" t="inlineStr">
        <is>
          <t>Arcane</t>
        </is>
      </c>
      <c r="B1724" t="inlineStr">
        <is>
          <t>Arcane Ice</t>
        </is>
      </c>
      <c r="E1724" t="inlineStr">
        <is>
          <t>Warframe</t>
        </is>
      </c>
      <c r="F1724" t="n">
        <v>5</v>
      </c>
      <c r="G1724" t="n">
        <v>1</v>
      </c>
      <c r="H1724" t="inlineStr">
        <is>
          <t>Player trade (max rank)</t>
        </is>
      </c>
      <c r="I1724" t="inlineStr">
        <is>
          <t>Yes</t>
        </is>
      </c>
      <c r="K1724" t="inlineStr">
        <is>
          <t>Collection (optional)</t>
        </is>
      </c>
      <c r="L1724" t="n">
        <v>20</v>
      </c>
      <c r="M1724" t="n">
        <v>30</v>
      </c>
      <c r="N1724" t="n">
        <v>66</v>
      </c>
      <c r="O1724" t="inlineStr">
        <is>
          <t>2026-10-05 UTC (WFM pull 02:52-04:00)</t>
        </is>
      </c>
      <c r="P1724" t="inlineStr">
        <is>
          <t>OK</t>
        </is>
      </c>
      <c r="R1724" t="inlineStr">
        <is>
          <t>Arcanes share across items like mods (one max-rank copy covers every build).</t>
        </is>
      </c>
      <c r="S1724" t="inlineStr">
        <is>
          <t>arcane_ice</t>
        </is>
      </c>
      <c r="T1724" t="n">
        <v>6</v>
      </c>
      <c r="U1724" t="n">
        <v>6</v>
      </c>
      <c r="V1724" t="n">
        <v>20</v>
      </c>
      <c r="W1724" t="n">
        <v>20</v>
      </c>
      <c r="X1724" t="n">
        <v>19.7</v>
      </c>
      <c r="Y1724" t="n">
        <v>170</v>
      </c>
      <c r="Z1724" t="n">
        <v>5</v>
      </c>
      <c r="AQ1724" t="n">
        <v>3</v>
      </c>
      <c r="AR1724" t="n">
        <v>63</v>
      </c>
      <c r="AS1724" t="inlineStr">
        <is>
          <t>Collection (optional)</t>
        </is>
      </c>
    </row>
    <row r="1725">
      <c r="A1725" t="inlineStr">
        <is>
          <t>Arcane</t>
        </is>
      </c>
      <c r="B1725" t="inlineStr">
        <is>
          <t>Arcane Ice Storm</t>
        </is>
      </c>
      <c r="E1725" t="inlineStr">
        <is>
          <t>Warframe</t>
        </is>
      </c>
      <c r="F1725" t="n">
        <v>5</v>
      </c>
      <c r="G1725" t="n">
        <v>1</v>
      </c>
      <c r="H1725" t="inlineStr">
        <is>
          <t>Player trade (max rank)</t>
        </is>
      </c>
      <c r="I1725" t="inlineStr">
        <is>
          <t>Yes</t>
        </is>
      </c>
      <c r="K1725" t="inlineStr">
        <is>
          <t>Collection (optional)</t>
        </is>
      </c>
      <c r="L1725" t="n">
        <v>74</v>
      </c>
      <c r="M1725" t="n">
        <v>78</v>
      </c>
      <c r="N1725" t="n">
        <v>94</v>
      </c>
      <c r="O1725" t="inlineStr">
        <is>
          <t>2026-10-05 UTC (WFM pull 02:52-04:00)</t>
        </is>
      </c>
      <c r="P1725" t="inlineStr">
        <is>
          <t>OK</t>
        </is>
      </c>
      <c r="R1725" t="inlineStr">
        <is>
          <t>Arcanes share across items like mods (one max-rank copy covers every build).</t>
        </is>
      </c>
      <c r="S1725" t="inlineStr">
        <is>
          <t>arcane_ice_storm</t>
        </is>
      </c>
      <c r="T1725" t="n">
        <v>22</v>
      </c>
      <c r="U1725" t="n">
        <v>22</v>
      </c>
      <c r="V1725" t="n">
        <v>85</v>
      </c>
      <c r="W1725" t="n">
        <v>80</v>
      </c>
      <c r="X1725" t="n">
        <v>77.40000000000001</v>
      </c>
      <c r="Y1725" t="n">
        <v>8874</v>
      </c>
      <c r="Z1725" t="n">
        <v>533</v>
      </c>
      <c r="AA1725" t="n">
        <v>70</v>
      </c>
      <c r="AB1725" t="n">
        <v>4</v>
      </c>
      <c r="AQ1725" t="n">
        <v>5</v>
      </c>
      <c r="AR1725" t="n">
        <v>105</v>
      </c>
      <c r="AS1725" t="inlineStr">
        <is>
          <t>Collection (optional)</t>
        </is>
      </c>
    </row>
    <row r="1726">
      <c r="A1726" t="inlineStr">
        <is>
          <t>Arcane</t>
        </is>
      </c>
      <c r="B1726" t="inlineStr">
        <is>
          <t>Arcane Impetus</t>
        </is>
      </c>
      <c r="E1726" t="inlineStr">
        <is>
          <t>Warframe</t>
        </is>
      </c>
      <c r="F1726" t="n">
        <v>5</v>
      </c>
      <c r="G1726" t="n">
        <v>1</v>
      </c>
      <c r="H1726" t="inlineStr">
        <is>
          <t>Player trade (max rank)</t>
        </is>
      </c>
      <c r="I1726" t="inlineStr">
        <is>
          <t>Yes</t>
        </is>
      </c>
      <c r="K1726" t="inlineStr">
        <is>
          <t>Collection (optional)</t>
        </is>
      </c>
      <c r="L1726" t="n">
        <v>24</v>
      </c>
      <c r="M1726" t="n">
        <v>28</v>
      </c>
      <c r="N1726" t="n">
        <v>31</v>
      </c>
      <c r="O1726" t="inlineStr">
        <is>
          <t>2026-10-05 UTC (WFM pull 02:52-04:00)</t>
        </is>
      </c>
      <c r="P1726" t="inlineStr">
        <is>
          <t>OK</t>
        </is>
      </c>
      <c r="R1726" t="inlineStr">
        <is>
          <t>Arcanes share across items like mods (one max-rank copy covers every build).</t>
        </is>
      </c>
      <c r="S1726" t="inlineStr">
        <is>
          <t>arcane_impetus</t>
        </is>
      </c>
      <c r="T1726" t="n">
        <v>34</v>
      </c>
      <c r="U1726" t="n">
        <v>34</v>
      </c>
      <c r="V1726" t="n">
        <v>25</v>
      </c>
      <c r="W1726" t="n">
        <v>28</v>
      </c>
      <c r="X1726" t="n">
        <v>27.4</v>
      </c>
      <c r="Y1726" t="n">
        <v>8311</v>
      </c>
      <c r="Z1726" t="n">
        <v>281</v>
      </c>
      <c r="AA1726" t="n">
        <v>7</v>
      </c>
      <c r="AB1726" t="n">
        <v>17</v>
      </c>
      <c r="AQ1726" t="n">
        <v>2</v>
      </c>
      <c r="AR1726" t="n">
        <v>42</v>
      </c>
      <c r="AS1726" t="inlineStr">
        <is>
          <t>Collection (optional)</t>
        </is>
      </c>
    </row>
    <row r="1727">
      <c r="A1727" t="inlineStr">
        <is>
          <t>Arcane</t>
        </is>
      </c>
      <c r="B1727" t="inlineStr">
        <is>
          <t>Arcane Intention</t>
        </is>
      </c>
      <c r="E1727" t="inlineStr">
        <is>
          <t>Warframe</t>
        </is>
      </c>
      <c r="F1727" t="n">
        <v>5</v>
      </c>
      <c r="G1727" t="n">
        <v>1</v>
      </c>
      <c r="H1727" t="inlineStr">
        <is>
          <t>Player trade (max rank)</t>
        </is>
      </c>
      <c r="I1727" t="inlineStr">
        <is>
          <t>Yes</t>
        </is>
      </c>
      <c r="K1727" t="inlineStr">
        <is>
          <t>Collection (optional)</t>
        </is>
      </c>
      <c r="L1727" t="n">
        <v>15</v>
      </c>
      <c r="M1727" t="n">
        <v>20</v>
      </c>
      <c r="N1727" t="n">
        <v>22</v>
      </c>
      <c r="O1727" t="inlineStr">
        <is>
          <t>2026-10-05 UTC (WFM pull 02:52-04:00)</t>
        </is>
      </c>
      <c r="P1727" t="inlineStr">
        <is>
          <t>OK</t>
        </is>
      </c>
      <c r="R1727" t="inlineStr">
        <is>
          <t>Arcanes share across items like mods (one max-rank copy covers every build).</t>
        </is>
      </c>
      <c r="S1727" t="inlineStr">
        <is>
          <t>arcane_intention</t>
        </is>
      </c>
      <c r="T1727" t="n">
        <v>12</v>
      </c>
      <c r="U1727" t="n">
        <v>12</v>
      </c>
      <c r="V1727" t="n">
        <v>15</v>
      </c>
      <c r="W1727" t="n">
        <v>15</v>
      </c>
      <c r="X1727" t="n">
        <v>15.8</v>
      </c>
      <c r="Y1727" t="n">
        <v>171</v>
      </c>
      <c r="Z1727" t="n">
        <v>6</v>
      </c>
      <c r="AA1727" t="n">
        <v>7</v>
      </c>
      <c r="AB1727" t="n">
        <v>8</v>
      </c>
      <c r="AQ1727" t="n">
        <v>2</v>
      </c>
      <c r="AR1727" t="n">
        <v>42</v>
      </c>
      <c r="AS1727" t="inlineStr">
        <is>
          <t>Collection (optional)</t>
        </is>
      </c>
    </row>
    <row r="1728">
      <c r="A1728" t="inlineStr">
        <is>
          <t>Arcane</t>
        </is>
      </c>
      <c r="B1728" t="inlineStr">
        <is>
          <t>Arcane Momentum</t>
        </is>
      </c>
      <c r="E1728" t="inlineStr">
        <is>
          <t>Warframe</t>
        </is>
      </c>
      <c r="F1728" t="n">
        <v>5</v>
      </c>
      <c r="G1728" t="n">
        <v>1</v>
      </c>
      <c r="H1728" t="inlineStr">
        <is>
          <t>Player trade (max rank)</t>
        </is>
      </c>
      <c r="I1728" t="inlineStr">
        <is>
          <t>Yes</t>
        </is>
      </c>
      <c r="K1728" t="inlineStr">
        <is>
          <t>Collection (optional)</t>
        </is>
      </c>
      <c r="L1728" t="n">
        <v>20</v>
      </c>
      <c r="M1728" t="n">
        <v>20</v>
      </c>
      <c r="N1728" t="n">
        <v>33</v>
      </c>
      <c r="O1728" t="inlineStr">
        <is>
          <t>2026-10-05 UTC (WFM pull 02:52-04:00)</t>
        </is>
      </c>
      <c r="P1728" t="inlineStr">
        <is>
          <t>OK</t>
        </is>
      </c>
      <c r="R1728" t="inlineStr">
        <is>
          <t>Arcanes share across items like mods (one max-rank copy covers every build).</t>
        </is>
      </c>
      <c r="S1728" t="inlineStr">
        <is>
          <t>arcane_momentum</t>
        </is>
      </c>
      <c r="T1728" t="n">
        <v>10</v>
      </c>
      <c r="U1728" t="n">
        <v>10</v>
      </c>
      <c r="V1728" t="n">
        <v>19</v>
      </c>
      <c r="W1728" t="n">
        <v>19</v>
      </c>
      <c r="X1728" t="n">
        <v>18.5</v>
      </c>
      <c r="Y1728" t="n">
        <v>220</v>
      </c>
      <c r="Z1728" t="n">
        <v>0</v>
      </c>
      <c r="AA1728" t="n">
        <v>5</v>
      </c>
      <c r="AB1728" t="n">
        <v>15</v>
      </c>
      <c r="AQ1728" t="n">
        <v>3</v>
      </c>
      <c r="AR1728" t="n">
        <v>63</v>
      </c>
      <c r="AS1728" t="inlineStr">
        <is>
          <t>Collection (optional)</t>
        </is>
      </c>
    </row>
    <row r="1729">
      <c r="A1729" t="inlineStr">
        <is>
          <t>Arcane</t>
        </is>
      </c>
      <c r="B1729" t="inlineStr">
        <is>
          <t>Arcane Nullifier</t>
        </is>
      </c>
      <c r="E1729" t="inlineStr">
        <is>
          <t>Warframe</t>
        </is>
      </c>
      <c r="F1729" t="n">
        <v>5</v>
      </c>
      <c r="G1729" t="n">
        <v>1</v>
      </c>
      <c r="H1729" t="inlineStr">
        <is>
          <t>Player trade (max rank)</t>
        </is>
      </c>
      <c r="I1729" t="inlineStr">
        <is>
          <t>Yes</t>
        </is>
      </c>
      <c r="K1729" t="inlineStr">
        <is>
          <t>Collection (optional)</t>
        </is>
      </c>
      <c r="L1729" t="n">
        <v>55</v>
      </c>
      <c r="M1729" t="n">
        <v>57</v>
      </c>
      <c r="N1729" t="n">
        <v>66</v>
      </c>
      <c r="O1729" t="inlineStr">
        <is>
          <t>2026-10-05 UTC (WFM pull 02:52-04:00)</t>
        </is>
      </c>
      <c r="P1729" t="inlineStr">
        <is>
          <t>OK</t>
        </is>
      </c>
      <c r="R1729" t="inlineStr">
        <is>
          <t>Arcanes share across items like mods (one max-rank copy covers every build).</t>
        </is>
      </c>
      <c r="S1729" t="inlineStr">
        <is>
          <t>arcane_nullifier</t>
        </is>
      </c>
      <c r="T1729" t="n">
        <v>23</v>
      </c>
      <c r="U1729" t="n">
        <v>23</v>
      </c>
      <c r="V1729" t="n">
        <v>60</v>
      </c>
      <c r="W1729" t="n">
        <v>60</v>
      </c>
      <c r="X1729" t="n">
        <v>58.3</v>
      </c>
      <c r="Y1729" t="n">
        <v>2919</v>
      </c>
      <c r="Z1729" t="n">
        <v>59</v>
      </c>
      <c r="AA1729" t="n">
        <v>47</v>
      </c>
      <c r="AB1729" t="n">
        <v>8</v>
      </c>
      <c r="AQ1729" t="n">
        <v>5</v>
      </c>
      <c r="AR1729" t="n">
        <v>105</v>
      </c>
      <c r="AS1729" t="inlineStr">
        <is>
          <t>Collection (optional)</t>
        </is>
      </c>
    </row>
    <row r="1730">
      <c r="A1730" t="inlineStr">
        <is>
          <t>Arcane</t>
        </is>
      </c>
      <c r="B1730" t="inlineStr">
        <is>
          <t>Arcane Persistence</t>
        </is>
      </c>
      <c r="E1730" t="inlineStr">
        <is>
          <t>Warframe</t>
        </is>
      </c>
      <c r="F1730" t="n">
        <v>5</v>
      </c>
      <c r="G1730" t="n">
        <v>1</v>
      </c>
      <c r="H1730" t="inlineStr">
        <is>
          <t>Player trade (max rank)</t>
        </is>
      </c>
      <c r="I1730" t="inlineStr">
        <is>
          <t>Yes</t>
        </is>
      </c>
      <c r="K1730" t="inlineStr">
        <is>
          <t>Collection (optional)</t>
        </is>
      </c>
      <c r="L1730" t="n">
        <v>40</v>
      </c>
      <c r="M1730" t="n">
        <v>40</v>
      </c>
      <c r="N1730" t="n">
        <v>50</v>
      </c>
      <c r="O1730" t="inlineStr">
        <is>
          <t>2026-10-05 UTC (WFM pull 02:52-04:00)</t>
        </is>
      </c>
      <c r="P1730" t="inlineStr">
        <is>
          <t>OK</t>
        </is>
      </c>
      <c r="R1730" t="inlineStr">
        <is>
          <t>Arcanes share across items like mods (one max-rank copy covers every build).</t>
        </is>
      </c>
      <c r="S1730" t="inlineStr">
        <is>
          <t>arcane_persistence</t>
        </is>
      </c>
      <c r="T1730" t="n">
        <v>14</v>
      </c>
      <c r="U1730" t="n">
        <v>14</v>
      </c>
      <c r="V1730" t="n">
        <v>35</v>
      </c>
      <c r="W1730" t="n">
        <v>33.5</v>
      </c>
      <c r="X1730" t="n">
        <v>32.6</v>
      </c>
      <c r="Y1730" t="n">
        <v>10623</v>
      </c>
      <c r="Z1730" t="n">
        <v>323</v>
      </c>
      <c r="AA1730" t="n">
        <v>30</v>
      </c>
      <c r="AB1730" t="n">
        <v>10</v>
      </c>
      <c r="AQ1730" t="n">
        <v>3</v>
      </c>
      <c r="AR1730" t="n">
        <v>63</v>
      </c>
      <c r="AS1730" t="inlineStr">
        <is>
          <t>Collection (optional)</t>
        </is>
      </c>
    </row>
    <row r="1731">
      <c r="A1731" t="inlineStr">
        <is>
          <t>Arcane</t>
        </is>
      </c>
      <c r="B1731" t="inlineStr">
        <is>
          <t>Arcane Phantasm</t>
        </is>
      </c>
      <c r="E1731" t="inlineStr">
        <is>
          <t>Warframe</t>
        </is>
      </c>
      <c r="F1731" t="n">
        <v>5</v>
      </c>
      <c r="G1731" t="n">
        <v>1</v>
      </c>
      <c r="H1731" t="inlineStr">
        <is>
          <t>Player trade (max rank)</t>
        </is>
      </c>
      <c r="I1731" t="inlineStr">
        <is>
          <t>Yes</t>
        </is>
      </c>
      <c r="K1731" t="inlineStr">
        <is>
          <t>Collection (optional)</t>
        </is>
      </c>
      <c r="L1731" t="n">
        <v>30</v>
      </c>
      <c r="M1731" t="n">
        <v>30</v>
      </c>
      <c r="N1731" t="n">
        <v>66</v>
      </c>
      <c r="O1731" t="inlineStr">
        <is>
          <t>2026-10-05 UTC (WFM pull 02:52-04:00)</t>
        </is>
      </c>
      <c r="P1731" t="inlineStr">
        <is>
          <t>OK</t>
        </is>
      </c>
      <c r="R1731" t="inlineStr">
        <is>
          <t>Arcanes share across items like mods (one max-rank copy covers every build).</t>
        </is>
      </c>
      <c r="S1731" t="inlineStr">
        <is>
          <t>arcane_phantasm</t>
        </is>
      </c>
      <c r="T1731" t="n">
        <v>5</v>
      </c>
      <c r="U1731" t="n">
        <v>5</v>
      </c>
      <c r="V1731" t="n">
        <v>20</v>
      </c>
      <c r="W1731" t="n">
        <v>20</v>
      </c>
      <c r="X1731" t="n">
        <v>21</v>
      </c>
      <c r="Y1731" t="n">
        <v>219</v>
      </c>
      <c r="Z1731" t="n">
        <v>7</v>
      </c>
      <c r="AA1731" t="n">
        <v>7</v>
      </c>
      <c r="AB1731" t="n">
        <v>23</v>
      </c>
      <c r="AQ1731" t="n">
        <v>3</v>
      </c>
      <c r="AR1731" t="n">
        <v>63</v>
      </c>
      <c r="AS1731" t="inlineStr">
        <is>
          <t>Collection (optional)</t>
        </is>
      </c>
    </row>
    <row r="1732">
      <c r="A1732" t="inlineStr">
        <is>
          <t>Arcane</t>
        </is>
      </c>
      <c r="B1732" t="inlineStr">
        <is>
          <t>Arcane Pistoleer</t>
        </is>
      </c>
      <c r="E1732" t="inlineStr">
        <is>
          <t>Warframe</t>
        </is>
      </c>
      <c r="F1732" t="n">
        <v>5</v>
      </c>
      <c r="G1732" t="n">
        <v>1</v>
      </c>
      <c r="H1732" t="inlineStr">
        <is>
          <t>Player trade (max rank)</t>
        </is>
      </c>
      <c r="I1732" t="inlineStr">
        <is>
          <t>Yes</t>
        </is>
      </c>
      <c r="K1732" t="inlineStr">
        <is>
          <t>Collection (optional)</t>
        </is>
      </c>
      <c r="L1732" t="n">
        <v>55</v>
      </c>
      <c r="M1732" t="n">
        <v>55</v>
      </c>
      <c r="N1732" t="n">
        <v>62</v>
      </c>
      <c r="O1732" t="inlineStr">
        <is>
          <t>2026-10-05 UTC (WFM pull 02:52-04:00)</t>
        </is>
      </c>
      <c r="P1732" t="inlineStr">
        <is>
          <t>OK</t>
        </is>
      </c>
      <c r="R1732" t="inlineStr">
        <is>
          <t>Arcanes share across items like mods (one max-rank copy covers every build).</t>
        </is>
      </c>
      <c r="S1732" t="inlineStr">
        <is>
          <t>arcane_pistoleer</t>
        </is>
      </c>
      <c r="T1732" t="n">
        <v>19</v>
      </c>
      <c r="U1732" t="n">
        <v>19</v>
      </c>
      <c r="V1732" t="n">
        <v>50</v>
      </c>
      <c r="W1732" t="n">
        <v>48</v>
      </c>
      <c r="X1732" t="n">
        <v>47.2</v>
      </c>
      <c r="Y1732" t="n">
        <v>8311</v>
      </c>
      <c r="Z1732" t="n">
        <v>234</v>
      </c>
      <c r="AA1732" t="n">
        <v>45</v>
      </c>
      <c r="AB1732" t="n">
        <v>10</v>
      </c>
      <c r="AQ1732" t="n">
        <v>4</v>
      </c>
      <c r="AR1732" t="n">
        <v>84</v>
      </c>
      <c r="AS1732" t="inlineStr">
        <is>
          <t>Collection (optional)</t>
        </is>
      </c>
    </row>
    <row r="1733">
      <c r="A1733" t="inlineStr">
        <is>
          <t>Arcane</t>
        </is>
      </c>
      <c r="B1733" t="inlineStr">
        <is>
          <t>Arcane Power Ramp</t>
        </is>
      </c>
      <c r="E1733" t="inlineStr">
        <is>
          <t>Warframe</t>
        </is>
      </c>
      <c r="F1733" t="n">
        <v>5</v>
      </c>
      <c r="G1733" t="n">
        <v>1</v>
      </c>
      <c r="H1733" t="inlineStr">
        <is>
          <t>Player trade (max rank)</t>
        </is>
      </c>
      <c r="I1733" t="inlineStr">
        <is>
          <t>Yes</t>
        </is>
      </c>
      <c r="K1733" t="inlineStr">
        <is>
          <t>Collection (optional)</t>
        </is>
      </c>
      <c r="L1733" t="n">
        <v>30</v>
      </c>
      <c r="M1733" t="n">
        <v>35</v>
      </c>
      <c r="N1733" t="n">
        <v>44</v>
      </c>
      <c r="O1733" t="inlineStr">
        <is>
          <t>2026-10-05 UTC (WFM pull 02:52-04:00)</t>
        </is>
      </c>
      <c r="P1733" t="inlineStr">
        <is>
          <t>OK</t>
        </is>
      </c>
      <c r="R1733" t="inlineStr">
        <is>
          <t>Arcanes share across items like mods (one max-rank copy covers every build).</t>
        </is>
      </c>
      <c r="S1733" t="inlineStr">
        <is>
          <t>arcane_power_ramp</t>
        </is>
      </c>
      <c r="T1733" t="n">
        <v>15</v>
      </c>
      <c r="U1733" t="n">
        <v>15</v>
      </c>
      <c r="V1733" t="n">
        <v>35</v>
      </c>
      <c r="W1733" t="n">
        <v>38.5</v>
      </c>
      <c r="X1733" t="n">
        <v>37.6</v>
      </c>
      <c r="Y1733" t="n">
        <v>742</v>
      </c>
      <c r="Z1733" t="n">
        <v>11</v>
      </c>
      <c r="AA1733" t="n">
        <v>20</v>
      </c>
      <c r="AB1733" t="n">
        <v>10</v>
      </c>
      <c r="AQ1733" t="n">
        <v>5.2</v>
      </c>
      <c r="AR1733" t="n">
        <v>109.2</v>
      </c>
      <c r="AS1733" t="inlineStr">
        <is>
          <t>Collection (optional)</t>
        </is>
      </c>
    </row>
    <row r="1734">
      <c r="A1734" t="inlineStr">
        <is>
          <t>Arcane</t>
        </is>
      </c>
      <c r="B1734" t="inlineStr">
        <is>
          <t>Arcane Precision</t>
        </is>
      </c>
      <c r="E1734" t="inlineStr">
        <is>
          <t>Warframe</t>
        </is>
      </c>
      <c r="F1734" t="n">
        <v>5</v>
      </c>
      <c r="G1734" t="n">
        <v>1</v>
      </c>
      <c r="H1734" t="inlineStr">
        <is>
          <t>Player trade (max rank)</t>
        </is>
      </c>
      <c r="I1734" t="inlineStr">
        <is>
          <t>Yes</t>
        </is>
      </c>
      <c r="K1734" t="inlineStr">
        <is>
          <t>Required (v3 build list)</t>
        </is>
      </c>
      <c r="L1734" t="n">
        <v>145</v>
      </c>
      <c r="M1734" t="n">
        <v>150</v>
      </c>
      <c r="N1734" t="n">
        <v>176</v>
      </c>
      <c r="O1734" t="inlineStr">
        <is>
          <t>2026-10-05 UTC (WFM pull 02:52-04:00)</t>
        </is>
      </c>
      <c r="P1734" t="inlineStr">
        <is>
          <t>OK</t>
        </is>
      </c>
      <c r="R1734" t="inlineStr">
        <is>
          <t>Arcanes share across items like mods (one max-rank copy covers every build).</t>
        </is>
      </c>
      <c r="S1734" t="inlineStr">
        <is>
          <t>arcane_precision</t>
        </is>
      </c>
      <c r="T1734" t="n">
        <v>30</v>
      </c>
      <c r="U1734" t="n">
        <v>30</v>
      </c>
      <c r="V1734" t="n">
        <v>160</v>
      </c>
      <c r="W1734" t="n">
        <v>150</v>
      </c>
      <c r="X1734" t="n">
        <v>141</v>
      </c>
      <c r="Y1734" t="n">
        <v>5120</v>
      </c>
      <c r="Z1734" t="n">
        <v>125</v>
      </c>
      <c r="AA1734" t="n">
        <v>145</v>
      </c>
      <c r="AB1734" t="n">
        <v>0</v>
      </c>
      <c r="AQ1734" t="n">
        <v>10</v>
      </c>
      <c r="AR1734" t="n">
        <v>210</v>
      </c>
      <c r="AS1734" t="inlineStr">
        <is>
          <t>Yes</t>
        </is>
      </c>
    </row>
    <row r="1735">
      <c r="A1735" t="inlineStr">
        <is>
          <t>Arcane</t>
        </is>
      </c>
      <c r="B1735" t="inlineStr">
        <is>
          <t>Arcane Primary Charger</t>
        </is>
      </c>
      <c r="E1735" t="inlineStr">
        <is>
          <t>Warframe</t>
        </is>
      </c>
      <c r="F1735" t="n">
        <v>5</v>
      </c>
      <c r="G1735" t="n">
        <v>1</v>
      </c>
      <c r="H1735" t="inlineStr">
        <is>
          <t>Player trade (max rank)</t>
        </is>
      </c>
      <c r="I1735" t="inlineStr">
        <is>
          <t>Yes</t>
        </is>
      </c>
      <c r="K1735" t="inlineStr">
        <is>
          <t>Collection (optional)</t>
        </is>
      </c>
      <c r="L1735" t="n">
        <v>20</v>
      </c>
      <c r="M1735" t="n">
        <v>24</v>
      </c>
      <c r="N1735" t="n">
        <v>28</v>
      </c>
      <c r="O1735" t="inlineStr">
        <is>
          <t>2026-10-05 UTC (WFM pull 02:52-04:00)</t>
        </is>
      </c>
      <c r="P1735" t="inlineStr">
        <is>
          <t>OK</t>
        </is>
      </c>
      <c r="R1735" t="inlineStr">
        <is>
          <t>Arcanes share across items like mods (one max-rank copy covers every build).</t>
        </is>
      </c>
      <c r="S1735" t="inlineStr">
        <is>
          <t>arcane_primary_charger</t>
        </is>
      </c>
      <c r="T1735" t="n">
        <v>15</v>
      </c>
      <c r="U1735" t="n">
        <v>15</v>
      </c>
      <c r="V1735" t="n">
        <v>19</v>
      </c>
      <c r="W1735" t="n">
        <v>20</v>
      </c>
      <c r="X1735" t="n">
        <v>21.1</v>
      </c>
      <c r="Y1735" t="n">
        <v>222</v>
      </c>
      <c r="Z1735" t="n">
        <v>4</v>
      </c>
      <c r="AA1735" t="n">
        <v>7</v>
      </c>
      <c r="AB1735" t="n">
        <v>13</v>
      </c>
      <c r="AQ1735" t="n">
        <v>5</v>
      </c>
      <c r="AR1735" t="n">
        <v>105</v>
      </c>
      <c r="AS1735" t="inlineStr">
        <is>
          <t>Collection (optional)</t>
        </is>
      </c>
    </row>
    <row r="1736">
      <c r="A1736" t="inlineStr">
        <is>
          <t>Arcane</t>
        </is>
      </c>
      <c r="B1736" t="inlineStr">
        <is>
          <t>Arcane Pulse</t>
        </is>
      </c>
      <c r="E1736" t="inlineStr">
        <is>
          <t>Warframe</t>
        </is>
      </c>
      <c r="F1736" t="n">
        <v>5</v>
      </c>
      <c r="G1736" t="n">
        <v>1</v>
      </c>
      <c r="H1736" t="inlineStr">
        <is>
          <t>Player trade (max rank)</t>
        </is>
      </c>
      <c r="I1736" t="inlineStr">
        <is>
          <t>Yes</t>
        </is>
      </c>
      <c r="K1736" t="inlineStr">
        <is>
          <t>Collection (optional)</t>
        </is>
      </c>
      <c r="L1736" t="n">
        <v>20</v>
      </c>
      <c r="M1736" t="n">
        <v>20</v>
      </c>
      <c r="N1736" t="n">
        <v>28</v>
      </c>
      <c r="O1736" t="inlineStr">
        <is>
          <t>2026-10-05 UTC (WFM pull 02:52-04:00)</t>
        </is>
      </c>
      <c r="P1736" t="inlineStr">
        <is>
          <t>OK</t>
        </is>
      </c>
      <c r="R1736" t="inlineStr">
        <is>
          <t>Arcanes share across items like mods (one max-rank copy covers every build).</t>
        </is>
      </c>
      <c r="S1736" t="inlineStr">
        <is>
          <t>arcane_pulse</t>
        </is>
      </c>
      <c r="T1736" t="n">
        <v>11</v>
      </c>
      <c r="U1736" t="n">
        <v>11</v>
      </c>
      <c r="V1736" t="n">
        <v>18</v>
      </c>
      <c r="W1736" t="n">
        <v>17.5</v>
      </c>
      <c r="X1736" t="n">
        <v>16.7</v>
      </c>
      <c r="Y1736" t="n">
        <v>164</v>
      </c>
      <c r="Z1736" t="n">
        <v>3</v>
      </c>
      <c r="AA1736" t="n">
        <v>15</v>
      </c>
      <c r="AB1736" t="n">
        <v>5</v>
      </c>
      <c r="AQ1736" t="n">
        <v>2</v>
      </c>
      <c r="AR1736" t="n">
        <v>42</v>
      </c>
      <c r="AS1736" t="inlineStr">
        <is>
          <t>Collection (optional)</t>
        </is>
      </c>
    </row>
    <row r="1737">
      <c r="A1737" t="inlineStr">
        <is>
          <t>Arcane</t>
        </is>
      </c>
      <c r="B1737" t="inlineStr">
        <is>
          <t>Arcane Rage</t>
        </is>
      </c>
      <c r="E1737" t="inlineStr">
        <is>
          <t>Warframe</t>
        </is>
      </c>
      <c r="F1737" t="n">
        <v>5</v>
      </c>
      <c r="G1737" t="n">
        <v>1</v>
      </c>
      <c r="H1737" t="inlineStr">
        <is>
          <t>Player trade (max rank)</t>
        </is>
      </c>
      <c r="I1737" t="inlineStr">
        <is>
          <t>Yes</t>
        </is>
      </c>
      <c r="K1737" t="inlineStr">
        <is>
          <t>Collection (optional)</t>
        </is>
      </c>
      <c r="L1737" t="n">
        <v>50</v>
      </c>
      <c r="M1737" t="n">
        <v>50</v>
      </c>
      <c r="N1737" t="n">
        <v>56</v>
      </c>
      <c r="O1737" t="inlineStr">
        <is>
          <t>2026-10-05 UTC (WFM pull 02:52-04:00)</t>
        </is>
      </c>
      <c r="P1737" t="inlineStr">
        <is>
          <t>OK</t>
        </is>
      </c>
      <c r="R1737" t="inlineStr">
        <is>
          <t>Arcanes share across items like mods (one max-rank copy covers every build).</t>
        </is>
      </c>
      <c r="S1737" t="inlineStr">
        <is>
          <t>arcane_rage</t>
        </is>
      </c>
      <c r="T1737" t="n">
        <v>26</v>
      </c>
      <c r="U1737" t="n">
        <v>26</v>
      </c>
      <c r="V1737" t="n">
        <v>50</v>
      </c>
      <c r="W1737" t="n">
        <v>45</v>
      </c>
      <c r="X1737" t="n">
        <v>44.7</v>
      </c>
      <c r="Y1737" t="n">
        <v>3103</v>
      </c>
      <c r="Z1737" t="n">
        <v>73</v>
      </c>
      <c r="AA1737" t="n">
        <v>27</v>
      </c>
      <c r="AB1737" t="n">
        <v>23</v>
      </c>
      <c r="AQ1737" t="n">
        <v>3</v>
      </c>
      <c r="AR1737" t="n">
        <v>63</v>
      </c>
      <c r="AS1737" t="inlineStr">
        <is>
          <t>Collection (optional)</t>
        </is>
      </c>
    </row>
    <row r="1738">
      <c r="A1738" t="inlineStr">
        <is>
          <t>Arcane</t>
        </is>
      </c>
      <c r="B1738" t="inlineStr">
        <is>
          <t>Arcane Reaper</t>
        </is>
      </c>
      <c r="E1738" t="inlineStr">
        <is>
          <t>Warframe</t>
        </is>
      </c>
      <c r="F1738" t="n">
        <v>5</v>
      </c>
      <c r="G1738" t="n">
        <v>1</v>
      </c>
      <c r="H1738" t="inlineStr">
        <is>
          <t>Player trade (max rank)</t>
        </is>
      </c>
      <c r="I1738" t="inlineStr">
        <is>
          <t>Yes</t>
        </is>
      </c>
      <c r="K1738" t="inlineStr">
        <is>
          <t>Collection (optional)</t>
        </is>
      </c>
      <c r="L1738" t="n">
        <v>350</v>
      </c>
      <c r="M1738" t="n">
        <v>390</v>
      </c>
      <c r="N1738" t="n">
        <v>441</v>
      </c>
      <c r="O1738" t="inlineStr">
        <is>
          <t>2026-10-05 UTC (WFM pull 02:52-04:00)</t>
        </is>
      </c>
      <c r="P1738" t="inlineStr">
        <is>
          <t>OK</t>
        </is>
      </c>
      <c r="Q1738" t="inlineStr">
        <is>
          <t>Cheaper via 21x R0 (294p realistic) than buying max rank</t>
        </is>
      </c>
      <c r="R1738" t="inlineStr">
        <is>
          <t>Arcanes share across items like mods (one max-rank copy covers every build).</t>
        </is>
      </c>
      <c r="S1738" t="inlineStr">
        <is>
          <t>arcane_reaper</t>
        </is>
      </c>
      <c r="T1738" t="n">
        <v>15</v>
      </c>
      <c r="U1738" t="n">
        <v>15</v>
      </c>
      <c r="V1738" t="n">
        <v>395</v>
      </c>
      <c r="W1738" t="n">
        <v>397</v>
      </c>
      <c r="X1738" t="n">
        <v>394.5</v>
      </c>
      <c r="Y1738" t="n">
        <v>1371</v>
      </c>
      <c r="Z1738" t="n">
        <v>19</v>
      </c>
      <c r="AA1738" t="n">
        <v>320</v>
      </c>
      <c r="AB1738" t="n">
        <v>30</v>
      </c>
      <c r="AQ1738" t="n">
        <v>14</v>
      </c>
      <c r="AR1738" t="n">
        <v>294</v>
      </c>
      <c r="AS1738" t="inlineStr">
        <is>
          <t>Collection (optional)</t>
        </is>
      </c>
    </row>
    <row r="1739">
      <c r="A1739" t="inlineStr">
        <is>
          <t>Arcane</t>
        </is>
      </c>
      <c r="B1739" t="inlineStr">
        <is>
          <t>Arcane Resistance</t>
        </is>
      </c>
      <c r="E1739" t="inlineStr">
        <is>
          <t>Warframe</t>
        </is>
      </c>
      <c r="F1739" t="n">
        <v>5</v>
      </c>
      <c r="G1739" t="n">
        <v>1</v>
      </c>
      <c r="H1739" t="inlineStr">
        <is>
          <t>Player trade (max rank)</t>
        </is>
      </c>
      <c r="I1739" t="inlineStr">
        <is>
          <t>Yes</t>
        </is>
      </c>
      <c r="K1739" t="inlineStr">
        <is>
          <t>Collection (optional)</t>
        </is>
      </c>
      <c r="L1739" t="n">
        <v>45</v>
      </c>
      <c r="M1739" t="n">
        <v>49</v>
      </c>
      <c r="N1739" t="n">
        <v>58</v>
      </c>
      <c r="O1739" t="inlineStr">
        <is>
          <t>2026-10-05 UTC (WFM pull 02:52-04:00)</t>
        </is>
      </c>
      <c r="P1739" t="inlineStr">
        <is>
          <t>OK</t>
        </is>
      </c>
      <c r="R1739" t="inlineStr">
        <is>
          <t>Arcanes share across items like mods (one max-rank copy covers every build).</t>
        </is>
      </c>
      <c r="S1739" t="inlineStr">
        <is>
          <t>arcane_resistance</t>
        </is>
      </c>
      <c r="T1739" t="n">
        <v>11</v>
      </c>
      <c r="U1739" t="n">
        <v>11</v>
      </c>
      <c r="V1739" t="n">
        <v>47.5</v>
      </c>
      <c r="W1739" t="n">
        <v>45</v>
      </c>
      <c r="X1739" t="n">
        <v>44.5</v>
      </c>
      <c r="Y1739" t="n">
        <v>402</v>
      </c>
      <c r="Z1739" t="n">
        <v>13</v>
      </c>
      <c r="AA1739" t="n">
        <v>15</v>
      </c>
      <c r="AB1739" t="n">
        <v>30</v>
      </c>
      <c r="AQ1739" t="n">
        <v>5</v>
      </c>
      <c r="AR1739" t="n">
        <v>105</v>
      </c>
      <c r="AS1739" t="inlineStr">
        <is>
          <t>Collection (optional)</t>
        </is>
      </c>
    </row>
    <row r="1740">
      <c r="A1740" t="inlineStr">
        <is>
          <t>Arcane</t>
        </is>
      </c>
      <c r="B1740" t="inlineStr">
        <is>
          <t>Arcane Rise</t>
        </is>
      </c>
      <c r="E1740" t="inlineStr">
        <is>
          <t>Warframe</t>
        </is>
      </c>
      <c r="F1740" t="n">
        <v>5</v>
      </c>
      <c r="G1740" t="n">
        <v>1</v>
      </c>
      <c r="H1740" t="inlineStr">
        <is>
          <t>Player trade (max rank)</t>
        </is>
      </c>
      <c r="I1740" t="inlineStr">
        <is>
          <t>Yes</t>
        </is>
      </c>
      <c r="K1740" t="inlineStr">
        <is>
          <t>Collection (optional)</t>
        </is>
      </c>
      <c r="L1740" t="n">
        <v>30</v>
      </c>
      <c r="M1740" t="n">
        <v>30</v>
      </c>
      <c r="N1740" t="n">
        <v>50</v>
      </c>
      <c r="O1740" t="inlineStr">
        <is>
          <t>2026-10-05 UTC (WFM pull 02:52-04:00)</t>
        </is>
      </c>
      <c r="P1740" t="inlineStr">
        <is>
          <t>OK</t>
        </is>
      </c>
      <c r="R1740" t="inlineStr">
        <is>
          <t>Arcanes share across items like mods (one max-rank copy covers every build).</t>
        </is>
      </c>
      <c r="S1740" t="inlineStr">
        <is>
          <t>arcane_rise</t>
        </is>
      </c>
      <c r="T1740" t="n">
        <v>10</v>
      </c>
      <c r="U1740" t="n">
        <v>10</v>
      </c>
      <c r="V1740" t="n">
        <v>35</v>
      </c>
      <c r="W1740" t="n">
        <v>27</v>
      </c>
      <c r="X1740" t="n">
        <v>29.6</v>
      </c>
      <c r="Y1740" t="n">
        <v>1545</v>
      </c>
      <c r="Z1740" t="n">
        <v>22</v>
      </c>
      <c r="AA1740" t="n">
        <v>10</v>
      </c>
      <c r="AB1740" t="n">
        <v>20</v>
      </c>
      <c r="AQ1740" t="n">
        <v>3</v>
      </c>
      <c r="AR1740" t="n">
        <v>63</v>
      </c>
      <c r="AS1740" t="inlineStr">
        <is>
          <t>Collection (optional)</t>
        </is>
      </c>
    </row>
    <row r="1741">
      <c r="A1741" t="inlineStr">
        <is>
          <t>Arcane</t>
        </is>
      </c>
      <c r="B1741" t="inlineStr">
        <is>
          <t>Arcane Sculptor</t>
        </is>
      </c>
      <c r="E1741" t="inlineStr">
        <is>
          <t>Warframe</t>
        </is>
      </c>
      <c r="F1741" t="n">
        <v>5</v>
      </c>
      <c r="G1741" t="n">
        <v>1</v>
      </c>
      <c r="H1741" t="inlineStr">
        <is>
          <t>Player trade (max rank)</t>
        </is>
      </c>
      <c r="I1741" t="inlineStr">
        <is>
          <t>Yes</t>
        </is>
      </c>
      <c r="K1741" t="inlineStr">
        <is>
          <t>Collection (optional)</t>
        </is>
      </c>
      <c r="L1741" t="n">
        <v>180</v>
      </c>
      <c r="M1741" t="n">
        <v>190</v>
      </c>
      <c r="N1741" t="n">
        <v>210</v>
      </c>
      <c r="O1741" t="inlineStr">
        <is>
          <t>2026-10-05 UTC (WFM pull 02:52-04:00)</t>
        </is>
      </c>
      <c r="P1741" t="inlineStr">
        <is>
          <t>OK</t>
        </is>
      </c>
      <c r="R1741" t="inlineStr">
        <is>
          <t>Arcanes share across items like mods (one max-rank copy covers every build).</t>
        </is>
      </c>
      <c r="S1741" t="inlineStr">
        <is>
          <t>arcane_sculptor</t>
        </is>
      </c>
      <c r="T1741" t="n">
        <v>24</v>
      </c>
      <c r="U1741" t="n">
        <v>24</v>
      </c>
      <c r="V1741" t="n">
        <v>190</v>
      </c>
      <c r="W1741" t="n">
        <v>145</v>
      </c>
      <c r="X1741" t="n">
        <v>153.9</v>
      </c>
      <c r="Y1741" t="n">
        <v>21742</v>
      </c>
      <c r="Z1741" t="n">
        <v>691</v>
      </c>
      <c r="AA1741" t="n">
        <v>163</v>
      </c>
      <c r="AB1741" t="n">
        <v>17</v>
      </c>
      <c r="AQ1741" t="n">
        <v>10</v>
      </c>
      <c r="AR1741" t="n">
        <v>210</v>
      </c>
      <c r="AS1741" t="inlineStr">
        <is>
          <t>Collection (optional)</t>
        </is>
      </c>
    </row>
    <row r="1742">
      <c r="A1742" t="inlineStr">
        <is>
          <t>Arcane</t>
        </is>
      </c>
      <c r="B1742" t="inlineStr">
        <is>
          <t>Arcane Steadfast</t>
        </is>
      </c>
      <c r="E1742" t="inlineStr">
        <is>
          <t>Warframe</t>
        </is>
      </c>
      <c r="F1742" t="n">
        <v>5</v>
      </c>
      <c r="G1742" t="n">
        <v>1</v>
      </c>
      <c r="H1742" t="inlineStr">
        <is>
          <t>Player trade (max rank)</t>
        </is>
      </c>
      <c r="I1742" t="inlineStr">
        <is>
          <t>Yes</t>
        </is>
      </c>
      <c r="K1742" t="inlineStr">
        <is>
          <t>Collection (optional)</t>
        </is>
      </c>
      <c r="L1742" t="n">
        <v>220</v>
      </c>
      <c r="M1742" t="n">
        <v>225</v>
      </c>
      <c r="N1742" t="n">
        <v>254</v>
      </c>
      <c r="O1742" t="inlineStr">
        <is>
          <t>2026-10-05 UTC (WFM pull 02:52-04:00)</t>
        </is>
      </c>
      <c r="P1742" t="inlineStr">
        <is>
          <t>OK</t>
        </is>
      </c>
      <c r="R1742" t="inlineStr">
        <is>
          <t>Arcanes share across items like mods (one max-rank copy covers every build).</t>
        </is>
      </c>
      <c r="S1742" t="inlineStr">
        <is>
          <t>arcane_steadfast</t>
        </is>
      </c>
      <c r="T1742" t="n">
        <v>23</v>
      </c>
      <c r="U1742" t="n">
        <v>23</v>
      </c>
      <c r="V1742" t="n">
        <v>210</v>
      </c>
      <c r="W1742" t="n">
        <v>191.5</v>
      </c>
      <c r="X1742" t="n">
        <v>194.8</v>
      </c>
      <c r="Y1742" t="n">
        <v>5150</v>
      </c>
      <c r="Z1742" t="n">
        <v>223</v>
      </c>
      <c r="AA1742" t="n">
        <v>205</v>
      </c>
      <c r="AB1742" t="n">
        <v>15</v>
      </c>
      <c r="AQ1742" t="n">
        <v>15</v>
      </c>
      <c r="AR1742" t="n">
        <v>315</v>
      </c>
      <c r="AS1742" t="inlineStr">
        <is>
          <t>Collection (optional)</t>
        </is>
      </c>
    </row>
    <row r="1743">
      <c r="A1743" t="inlineStr">
        <is>
          <t>Arcane</t>
        </is>
      </c>
      <c r="B1743" t="inlineStr">
        <is>
          <t>Arcane Strike</t>
        </is>
      </c>
      <c r="E1743" t="inlineStr">
        <is>
          <t>Warframe</t>
        </is>
      </c>
      <c r="F1743" t="n">
        <v>5</v>
      </c>
      <c r="G1743" t="n">
        <v>1</v>
      </c>
      <c r="H1743" t="inlineStr">
        <is>
          <t>Player trade (max rank)</t>
        </is>
      </c>
      <c r="I1743" t="inlineStr">
        <is>
          <t>Yes</t>
        </is>
      </c>
      <c r="K1743" t="inlineStr">
        <is>
          <t>Required (v3 build list)</t>
        </is>
      </c>
      <c r="L1743" t="n">
        <v>80</v>
      </c>
      <c r="M1743" t="n">
        <v>88</v>
      </c>
      <c r="N1743" t="n">
        <v>108</v>
      </c>
      <c r="O1743" t="inlineStr">
        <is>
          <t>2026-10-05 UTC (WFM pull 02:52-04:00)</t>
        </is>
      </c>
      <c r="P1743" t="inlineStr">
        <is>
          <t>OK</t>
        </is>
      </c>
      <c r="R1743" t="inlineStr">
        <is>
          <t>Arcanes share across items like mods (one max-rank copy covers every build).</t>
        </is>
      </c>
      <c r="S1743" t="inlineStr">
        <is>
          <t>arcane_strike</t>
        </is>
      </c>
      <c r="T1743" t="n">
        <v>31</v>
      </c>
      <c r="U1743" t="n">
        <v>31</v>
      </c>
      <c r="V1743" t="n">
        <v>94</v>
      </c>
      <c r="W1743" t="n">
        <v>90</v>
      </c>
      <c r="X1743" t="n">
        <v>83.5</v>
      </c>
      <c r="Y1743" t="n">
        <v>4695</v>
      </c>
      <c r="Z1743" t="n">
        <v>114</v>
      </c>
      <c r="AA1743" t="n">
        <v>80</v>
      </c>
      <c r="AB1743" t="n">
        <v>0</v>
      </c>
      <c r="AQ1743" t="n">
        <v>7.5</v>
      </c>
      <c r="AR1743" t="n">
        <v>157.5</v>
      </c>
      <c r="AS1743" t="inlineStr">
        <is>
          <t>Yes</t>
        </is>
      </c>
    </row>
    <row r="1744">
      <c r="A1744" t="inlineStr">
        <is>
          <t>Arcane</t>
        </is>
      </c>
      <c r="B1744" t="inlineStr">
        <is>
          <t>Arcane Tanker</t>
        </is>
      </c>
      <c r="E1744" t="inlineStr">
        <is>
          <t>Warframe</t>
        </is>
      </c>
      <c r="F1744" t="n">
        <v>5</v>
      </c>
      <c r="G1744" t="n">
        <v>1</v>
      </c>
      <c r="H1744" t="inlineStr">
        <is>
          <t>Player trade (max rank)</t>
        </is>
      </c>
      <c r="I1744" t="inlineStr">
        <is>
          <t>Yes</t>
        </is>
      </c>
      <c r="K1744" t="inlineStr">
        <is>
          <t>Collection (optional)</t>
        </is>
      </c>
      <c r="L1744" t="n">
        <v>24</v>
      </c>
      <c r="M1744" t="n">
        <v>30</v>
      </c>
      <c r="N1744" t="n">
        <v>38</v>
      </c>
      <c r="O1744" t="inlineStr">
        <is>
          <t>2026-10-05 UTC (WFM pull 02:52-04:00)</t>
        </is>
      </c>
      <c r="P1744" t="inlineStr">
        <is>
          <t>OK</t>
        </is>
      </c>
      <c r="R1744" t="inlineStr">
        <is>
          <t>Arcanes share across items like mods (one max-rank copy covers every build).</t>
        </is>
      </c>
      <c r="S1744" t="inlineStr">
        <is>
          <t>arcane_tanker</t>
        </is>
      </c>
      <c r="T1744" t="n">
        <v>9</v>
      </c>
      <c r="U1744" t="n">
        <v>9</v>
      </c>
      <c r="V1744" t="n">
        <v>25</v>
      </c>
      <c r="W1744" t="n">
        <v>28</v>
      </c>
      <c r="X1744" t="n">
        <v>28.2</v>
      </c>
      <c r="Y1744" t="n">
        <v>477</v>
      </c>
      <c r="Z1744" t="n">
        <v>9</v>
      </c>
      <c r="AA1744" t="n">
        <v>16</v>
      </c>
      <c r="AB1744" t="n">
        <v>8</v>
      </c>
      <c r="AQ1744" t="n">
        <v>3</v>
      </c>
      <c r="AR1744" t="n">
        <v>63</v>
      </c>
      <c r="AS1744" t="inlineStr">
        <is>
          <t>Collection (optional)</t>
        </is>
      </c>
    </row>
    <row r="1745">
      <c r="A1745" t="inlineStr">
        <is>
          <t>Arcane</t>
        </is>
      </c>
      <c r="B1745" t="inlineStr">
        <is>
          <t>Arcane Tempo</t>
        </is>
      </c>
      <c r="E1745" t="inlineStr">
        <is>
          <t>Warframe</t>
        </is>
      </c>
      <c r="F1745" t="n">
        <v>5</v>
      </c>
      <c r="G1745" t="n">
        <v>1</v>
      </c>
      <c r="H1745" t="inlineStr">
        <is>
          <t>Player trade (max rank)</t>
        </is>
      </c>
      <c r="I1745" t="inlineStr">
        <is>
          <t>Yes</t>
        </is>
      </c>
      <c r="K1745" t="inlineStr">
        <is>
          <t>Collection (optional)</t>
        </is>
      </c>
      <c r="L1745" t="n">
        <v>59</v>
      </c>
      <c r="M1745" t="n">
        <v>60</v>
      </c>
      <c r="N1745" t="n">
        <v>72</v>
      </c>
      <c r="O1745" t="inlineStr">
        <is>
          <t>2026-10-05 UTC (WFM pull 02:52-04:00)</t>
        </is>
      </c>
      <c r="P1745" t="inlineStr">
        <is>
          <t>OK</t>
        </is>
      </c>
      <c r="R1745" t="inlineStr">
        <is>
          <t>Arcanes share across items like mods (one max-rank copy covers every build).</t>
        </is>
      </c>
      <c r="S1745" t="inlineStr">
        <is>
          <t>arcane_tempo</t>
        </is>
      </c>
      <c r="T1745" t="n">
        <v>15</v>
      </c>
      <c r="U1745" t="n">
        <v>15</v>
      </c>
      <c r="V1745" t="n">
        <v>65</v>
      </c>
      <c r="W1745" t="n">
        <v>60</v>
      </c>
      <c r="X1745" t="n">
        <v>59.5</v>
      </c>
      <c r="Y1745" t="n">
        <v>2788</v>
      </c>
      <c r="Z1745" t="n">
        <v>57</v>
      </c>
      <c r="AA1745" t="n">
        <v>34</v>
      </c>
      <c r="AB1745" t="n">
        <v>25</v>
      </c>
      <c r="AQ1745" t="n">
        <v>5</v>
      </c>
      <c r="AR1745" t="n">
        <v>105</v>
      </c>
      <c r="AS1745" t="inlineStr">
        <is>
          <t>Collection (optional)</t>
        </is>
      </c>
    </row>
    <row r="1746">
      <c r="A1746" t="inlineStr">
        <is>
          <t>Arcane</t>
        </is>
      </c>
      <c r="B1746" t="inlineStr">
        <is>
          <t>Arcane Trickery</t>
        </is>
      </c>
      <c r="E1746" t="inlineStr">
        <is>
          <t>Warframe</t>
        </is>
      </c>
      <c r="F1746" t="n">
        <v>5</v>
      </c>
      <c r="G1746" t="n">
        <v>1</v>
      </c>
      <c r="H1746" t="inlineStr">
        <is>
          <t>Player trade (max rank)</t>
        </is>
      </c>
      <c r="I1746" t="inlineStr">
        <is>
          <t>Yes</t>
        </is>
      </c>
      <c r="K1746" t="inlineStr">
        <is>
          <t>Collection (optional)</t>
        </is>
      </c>
      <c r="L1746" t="n">
        <v>30</v>
      </c>
      <c r="M1746" t="n">
        <v>30</v>
      </c>
      <c r="N1746" t="n">
        <v>33</v>
      </c>
      <c r="O1746" t="inlineStr">
        <is>
          <t>2026-10-05 UTC (WFM pull 02:52-04:00)</t>
        </is>
      </c>
      <c r="P1746" t="inlineStr">
        <is>
          <t>OK</t>
        </is>
      </c>
      <c r="R1746" t="inlineStr">
        <is>
          <t>Arcanes share across items like mods (one max-rank copy covers every build).</t>
        </is>
      </c>
      <c r="S1746" t="inlineStr">
        <is>
          <t>arcane_trickery</t>
        </is>
      </c>
      <c r="T1746" t="n">
        <v>12</v>
      </c>
      <c r="U1746" t="n">
        <v>12</v>
      </c>
      <c r="V1746" t="n">
        <v>23</v>
      </c>
      <c r="W1746" t="n">
        <v>23.5</v>
      </c>
      <c r="X1746" t="n">
        <v>23.4</v>
      </c>
      <c r="Y1746" t="n">
        <v>392</v>
      </c>
      <c r="Z1746" t="n">
        <v>7</v>
      </c>
      <c r="AA1746" t="n">
        <v>10</v>
      </c>
      <c r="AB1746" t="n">
        <v>20</v>
      </c>
      <c r="AQ1746" t="n">
        <v>3</v>
      </c>
      <c r="AR1746" t="n">
        <v>63</v>
      </c>
      <c r="AS1746" t="inlineStr">
        <is>
          <t>Collection (optional)</t>
        </is>
      </c>
    </row>
    <row r="1747">
      <c r="A1747" t="inlineStr">
        <is>
          <t>Arcane</t>
        </is>
      </c>
      <c r="B1747" t="inlineStr">
        <is>
          <t>Arcane Truculence</t>
        </is>
      </c>
      <c r="E1747" t="inlineStr">
        <is>
          <t>Warframe</t>
        </is>
      </c>
      <c r="F1747" t="n">
        <v>5</v>
      </c>
      <c r="G1747" t="n">
        <v>1</v>
      </c>
      <c r="H1747" t="inlineStr">
        <is>
          <t>Player trade (max rank)</t>
        </is>
      </c>
      <c r="I1747" t="inlineStr">
        <is>
          <t>Yes</t>
        </is>
      </c>
      <c r="K1747" t="inlineStr">
        <is>
          <t>Collection (optional)</t>
        </is>
      </c>
      <c r="L1747" t="n">
        <v>19</v>
      </c>
      <c r="M1747" t="n">
        <v>20</v>
      </c>
      <c r="N1747" t="n">
        <v>22</v>
      </c>
      <c r="O1747" t="inlineStr">
        <is>
          <t>2026-10-05 UTC (WFM pull 02:52-04:00)</t>
        </is>
      </c>
      <c r="P1747" t="inlineStr">
        <is>
          <t>OK</t>
        </is>
      </c>
      <c r="R1747" t="inlineStr">
        <is>
          <t>Arcanes share across items like mods (one max-rank copy covers every build).</t>
        </is>
      </c>
      <c r="S1747" t="inlineStr">
        <is>
          <t>arcane_truculence</t>
        </is>
      </c>
      <c r="T1747" t="n">
        <v>20</v>
      </c>
      <c r="U1747" t="n">
        <v>20</v>
      </c>
      <c r="V1747" t="n">
        <v>20</v>
      </c>
      <c r="W1747" t="n">
        <v>20</v>
      </c>
      <c r="X1747" t="n">
        <v>19.2</v>
      </c>
      <c r="Y1747" t="n">
        <v>3122</v>
      </c>
      <c r="Z1747" t="n">
        <v>30</v>
      </c>
      <c r="AA1747" t="n">
        <v>10</v>
      </c>
      <c r="AB1747" t="n">
        <v>9</v>
      </c>
      <c r="AQ1747" t="n">
        <v>2</v>
      </c>
      <c r="AR1747" t="n">
        <v>42</v>
      </c>
      <c r="AS1747" t="inlineStr">
        <is>
          <t>Collection (optional)</t>
        </is>
      </c>
    </row>
    <row r="1748">
      <c r="A1748" t="inlineStr">
        <is>
          <t>Arcane</t>
        </is>
      </c>
      <c r="B1748" t="inlineStr">
        <is>
          <t>Arcane Ultimatum</t>
        </is>
      </c>
      <c r="E1748" t="inlineStr">
        <is>
          <t>Warframe</t>
        </is>
      </c>
      <c r="F1748" t="n">
        <v>5</v>
      </c>
      <c r="G1748" t="n">
        <v>1</v>
      </c>
      <c r="H1748" t="inlineStr">
        <is>
          <t>Player trade (max rank)</t>
        </is>
      </c>
      <c r="I1748" t="inlineStr">
        <is>
          <t>Yes</t>
        </is>
      </c>
      <c r="K1748" t="inlineStr">
        <is>
          <t>Collection (optional)</t>
        </is>
      </c>
      <c r="L1748" t="n">
        <v>30</v>
      </c>
      <c r="M1748" t="n">
        <v>30</v>
      </c>
      <c r="N1748" t="n">
        <v>66</v>
      </c>
      <c r="O1748" t="inlineStr">
        <is>
          <t>2026-10-05 UTC (WFM pull 02:52-04:00)</t>
        </is>
      </c>
      <c r="P1748" t="inlineStr">
        <is>
          <t>OK</t>
        </is>
      </c>
      <c r="R1748" t="inlineStr">
        <is>
          <t>Arcanes share across items like mods (one max-rank copy covers every build).</t>
        </is>
      </c>
      <c r="S1748" t="inlineStr">
        <is>
          <t>arcane_ultimatum</t>
        </is>
      </c>
      <c r="T1748" t="n">
        <v>6</v>
      </c>
      <c r="U1748" t="n">
        <v>6</v>
      </c>
      <c r="V1748" t="n">
        <v>20</v>
      </c>
      <c r="W1748" t="n">
        <v>20</v>
      </c>
      <c r="X1748" t="n">
        <v>20.1</v>
      </c>
      <c r="Y1748" t="n">
        <v>211</v>
      </c>
      <c r="Z1748" t="n">
        <v>2</v>
      </c>
      <c r="AA1748" t="n">
        <v>5</v>
      </c>
      <c r="AB1748" t="n">
        <v>25</v>
      </c>
      <c r="AQ1748" t="n">
        <v>3</v>
      </c>
      <c r="AR1748" t="n">
        <v>63</v>
      </c>
      <c r="AS1748" t="inlineStr">
        <is>
          <t>Collection (optional)</t>
        </is>
      </c>
    </row>
    <row r="1749">
      <c r="A1749" t="inlineStr">
        <is>
          <t>Arcane</t>
        </is>
      </c>
      <c r="B1749" t="inlineStr">
        <is>
          <t>Arcane Universal Fallout</t>
        </is>
      </c>
      <c r="E1749" t="inlineStr">
        <is>
          <t>Warframe</t>
        </is>
      </c>
      <c r="F1749" t="n">
        <v>5</v>
      </c>
      <c r="G1749" t="n">
        <v>1</v>
      </c>
      <c r="H1749" t="inlineStr">
        <is>
          <t>Player trade (max rank)</t>
        </is>
      </c>
      <c r="I1749" t="inlineStr">
        <is>
          <t>Yes</t>
        </is>
      </c>
      <c r="K1749" t="inlineStr">
        <is>
          <t>Collection (optional)</t>
        </is>
      </c>
      <c r="L1749" t="n">
        <v>90</v>
      </c>
      <c r="M1749" t="n">
        <v>95</v>
      </c>
      <c r="N1749" t="n">
        <v>111</v>
      </c>
      <c r="O1749" t="inlineStr">
        <is>
          <t>2026-10-05 UTC (WFM pull 02:52-04:00)</t>
        </is>
      </c>
      <c r="P1749" t="inlineStr">
        <is>
          <t>OK</t>
        </is>
      </c>
      <c r="R1749" t="inlineStr">
        <is>
          <t>Arcanes share across items like mods (one max-rank copy covers every build).</t>
        </is>
      </c>
      <c r="S1749" t="inlineStr">
        <is>
          <t>arcane_universal_fallout</t>
        </is>
      </c>
      <c r="T1749" t="n">
        <v>40</v>
      </c>
      <c r="U1749" t="n">
        <v>40</v>
      </c>
      <c r="V1749" t="n">
        <v>85</v>
      </c>
      <c r="W1749" t="n">
        <v>99</v>
      </c>
      <c r="X1749" t="n">
        <v>93.59999999999999</v>
      </c>
      <c r="Y1749" t="n">
        <v>3952</v>
      </c>
      <c r="Z1749" t="n">
        <v>135</v>
      </c>
      <c r="AA1749" t="n">
        <v>60</v>
      </c>
      <c r="AB1749" t="n">
        <v>30</v>
      </c>
      <c r="AQ1749" t="n">
        <v>5</v>
      </c>
      <c r="AR1749" t="n">
        <v>105</v>
      </c>
      <c r="AS1749" t="inlineStr">
        <is>
          <t>Collection (optional)</t>
        </is>
      </c>
    </row>
    <row r="1750">
      <c r="A1750" t="inlineStr">
        <is>
          <t>Arcane</t>
        </is>
      </c>
      <c r="B1750" t="inlineStr">
        <is>
          <t>Arcane Velocity</t>
        </is>
      </c>
      <c r="E1750" t="inlineStr">
        <is>
          <t>Warframe</t>
        </is>
      </c>
      <c r="F1750" t="n">
        <v>5</v>
      </c>
      <c r="G1750" t="n">
        <v>1</v>
      </c>
      <c r="H1750" t="inlineStr">
        <is>
          <t>Player trade (max rank)</t>
        </is>
      </c>
      <c r="I1750" t="inlineStr">
        <is>
          <t>Yes</t>
        </is>
      </c>
      <c r="K1750" t="inlineStr">
        <is>
          <t>Required (v3 build list)</t>
        </is>
      </c>
      <c r="L1750" t="n">
        <v>180</v>
      </c>
      <c r="M1750" t="n">
        <v>180</v>
      </c>
      <c r="N1750" t="n">
        <v>210</v>
      </c>
      <c r="O1750" t="inlineStr">
        <is>
          <t>2026-10-05 UTC (WFM pull 02:52-04:00)</t>
        </is>
      </c>
      <c r="P1750" t="inlineStr">
        <is>
          <t>OK</t>
        </is>
      </c>
      <c r="R1750" t="inlineStr">
        <is>
          <t>Arcanes share across items like mods (one max-rank copy covers every build).</t>
        </is>
      </c>
      <c r="S1750" t="inlineStr">
        <is>
          <t>arcane_velocity</t>
        </is>
      </c>
      <c r="T1750" t="n">
        <v>27</v>
      </c>
      <c r="U1750" t="n">
        <v>27</v>
      </c>
      <c r="V1750" t="n">
        <v>170</v>
      </c>
      <c r="W1750" t="n">
        <v>155</v>
      </c>
      <c r="X1750" t="n">
        <v>155.7</v>
      </c>
      <c r="Y1750" t="n">
        <v>11515</v>
      </c>
      <c r="Z1750" t="n">
        <v>192</v>
      </c>
      <c r="AA1750" t="n">
        <v>140</v>
      </c>
      <c r="AB1750" t="n">
        <v>40</v>
      </c>
      <c r="AQ1750" t="n">
        <v>10</v>
      </c>
      <c r="AR1750" t="n">
        <v>210</v>
      </c>
      <c r="AS1750" t="inlineStr">
        <is>
          <t>Yes</t>
        </is>
      </c>
    </row>
    <row r="1751">
      <c r="A1751" t="inlineStr">
        <is>
          <t>Arcane</t>
        </is>
      </c>
      <c r="B1751" t="inlineStr">
        <is>
          <t>Arcane Victory</t>
        </is>
      </c>
      <c r="E1751" t="inlineStr">
        <is>
          <t>Warframe</t>
        </is>
      </c>
      <c r="F1751" t="n">
        <v>5</v>
      </c>
      <c r="G1751" t="n">
        <v>1</v>
      </c>
      <c r="H1751" t="inlineStr">
        <is>
          <t>Player trade (max rank)</t>
        </is>
      </c>
      <c r="I1751" t="inlineStr">
        <is>
          <t>Yes</t>
        </is>
      </c>
      <c r="K1751" t="inlineStr">
        <is>
          <t>Collection (optional)</t>
        </is>
      </c>
      <c r="L1751" t="n">
        <v>25</v>
      </c>
      <c r="M1751" t="n">
        <v>25</v>
      </c>
      <c r="N1751" t="n">
        <v>56</v>
      </c>
      <c r="O1751" t="inlineStr">
        <is>
          <t>2026-10-05 UTC (WFM pull 02:52-04:00)</t>
        </is>
      </c>
      <c r="P1751" t="inlineStr">
        <is>
          <t>OK</t>
        </is>
      </c>
      <c r="R1751" t="inlineStr">
        <is>
          <t>Arcanes share across items like mods (one max-rank copy covers every build).</t>
        </is>
      </c>
      <c r="S1751" t="inlineStr">
        <is>
          <t>arcane_victory</t>
        </is>
      </c>
      <c r="T1751" t="n">
        <v>4</v>
      </c>
      <c r="U1751" t="n">
        <v>4</v>
      </c>
      <c r="V1751" t="n">
        <v>15</v>
      </c>
      <c r="W1751" t="n">
        <v>15</v>
      </c>
      <c r="X1751" t="n">
        <v>15.1</v>
      </c>
      <c r="Y1751" t="n">
        <v>136</v>
      </c>
      <c r="Z1751" t="n">
        <v>1</v>
      </c>
      <c r="AA1751" t="n">
        <v>8</v>
      </c>
      <c r="AB1751" t="n">
        <v>17</v>
      </c>
      <c r="AQ1751" t="n">
        <v>2</v>
      </c>
      <c r="AR1751" t="n">
        <v>42</v>
      </c>
      <c r="AS1751" t="inlineStr">
        <is>
          <t>Collection (optional)</t>
        </is>
      </c>
    </row>
    <row r="1752">
      <c r="A1752" t="inlineStr">
        <is>
          <t>Arcane</t>
        </is>
      </c>
      <c r="B1752" t="inlineStr">
        <is>
          <t>Arcane Warmth</t>
        </is>
      </c>
      <c r="E1752" t="inlineStr">
        <is>
          <t>Warframe</t>
        </is>
      </c>
      <c r="F1752" t="n">
        <v>5</v>
      </c>
      <c r="G1752" t="n">
        <v>1</v>
      </c>
      <c r="H1752" t="inlineStr">
        <is>
          <t>Player trade (max rank)</t>
        </is>
      </c>
      <c r="I1752" t="inlineStr">
        <is>
          <t>Yes</t>
        </is>
      </c>
      <c r="K1752" t="inlineStr">
        <is>
          <t>Collection (optional)</t>
        </is>
      </c>
      <c r="L1752" t="n">
        <v>20</v>
      </c>
      <c r="M1752" t="n">
        <v>20</v>
      </c>
      <c r="N1752" t="n">
        <v>33</v>
      </c>
      <c r="O1752" t="inlineStr">
        <is>
          <t>2026-10-05 UTC (WFM pull 02:52-04:00)</t>
        </is>
      </c>
      <c r="P1752" t="inlineStr">
        <is>
          <t>OK</t>
        </is>
      </c>
      <c r="R1752" t="inlineStr">
        <is>
          <t>Arcanes share across items like mods (one max-rank copy covers every build).</t>
        </is>
      </c>
      <c r="S1752" t="inlineStr">
        <is>
          <t>arcane_warmth</t>
        </is>
      </c>
      <c r="T1752" t="n">
        <v>7</v>
      </c>
      <c r="U1752" t="n">
        <v>7</v>
      </c>
      <c r="V1752" t="n">
        <v>10</v>
      </c>
      <c r="W1752" t="n">
        <v>14.5</v>
      </c>
      <c r="X1752" t="n">
        <v>14.4</v>
      </c>
      <c r="Y1752" t="n">
        <v>86</v>
      </c>
      <c r="Z1752" t="n">
        <v>2</v>
      </c>
      <c r="AA1752" t="n">
        <v>5</v>
      </c>
      <c r="AB1752" t="n">
        <v>15</v>
      </c>
      <c r="AQ1752" t="n">
        <v>3</v>
      </c>
      <c r="AR1752" t="n">
        <v>63</v>
      </c>
      <c r="AS1752" t="inlineStr">
        <is>
          <t>Collection (optional)</t>
        </is>
      </c>
    </row>
    <row r="1753">
      <c r="A1753" t="inlineStr">
        <is>
          <t>Arcane</t>
        </is>
      </c>
      <c r="B1753" t="inlineStr">
        <is>
          <t>Cascadia Accuracy</t>
        </is>
      </c>
      <c r="E1753" t="inlineStr">
        <is>
          <t>Secondary</t>
        </is>
      </c>
      <c r="F1753" t="n">
        <v>5</v>
      </c>
      <c r="G1753" t="n">
        <v>1</v>
      </c>
      <c r="H1753" t="inlineStr">
        <is>
          <t>Player trade (max rank)</t>
        </is>
      </c>
      <c r="I1753" t="inlineStr">
        <is>
          <t>Yes</t>
        </is>
      </c>
      <c r="K1753" t="inlineStr">
        <is>
          <t>Collection (optional)</t>
        </is>
      </c>
      <c r="L1753" t="n">
        <v>8</v>
      </c>
      <c r="M1753" t="n">
        <v>9</v>
      </c>
      <c r="N1753" t="n">
        <v>11</v>
      </c>
      <c r="O1753" t="inlineStr">
        <is>
          <t>2026-10-05 UTC (WFM pull 02:52-04:00)</t>
        </is>
      </c>
      <c r="P1753" t="inlineStr">
        <is>
          <t>OK</t>
        </is>
      </c>
      <c r="R1753" t="inlineStr">
        <is>
          <t>Arcanes share across items like mods (one max-rank copy covers every build).</t>
        </is>
      </c>
      <c r="S1753" t="inlineStr">
        <is>
          <t>cascadia_accuracy</t>
        </is>
      </c>
      <c r="T1753" t="n">
        <v>21</v>
      </c>
      <c r="U1753" t="n">
        <v>21</v>
      </c>
      <c r="V1753" t="n">
        <v>9</v>
      </c>
      <c r="W1753" t="n">
        <v>9</v>
      </c>
      <c r="X1753" t="n">
        <v>8.699999999999999</v>
      </c>
      <c r="Y1753" t="n">
        <v>388</v>
      </c>
      <c r="Z1753" t="n">
        <v>3</v>
      </c>
      <c r="AQ1753" t="n">
        <v>2</v>
      </c>
      <c r="AR1753" t="n">
        <v>42</v>
      </c>
      <c r="AS1753" t="inlineStr">
        <is>
          <t>Collection (optional)</t>
        </is>
      </c>
    </row>
    <row r="1754">
      <c r="A1754" t="inlineStr">
        <is>
          <t>Arcane</t>
        </is>
      </c>
      <c r="B1754" t="inlineStr">
        <is>
          <t>Cascadia Empowered</t>
        </is>
      </c>
      <c r="E1754" t="inlineStr">
        <is>
          <t>Secondary</t>
        </is>
      </c>
      <c r="F1754" t="n">
        <v>5</v>
      </c>
      <c r="G1754" t="n">
        <v>1</v>
      </c>
      <c r="H1754" t="inlineStr">
        <is>
          <t>Player trade (max rank)</t>
        </is>
      </c>
      <c r="I1754" t="inlineStr">
        <is>
          <t>Yes</t>
        </is>
      </c>
      <c r="K1754" t="inlineStr">
        <is>
          <t>Collection (optional)</t>
        </is>
      </c>
      <c r="L1754" t="n">
        <v>10</v>
      </c>
      <c r="M1754" t="n">
        <v>15</v>
      </c>
      <c r="N1754" t="n">
        <v>22</v>
      </c>
      <c r="O1754" t="inlineStr">
        <is>
          <t>2026-10-05 UTC (WFM pull 02:52-04:00)</t>
        </is>
      </c>
      <c r="P1754" t="inlineStr">
        <is>
          <t>OK</t>
        </is>
      </c>
      <c r="R1754" t="inlineStr">
        <is>
          <t>Arcanes share across items like mods (one max-rank copy covers every build).</t>
        </is>
      </c>
      <c r="S1754" t="inlineStr">
        <is>
          <t>cascadia_empowered</t>
        </is>
      </c>
      <c r="T1754" t="n">
        <v>14</v>
      </c>
      <c r="U1754" t="n">
        <v>14</v>
      </c>
      <c r="V1754" t="n">
        <v>14</v>
      </c>
      <c r="W1754" t="n">
        <v>14</v>
      </c>
      <c r="X1754" t="n">
        <v>13.7</v>
      </c>
      <c r="Y1754" t="n">
        <v>603</v>
      </c>
      <c r="Z1754" t="n">
        <v>13</v>
      </c>
      <c r="AA1754" t="n">
        <v>40</v>
      </c>
      <c r="AB1754" t="n">
        <v>-30</v>
      </c>
      <c r="AQ1754" t="n">
        <v>2</v>
      </c>
      <c r="AR1754" t="n">
        <v>42</v>
      </c>
      <c r="AS1754" t="inlineStr">
        <is>
          <t>Collection (optional)</t>
        </is>
      </c>
    </row>
    <row r="1755">
      <c r="A1755" t="inlineStr">
        <is>
          <t>Arcane</t>
        </is>
      </c>
      <c r="B1755" t="inlineStr">
        <is>
          <t>Cascadia Flare</t>
        </is>
      </c>
      <c r="E1755" t="inlineStr">
        <is>
          <t>Secondary</t>
        </is>
      </c>
      <c r="F1755" t="n">
        <v>5</v>
      </c>
      <c r="G1755" t="n">
        <v>1</v>
      </c>
      <c r="H1755" t="inlineStr">
        <is>
          <t>Player trade (max rank)</t>
        </is>
      </c>
      <c r="I1755" t="inlineStr">
        <is>
          <t>Yes</t>
        </is>
      </c>
      <c r="K1755" t="inlineStr">
        <is>
          <t>Collection (optional)</t>
        </is>
      </c>
      <c r="L1755" t="n">
        <v>27</v>
      </c>
      <c r="M1755" t="n">
        <v>28</v>
      </c>
      <c r="N1755" t="n">
        <v>33</v>
      </c>
      <c r="O1755" t="inlineStr">
        <is>
          <t>2026-10-05 UTC (WFM pull 02:52-04:00)</t>
        </is>
      </c>
      <c r="P1755" t="inlineStr">
        <is>
          <t>OK</t>
        </is>
      </c>
      <c r="R1755" t="inlineStr">
        <is>
          <t>Arcanes share across items like mods (one max-rank copy covers every build).</t>
        </is>
      </c>
      <c r="S1755" t="inlineStr">
        <is>
          <t>cascadia_flare</t>
        </is>
      </c>
      <c r="T1755" t="n">
        <v>41</v>
      </c>
      <c r="U1755" t="n">
        <v>41</v>
      </c>
      <c r="V1755" t="n">
        <v>30</v>
      </c>
      <c r="W1755" t="n">
        <v>30</v>
      </c>
      <c r="X1755" t="n">
        <v>31.8</v>
      </c>
      <c r="Y1755" t="n">
        <v>9711</v>
      </c>
      <c r="Z1755" t="n">
        <v>69</v>
      </c>
      <c r="AA1755" t="n">
        <v>20</v>
      </c>
      <c r="AB1755" t="n">
        <v>7</v>
      </c>
      <c r="AQ1755" t="n">
        <v>2</v>
      </c>
      <c r="AR1755" t="n">
        <v>42</v>
      </c>
      <c r="AS1755" t="inlineStr">
        <is>
          <t>Collection (optional)</t>
        </is>
      </c>
    </row>
    <row r="1756">
      <c r="A1756" t="inlineStr">
        <is>
          <t>Arcane</t>
        </is>
      </c>
      <c r="B1756" t="inlineStr">
        <is>
          <t>Cascadia Overcharge</t>
        </is>
      </c>
      <c r="E1756" t="inlineStr">
        <is>
          <t>Secondary</t>
        </is>
      </c>
      <c r="F1756" t="n">
        <v>5</v>
      </c>
      <c r="G1756" t="n">
        <v>1</v>
      </c>
      <c r="H1756" t="inlineStr">
        <is>
          <t>Player trade (max rank)</t>
        </is>
      </c>
      <c r="I1756" t="inlineStr">
        <is>
          <t>Yes</t>
        </is>
      </c>
      <c r="K1756" t="inlineStr">
        <is>
          <t>Collection (optional)</t>
        </is>
      </c>
      <c r="L1756" t="n">
        <v>15</v>
      </c>
      <c r="M1756" t="n">
        <v>18</v>
      </c>
      <c r="N1756" t="n">
        <v>22</v>
      </c>
      <c r="O1756" t="inlineStr">
        <is>
          <t>2026-10-05 UTC (WFM pull 02:52-04:00)</t>
        </is>
      </c>
      <c r="P1756" t="inlineStr">
        <is>
          <t>OK</t>
        </is>
      </c>
      <c r="R1756" t="inlineStr">
        <is>
          <t>Arcanes share across items like mods (one max-rank copy covers every build).</t>
        </is>
      </c>
      <c r="S1756" t="inlineStr">
        <is>
          <t>cascadia_overcharge</t>
        </is>
      </c>
      <c r="T1756" t="n">
        <v>19</v>
      </c>
      <c r="U1756" t="n">
        <v>19</v>
      </c>
      <c r="V1756" t="n">
        <v>19</v>
      </c>
      <c r="W1756" t="n">
        <v>20</v>
      </c>
      <c r="X1756" t="n">
        <v>21.7</v>
      </c>
      <c r="Y1756" t="n">
        <v>2304</v>
      </c>
      <c r="Z1756" t="n">
        <v>40</v>
      </c>
      <c r="AA1756" t="n">
        <v>5</v>
      </c>
      <c r="AB1756" t="n">
        <v>10</v>
      </c>
      <c r="AQ1756" t="n">
        <v>2</v>
      </c>
      <c r="AR1756" t="n">
        <v>42</v>
      </c>
      <c r="AS1756" t="inlineStr">
        <is>
          <t>Collection (optional)</t>
        </is>
      </c>
    </row>
    <row r="1757">
      <c r="A1757" t="inlineStr">
        <is>
          <t>Arcane</t>
        </is>
      </c>
      <c r="B1757" t="inlineStr">
        <is>
          <t>Conjunction Voltage</t>
        </is>
      </c>
      <c r="E1757" t="inlineStr">
        <is>
          <t>Secondary</t>
        </is>
      </c>
      <c r="F1757" t="n">
        <v>5</v>
      </c>
      <c r="G1757" t="n">
        <v>1</v>
      </c>
      <c r="H1757" t="inlineStr">
        <is>
          <t>Player trade (max rank)</t>
        </is>
      </c>
      <c r="I1757" t="inlineStr">
        <is>
          <t>Yes</t>
        </is>
      </c>
      <c r="K1757" t="inlineStr">
        <is>
          <t>Collection (optional)</t>
        </is>
      </c>
      <c r="L1757" t="n">
        <v>25</v>
      </c>
      <c r="M1757" t="n">
        <v>25</v>
      </c>
      <c r="N1757" t="n">
        <v>33</v>
      </c>
      <c r="O1757" t="inlineStr">
        <is>
          <t>2026-10-05 UTC (WFM pull 02:52-04:00)</t>
        </is>
      </c>
      <c r="P1757" t="inlineStr">
        <is>
          <t>OK</t>
        </is>
      </c>
      <c r="R1757" t="inlineStr">
        <is>
          <t>Arcanes share across items like mods (one max-rank copy covers every build).</t>
        </is>
      </c>
      <c r="S1757" t="inlineStr">
        <is>
          <t>conjunction_voltage</t>
        </is>
      </c>
      <c r="T1757" t="n">
        <v>12</v>
      </c>
      <c r="U1757" t="n">
        <v>12</v>
      </c>
      <c r="V1757" t="n">
        <v>21</v>
      </c>
      <c r="W1757" t="n">
        <v>20</v>
      </c>
      <c r="X1757" t="n">
        <v>21.3</v>
      </c>
      <c r="Y1757" t="n">
        <v>848</v>
      </c>
      <c r="Z1757" t="n">
        <v>27</v>
      </c>
      <c r="AA1757" t="n">
        <v>5</v>
      </c>
      <c r="AB1757" t="n">
        <v>20</v>
      </c>
      <c r="AQ1757" t="n">
        <v>2</v>
      </c>
      <c r="AR1757" t="n">
        <v>42</v>
      </c>
      <c r="AS1757" t="inlineStr">
        <is>
          <t>Collection (optional)</t>
        </is>
      </c>
    </row>
    <row r="1758">
      <c r="A1758" t="inlineStr">
        <is>
          <t>Arcane</t>
        </is>
      </c>
      <c r="B1758" t="inlineStr">
        <is>
          <t>Emergence Dissipate</t>
        </is>
      </c>
      <c r="E1758" t="inlineStr">
        <is>
          <t>Operator</t>
        </is>
      </c>
      <c r="F1758" t="n">
        <v>5</v>
      </c>
      <c r="G1758" t="n">
        <v>1</v>
      </c>
      <c r="H1758" t="inlineStr">
        <is>
          <t>Player trade (max rank)</t>
        </is>
      </c>
      <c r="I1758" t="inlineStr">
        <is>
          <t>Yes</t>
        </is>
      </c>
      <c r="K1758" t="inlineStr">
        <is>
          <t>Collection (optional)</t>
        </is>
      </c>
      <c r="L1758" t="n">
        <v>10</v>
      </c>
      <c r="M1758" t="n">
        <v>10</v>
      </c>
      <c r="N1758" t="n">
        <v>11</v>
      </c>
      <c r="O1758" t="inlineStr">
        <is>
          <t>2026-10-05 UTC (WFM pull 02:52-04:00)</t>
        </is>
      </c>
      <c r="P1758" t="inlineStr">
        <is>
          <t>OK</t>
        </is>
      </c>
      <c r="R1758" t="inlineStr">
        <is>
          <t>Arcanes share across items like mods (one max-rank copy covers every build).</t>
        </is>
      </c>
      <c r="S1758" t="inlineStr">
        <is>
          <t>emergence_dissipate</t>
        </is>
      </c>
      <c r="T1758" t="n">
        <v>22</v>
      </c>
      <c r="U1758" t="n">
        <v>22</v>
      </c>
      <c r="V1758" t="n">
        <v>10</v>
      </c>
      <c r="W1758" t="n">
        <v>10</v>
      </c>
      <c r="X1758" t="n">
        <v>10.1</v>
      </c>
      <c r="Y1758" t="n">
        <v>272</v>
      </c>
      <c r="Z1758" t="n">
        <v>1</v>
      </c>
      <c r="AA1758" t="n">
        <v>36</v>
      </c>
      <c r="AB1758" t="n">
        <v>-26</v>
      </c>
      <c r="AQ1758" t="n">
        <v>2</v>
      </c>
      <c r="AR1758" t="n">
        <v>42</v>
      </c>
      <c r="AS1758" t="inlineStr">
        <is>
          <t>Collection (optional)</t>
        </is>
      </c>
    </row>
    <row r="1759">
      <c r="A1759" t="inlineStr">
        <is>
          <t>Arcane</t>
        </is>
      </c>
      <c r="B1759" t="inlineStr">
        <is>
          <t>Emergence Renewed</t>
        </is>
      </c>
      <c r="E1759" t="inlineStr">
        <is>
          <t>Operator</t>
        </is>
      </c>
      <c r="F1759" t="n">
        <v>5</v>
      </c>
      <c r="G1759" t="n">
        <v>1</v>
      </c>
      <c r="H1759" t="inlineStr">
        <is>
          <t>Player trade (max rank)</t>
        </is>
      </c>
      <c r="I1759" t="inlineStr">
        <is>
          <t>Yes</t>
        </is>
      </c>
      <c r="K1759" t="inlineStr">
        <is>
          <t>Collection (optional)</t>
        </is>
      </c>
      <c r="L1759" t="n">
        <v>15</v>
      </c>
      <c r="M1759" t="n">
        <v>15</v>
      </c>
      <c r="N1759" t="n">
        <v>17</v>
      </c>
      <c r="O1759" t="inlineStr">
        <is>
          <t>2026-10-05 UTC (WFM pull 02:52-04:00)</t>
        </is>
      </c>
      <c r="P1759" t="inlineStr">
        <is>
          <t>OK</t>
        </is>
      </c>
      <c r="R1759" t="inlineStr">
        <is>
          <t>Arcanes share across items like mods (one max-rank copy covers every build).</t>
        </is>
      </c>
      <c r="S1759" t="inlineStr">
        <is>
          <t>emergence_renewed</t>
        </is>
      </c>
      <c r="T1759" t="n">
        <v>13</v>
      </c>
      <c r="U1759" t="n">
        <v>13</v>
      </c>
      <c r="V1759" t="n">
        <v>12</v>
      </c>
      <c r="W1759" t="n">
        <v>12</v>
      </c>
      <c r="X1759" t="n">
        <v>12</v>
      </c>
      <c r="Y1759" t="n">
        <v>524</v>
      </c>
      <c r="Z1759" t="n">
        <v>14</v>
      </c>
      <c r="AQ1759" t="n">
        <v>2</v>
      </c>
      <c r="AR1759" t="n">
        <v>42</v>
      </c>
      <c r="AS1759" t="inlineStr">
        <is>
          <t>Collection (optional)</t>
        </is>
      </c>
    </row>
    <row r="1760">
      <c r="A1760" t="inlineStr">
        <is>
          <t>Arcane</t>
        </is>
      </c>
      <c r="B1760" t="inlineStr">
        <is>
          <t>Emergence Savior</t>
        </is>
      </c>
      <c r="E1760" t="inlineStr">
        <is>
          <t>Operator</t>
        </is>
      </c>
      <c r="F1760" t="n">
        <v>5</v>
      </c>
      <c r="G1760" t="n">
        <v>1</v>
      </c>
      <c r="H1760" t="inlineStr">
        <is>
          <t>Player trade (max rank)</t>
        </is>
      </c>
      <c r="I1760" t="inlineStr">
        <is>
          <t>Yes</t>
        </is>
      </c>
      <c r="K1760" t="inlineStr">
        <is>
          <t>Collection (optional)</t>
        </is>
      </c>
      <c r="L1760" t="n">
        <v>15</v>
      </c>
      <c r="M1760" t="n">
        <v>15</v>
      </c>
      <c r="N1760" t="n">
        <v>22</v>
      </c>
      <c r="O1760" t="inlineStr">
        <is>
          <t>2026-10-05 UTC (WFM pull 02:52-04:00)</t>
        </is>
      </c>
      <c r="P1760" t="inlineStr">
        <is>
          <t>OK</t>
        </is>
      </c>
      <c r="R1760" t="inlineStr">
        <is>
          <t>Arcanes share across items like mods (one max-rank copy covers every build).</t>
        </is>
      </c>
      <c r="S1760" t="inlineStr">
        <is>
          <t>emergence_savior</t>
        </is>
      </c>
      <c r="T1760" t="n">
        <v>16</v>
      </c>
      <c r="U1760" t="n">
        <v>16</v>
      </c>
      <c r="V1760" t="n">
        <v>15</v>
      </c>
      <c r="W1760" t="n">
        <v>15</v>
      </c>
      <c r="X1760" t="n">
        <v>14.4</v>
      </c>
      <c r="Y1760" t="n">
        <v>667</v>
      </c>
      <c r="Z1760" t="n">
        <v>16</v>
      </c>
      <c r="AA1760" t="n">
        <v>36</v>
      </c>
      <c r="AB1760" t="n">
        <v>-21</v>
      </c>
      <c r="AQ1760" t="n">
        <v>2</v>
      </c>
      <c r="AR1760" t="n">
        <v>42</v>
      </c>
      <c r="AS1760" t="inlineStr">
        <is>
          <t>Collection (optional)</t>
        </is>
      </c>
    </row>
    <row r="1761">
      <c r="A1761" t="inlineStr">
        <is>
          <t>Arcane</t>
        </is>
      </c>
      <c r="B1761" t="inlineStr">
        <is>
          <t>Eternal Eradicate</t>
        </is>
      </c>
      <c r="E1761" t="inlineStr">
        <is>
          <t>Amp</t>
        </is>
      </c>
      <c r="F1761" t="n">
        <v>5</v>
      </c>
      <c r="G1761" t="n">
        <v>1</v>
      </c>
      <c r="H1761" t="inlineStr">
        <is>
          <t>Player trade (max rank)</t>
        </is>
      </c>
      <c r="I1761" t="inlineStr">
        <is>
          <t>Yes</t>
        </is>
      </c>
      <c r="K1761" t="inlineStr">
        <is>
          <t>Collection (optional)</t>
        </is>
      </c>
      <c r="L1761" t="n">
        <v>20</v>
      </c>
      <c r="M1761" t="n">
        <v>20</v>
      </c>
      <c r="N1761" t="n">
        <v>27</v>
      </c>
      <c r="O1761" t="inlineStr">
        <is>
          <t>2026-10-05 UTC (WFM pull 02:52-04:00)</t>
        </is>
      </c>
      <c r="P1761" t="inlineStr">
        <is>
          <t>OK</t>
        </is>
      </c>
      <c r="R1761" t="inlineStr">
        <is>
          <t>Arcanes share across items like mods (one max-rank copy covers every build).</t>
        </is>
      </c>
      <c r="S1761" t="inlineStr">
        <is>
          <t>eternal_eradicate</t>
        </is>
      </c>
      <c r="T1761" t="n">
        <v>27</v>
      </c>
      <c r="U1761" t="n">
        <v>27</v>
      </c>
      <c r="V1761" t="n">
        <v>24</v>
      </c>
      <c r="W1761" t="n">
        <v>25</v>
      </c>
      <c r="X1761" t="n">
        <v>24.2</v>
      </c>
      <c r="Y1761" t="n">
        <v>4356</v>
      </c>
      <c r="Z1761" t="n">
        <v>92</v>
      </c>
      <c r="AA1761" t="n">
        <v>10</v>
      </c>
      <c r="AB1761" t="n">
        <v>10</v>
      </c>
      <c r="AQ1761" t="n">
        <v>2</v>
      </c>
      <c r="AR1761" t="n">
        <v>42</v>
      </c>
      <c r="AS1761" t="inlineStr">
        <is>
          <t>Collection (optional)</t>
        </is>
      </c>
    </row>
    <row r="1762">
      <c r="A1762" t="inlineStr">
        <is>
          <t>Arcane</t>
        </is>
      </c>
      <c r="B1762" t="inlineStr">
        <is>
          <t>Eternal Logistics</t>
        </is>
      </c>
      <c r="E1762" t="inlineStr">
        <is>
          <t>Amp</t>
        </is>
      </c>
      <c r="F1762" t="n">
        <v>5</v>
      </c>
      <c r="G1762" t="n">
        <v>1</v>
      </c>
      <c r="H1762" t="inlineStr">
        <is>
          <t>Player trade (max rank)</t>
        </is>
      </c>
      <c r="I1762" t="inlineStr">
        <is>
          <t>Yes</t>
        </is>
      </c>
      <c r="K1762" t="inlineStr">
        <is>
          <t>Collection (optional)</t>
        </is>
      </c>
      <c r="L1762" t="n">
        <v>25</v>
      </c>
      <c r="M1762" t="n">
        <v>29</v>
      </c>
      <c r="N1762" t="n">
        <v>44</v>
      </c>
      <c r="O1762" t="inlineStr">
        <is>
          <t>2026-10-05 UTC (WFM pull 02:52-04:00)</t>
        </is>
      </c>
      <c r="P1762" t="inlineStr">
        <is>
          <t>OK</t>
        </is>
      </c>
      <c r="R1762" t="inlineStr">
        <is>
          <t>Arcanes share across items like mods (one max-rank copy covers every build).</t>
        </is>
      </c>
      <c r="S1762" t="inlineStr">
        <is>
          <t>eternal_logistics</t>
        </is>
      </c>
      <c r="T1762" t="n">
        <v>12</v>
      </c>
      <c r="U1762" t="n">
        <v>12</v>
      </c>
      <c r="V1762" t="n">
        <v>30</v>
      </c>
      <c r="W1762" t="n">
        <v>30</v>
      </c>
      <c r="X1762" t="n">
        <v>30</v>
      </c>
      <c r="Y1762" t="n">
        <v>3981</v>
      </c>
      <c r="Z1762" t="n">
        <v>38</v>
      </c>
      <c r="AQ1762" t="n">
        <v>2</v>
      </c>
      <c r="AR1762" t="n">
        <v>42</v>
      </c>
      <c r="AS1762" t="inlineStr">
        <is>
          <t>Collection (optional)</t>
        </is>
      </c>
    </row>
    <row r="1763">
      <c r="A1763" t="inlineStr">
        <is>
          <t>Arcane</t>
        </is>
      </c>
      <c r="B1763" t="inlineStr">
        <is>
          <t>Eternal Onslaught</t>
        </is>
      </c>
      <c r="E1763" t="inlineStr">
        <is>
          <t>Amp</t>
        </is>
      </c>
      <c r="F1763" t="n">
        <v>5</v>
      </c>
      <c r="G1763" t="n">
        <v>1</v>
      </c>
      <c r="H1763" t="inlineStr">
        <is>
          <t>Player trade (max rank)</t>
        </is>
      </c>
      <c r="I1763" t="inlineStr">
        <is>
          <t>Yes</t>
        </is>
      </c>
      <c r="K1763" t="inlineStr">
        <is>
          <t>Collection (optional)</t>
        </is>
      </c>
      <c r="L1763" t="n">
        <v>20</v>
      </c>
      <c r="M1763" t="n">
        <v>20</v>
      </c>
      <c r="N1763" t="n">
        <v>25</v>
      </c>
      <c r="O1763" t="inlineStr">
        <is>
          <t>2026-10-05 UTC (WFM pull 02:52-04:00)</t>
        </is>
      </c>
      <c r="P1763" t="inlineStr">
        <is>
          <t>OK</t>
        </is>
      </c>
      <c r="R1763" t="inlineStr">
        <is>
          <t>Arcanes share across items like mods (one max-rank copy covers every build).</t>
        </is>
      </c>
      <c r="S1763" t="inlineStr">
        <is>
          <t>eternal_onslaught</t>
        </is>
      </c>
      <c r="T1763" t="n">
        <v>25</v>
      </c>
      <c r="U1763" t="n">
        <v>25</v>
      </c>
      <c r="V1763" t="n">
        <v>22.5</v>
      </c>
      <c r="W1763" t="n">
        <v>24</v>
      </c>
      <c r="X1763" t="n">
        <v>23.3</v>
      </c>
      <c r="Y1763" t="n">
        <v>3843</v>
      </c>
      <c r="Z1763" t="n">
        <v>66</v>
      </c>
      <c r="AA1763" t="n">
        <v>30</v>
      </c>
      <c r="AB1763" t="n">
        <v>-10</v>
      </c>
      <c r="AQ1763" t="n">
        <v>2</v>
      </c>
      <c r="AR1763" t="n">
        <v>42</v>
      </c>
      <c r="AS1763" t="inlineStr">
        <is>
          <t>Collection (optional)</t>
        </is>
      </c>
    </row>
    <row r="1764">
      <c r="A1764" t="inlineStr">
        <is>
          <t>Arcane</t>
        </is>
      </c>
      <c r="B1764" t="inlineStr">
        <is>
          <t>Exodia Brave</t>
        </is>
      </c>
      <c r="E1764" t="inlineStr">
        <is>
          <t>Zaw</t>
        </is>
      </c>
      <c r="F1764" t="n">
        <v>3</v>
      </c>
      <c r="G1764" t="n">
        <v>1</v>
      </c>
      <c r="H1764" t="inlineStr">
        <is>
          <t>Player trade (max rank)</t>
        </is>
      </c>
      <c r="I1764" t="inlineStr">
        <is>
          <t>Yes</t>
        </is>
      </c>
      <c r="K1764" t="inlineStr">
        <is>
          <t>Collection (optional)</t>
        </is>
      </c>
      <c r="L1764" t="n">
        <v>80</v>
      </c>
      <c r="M1764" t="n">
        <v>82.5</v>
      </c>
      <c r="N1764" t="n">
        <v>111</v>
      </c>
      <c r="O1764" t="inlineStr">
        <is>
          <t>2026-10-05 UTC (WFM pull 02:52-04:00)</t>
        </is>
      </c>
      <c r="P1764" t="inlineStr">
        <is>
          <t>OK</t>
        </is>
      </c>
      <c r="Q1764" t="inlineStr">
        <is>
          <t>Cheaper via 10x R0 (50p realistic) than buying max rank</t>
        </is>
      </c>
      <c r="R1764" t="inlineStr">
        <is>
          <t>Arcanes share across items like mods (one max-rank copy covers every build).</t>
        </is>
      </c>
      <c r="S1764" t="inlineStr">
        <is>
          <t>exodia_brave</t>
        </is>
      </c>
      <c r="T1764" t="n">
        <v>3</v>
      </c>
      <c r="U1764" t="n">
        <v>3</v>
      </c>
      <c r="V1764" t="n">
        <v>55</v>
      </c>
      <c r="W1764" t="n">
        <v>57.5</v>
      </c>
      <c r="X1764" t="n">
        <v>58.2</v>
      </c>
      <c r="Y1764" t="n">
        <v>84</v>
      </c>
      <c r="Z1764" t="n">
        <v>3</v>
      </c>
      <c r="AQ1764" t="n">
        <v>5</v>
      </c>
      <c r="AR1764" t="n">
        <v>50</v>
      </c>
      <c r="AS1764" t="inlineStr">
        <is>
          <t>Collection (optional)</t>
        </is>
      </c>
    </row>
    <row r="1765">
      <c r="A1765" t="inlineStr">
        <is>
          <t>Arcane</t>
        </is>
      </c>
      <c r="B1765" t="inlineStr">
        <is>
          <t>Exodia Contagion</t>
        </is>
      </c>
      <c r="E1765" t="inlineStr">
        <is>
          <t>Zaw</t>
        </is>
      </c>
      <c r="F1765" t="n">
        <v>3</v>
      </c>
      <c r="G1765" t="n">
        <v>1</v>
      </c>
      <c r="H1765" t="inlineStr">
        <is>
          <t>Player trade (max rank)</t>
        </is>
      </c>
      <c r="I1765" t="inlineStr">
        <is>
          <t>Yes</t>
        </is>
      </c>
      <c r="K1765" t="inlineStr">
        <is>
          <t>Collection (optional)</t>
        </is>
      </c>
      <c r="L1765" t="n">
        <v>100</v>
      </c>
      <c r="M1765" t="n">
        <v>110</v>
      </c>
      <c r="N1765" t="n">
        <v>142</v>
      </c>
      <c r="O1765" t="inlineStr">
        <is>
          <t>2026-10-05 UTC (WFM pull 02:52-04:00)</t>
        </is>
      </c>
      <c r="P1765" t="inlineStr">
        <is>
          <t>OK</t>
        </is>
      </c>
      <c r="R1765" t="inlineStr">
        <is>
          <t>Arcanes share across items like mods (one max-rank copy covers every build).</t>
        </is>
      </c>
      <c r="S1765" t="inlineStr">
        <is>
          <t>exodia_contagion</t>
        </is>
      </c>
      <c r="T1765" t="n">
        <v>21</v>
      </c>
      <c r="U1765" t="n">
        <v>21</v>
      </c>
      <c r="V1765" t="n">
        <v>98</v>
      </c>
      <c r="W1765" t="n">
        <v>99</v>
      </c>
      <c r="X1765" t="n">
        <v>96.90000000000001</v>
      </c>
      <c r="Y1765" t="n">
        <v>3334</v>
      </c>
      <c r="Z1765" t="n">
        <v>57</v>
      </c>
      <c r="AA1765" t="n">
        <v>72</v>
      </c>
      <c r="AB1765" t="n">
        <v>28</v>
      </c>
      <c r="AQ1765" t="n">
        <v>14</v>
      </c>
      <c r="AR1765" t="n">
        <v>140</v>
      </c>
      <c r="AS1765" t="inlineStr">
        <is>
          <t>Collection (optional)</t>
        </is>
      </c>
    </row>
    <row r="1766">
      <c r="A1766" t="inlineStr">
        <is>
          <t>Arcane</t>
        </is>
      </c>
      <c r="B1766" t="inlineStr">
        <is>
          <t>Exodia Epidemic</t>
        </is>
      </c>
      <c r="E1766" t="inlineStr">
        <is>
          <t>Zaw</t>
        </is>
      </c>
      <c r="F1766" t="n">
        <v>3</v>
      </c>
      <c r="G1766" t="n">
        <v>1</v>
      </c>
      <c r="H1766" t="inlineStr">
        <is>
          <t>Player trade (max rank)</t>
        </is>
      </c>
      <c r="I1766" t="inlineStr">
        <is>
          <t>Yes</t>
        </is>
      </c>
      <c r="K1766" t="inlineStr">
        <is>
          <t>Collection (optional)</t>
        </is>
      </c>
      <c r="L1766" t="n">
        <v>135</v>
      </c>
      <c r="M1766" t="n">
        <v>150</v>
      </c>
      <c r="N1766" t="n">
        <v>330</v>
      </c>
      <c r="O1766" t="inlineStr">
        <is>
          <t>2026-10-05 UTC (WFM pull 02:52-04:00)</t>
        </is>
      </c>
      <c r="P1766" t="inlineStr">
        <is>
          <t>OK</t>
        </is>
      </c>
      <c r="R1766" t="inlineStr">
        <is>
          <t>Arcanes share across items like mods (one max-rank copy covers every build).</t>
        </is>
      </c>
      <c r="S1766" t="inlineStr">
        <is>
          <t>exodia_epidemic</t>
        </is>
      </c>
      <c r="T1766" t="n">
        <v>5</v>
      </c>
      <c r="U1766" t="n">
        <v>5</v>
      </c>
      <c r="V1766" t="n">
        <v>100</v>
      </c>
      <c r="W1766" t="n">
        <v>100</v>
      </c>
      <c r="X1766" t="n">
        <v>96.90000000000001</v>
      </c>
      <c r="Y1766" t="n">
        <v>414</v>
      </c>
      <c r="Z1766" t="n">
        <v>4</v>
      </c>
      <c r="AA1766" t="n">
        <v>70</v>
      </c>
      <c r="AB1766" t="n">
        <v>65</v>
      </c>
      <c r="AQ1766" t="n">
        <v>15</v>
      </c>
      <c r="AR1766" t="n">
        <v>150</v>
      </c>
      <c r="AS1766" t="inlineStr">
        <is>
          <t>Collection (optional)</t>
        </is>
      </c>
    </row>
    <row r="1767">
      <c r="A1767" t="inlineStr">
        <is>
          <t>Arcane</t>
        </is>
      </c>
      <c r="B1767" t="inlineStr">
        <is>
          <t>Exodia Force</t>
        </is>
      </c>
      <c r="E1767" t="inlineStr">
        <is>
          <t>Zaw</t>
        </is>
      </c>
      <c r="F1767" t="n">
        <v>3</v>
      </c>
      <c r="G1767" t="n">
        <v>1</v>
      </c>
      <c r="H1767" t="inlineStr">
        <is>
          <t>Player trade (max rank)</t>
        </is>
      </c>
      <c r="I1767" t="inlineStr">
        <is>
          <t>Yes</t>
        </is>
      </c>
      <c r="K1767" t="inlineStr">
        <is>
          <t>Collection (optional)</t>
        </is>
      </c>
      <c r="L1767" t="n">
        <v>80</v>
      </c>
      <c r="M1767" t="n">
        <v>97.5</v>
      </c>
      <c r="N1767" t="n">
        <v>215</v>
      </c>
      <c r="O1767" t="inlineStr">
        <is>
          <t>2026-10-05 UTC (WFM pull 02:52-04:00)</t>
        </is>
      </c>
      <c r="P1767" t="inlineStr">
        <is>
          <t>OK</t>
        </is>
      </c>
      <c r="R1767" t="inlineStr">
        <is>
          <t>Arcanes share across items like mods (one max-rank copy covers every build).</t>
        </is>
      </c>
      <c r="S1767" t="inlineStr">
        <is>
          <t>exodia_force</t>
        </is>
      </c>
      <c r="T1767" t="n">
        <v>4</v>
      </c>
      <c r="U1767" t="n">
        <v>4</v>
      </c>
      <c r="V1767" t="n">
        <v>65</v>
      </c>
      <c r="W1767" t="n">
        <v>59</v>
      </c>
      <c r="X1767" t="n">
        <v>59.2</v>
      </c>
      <c r="Y1767" t="n">
        <v>415</v>
      </c>
      <c r="Z1767" t="n">
        <v>17</v>
      </c>
      <c r="AA1767" t="n">
        <v>25</v>
      </c>
      <c r="AB1767" t="n">
        <v>55</v>
      </c>
      <c r="AQ1767" t="n">
        <v>11</v>
      </c>
      <c r="AR1767" t="n">
        <v>110</v>
      </c>
      <c r="AS1767" t="inlineStr">
        <is>
          <t>Collection (optional)</t>
        </is>
      </c>
    </row>
    <row r="1768">
      <c r="A1768" t="inlineStr">
        <is>
          <t>Arcane</t>
        </is>
      </c>
      <c r="B1768" t="inlineStr">
        <is>
          <t>Exodia Hunt</t>
        </is>
      </c>
      <c r="E1768" t="inlineStr">
        <is>
          <t>Zaw</t>
        </is>
      </c>
      <c r="F1768" t="n">
        <v>3</v>
      </c>
      <c r="G1768" t="n">
        <v>1</v>
      </c>
      <c r="H1768" t="inlineStr">
        <is>
          <t>Player trade (max rank)</t>
        </is>
      </c>
      <c r="I1768" t="inlineStr">
        <is>
          <t>Yes</t>
        </is>
      </c>
      <c r="K1768" t="inlineStr">
        <is>
          <t>Collection (optional)</t>
        </is>
      </c>
      <c r="L1768" t="n">
        <v>35</v>
      </c>
      <c r="M1768" t="n">
        <v>80</v>
      </c>
      <c r="N1768" t="n">
        <v>105</v>
      </c>
      <c r="O1768" t="inlineStr">
        <is>
          <t>2026-10-05 UTC (WFM pull 02:52-04:00)</t>
        </is>
      </c>
      <c r="P1768" t="inlineStr">
        <is>
          <t>OK</t>
        </is>
      </c>
      <c r="Q1768" t="inlineStr">
        <is>
          <t>Cheaper via 10x R0 (70p realistic) than buying max rank</t>
        </is>
      </c>
      <c r="R1768" t="inlineStr">
        <is>
          <t>Arcanes share across items like mods (one max-rank copy covers every build).</t>
        </is>
      </c>
      <c r="S1768" t="inlineStr">
        <is>
          <t>exodia_hunt</t>
        </is>
      </c>
      <c r="T1768" t="n">
        <v>8</v>
      </c>
      <c r="U1768" t="n">
        <v>8</v>
      </c>
      <c r="V1768" t="n">
        <v>65</v>
      </c>
      <c r="W1768" t="n">
        <v>60</v>
      </c>
      <c r="X1768" t="n">
        <v>59.2</v>
      </c>
      <c r="Y1768" t="n">
        <v>108</v>
      </c>
      <c r="Z1768" t="n">
        <v>5</v>
      </c>
      <c r="AQ1768" t="n">
        <v>7</v>
      </c>
      <c r="AR1768" t="n">
        <v>70</v>
      </c>
      <c r="AS1768" t="inlineStr">
        <is>
          <t>Collection (optional)</t>
        </is>
      </c>
    </row>
    <row r="1769">
      <c r="A1769" t="inlineStr">
        <is>
          <t>Arcane</t>
        </is>
      </c>
      <c r="B1769" t="inlineStr">
        <is>
          <t>Exodia Might</t>
        </is>
      </c>
      <c r="E1769" t="inlineStr">
        <is>
          <t>Zaw</t>
        </is>
      </c>
      <c r="F1769" t="n">
        <v>3</v>
      </c>
      <c r="G1769" t="n">
        <v>1</v>
      </c>
      <c r="H1769" t="inlineStr">
        <is>
          <t>Player trade (max rank)</t>
        </is>
      </c>
      <c r="I1769" t="inlineStr">
        <is>
          <t>Yes</t>
        </is>
      </c>
      <c r="K1769" t="inlineStr">
        <is>
          <t>Collection (optional)</t>
        </is>
      </c>
      <c r="L1769" t="n">
        <v>70</v>
      </c>
      <c r="M1769" t="n">
        <v>90</v>
      </c>
      <c r="N1769" t="n">
        <v>111</v>
      </c>
      <c r="O1769" t="inlineStr">
        <is>
          <t>2026-10-05 UTC (WFM pull 02:52-04:00)</t>
        </is>
      </c>
      <c r="P1769" t="inlineStr">
        <is>
          <t>OK</t>
        </is>
      </c>
      <c r="Q1769" t="inlineStr">
        <is>
          <t>Cheaper via 10x R0 (80p realistic) than buying max rank</t>
        </is>
      </c>
      <c r="R1769" t="inlineStr">
        <is>
          <t>Arcanes share across items like mods (one max-rank copy covers every build).</t>
        </is>
      </c>
      <c r="S1769" t="inlineStr">
        <is>
          <t>exodia_might</t>
        </is>
      </c>
      <c r="T1769" t="n">
        <v>8</v>
      </c>
      <c r="U1769" t="n">
        <v>8</v>
      </c>
      <c r="V1769" t="n">
        <v>65</v>
      </c>
      <c r="W1769" t="n">
        <v>69</v>
      </c>
      <c r="X1769" t="n">
        <v>69</v>
      </c>
      <c r="Y1769" t="n">
        <v>40</v>
      </c>
      <c r="Z1769" t="n">
        <v>0</v>
      </c>
      <c r="AA1769" t="n">
        <v>30</v>
      </c>
      <c r="AB1769" t="n">
        <v>40</v>
      </c>
      <c r="AQ1769" t="n">
        <v>8</v>
      </c>
      <c r="AR1769" t="n">
        <v>80</v>
      </c>
      <c r="AS1769" t="inlineStr">
        <is>
          <t>Collection (optional)</t>
        </is>
      </c>
    </row>
    <row r="1770">
      <c r="A1770" t="inlineStr">
        <is>
          <t>Arcane</t>
        </is>
      </c>
      <c r="B1770" t="inlineStr">
        <is>
          <t>Exodia Triumph</t>
        </is>
      </c>
      <c r="E1770" t="inlineStr">
        <is>
          <t>Zaw</t>
        </is>
      </c>
      <c r="F1770" t="n">
        <v>3</v>
      </c>
      <c r="G1770" t="n">
        <v>1</v>
      </c>
      <c r="H1770" t="inlineStr">
        <is>
          <t>Player trade (max rank)</t>
        </is>
      </c>
      <c r="I1770" t="inlineStr">
        <is>
          <t>Yes</t>
        </is>
      </c>
      <c r="K1770" t="inlineStr">
        <is>
          <t>Collection (optional)</t>
        </is>
      </c>
      <c r="L1770" t="n">
        <v>80</v>
      </c>
      <c r="M1770" t="n">
        <v>90</v>
      </c>
      <c r="N1770" t="n">
        <v>111</v>
      </c>
      <c r="O1770" t="inlineStr">
        <is>
          <t>2026-10-05 UTC (WFM pull 02:52-04:00)</t>
        </is>
      </c>
      <c r="P1770" t="inlineStr">
        <is>
          <t>OK</t>
        </is>
      </c>
      <c r="Q1770" t="inlineStr">
        <is>
          <t>Cheaper via 10x R0 (75.0p realistic) than buying max rank</t>
        </is>
      </c>
      <c r="R1770" t="inlineStr">
        <is>
          <t>Arcanes share across items like mods (one max-rank copy covers every build).</t>
        </is>
      </c>
      <c r="S1770" t="inlineStr">
        <is>
          <t>exodia_triumph</t>
        </is>
      </c>
      <c r="T1770" t="n">
        <v>8</v>
      </c>
      <c r="U1770" t="n">
        <v>8</v>
      </c>
      <c r="V1770" t="n">
        <v>67</v>
      </c>
      <c r="W1770" t="n">
        <v>65</v>
      </c>
      <c r="X1770" t="n">
        <v>65.7</v>
      </c>
      <c r="Y1770" t="n">
        <v>80</v>
      </c>
      <c r="Z1770" t="n">
        <v>1</v>
      </c>
      <c r="AA1770" t="n">
        <v>30</v>
      </c>
      <c r="AB1770" t="n">
        <v>50</v>
      </c>
      <c r="AQ1770" t="n">
        <v>7.5</v>
      </c>
      <c r="AR1770" t="n">
        <v>75</v>
      </c>
      <c r="AS1770" t="inlineStr">
        <is>
          <t>Collection (optional)</t>
        </is>
      </c>
    </row>
    <row r="1771">
      <c r="A1771" t="inlineStr">
        <is>
          <t>Arcane</t>
        </is>
      </c>
      <c r="B1771" t="inlineStr">
        <is>
          <t>Exodia Valor</t>
        </is>
      </c>
      <c r="E1771" t="inlineStr">
        <is>
          <t>Zaw</t>
        </is>
      </c>
      <c r="F1771" t="n">
        <v>3</v>
      </c>
      <c r="G1771" t="n">
        <v>1</v>
      </c>
      <c r="H1771" t="inlineStr">
        <is>
          <t>Player trade (max rank)</t>
        </is>
      </c>
      <c r="I1771" t="inlineStr">
        <is>
          <t>Yes</t>
        </is>
      </c>
      <c r="K1771" t="inlineStr">
        <is>
          <t>Collection (optional)</t>
        </is>
      </c>
      <c r="L1771" t="n">
        <v>50</v>
      </c>
      <c r="M1771" t="n">
        <v>80</v>
      </c>
      <c r="N1771" t="n">
        <v>111</v>
      </c>
      <c r="O1771" t="inlineStr">
        <is>
          <t>2026-10-05 UTC (WFM pull 02:52-04:00)</t>
        </is>
      </c>
      <c r="P1771" t="inlineStr">
        <is>
          <t>OK</t>
        </is>
      </c>
      <c r="Q1771" t="inlineStr">
        <is>
          <t>Cheaper via 10x R0 (60p realistic) than buying max rank</t>
        </is>
      </c>
      <c r="R1771" t="inlineStr">
        <is>
          <t>Arcanes share across items like mods (one max-rank copy covers every build).</t>
        </is>
      </c>
      <c r="S1771" t="inlineStr">
        <is>
          <t>exodia_valor</t>
        </is>
      </c>
      <c r="T1771" t="n">
        <v>3</v>
      </c>
      <c r="U1771" t="n">
        <v>3</v>
      </c>
      <c r="V1771" t="n">
        <v>60</v>
      </c>
      <c r="W1771" t="n">
        <v>64</v>
      </c>
      <c r="X1771" t="n">
        <v>63.1</v>
      </c>
      <c r="Y1771" t="n">
        <v>33</v>
      </c>
      <c r="Z1771" t="n">
        <v>1</v>
      </c>
      <c r="AQ1771" t="n">
        <v>6</v>
      </c>
      <c r="AR1771" t="n">
        <v>60</v>
      </c>
      <c r="AS1771" t="inlineStr">
        <is>
          <t>Collection (optional)</t>
        </is>
      </c>
    </row>
    <row r="1772">
      <c r="A1772" t="inlineStr">
        <is>
          <t>Arcane</t>
        </is>
      </c>
      <c r="B1772" t="inlineStr">
        <is>
          <t>Fractalized Reset</t>
        </is>
      </c>
      <c r="E1772" t="inlineStr">
        <is>
          <t>Primary</t>
        </is>
      </c>
      <c r="F1772" t="n">
        <v>5</v>
      </c>
      <c r="G1772" t="n">
        <v>1</v>
      </c>
      <c r="H1772" t="inlineStr">
        <is>
          <t>Player trade (max rank)</t>
        </is>
      </c>
      <c r="I1772" t="inlineStr">
        <is>
          <t>Yes</t>
        </is>
      </c>
      <c r="K1772" t="inlineStr">
        <is>
          <t>Collection (optional)</t>
        </is>
      </c>
      <c r="L1772" t="n">
        <v>15</v>
      </c>
      <c r="M1772" t="n">
        <v>15</v>
      </c>
      <c r="N1772" t="n">
        <v>22</v>
      </c>
      <c r="O1772" t="inlineStr">
        <is>
          <t>2026-10-05 UTC (WFM pull 02:52-04:00)</t>
        </is>
      </c>
      <c r="P1772" t="inlineStr">
        <is>
          <t>OK</t>
        </is>
      </c>
      <c r="R1772" t="inlineStr">
        <is>
          <t>Arcanes share across items like mods (one max-rank copy covers every build).</t>
        </is>
      </c>
      <c r="S1772" t="inlineStr">
        <is>
          <t>fractalized_reset</t>
        </is>
      </c>
      <c r="T1772" t="n">
        <v>12</v>
      </c>
      <c r="U1772" t="n">
        <v>12</v>
      </c>
      <c r="V1772" t="n">
        <v>13.5</v>
      </c>
      <c r="W1772" t="n">
        <v>14</v>
      </c>
      <c r="X1772" t="n">
        <v>13.5</v>
      </c>
      <c r="Y1772" t="n">
        <v>463</v>
      </c>
      <c r="Z1772" t="n">
        <v>6</v>
      </c>
      <c r="AQ1772" t="n">
        <v>2</v>
      </c>
      <c r="AR1772" t="n">
        <v>42</v>
      </c>
      <c r="AS1772" t="inlineStr">
        <is>
          <t>Collection (optional)</t>
        </is>
      </c>
    </row>
    <row r="1773">
      <c r="A1773" t="inlineStr">
        <is>
          <t>Arcane</t>
        </is>
      </c>
      <c r="B1773" t="inlineStr">
        <is>
          <t>Longbow Sharpshot</t>
        </is>
      </c>
      <c r="E1773" t="inlineStr">
        <is>
          <t>Bow</t>
        </is>
      </c>
      <c r="F1773" t="n">
        <v>5</v>
      </c>
      <c r="G1773" t="n">
        <v>1</v>
      </c>
      <c r="H1773" t="inlineStr">
        <is>
          <t>Player trade (max rank)</t>
        </is>
      </c>
      <c r="I1773" t="inlineStr">
        <is>
          <t>Yes</t>
        </is>
      </c>
      <c r="K1773" t="inlineStr">
        <is>
          <t>Collection (optional)</t>
        </is>
      </c>
      <c r="L1773" t="n">
        <v>320</v>
      </c>
      <c r="M1773" t="n">
        <v>340</v>
      </c>
      <c r="N1773" t="n">
        <v>386</v>
      </c>
      <c r="O1773" t="inlineStr">
        <is>
          <t>2026-10-05 UTC (WFM pull 02:52-04:00)</t>
        </is>
      </c>
      <c r="P1773" t="inlineStr">
        <is>
          <t>OK</t>
        </is>
      </c>
      <c r="Q1773" t="inlineStr">
        <is>
          <t>Cheaper via 21x R0 (294p realistic) than buying max rank</t>
        </is>
      </c>
      <c r="R1773" t="inlineStr">
        <is>
          <t>Arcanes share across items like mods (one max-rank copy covers every build).</t>
        </is>
      </c>
      <c r="S1773" t="inlineStr">
        <is>
          <t>longbow_sharpshot</t>
        </is>
      </c>
      <c r="T1773" t="n">
        <v>10</v>
      </c>
      <c r="U1773" t="n">
        <v>10</v>
      </c>
      <c r="V1773" t="n">
        <v>300</v>
      </c>
      <c r="W1773" t="n">
        <v>240</v>
      </c>
      <c r="X1773" t="n">
        <v>251.4</v>
      </c>
      <c r="Y1773" t="n">
        <v>1203</v>
      </c>
      <c r="Z1773" t="n">
        <v>55</v>
      </c>
      <c r="AA1773" t="n">
        <v>300</v>
      </c>
      <c r="AB1773" t="n">
        <v>20</v>
      </c>
      <c r="AQ1773" t="n">
        <v>14</v>
      </c>
      <c r="AR1773" t="n">
        <v>294</v>
      </c>
      <c r="AS1773" t="inlineStr">
        <is>
          <t>Collection (optional)</t>
        </is>
      </c>
    </row>
    <row r="1774">
      <c r="A1774" t="inlineStr">
        <is>
          <t>Arcane</t>
        </is>
      </c>
      <c r="B1774" t="inlineStr">
        <is>
          <t>Magus Accelerant</t>
        </is>
      </c>
      <c r="E1774" t="inlineStr">
        <is>
          <t>Operator</t>
        </is>
      </c>
      <c r="F1774" t="n">
        <v>5</v>
      </c>
      <c r="G1774" t="n">
        <v>1</v>
      </c>
      <c r="H1774" t="inlineStr">
        <is>
          <t>Player trade (max rank)</t>
        </is>
      </c>
      <c r="I1774" t="inlineStr">
        <is>
          <t>Yes</t>
        </is>
      </c>
      <c r="K1774" t="inlineStr">
        <is>
          <t>Collection (optional)</t>
        </is>
      </c>
      <c r="L1774" t="n">
        <v>114</v>
      </c>
      <c r="M1774" t="n">
        <v>140</v>
      </c>
      <c r="N1774" t="n">
        <v>165</v>
      </c>
      <c r="O1774" t="inlineStr">
        <is>
          <t>2026-10-05 UTC (WFM pull 02:52-04:00)</t>
        </is>
      </c>
      <c r="P1774" t="inlineStr">
        <is>
          <t>OK</t>
        </is>
      </c>
      <c r="Q1774" t="inlineStr">
        <is>
          <t>Cheaper via 21x R0 (105p realistic) than buying max rank</t>
        </is>
      </c>
      <c r="R1774" t="inlineStr">
        <is>
          <t>Arcanes share across items like mods (one max-rank copy covers every build).</t>
        </is>
      </c>
      <c r="S1774" t="inlineStr">
        <is>
          <t>magus_accelerant</t>
        </is>
      </c>
      <c r="T1774" t="n">
        <v>7</v>
      </c>
      <c r="U1774" t="n">
        <v>7</v>
      </c>
      <c r="V1774" t="n">
        <v>105</v>
      </c>
      <c r="W1774" t="n">
        <v>99.5</v>
      </c>
      <c r="X1774" t="n">
        <v>100.3</v>
      </c>
      <c r="Y1774" t="n">
        <v>104</v>
      </c>
      <c r="Z1774" t="n">
        <v>0</v>
      </c>
      <c r="AQ1774" t="n">
        <v>5</v>
      </c>
      <c r="AR1774" t="n">
        <v>105</v>
      </c>
      <c r="AS1774" t="inlineStr">
        <is>
          <t>Collection (optional)</t>
        </is>
      </c>
    </row>
    <row r="1775">
      <c r="A1775" t="inlineStr">
        <is>
          <t>Arcane</t>
        </is>
      </c>
      <c r="B1775" t="inlineStr">
        <is>
          <t>Magus Aggress</t>
        </is>
      </c>
      <c r="E1775" t="inlineStr">
        <is>
          <t>Operator</t>
        </is>
      </c>
      <c r="F1775" t="n">
        <v>5</v>
      </c>
      <c r="G1775" t="n">
        <v>1</v>
      </c>
      <c r="H1775" t="inlineStr">
        <is>
          <t>Player trade (max rank)</t>
        </is>
      </c>
      <c r="I1775" t="inlineStr">
        <is>
          <t>Yes</t>
        </is>
      </c>
      <c r="K1775" t="inlineStr">
        <is>
          <t>Collection (optional)</t>
        </is>
      </c>
      <c r="L1775" t="n">
        <v>14</v>
      </c>
      <c r="M1775" t="n">
        <v>20</v>
      </c>
      <c r="N1775" t="n">
        <v>22</v>
      </c>
      <c r="O1775" t="inlineStr">
        <is>
          <t>2026-10-05 UTC (WFM pull 02:52-04:00)</t>
        </is>
      </c>
      <c r="P1775" t="inlineStr">
        <is>
          <t>OK</t>
        </is>
      </c>
      <c r="R1775" t="inlineStr">
        <is>
          <t>Arcanes share across items like mods (one max-rank copy covers every build).</t>
        </is>
      </c>
      <c r="S1775" t="inlineStr">
        <is>
          <t>magus_aggress</t>
        </is>
      </c>
      <c r="T1775" t="n">
        <v>11</v>
      </c>
      <c r="U1775" t="n">
        <v>11</v>
      </c>
      <c r="V1775" t="n">
        <v>15</v>
      </c>
      <c r="W1775" t="n">
        <v>15</v>
      </c>
      <c r="X1775" t="n">
        <v>15.2</v>
      </c>
      <c r="Y1775" t="n">
        <v>260</v>
      </c>
      <c r="Z1775" t="n">
        <v>19</v>
      </c>
      <c r="AA1775" t="n">
        <v>7</v>
      </c>
      <c r="AB1775" t="n">
        <v>7</v>
      </c>
      <c r="AQ1775" t="n">
        <v>2</v>
      </c>
      <c r="AR1775" t="n">
        <v>42</v>
      </c>
      <c r="AS1775" t="inlineStr">
        <is>
          <t>Collection (optional)</t>
        </is>
      </c>
    </row>
    <row r="1776">
      <c r="A1776" t="inlineStr">
        <is>
          <t>Arcane</t>
        </is>
      </c>
      <c r="B1776" t="inlineStr">
        <is>
          <t>Magus Anomaly</t>
        </is>
      </c>
      <c r="E1776" t="inlineStr">
        <is>
          <t>Operator</t>
        </is>
      </c>
      <c r="F1776" t="n">
        <v>5</v>
      </c>
      <c r="G1776" t="n">
        <v>1</v>
      </c>
      <c r="H1776" t="inlineStr">
        <is>
          <t>Player trade (max rank)</t>
        </is>
      </c>
      <c r="I1776" t="inlineStr">
        <is>
          <t>Yes</t>
        </is>
      </c>
      <c r="K1776" t="inlineStr">
        <is>
          <t>Collection (optional)</t>
        </is>
      </c>
      <c r="L1776" t="n">
        <v>90</v>
      </c>
      <c r="M1776" t="n">
        <v>95</v>
      </c>
      <c r="N1776" t="n">
        <v>109</v>
      </c>
      <c r="O1776" t="inlineStr">
        <is>
          <t>2026-10-05 UTC (WFM pull 02:52-04:00)</t>
        </is>
      </c>
      <c r="P1776" t="inlineStr">
        <is>
          <t>OK</t>
        </is>
      </c>
      <c r="R1776" t="inlineStr">
        <is>
          <t>Arcanes share across items like mods (one max-rank copy covers every build).</t>
        </is>
      </c>
      <c r="S1776" t="inlineStr">
        <is>
          <t>magus_anomaly</t>
        </is>
      </c>
      <c r="T1776" t="n">
        <v>16</v>
      </c>
      <c r="U1776" t="n">
        <v>16</v>
      </c>
      <c r="V1776" t="n">
        <v>90</v>
      </c>
      <c r="W1776" t="n">
        <v>90.5</v>
      </c>
      <c r="X1776" t="n">
        <v>92.5</v>
      </c>
      <c r="Y1776" t="n">
        <v>838</v>
      </c>
      <c r="Z1776" t="n">
        <v>18</v>
      </c>
      <c r="AA1776" t="n">
        <v>39</v>
      </c>
      <c r="AB1776" t="n">
        <v>51</v>
      </c>
      <c r="AQ1776" t="n">
        <v>10</v>
      </c>
      <c r="AR1776" t="n">
        <v>210</v>
      </c>
      <c r="AS1776" t="inlineStr">
        <is>
          <t>Collection (optional)</t>
        </is>
      </c>
    </row>
    <row r="1777">
      <c r="A1777" t="inlineStr">
        <is>
          <t>Arcane</t>
        </is>
      </c>
      <c r="B1777" t="inlineStr">
        <is>
          <t>Magus Cadence</t>
        </is>
      </c>
      <c r="E1777" t="inlineStr">
        <is>
          <t>Operator</t>
        </is>
      </c>
      <c r="F1777" t="n">
        <v>5</v>
      </c>
      <c r="G1777" t="n">
        <v>1</v>
      </c>
      <c r="H1777" t="inlineStr">
        <is>
          <t>Player trade (max rank)</t>
        </is>
      </c>
      <c r="I1777" t="inlineStr">
        <is>
          <t>Yes</t>
        </is>
      </c>
      <c r="K1777" t="inlineStr">
        <is>
          <t>Collection (optional)</t>
        </is>
      </c>
      <c r="L1777" t="n">
        <v>69</v>
      </c>
      <c r="M1777" t="n">
        <v>75</v>
      </c>
      <c r="N1777" t="n">
        <v>88</v>
      </c>
      <c r="O1777" t="inlineStr">
        <is>
          <t>2026-10-05 UTC (WFM pull 02:52-04:00)</t>
        </is>
      </c>
      <c r="P1777" t="inlineStr">
        <is>
          <t>OK</t>
        </is>
      </c>
      <c r="R1777" t="inlineStr">
        <is>
          <t>Arcanes share across items like mods (one max-rank copy covers every build).</t>
        </is>
      </c>
      <c r="S1777" t="inlineStr">
        <is>
          <t>magus_cadence</t>
        </is>
      </c>
      <c r="T1777" t="n">
        <v>10</v>
      </c>
      <c r="U1777" t="n">
        <v>10</v>
      </c>
      <c r="V1777" t="n">
        <v>62.5</v>
      </c>
      <c r="W1777" t="n">
        <v>65</v>
      </c>
      <c r="X1777" t="n">
        <v>65.09999999999999</v>
      </c>
      <c r="Y1777" t="n">
        <v>139</v>
      </c>
      <c r="Z1777" t="n">
        <v>4</v>
      </c>
      <c r="AQ1777" t="n">
        <v>4</v>
      </c>
      <c r="AR1777" t="n">
        <v>84</v>
      </c>
      <c r="AS1777" t="inlineStr">
        <is>
          <t>Collection (optional)</t>
        </is>
      </c>
    </row>
    <row r="1778">
      <c r="A1778" t="inlineStr">
        <is>
          <t>Arcane</t>
        </is>
      </c>
      <c r="B1778" t="inlineStr">
        <is>
          <t>Magus Cloud</t>
        </is>
      </c>
      <c r="E1778" t="inlineStr">
        <is>
          <t>Operator</t>
        </is>
      </c>
      <c r="F1778" t="n">
        <v>5</v>
      </c>
      <c r="G1778" t="n">
        <v>1</v>
      </c>
      <c r="H1778" t="inlineStr">
        <is>
          <t>Player trade (max rank)</t>
        </is>
      </c>
      <c r="I1778" t="inlineStr">
        <is>
          <t>Yes</t>
        </is>
      </c>
      <c r="K1778" t="inlineStr">
        <is>
          <t>Collection (optional)</t>
        </is>
      </c>
      <c r="L1778" t="n">
        <v>49</v>
      </c>
      <c r="M1778" t="n">
        <v>55</v>
      </c>
      <c r="N1778" t="n">
        <v>66</v>
      </c>
      <c r="O1778" t="inlineStr">
        <is>
          <t>2026-10-05 UTC (WFM pull 02:52-04:00)</t>
        </is>
      </c>
      <c r="P1778" t="inlineStr">
        <is>
          <t>OK</t>
        </is>
      </c>
      <c r="R1778" t="inlineStr">
        <is>
          <t>Arcanes share across items like mods (one max-rank copy covers every build).</t>
        </is>
      </c>
      <c r="S1778" t="inlineStr">
        <is>
          <t>magus_cloud</t>
        </is>
      </c>
      <c r="T1778" t="n">
        <v>15</v>
      </c>
      <c r="U1778" t="n">
        <v>15</v>
      </c>
      <c r="V1778" t="n">
        <v>50</v>
      </c>
      <c r="W1778" t="n">
        <v>54</v>
      </c>
      <c r="X1778" t="n">
        <v>53.4</v>
      </c>
      <c r="Y1778" t="n">
        <v>1632</v>
      </c>
      <c r="Z1778" t="n">
        <v>42</v>
      </c>
      <c r="AA1778" t="n">
        <v>35</v>
      </c>
      <c r="AB1778" t="n">
        <v>14</v>
      </c>
      <c r="AQ1778" t="n">
        <v>4</v>
      </c>
      <c r="AR1778" t="n">
        <v>84</v>
      </c>
      <c r="AS1778" t="inlineStr">
        <is>
          <t>Collection (optional)</t>
        </is>
      </c>
    </row>
    <row r="1779">
      <c r="A1779" t="inlineStr">
        <is>
          <t>Arcane</t>
        </is>
      </c>
      <c r="B1779" t="inlineStr">
        <is>
          <t>Magus Destruct</t>
        </is>
      </c>
      <c r="E1779" t="inlineStr">
        <is>
          <t>Operator</t>
        </is>
      </c>
      <c r="F1779" t="n">
        <v>5</v>
      </c>
      <c r="G1779" t="n">
        <v>1</v>
      </c>
      <c r="H1779" t="inlineStr">
        <is>
          <t>Player trade (max rank)</t>
        </is>
      </c>
      <c r="I1779" t="inlineStr">
        <is>
          <t>Yes</t>
        </is>
      </c>
      <c r="K1779" t="inlineStr">
        <is>
          <t>Collection (optional)</t>
        </is>
      </c>
      <c r="L1779" t="n">
        <v>149</v>
      </c>
      <c r="M1779" t="n">
        <v>149</v>
      </c>
      <c r="N1779" t="n">
        <v>221</v>
      </c>
      <c r="O1779" t="inlineStr">
        <is>
          <t>2026-10-05 UTC (WFM pull 02:52-04:00)</t>
        </is>
      </c>
      <c r="P1779" t="inlineStr">
        <is>
          <t>OK</t>
        </is>
      </c>
      <c r="Q1779" t="inlineStr">
        <is>
          <t>Cheaper via 21x R0 (105p realistic) than buying max rank</t>
        </is>
      </c>
      <c r="R1779" t="inlineStr">
        <is>
          <t>Arcanes share across items like mods (one max-rank copy covers every build).</t>
        </is>
      </c>
      <c r="S1779" t="inlineStr">
        <is>
          <t>magus_destruct</t>
        </is>
      </c>
      <c r="T1779" t="n">
        <v>6</v>
      </c>
      <c r="U1779" t="n">
        <v>6</v>
      </c>
      <c r="V1779" t="n">
        <v>95</v>
      </c>
      <c r="W1779" t="n">
        <v>100</v>
      </c>
      <c r="X1779" t="n">
        <v>102.4</v>
      </c>
      <c r="Y1779" t="n">
        <v>46</v>
      </c>
      <c r="Z1779" t="n">
        <v>4</v>
      </c>
      <c r="AQ1779" t="n">
        <v>5</v>
      </c>
      <c r="AR1779" t="n">
        <v>105</v>
      </c>
      <c r="AS1779" t="inlineStr">
        <is>
          <t>Collection (optional)</t>
        </is>
      </c>
    </row>
    <row r="1780">
      <c r="A1780" t="inlineStr">
        <is>
          <t>Arcane</t>
        </is>
      </c>
      <c r="B1780" t="inlineStr">
        <is>
          <t>Magus Drive</t>
        </is>
      </c>
      <c r="E1780" t="inlineStr">
        <is>
          <t>Operator</t>
        </is>
      </c>
      <c r="F1780" t="n">
        <v>5</v>
      </c>
      <c r="G1780" t="n">
        <v>1</v>
      </c>
      <c r="H1780" t="inlineStr">
        <is>
          <t>Player trade (max rank)</t>
        </is>
      </c>
      <c r="I1780" t="inlineStr">
        <is>
          <t>Yes</t>
        </is>
      </c>
      <c r="K1780" t="inlineStr">
        <is>
          <t>Collection (optional)</t>
        </is>
      </c>
      <c r="L1780" t="n">
        <v>90</v>
      </c>
      <c r="M1780" t="n">
        <v>139</v>
      </c>
      <c r="N1780" t="n">
        <v>210</v>
      </c>
      <c r="O1780" t="inlineStr">
        <is>
          <t>2026-10-05 UTC (WFM pull 02:52-04:00)</t>
        </is>
      </c>
      <c r="P1780" t="inlineStr">
        <is>
          <t>OK</t>
        </is>
      </c>
      <c r="R1780" t="inlineStr">
        <is>
          <t>Arcanes share across items like mods (one max-rank copy covers every build).</t>
        </is>
      </c>
      <c r="S1780" t="inlineStr">
        <is>
          <t>magus_drive</t>
        </is>
      </c>
      <c r="T1780" t="n">
        <v>7</v>
      </c>
      <c r="U1780" t="n">
        <v>7</v>
      </c>
      <c r="V1780" t="n">
        <v>99.5</v>
      </c>
      <c r="W1780" t="n">
        <v>90</v>
      </c>
      <c r="X1780" t="n">
        <v>89.09999999999999</v>
      </c>
      <c r="Y1780" t="n">
        <v>53</v>
      </c>
      <c r="Z1780" t="n">
        <v>0</v>
      </c>
      <c r="AQ1780" t="n">
        <v>7</v>
      </c>
      <c r="AR1780" t="n">
        <v>147</v>
      </c>
      <c r="AS1780" t="inlineStr">
        <is>
          <t>Collection (optional)</t>
        </is>
      </c>
    </row>
    <row r="1781">
      <c r="A1781" t="inlineStr">
        <is>
          <t>Arcane</t>
        </is>
      </c>
      <c r="B1781" t="inlineStr">
        <is>
          <t>Magus Elevate</t>
        </is>
      </c>
      <c r="E1781" t="inlineStr">
        <is>
          <t>Operator</t>
        </is>
      </c>
      <c r="F1781" t="n">
        <v>5</v>
      </c>
      <c r="G1781" t="n">
        <v>1</v>
      </c>
      <c r="H1781" t="inlineStr">
        <is>
          <t>Player trade (max rank)</t>
        </is>
      </c>
      <c r="I1781" t="inlineStr">
        <is>
          <t>Yes</t>
        </is>
      </c>
      <c r="K1781" t="inlineStr">
        <is>
          <t>Collection (optional)</t>
        </is>
      </c>
      <c r="L1781" t="n">
        <v>50</v>
      </c>
      <c r="M1781" t="n">
        <v>55</v>
      </c>
      <c r="N1781" t="n">
        <v>66</v>
      </c>
      <c r="O1781" t="inlineStr">
        <is>
          <t>2026-10-05 UTC (WFM pull 02:52-04:00)</t>
        </is>
      </c>
      <c r="P1781" t="inlineStr">
        <is>
          <t>OK</t>
        </is>
      </c>
      <c r="R1781" t="inlineStr">
        <is>
          <t>Arcanes share across items like mods (one max-rank copy covers every build).</t>
        </is>
      </c>
      <c r="S1781" t="inlineStr">
        <is>
          <t>magus_elevate</t>
        </is>
      </c>
      <c r="T1781" t="n">
        <v>17</v>
      </c>
      <c r="U1781" t="n">
        <v>17</v>
      </c>
      <c r="V1781" t="n">
        <v>50</v>
      </c>
      <c r="W1781" t="n">
        <v>59</v>
      </c>
      <c r="X1781" t="n">
        <v>57.1</v>
      </c>
      <c r="Y1781" t="n">
        <v>1475</v>
      </c>
      <c r="Z1781" t="n">
        <v>26</v>
      </c>
      <c r="AA1781" t="n">
        <v>21</v>
      </c>
      <c r="AB1781" t="n">
        <v>29</v>
      </c>
      <c r="AQ1781" t="n">
        <v>5</v>
      </c>
      <c r="AR1781" t="n">
        <v>105</v>
      </c>
      <c r="AS1781" t="inlineStr">
        <is>
          <t>Collection (optional)</t>
        </is>
      </c>
    </row>
    <row r="1782">
      <c r="A1782" t="inlineStr">
        <is>
          <t>Arcane</t>
        </is>
      </c>
      <c r="B1782" t="inlineStr">
        <is>
          <t>Magus Firewall</t>
        </is>
      </c>
      <c r="E1782" t="inlineStr">
        <is>
          <t>Operator</t>
        </is>
      </c>
      <c r="F1782" t="n">
        <v>5</v>
      </c>
      <c r="G1782" t="n">
        <v>1</v>
      </c>
      <c r="H1782" t="inlineStr">
        <is>
          <t>Player trade (max rank)</t>
        </is>
      </c>
      <c r="I1782" t="inlineStr">
        <is>
          <t>Yes</t>
        </is>
      </c>
      <c r="K1782" t="inlineStr">
        <is>
          <t>Collection (optional)</t>
        </is>
      </c>
      <c r="L1782" t="n">
        <v>100</v>
      </c>
      <c r="M1782" t="n">
        <v>114</v>
      </c>
      <c r="N1782" t="n">
        <v>175</v>
      </c>
      <c r="O1782" t="inlineStr">
        <is>
          <t>2026-10-05 UTC (WFM pull 02:52-04:00)</t>
        </is>
      </c>
      <c r="P1782" t="inlineStr">
        <is>
          <t>OK</t>
        </is>
      </c>
      <c r="Q1782" t="inlineStr">
        <is>
          <t>Cheaper via 21x R0 (105p realistic) than buying max rank</t>
        </is>
      </c>
      <c r="R1782" t="inlineStr">
        <is>
          <t>Arcanes share across items like mods (one max-rank copy covers every build).</t>
        </is>
      </c>
      <c r="S1782" t="inlineStr">
        <is>
          <t>magus_firewall</t>
        </is>
      </c>
      <c r="T1782" t="n">
        <v>10</v>
      </c>
      <c r="U1782" t="n">
        <v>10</v>
      </c>
      <c r="V1782" t="n">
        <v>90</v>
      </c>
      <c r="W1782" t="n">
        <v>90</v>
      </c>
      <c r="X1782" t="n">
        <v>91.2</v>
      </c>
      <c r="Y1782" t="n">
        <v>41</v>
      </c>
      <c r="Z1782" t="n">
        <v>2</v>
      </c>
      <c r="AQ1782" t="n">
        <v>5</v>
      </c>
      <c r="AR1782" t="n">
        <v>105</v>
      </c>
      <c r="AS1782" t="inlineStr">
        <is>
          <t>Collection (optional)</t>
        </is>
      </c>
    </row>
    <row r="1783">
      <c r="A1783" t="inlineStr">
        <is>
          <t>Arcane</t>
        </is>
      </c>
      <c r="B1783" t="inlineStr">
        <is>
          <t>Magus Glitch</t>
        </is>
      </c>
      <c r="E1783" t="inlineStr">
        <is>
          <t>Operator</t>
        </is>
      </c>
      <c r="F1783" t="n">
        <v>5</v>
      </c>
      <c r="G1783" t="n">
        <v>1</v>
      </c>
      <c r="H1783" t="inlineStr">
        <is>
          <t>Player trade (max rank)</t>
        </is>
      </c>
      <c r="I1783" t="inlineStr">
        <is>
          <t>Yes</t>
        </is>
      </c>
      <c r="K1783" t="inlineStr">
        <is>
          <t>Collection (optional)</t>
        </is>
      </c>
      <c r="L1783" t="n">
        <v>99</v>
      </c>
      <c r="M1783" t="n">
        <v>125</v>
      </c>
      <c r="N1783" t="n">
        <v>154</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magus_glitch</t>
        </is>
      </c>
      <c r="T1783" t="n">
        <v>8</v>
      </c>
      <c r="U1783" t="n">
        <v>8</v>
      </c>
      <c r="V1783" t="n">
        <v>97.5</v>
      </c>
      <c r="W1783" t="n">
        <v>97.5</v>
      </c>
      <c r="X1783" t="n">
        <v>96.59999999999999</v>
      </c>
      <c r="Y1783" t="n">
        <v>90</v>
      </c>
      <c r="Z1783" t="n">
        <v>2</v>
      </c>
      <c r="AA1783" t="n">
        <v>37</v>
      </c>
      <c r="AB1783" t="n">
        <v>62</v>
      </c>
      <c r="AQ1783" t="n">
        <v>5</v>
      </c>
      <c r="AR1783" t="n">
        <v>105</v>
      </c>
      <c r="AS1783" t="inlineStr">
        <is>
          <t>Collection (optional)</t>
        </is>
      </c>
    </row>
    <row r="1784">
      <c r="A1784" t="inlineStr">
        <is>
          <t>Arcane</t>
        </is>
      </c>
      <c r="B1784" t="inlineStr">
        <is>
          <t>Magus Husk</t>
        </is>
      </c>
      <c r="E1784" t="inlineStr">
        <is>
          <t>Operator</t>
        </is>
      </c>
      <c r="F1784" t="n">
        <v>5</v>
      </c>
      <c r="G1784" t="n">
        <v>1</v>
      </c>
      <c r="H1784" t="inlineStr">
        <is>
          <t>Player trade (max rank)</t>
        </is>
      </c>
      <c r="I1784" t="inlineStr">
        <is>
          <t>Yes</t>
        </is>
      </c>
      <c r="K1784" t="inlineStr">
        <is>
          <t>Collection (optional)</t>
        </is>
      </c>
      <c r="L1784" t="n">
        <v>60</v>
      </c>
      <c r="M1784" t="n">
        <v>61.5</v>
      </c>
      <c r="N1784" t="n">
        <v>111</v>
      </c>
      <c r="O1784" t="inlineStr">
        <is>
          <t>2026-10-05 UTC (WFM pull 02:52-04:00)</t>
        </is>
      </c>
      <c r="P1784" t="inlineStr">
        <is>
          <t>OK</t>
        </is>
      </c>
      <c r="R1784" t="inlineStr">
        <is>
          <t>Arcanes share across items like mods (one max-rank copy covers every build).</t>
        </is>
      </c>
      <c r="S1784" t="inlineStr">
        <is>
          <t>magus_husk</t>
        </is>
      </c>
      <c r="T1784" t="n">
        <v>6</v>
      </c>
      <c r="U1784" t="n">
        <v>6</v>
      </c>
      <c r="V1784" t="n">
        <v>41</v>
      </c>
      <c r="W1784" t="n">
        <v>42.5</v>
      </c>
      <c r="X1784" t="n">
        <v>43</v>
      </c>
      <c r="Y1784" t="n">
        <v>121</v>
      </c>
      <c r="Z1784" t="n">
        <v>3</v>
      </c>
      <c r="AA1784" t="n">
        <v>15</v>
      </c>
      <c r="AB1784" t="n">
        <v>45</v>
      </c>
      <c r="AQ1784" t="n">
        <v>4</v>
      </c>
      <c r="AR1784" t="n">
        <v>84</v>
      </c>
      <c r="AS1784" t="inlineStr">
        <is>
          <t>Collection (optional)</t>
        </is>
      </c>
    </row>
    <row r="1785">
      <c r="A1785" t="inlineStr">
        <is>
          <t>Arcane</t>
        </is>
      </c>
      <c r="B1785" t="inlineStr">
        <is>
          <t>Magus Lockdown</t>
        </is>
      </c>
      <c r="E1785" t="inlineStr">
        <is>
          <t>Operator</t>
        </is>
      </c>
      <c r="F1785" t="n">
        <v>5</v>
      </c>
      <c r="G1785" t="n">
        <v>1</v>
      </c>
      <c r="H1785" t="inlineStr">
        <is>
          <t>Player trade (max rank)</t>
        </is>
      </c>
      <c r="I1785" t="inlineStr">
        <is>
          <t>Yes</t>
        </is>
      </c>
      <c r="K1785" t="inlineStr">
        <is>
          <t>Collection (optional)</t>
        </is>
      </c>
      <c r="L1785" t="n">
        <v>85</v>
      </c>
      <c r="M1785" t="n">
        <v>88</v>
      </c>
      <c r="N1785" t="n">
        <v>100</v>
      </c>
      <c r="O1785" t="inlineStr">
        <is>
          <t>2026-10-05 UTC (WFM pull 02:52-04:00)</t>
        </is>
      </c>
      <c r="P1785" t="inlineStr">
        <is>
          <t>OK</t>
        </is>
      </c>
      <c r="R1785" t="inlineStr">
        <is>
          <t>Arcanes share across items like mods (one max-rank copy covers every build).</t>
        </is>
      </c>
      <c r="S1785" t="inlineStr">
        <is>
          <t>magus_lockdown</t>
        </is>
      </c>
      <c r="T1785" t="n">
        <v>23</v>
      </c>
      <c r="U1785" t="n">
        <v>23</v>
      </c>
      <c r="V1785" t="n">
        <v>80</v>
      </c>
      <c r="W1785" t="n">
        <v>90</v>
      </c>
      <c r="X1785" t="n">
        <v>87.8</v>
      </c>
      <c r="Y1785" t="n">
        <v>2316</v>
      </c>
      <c r="Z1785" t="n">
        <v>50</v>
      </c>
      <c r="AA1785" t="n">
        <v>60</v>
      </c>
      <c r="AB1785" t="n">
        <v>25</v>
      </c>
      <c r="AQ1785" t="n">
        <v>6</v>
      </c>
      <c r="AR1785" t="n">
        <v>126</v>
      </c>
      <c r="AS1785" t="inlineStr">
        <is>
          <t>Collection (optional)</t>
        </is>
      </c>
    </row>
    <row r="1786">
      <c r="A1786" t="inlineStr">
        <is>
          <t>Arcane</t>
        </is>
      </c>
      <c r="B1786" t="inlineStr">
        <is>
          <t>Magus Melt</t>
        </is>
      </c>
      <c r="E1786" t="inlineStr">
        <is>
          <t>Operator</t>
        </is>
      </c>
      <c r="F1786" t="n">
        <v>5</v>
      </c>
      <c r="G1786" t="n">
        <v>1</v>
      </c>
      <c r="H1786" t="inlineStr">
        <is>
          <t>Player trade (max rank)</t>
        </is>
      </c>
      <c r="I1786" t="inlineStr">
        <is>
          <t>Yes</t>
        </is>
      </c>
      <c r="K1786" t="inlineStr">
        <is>
          <t>Collection (optional)</t>
        </is>
      </c>
      <c r="L1786" t="n">
        <v>83</v>
      </c>
      <c r="M1786" t="n">
        <v>85</v>
      </c>
      <c r="N1786" t="n">
        <v>94</v>
      </c>
      <c r="O1786" t="inlineStr">
        <is>
          <t>2026-10-05 UTC (WFM pull 02:52-04:00)</t>
        </is>
      </c>
      <c r="P1786" t="inlineStr">
        <is>
          <t>OK</t>
        </is>
      </c>
      <c r="R1786" t="inlineStr">
        <is>
          <t>Arcanes share across items like mods (one max-rank copy covers every build).</t>
        </is>
      </c>
      <c r="S1786" t="inlineStr">
        <is>
          <t>magus_melt</t>
        </is>
      </c>
      <c r="T1786" t="n">
        <v>23</v>
      </c>
      <c r="U1786" t="n">
        <v>23</v>
      </c>
      <c r="V1786" t="n">
        <v>83</v>
      </c>
      <c r="W1786" t="n">
        <v>90</v>
      </c>
      <c r="X1786" t="n">
        <v>89</v>
      </c>
      <c r="Y1786" t="n">
        <v>3397</v>
      </c>
      <c r="Z1786" t="n">
        <v>93</v>
      </c>
      <c r="AA1786" t="n">
        <v>70</v>
      </c>
      <c r="AB1786" t="n">
        <v>13</v>
      </c>
      <c r="AQ1786" t="n">
        <v>5</v>
      </c>
      <c r="AR1786" t="n">
        <v>105</v>
      </c>
      <c r="AS1786" t="inlineStr">
        <is>
          <t>Collection (optional)</t>
        </is>
      </c>
    </row>
    <row r="1787">
      <c r="A1787" t="inlineStr">
        <is>
          <t>Arcane</t>
        </is>
      </c>
      <c r="B1787" t="inlineStr">
        <is>
          <t>Magus Nourish</t>
        </is>
      </c>
      <c r="E1787" t="inlineStr">
        <is>
          <t>Operator</t>
        </is>
      </c>
      <c r="F1787" t="n">
        <v>5</v>
      </c>
      <c r="G1787" t="n">
        <v>1</v>
      </c>
      <c r="H1787" t="inlineStr">
        <is>
          <t>Player trade (max rank)</t>
        </is>
      </c>
      <c r="I1787" t="inlineStr">
        <is>
          <t>Yes</t>
        </is>
      </c>
      <c r="K1787" t="inlineStr">
        <is>
          <t>Collection (optional)</t>
        </is>
      </c>
      <c r="L1787" t="n">
        <v>49</v>
      </c>
      <c r="M1787" t="n">
        <v>60</v>
      </c>
      <c r="N1787" t="n">
        <v>88</v>
      </c>
      <c r="O1787" t="inlineStr">
        <is>
          <t>2026-10-05 UTC (WFM pull 02:52-04:00)</t>
        </is>
      </c>
      <c r="P1787" t="inlineStr">
        <is>
          <t>OK</t>
        </is>
      </c>
      <c r="R1787" t="inlineStr">
        <is>
          <t>Arcanes share across items like mods (one max-rank copy covers every build).</t>
        </is>
      </c>
      <c r="S1787" t="inlineStr">
        <is>
          <t>magus_nourish</t>
        </is>
      </c>
      <c r="T1787" t="n">
        <v>10</v>
      </c>
      <c r="U1787" t="n">
        <v>10</v>
      </c>
      <c r="V1787" t="n">
        <v>50</v>
      </c>
      <c r="W1787" t="n">
        <v>55</v>
      </c>
      <c r="X1787" t="n">
        <v>54.5</v>
      </c>
      <c r="Y1787" t="n">
        <v>193</v>
      </c>
      <c r="Z1787" t="n">
        <v>7</v>
      </c>
      <c r="AA1787" t="n">
        <v>36</v>
      </c>
      <c r="AB1787" t="n">
        <v>13</v>
      </c>
      <c r="AQ1787" t="n">
        <v>6</v>
      </c>
      <c r="AR1787" t="n">
        <v>126</v>
      </c>
      <c r="AS1787" t="inlineStr">
        <is>
          <t>Collection (optional)</t>
        </is>
      </c>
    </row>
    <row r="1788">
      <c r="A1788" t="inlineStr">
        <is>
          <t>Arcane</t>
        </is>
      </c>
      <c r="B1788" t="inlineStr">
        <is>
          <t>Magus Overload</t>
        </is>
      </c>
      <c r="E1788" t="inlineStr">
        <is>
          <t>Operator</t>
        </is>
      </c>
      <c r="F1788" t="n">
        <v>5</v>
      </c>
      <c r="G1788" t="n">
        <v>1</v>
      </c>
      <c r="H1788" t="inlineStr">
        <is>
          <t>Player trade (max rank)</t>
        </is>
      </c>
      <c r="I1788" t="inlineStr">
        <is>
          <t>Yes</t>
        </is>
      </c>
      <c r="K1788" t="inlineStr">
        <is>
          <t>Collection (optional)</t>
        </is>
      </c>
      <c r="L1788" t="n">
        <v>94</v>
      </c>
      <c r="M1788" t="n">
        <v>120</v>
      </c>
      <c r="N1788" t="n">
        <v>199</v>
      </c>
      <c r="O1788" t="inlineStr">
        <is>
          <t>2026-10-05 UTC (WFM pull 02:52-04:00)</t>
        </is>
      </c>
      <c r="P1788" t="inlineStr">
        <is>
          <t>OK</t>
        </is>
      </c>
      <c r="R1788" t="inlineStr">
        <is>
          <t>Arcanes share across items like mods (one max-rank copy covers every build).</t>
        </is>
      </c>
      <c r="S1788" t="inlineStr">
        <is>
          <t>magus_overload</t>
        </is>
      </c>
      <c r="T1788" t="n">
        <v>7</v>
      </c>
      <c r="U1788" t="n">
        <v>7</v>
      </c>
      <c r="V1788" t="n">
        <v>80</v>
      </c>
      <c r="W1788" t="n">
        <v>82.5</v>
      </c>
      <c r="X1788" t="n">
        <v>86.2</v>
      </c>
      <c r="Y1788" t="n">
        <v>48</v>
      </c>
      <c r="Z1788" t="n">
        <v>2</v>
      </c>
      <c r="AQ1788" t="n">
        <v>6</v>
      </c>
      <c r="AR1788" t="n">
        <v>126</v>
      </c>
      <c r="AS1788" t="inlineStr">
        <is>
          <t>Collection (optional)</t>
        </is>
      </c>
    </row>
    <row r="1789">
      <c r="A1789" t="inlineStr">
        <is>
          <t>Arcane</t>
        </is>
      </c>
      <c r="B1789" t="inlineStr">
        <is>
          <t>Magus Repair</t>
        </is>
      </c>
      <c r="E1789" t="inlineStr">
        <is>
          <t>Operator</t>
        </is>
      </c>
      <c r="F1789" t="n">
        <v>5</v>
      </c>
      <c r="G1789" t="n">
        <v>1</v>
      </c>
      <c r="H1789" t="inlineStr">
        <is>
          <t>Player trade (max rank)</t>
        </is>
      </c>
      <c r="I1789" t="inlineStr">
        <is>
          <t>Yes</t>
        </is>
      </c>
      <c r="K1789" t="inlineStr">
        <is>
          <t>Collection (optional)</t>
        </is>
      </c>
      <c r="L1789" t="n">
        <v>90</v>
      </c>
      <c r="M1789" t="n">
        <v>95</v>
      </c>
      <c r="N1789" t="n">
        <v>111</v>
      </c>
      <c r="O1789" t="inlineStr">
        <is>
          <t>2026-10-05 UTC (WFM pull 02:52-04:00)</t>
        </is>
      </c>
      <c r="P1789" t="inlineStr">
        <is>
          <t>OK</t>
        </is>
      </c>
      <c r="R1789" t="inlineStr">
        <is>
          <t>Arcanes share across items like mods (one max-rank copy covers every build).</t>
        </is>
      </c>
      <c r="S1789" t="inlineStr">
        <is>
          <t>magus_repair</t>
        </is>
      </c>
      <c r="T1789" t="n">
        <v>12</v>
      </c>
      <c r="U1789" t="n">
        <v>12</v>
      </c>
      <c r="V1789" t="n">
        <v>90</v>
      </c>
      <c r="W1789" t="n">
        <v>95</v>
      </c>
      <c r="X1789" t="n">
        <v>93.59999999999999</v>
      </c>
      <c r="Y1789" t="n">
        <v>802</v>
      </c>
      <c r="Z1789" t="n">
        <v>22</v>
      </c>
      <c r="AA1789" t="n">
        <v>65</v>
      </c>
      <c r="AB1789" t="n">
        <v>25</v>
      </c>
      <c r="AQ1789" t="n">
        <v>8</v>
      </c>
      <c r="AR1789" t="n">
        <v>168</v>
      </c>
      <c r="AS1789" t="inlineStr">
        <is>
          <t>Collection (optional)</t>
        </is>
      </c>
    </row>
    <row r="1790">
      <c r="A1790" t="inlineStr">
        <is>
          <t>Arcane</t>
        </is>
      </c>
      <c r="B1790" t="inlineStr">
        <is>
          <t>Magus Replenish</t>
        </is>
      </c>
      <c r="E1790" t="inlineStr">
        <is>
          <t>Operator</t>
        </is>
      </c>
      <c r="F1790" t="n">
        <v>5</v>
      </c>
      <c r="G1790" t="n">
        <v>1</v>
      </c>
      <c r="H1790" t="inlineStr">
        <is>
          <t>Player trade (max rank)</t>
        </is>
      </c>
      <c r="I1790" t="inlineStr">
        <is>
          <t>Yes</t>
        </is>
      </c>
      <c r="K1790" t="inlineStr">
        <is>
          <t>Collection (optional)</t>
        </is>
      </c>
      <c r="L1790" t="n">
        <v>70</v>
      </c>
      <c r="M1790" t="n">
        <v>90</v>
      </c>
      <c r="N1790" t="n">
        <v>199</v>
      </c>
      <c r="O1790" t="inlineStr">
        <is>
          <t>2026-10-05 UTC (WFM pull 02:52-04:00)</t>
        </is>
      </c>
      <c r="P1790" t="inlineStr">
        <is>
          <t>OK</t>
        </is>
      </c>
      <c r="R1790" t="inlineStr">
        <is>
          <t>Arcanes share across items like mods (one max-rank copy covers every build).</t>
        </is>
      </c>
      <c r="S1790" t="inlineStr">
        <is>
          <t>magus_replenish</t>
        </is>
      </c>
      <c r="T1790" t="n">
        <v>5</v>
      </c>
      <c r="U1790" t="n">
        <v>5</v>
      </c>
      <c r="V1790" t="n">
        <v>60</v>
      </c>
      <c r="W1790" t="n">
        <v>65</v>
      </c>
      <c r="X1790" t="n">
        <v>66.2</v>
      </c>
      <c r="Y1790" t="n">
        <v>113</v>
      </c>
      <c r="Z1790" t="n">
        <v>2</v>
      </c>
      <c r="AA1790" t="n">
        <v>21</v>
      </c>
      <c r="AB1790" t="n">
        <v>49</v>
      </c>
      <c r="AQ1790" t="n">
        <v>5</v>
      </c>
      <c r="AR1790" t="n">
        <v>105</v>
      </c>
      <c r="AS1790" t="inlineStr">
        <is>
          <t>Collection (optional)</t>
        </is>
      </c>
    </row>
    <row r="1791">
      <c r="A1791" t="inlineStr">
        <is>
          <t>Arcane</t>
        </is>
      </c>
      <c r="B1791" t="inlineStr">
        <is>
          <t>Magus Revert</t>
        </is>
      </c>
      <c r="E1791" t="inlineStr">
        <is>
          <t>Operator</t>
        </is>
      </c>
      <c r="F1791" t="n">
        <v>5</v>
      </c>
      <c r="G1791" t="n">
        <v>1</v>
      </c>
      <c r="H1791" t="inlineStr">
        <is>
          <t>Player trade (max rank)</t>
        </is>
      </c>
      <c r="I1791" t="inlineStr">
        <is>
          <t>Yes</t>
        </is>
      </c>
      <c r="K1791" t="inlineStr">
        <is>
          <t>Collection (optional)</t>
        </is>
      </c>
      <c r="L1791" t="n">
        <v>109</v>
      </c>
      <c r="M1791" t="n">
        <v>150</v>
      </c>
      <c r="N1791" t="n">
        <v>184</v>
      </c>
      <c r="O1791" t="inlineStr">
        <is>
          <t>2026-10-05 UTC (WFM pull 02:52-04:00)</t>
        </is>
      </c>
      <c r="P1791" t="inlineStr">
        <is>
          <t>OK</t>
        </is>
      </c>
      <c r="Q1791" t="inlineStr">
        <is>
          <t>Cheaper via 21x R0 (105p realistic) than buying max rank</t>
        </is>
      </c>
      <c r="R1791" t="inlineStr">
        <is>
          <t>Arcanes share across items like mods (one max-rank copy covers every build).</t>
        </is>
      </c>
      <c r="S1791" t="inlineStr">
        <is>
          <t>magus_revert</t>
        </is>
      </c>
      <c r="T1791" t="n">
        <v>6</v>
      </c>
      <c r="U1791" t="n">
        <v>6</v>
      </c>
      <c r="V1791" t="n">
        <v>100</v>
      </c>
      <c r="W1791" t="n">
        <v>95</v>
      </c>
      <c r="X1791" t="n">
        <v>96.09999999999999</v>
      </c>
      <c r="Y1791" t="n">
        <v>36</v>
      </c>
      <c r="Z1791" t="n">
        <v>0</v>
      </c>
      <c r="AA1791" t="n">
        <v>42</v>
      </c>
      <c r="AB1791" t="n">
        <v>67</v>
      </c>
      <c r="AQ1791" t="n">
        <v>5</v>
      </c>
      <c r="AR1791" t="n">
        <v>105</v>
      </c>
      <c r="AS1791" t="inlineStr">
        <is>
          <t>Collection (optional)</t>
        </is>
      </c>
    </row>
    <row r="1792">
      <c r="A1792" t="inlineStr">
        <is>
          <t>Arcane</t>
        </is>
      </c>
      <c r="B1792" t="inlineStr">
        <is>
          <t>Magus Vigor</t>
        </is>
      </c>
      <c r="E1792" t="inlineStr">
        <is>
          <t>Operator</t>
        </is>
      </c>
      <c r="F1792" t="n">
        <v>5</v>
      </c>
      <c r="G1792" t="n">
        <v>1</v>
      </c>
      <c r="H1792" t="inlineStr">
        <is>
          <t>Player trade (max rank)</t>
        </is>
      </c>
      <c r="I1792" t="inlineStr">
        <is>
          <t>Yes</t>
        </is>
      </c>
      <c r="K1792" t="inlineStr">
        <is>
          <t>Collection (optional)</t>
        </is>
      </c>
      <c r="L1792" t="n">
        <v>19</v>
      </c>
      <c r="M1792" t="n">
        <v>30.8</v>
      </c>
      <c r="N1792" t="n">
        <v>68</v>
      </c>
      <c r="O1792" t="inlineStr">
        <is>
          <t>2026-10-05 UTC (WFM pull 02:52-04:00)</t>
        </is>
      </c>
      <c r="P1792" t="inlineStr">
        <is>
          <t>OK</t>
        </is>
      </c>
      <c r="R1792" t="inlineStr">
        <is>
          <t>Arcanes share across items like mods (one max-rank copy covers every build).</t>
        </is>
      </c>
      <c r="S1792" t="inlineStr">
        <is>
          <t>magus_vigor</t>
        </is>
      </c>
      <c r="T1792" t="n">
        <v>4</v>
      </c>
      <c r="U1792" t="n">
        <v>4</v>
      </c>
      <c r="V1792" t="n">
        <v>20.5</v>
      </c>
      <c r="W1792" t="n">
        <v>22.5</v>
      </c>
      <c r="X1792" t="n">
        <v>22.7</v>
      </c>
      <c r="Y1792" t="n">
        <v>246</v>
      </c>
      <c r="Z1792" t="n">
        <v>7</v>
      </c>
      <c r="AQ1792" t="n">
        <v>3</v>
      </c>
      <c r="AR1792" t="n">
        <v>63</v>
      </c>
      <c r="AS1792" t="inlineStr">
        <is>
          <t>Collection (optional)</t>
        </is>
      </c>
    </row>
    <row r="1793">
      <c r="A1793" t="inlineStr">
        <is>
          <t>Arcane</t>
        </is>
      </c>
      <c r="B1793" t="inlineStr">
        <is>
          <t>Melee Afflictions</t>
        </is>
      </c>
      <c r="E1793" t="inlineStr">
        <is>
          <t>Melee</t>
        </is>
      </c>
      <c r="F1793" t="n">
        <v>5</v>
      </c>
      <c r="G1793" t="n">
        <v>1</v>
      </c>
      <c r="H1793" t="inlineStr">
        <is>
          <t>Player trade (max rank)</t>
        </is>
      </c>
      <c r="I1793" t="inlineStr">
        <is>
          <t>Yes</t>
        </is>
      </c>
      <c r="K1793" t="inlineStr">
        <is>
          <t>Collection (optional)</t>
        </is>
      </c>
      <c r="L1793" t="n">
        <v>70</v>
      </c>
      <c r="M1793" t="n">
        <v>70</v>
      </c>
      <c r="N1793" t="n">
        <v>83</v>
      </c>
      <c r="O1793" t="inlineStr">
        <is>
          <t>2026-10-05 UTC (WFM pull 02:52-04:00)</t>
        </is>
      </c>
      <c r="P1793" t="inlineStr">
        <is>
          <t>OK</t>
        </is>
      </c>
      <c r="R1793" t="inlineStr">
        <is>
          <t>Arcanes share across items like mods (one max-rank copy covers every build).</t>
        </is>
      </c>
      <c r="S1793" t="inlineStr">
        <is>
          <t>melee_afflictions</t>
        </is>
      </c>
      <c r="T1793" t="n">
        <v>15</v>
      </c>
      <c r="U1793" t="n">
        <v>15</v>
      </c>
      <c r="V1793" t="n">
        <v>69.5</v>
      </c>
      <c r="W1793" t="n">
        <v>61</v>
      </c>
      <c r="X1793" t="n">
        <v>62.2</v>
      </c>
      <c r="Y1793" t="n">
        <v>4663</v>
      </c>
      <c r="Z1793" t="n">
        <v>103</v>
      </c>
      <c r="AA1793" t="n">
        <v>50</v>
      </c>
      <c r="AB1793" t="n">
        <v>20</v>
      </c>
      <c r="AQ1793" t="n">
        <v>4</v>
      </c>
      <c r="AR1793" t="n">
        <v>84</v>
      </c>
      <c r="AS1793" t="inlineStr">
        <is>
          <t>Collection (optional)</t>
        </is>
      </c>
    </row>
    <row r="1794">
      <c r="A1794" t="inlineStr">
        <is>
          <t>Arcane</t>
        </is>
      </c>
      <c r="B1794" t="inlineStr">
        <is>
          <t>Melee Animosity</t>
        </is>
      </c>
      <c r="E1794" t="inlineStr">
        <is>
          <t>Melee</t>
        </is>
      </c>
      <c r="F1794" t="n">
        <v>5</v>
      </c>
      <c r="G1794" t="n">
        <v>1</v>
      </c>
      <c r="H1794" t="inlineStr">
        <is>
          <t>Player trade (max rank)</t>
        </is>
      </c>
      <c r="I1794" t="inlineStr">
        <is>
          <t>Yes</t>
        </is>
      </c>
      <c r="K1794" t="inlineStr">
        <is>
          <t>Required (v4 weapon-arcane baseline)</t>
        </is>
      </c>
      <c r="L1794" t="n">
        <v>60</v>
      </c>
      <c r="M1794" t="n">
        <v>64</v>
      </c>
      <c r="N1794" t="n">
        <v>77</v>
      </c>
      <c r="O1794" t="inlineStr">
        <is>
          <t>2026-10-05 UTC (WFM pull 02:52-04:00)</t>
        </is>
      </c>
      <c r="P1794" t="inlineStr">
        <is>
          <t>OK</t>
        </is>
      </c>
      <c r="R1794" t="inlineStr">
        <is>
          <t>Arcanes share across items like mods (one max-rank copy covers every build).</t>
        </is>
      </c>
      <c r="S1794" t="inlineStr">
        <is>
          <t>melee_animosity</t>
        </is>
      </c>
      <c r="T1794" t="n">
        <v>11</v>
      </c>
      <c r="U1794" t="n">
        <v>11</v>
      </c>
      <c r="V1794" t="n">
        <v>59</v>
      </c>
      <c r="W1794" t="n">
        <v>60</v>
      </c>
      <c r="X1794" t="n">
        <v>58.5</v>
      </c>
      <c r="Y1794" t="n">
        <v>1554</v>
      </c>
      <c r="Z1794" t="n">
        <v>32</v>
      </c>
      <c r="AA1794" t="n">
        <v>34</v>
      </c>
      <c r="AB1794" t="n">
        <v>26</v>
      </c>
      <c r="AQ1794" t="n">
        <v>4.5</v>
      </c>
      <c r="AR1794" t="n">
        <v>94.5</v>
      </c>
      <c r="AS1794" t="inlineStr">
        <is>
          <t>Yes</t>
        </is>
      </c>
    </row>
    <row r="1795">
      <c r="A1795" t="inlineStr">
        <is>
          <t>Arcane</t>
        </is>
      </c>
      <c r="B1795" t="inlineStr">
        <is>
          <t>Melee Assimilation</t>
        </is>
      </c>
      <c r="E1795" t="inlineStr">
        <is>
          <t>Melee</t>
        </is>
      </c>
      <c r="F1795" t="n">
        <v>5</v>
      </c>
      <c r="G1795" t="n">
        <v>1</v>
      </c>
      <c r="H1795" t="inlineStr">
        <is>
          <t>Player trade (max rank)</t>
        </is>
      </c>
      <c r="I1795" t="inlineStr">
        <is>
          <t>Yes</t>
        </is>
      </c>
      <c r="K1795" t="inlineStr">
        <is>
          <t>Collection (optional)</t>
        </is>
      </c>
      <c r="L1795" t="n">
        <v>59</v>
      </c>
      <c r="M1795" t="n">
        <v>60</v>
      </c>
      <c r="N1795" t="n">
        <v>98</v>
      </c>
      <c r="O1795" t="inlineStr">
        <is>
          <t>2026-10-05 UTC (WFM pull 02:52-04:00)</t>
        </is>
      </c>
      <c r="P1795" t="inlineStr">
        <is>
          <t>OK</t>
        </is>
      </c>
      <c r="R1795" t="inlineStr">
        <is>
          <t>Arcanes share across items like mods (one max-rank copy covers every build).</t>
        </is>
      </c>
      <c r="S1795" t="inlineStr">
        <is>
          <t>melee_assimilation</t>
        </is>
      </c>
      <c r="T1795" t="n">
        <v>5</v>
      </c>
      <c r="U1795" t="n">
        <v>5</v>
      </c>
      <c r="V1795" t="n">
        <v>54</v>
      </c>
      <c r="W1795" t="n">
        <v>40</v>
      </c>
      <c r="X1795" t="n">
        <v>43.4</v>
      </c>
      <c r="Y1795" t="n">
        <v>789</v>
      </c>
      <c r="Z1795" t="n">
        <v>30</v>
      </c>
      <c r="AA1795" t="n">
        <v>40</v>
      </c>
      <c r="AB1795" t="n">
        <v>19</v>
      </c>
      <c r="AQ1795" t="n">
        <v>7</v>
      </c>
      <c r="AR1795" t="n">
        <v>147</v>
      </c>
      <c r="AS1795" t="inlineStr">
        <is>
          <t>Collection (optional)</t>
        </is>
      </c>
    </row>
    <row r="1796">
      <c r="A1796" t="inlineStr">
        <is>
          <t>Arcane</t>
        </is>
      </c>
      <c r="B1796" t="inlineStr">
        <is>
          <t>Melee Careen</t>
        </is>
      </c>
      <c r="E1796" t="inlineStr">
        <is>
          <t>Melee</t>
        </is>
      </c>
      <c r="F1796" t="n">
        <v>5</v>
      </c>
      <c r="G1796" t="n">
        <v>1</v>
      </c>
      <c r="H1796" t="inlineStr">
        <is>
          <t>Player trade (max rank)</t>
        </is>
      </c>
      <c r="I1796" t="inlineStr">
        <is>
          <t>Yes</t>
        </is>
      </c>
      <c r="K1796" t="inlineStr">
        <is>
          <t>Collection (optional)</t>
        </is>
      </c>
      <c r="L1796" t="n">
        <v>39</v>
      </c>
      <c r="M1796" t="n">
        <v>40</v>
      </c>
      <c r="N1796" t="n">
        <v>66</v>
      </c>
      <c r="O1796" t="inlineStr">
        <is>
          <t>2026-10-05 UTC (WFM pull 02:52-04:00)</t>
        </is>
      </c>
      <c r="P1796" t="inlineStr">
        <is>
          <t>OK</t>
        </is>
      </c>
      <c r="R1796" t="inlineStr">
        <is>
          <t>Arcanes share across items like mods (one max-rank copy covers every build).</t>
        </is>
      </c>
      <c r="S1796" t="inlineStr">
        <is>
          <t>melee_careen</t>
        </is>
      </c>
      <c r="T1796" t="n">
        <v>9</v>
      </c>
      <c r="U1796" t="n">
        <v>9</v>
      </c>
      <c r="V1796" t="n">
        <v>30</v>
      </c>
      <c r="W1796" t="n">
        <v>29</v>
      </c>
      <c r="X1796" t="n">
        <v>28.4</v>
      </c>
      <c r="Y1796" t="n">
        <v>1795</v>
      </c>
      <c r="Z1796" t="n">
        <v>62</v>
      </c>
      <c r="AA1796" t="n">
        <v>20</v>
      </c>
      <c r="AB1796" t="n">
        <v>19</v>
      </c>
      <c r="AQ1796" t="n">
        <v>3</v>
      </c>
      <c r="AR1796" t="n">
        <v>63</v>
      </c>
      <c r="AS1796" t="inlineStr">
        <is>
          <t>Collection (optional)</t>
        </is>
      </c>
    </row>
    <row r="1797">
      <c r="A1797" t="inlineStr">
        <is>
          <t>Arcane</t>
        </is>
      </c>
      <c r="B1797" t="inlineStr">
        <is>
          <t>Melee Crescendo</t>
        </is>
      </c>
      <c r="E1797" t="inlineStr">
        <is>
          <t>Melee</t>
        </is>
      </c>
      <c r="F1797" t="n">
        <v>5</v>
      </c>
      <c r="G1797" t="n">
        <v>1</v>
      </c>
      <c r="H1797" t="inlineStr">
        <is>
          <t>Player trade (max rank)</t>
        </is>
      </c>
      <c r="I1797" t="inlineStr">
        <is>
          <t>Yes</t>
        </is>
      </c>
      <c r="K1797" t="inlineStr">
        <is>
          <t>Required (v3 build list)</t>
        </is>
      </c>
      <c r="L1797" t="n">
        <v>95</v>
      </c>
      <c r="M1797" t="n">
        <v>98</v>
      </c>
      <c r="N1797" t="n">
        <v>111</v>
      </c>
      <c r="O1797" t="inlineStr">
        <is>
          <t>2026-10-05 UTC (WFM pull 02:52-04:00)</t>
        </is>
      </c>
      <c r="P1797" t="inlineStr">
        <is>
          <t>OK</t>
        </is>
      </c>
      <c r="R1797" t="inlineStr">
        <is>
          <t>Arcanes share across items like mods (one max-rank copy covers every build).</t>
        </is>
      </c>
      <c r="S1797" t="inlineStr">
        <is>
          <t>melee_crescendo</t>
        </is>
      </c>
      <c r="T1797" t="n">
        <v>43</v>
      </c>
      <c r="U1797" t="n">
        <v>43</v>
      </c>
      <c r="V1797" t="n">
        <v>100</v>
      </c>
      <c r="W1797" t="n">
        <v>120</v>
      </c>
      <c r="X1797" t="n">
        <v>115.7</v>
      </c>
      <c r="Y1797" t="n">
        <v>2846</v>
      </c>
      <c r="Z1797" t="n">
        <v>71</v>
      </c>
      <c r="AA1797" t="n">
        <v>76</v>
      </c>
      <c r="AB1797" t="n">
        <v>19</v>
      </c>
      <c r="AQ1797" t="n">
        <v>5</v>
      </c>
      <c r="AR1797" t="n">
        <v>105</v>
      </c>
      <c r="AS1797" t="inlineStr">
        <is>
          <t>Yes</t>
        </is>
      </c>
    </row>
    <row r="1798">
      <c r="A1798" t="inlineStr">
        <is>
          <t>Arcane</t>
        </is>
      </c>
      <c r="B1798" t="inlineStr">
        <is>
          <t>Melee Doughty</t>
        </is>
      </c>
      <c r="E1798" t="inlineStr">
        <is>
          <t>Melee</t>
        </is>
      </c>
      <c r="F1798" t="n">
        <v>5</v>
      </c>
      <c r="G1798" t="n">
        <v>1</v>
      </c>
      <c r="H1798" t="inlineStr">
        <is>
          <t>Player trade (max rank)</t>
        </is>
      </c>
      <c r="I1798" t="inlineStr">
        <is>
          <t>Yes</t>
        </is>
      </c>
      <c r="K1798" t="inlineStr">
        <is>
          <t>Collection (optional)</t>
        </is>
      </c>
      <c r="L1798" t="n">
        <v>14</v>
      </c>
      <c r="M1798" t="n">
        <v>15</v>
      </c>
      <c r="N1798" t="n">
        <v>17</v>
      </c>
      <c r="O1798" t="inlineStr">
        <is>
          <t>2026-10-05 UTC (WFM pull 02:52-04:00)</t>
        </is>
      </c>
      <c r="P1798" t="inlineStr">
        <is>
          <t>OK</t>
        </is>
      </c>
      <c r="R1798" t="inlineStr">
        <is>
          <t>Arcanes share across items like mods (one max-rank copy covers every build).</t>
        </is>
      </c>
      <c r="S1798" t="inlineStr">
        <is>
          <t>melee_doughty</t>
        </is>
      </c>
      <c r="T1798" t="n">
        <v>24</v>
      </c>
      <c r="U1798" t="n">
        <v>24</v>
      </c>
      <c r="V1798" t="n">
        <v>15</v>
      </c>
      <c r="W1798" t="n">
        <v>15</v>
      </c>
      <c r="X1798" t="n">
        <v>14.5</v>
      </c>
      <c r="Y1798" t="n">
        <v>1355</v>
      </c>
      <c r="Z1798" t="n">
        <v>22</v>
      </c>
      <c r="AA1798" t="n">
        <v>5</v>
      </c>
      <c r="AB1798" t="n">
        <v>9</v>
      </c>
      <c r="AQ1798" t="n">
        <v>2</v>
      </c>
      <c r="AR1798" t="n">
        <v>42</v>
      </c>
      <c r="AS1798" t="inlineStr">
        <is>
          <t>Collection (optional)</t>
        </is>
      </c>
    </row>
    <row r="1799">
      <c r="A1799" t="inlineStr">
        <is>
          <t>Arcane</t>
        </is>
      </c>
      <c r="B1799" t="inlineStr">
        <is>
          <t>Melee Duplicate</t>
        </is>
      </c>
      <c r="E1799" t="inlineStr">
        <is>
          <t>Melee</t>
        </is>
      </c>
      <c r="F1799" t="n">
        <v>5</v>
      </c>
      <c r="G1799" t="n">
        <v>1</v>
      </c>
      <c r="H1799" t="inlineStr">
        <is>
          <t>Player trade (max rank)</t>
        </is>
      </c>
      <c r="I1799" t="inlineStr">
        <is>
          <t>Yes</t>
        </is>
      </c>
      <c r="K1799" t="inlineStr">
        <is>
          <t>Required (v4 weapon-arcane baseline)</t>
        </is>
      </c>
      <c r="L1799" t="n">
        <v>170</v>
      </c>
      <c r="M1799" t="n">
        <v>180</v>
      </c>
      <c r="N1799" t="n">
        <v>221</v>
      </c>
      <c r="O1799" t="inlineStr">
        <is>
          <t>2026-10-05 UTC (WFM pull 02:52-04:00)</t>
        </is>
      </c>
      <c r="P1799" t="inlineStr">
        <is>
          <t>OK</t>
        </is>
      </c>
      <c r="Q1799" t="inlineStr">
        <is>
          <t>Cheaper via 21x R0 (147p realistic) than buying max rank</t>
        </is>
      </c>
      <c r="R1799" t="inlineStr">
        <is>
          <t>Arcanes share across items like mods (one max-rank copy covers every build).</t>
        </is>
      </c>
      <c r="S1799" t="inlineStr">
        <is>
          <t>melee_duplicate</t>
        </is>
      </c>
      <c r="T1799" t="n">
        <v>23</v>
      </c>
      <c r="U1799" t="n">
        <v>23</v>
      </c>
      <c r="V1799" t="n">
        <v>155</v>
      </c>
      <c r="W1799" t="n">
        <v>180</v>
      </c>
      <c r="X1799" t="n">
        <v>173.7</v>
      </c>
      <c r="Y1799" t="n">
        <v>3476</v>
      </c>
      <c r="Z1799" t="n">
        <v>88</v>
      </c>
      <c r="AA1799" t="n">
        <v>101</v>
      </c>
      <c r="AB1799" t="n">
        <v>69</v>
      </c>
      <c r="AQ1799" t="n">
        <v>7</v>
      </c>
      <c r="AR1799" t="n">
        <v>147</v>
      </c>
      <c r="AS1799" t="inlineStr">
        <is>
          <t>Yes</t>
        </is>
      </c>
    </row>
    <row r="1800">
      <c r="A1800" t="inlineStr">
        <is>
          <t>Arcane</t>
        </is>
      </c>
      <c r="B1800" t="inlineStr">
        <is>
          <t>Melee Exposure</t>
        </is>
      </c>
      <c r="E1800" t="inlineStr">
        <is>
          <t>Melee</t>
        </is>
      </c>
      <c r="F1800" t="n">
        <v>5</v>
      </c>
      <c r="G1800" t="n">
        <v>1</v>
      </c>
      <c r="H1800" t="inlineStr">
        <is>
          <t>Player trade (max rank)</t>
        </is>
      </c>
      <c r="I1800" t="inlineStr">
        <is>
          <t>Yes</t>
        </is>
      </c>
      <c r="K1800" t="inlineStr">
        <is>
          <t>Required (v4 weapon-arcane baseline)</t>
        </is>
      </c>
      <c r="L1800" t="n">
        <v>69</v>
      </c>
      <c r="M1800" t="n">
        <v>73</v>
      </c>
      <c r="N1800" t="n">
        <v>83</v>
      </c>
      <c r="O1800" t="inlineStr">
        <is>
          <t>2026-10-05 UTC (WFM pull 02:52-04:00)</t>
        </is>
      </c>
      <c r="P1800" t="inlineStr">
        <is>
          <t>OK</t>
        </is>
      </c>
      <c r="R1800" t="inlineStr">
        <is>
          <t>Arcanes share across items like mods (one max-rank copy covers every build).</t>
        </is>
      </c>
      <c r="S1800" t="inlineStr">
        <is>
          <t>melee_exposure</t>
        </is>
      </c>
      <c r="T1800" t="n">
        <v>28</v>
      </c>
      <c r="U1800" t="n">
        <v>28</v>
      </c>
      <c r="V1800" t="n">
        <v>75</v>
      </c>
      <c r="W1800" t="n">
        <v>75</v>
      </c>
      <c r="X1800" t="n">
        <v>73.2</v>
      </c>
      <c r="Y1800" t="n">
        <v>8763</v>
      </c>
      <c r="Z1800" t="n">
        <v>211</v>
      </c>
      <c r="AA1800" t="n">
        <v>57</v>
      </c>
      <c r="AB1800" t="n">
        <v>12</v>
      </c>
      <c r="AQ1800" t="n">
        <v>5</v>
      </c>
      <c r="AR1800" t="n">
        <v>105</v>
      </c>
      <c r="AS1800" t="inlineStr">
        <is>
          <t>Yes</t>
        </is>
      </c>
    </row>
    <row r="1801">
      <c r="A1801" t="inlineStr">
        <is>
          <t>Arcane</t>
        </is>
      </c>
      <c r="B1801" t="inlineStr">
        <is>
          <t>Melee Fortification</t>
        </is>
      </c>
      <c r="E1801" t="inlineStr">
        <is>
          <t>Melee</t>
        </is>
      </c>
      <c r="F1801" t="n">
        <v>5</v>
      </c>
      <c r="G1801" t="n">
        <v>1</v>
      </c>
      <c r="H1801" t="inlineStr">
        <is>
          <t>Player trade (max rank)</t>
        </is>
      </c>
      <c r="I1801" t="inlineStr">
        <is>
          <t>Yes</t>
        </is>
      </c>
      <c r="K1801" t="inlineStr">
        <is>
          <t>Collection (optional)</t>
        </is>
      </c>
      <c r="L1801" t="n">
        <v>14</v>
      </c>
      <c r="M1801" t="n">
        <v>15</v>
      </c>
      <c r="N1801" t="n">
        <v>17</v>
      </c>
      <c r="O1801" t="inlineStr">
        <is>
          <t>2026-10-05 UTC (WFM pull 02:52-04:00)</t>
        </is>
      </c>
      <c r="P1801" t="inlineStr">
        <is>
          <t>OK</t>
        </is>
      </c>
      <c r="R1801" t="inlineStr">
        <is>
          <t>Arcanes share across items like mods (one max-rank copy covers every build).</t>
        </is>
      </c>
      <c r="S1801" t="inlineStr">
        <is>
          <t>melee_fortification</t>
        </is>
      </c>
      <c r="T1801" t="n">
        <v>15</v>
      </c>
      <c r="U1801" t="n">
        <v>15</v>
      </c>
      <c r="V1801" t="n">
        <v>14.5</v>
      </c>
      <c r="W1801" t="n">
        <v>15</v>
      </c>
      <c r="X1801" t="n">
        <v>14.2</v>
      </c>
      <c r="Y1801" t="n">
        <v>456</v>
      </c>
      <c r="Z1801" t="n">
        <v>14</v>
      </c>
      <c r="AA1801" t="n">
        <v>5</v>
      </c>
      <c r="AB1801" t="n">
        <v>9</v>
      </c>
      <c r="AQ1801" t="n">
        <v>2</v>
      </c>
      <c r="AR1801" t="n">
        <v>42</v>
      </c>
      <c r="AS1801" t="inlineStr">
        <is>
          <t>Collection (optional)</t>
        </is>
      </c>
    </row>
    <row r="1802">
      <c r="A1802" t="inlineStr">
        <is>
          <t>Arcane</t>
        </is>
      </c>
      <c r="B1802" t="inlineStr">
        <is>
          <t>Melee Influence</t>
        </is>
      </c>
      <c r="E1802" t="inlineStr">
        <is>
          <t>Melee</t>
        </is>
      </c>
      <c r="F1802" t="n">
        <v>5</v>
      </c>
      <c r="G1802" t="n">
        <v>1</v>
      </c>
      <c r="H1802" t="inlineStr">
        <is>
          <t>Player trade (max rank)</t>
        </is>
      </c>
      <c r="I1802" t="inlineStr">
        <is>
          <t>Yes</t>
        </is>
      </c>
      <c r="K1802" t="inlineStr">
        <is>
          <t>Required (v4 weapon-arcane baseline)</t>
        </is>
      </c>
      <c r="L1802" t="n">
        <v>59</v>
      </c>
      <c r="M1802" t="n">
        <v>65</v>
      </c>
      <c r="N1802" t="n">
        <v>72</v>
      </c>
      <c r="O1802" t="inlineStr">
        <is>
          <t>2026-10-05 UTC (WFM pull 02:52-04:00)</t>
        </is>
      </c>
      <c r="P1802" t="inlineStr">
        <is>
          <t>OK</t>
        </is>
      </c>
      <c r="R1802" t="inlineStr">
        <is>
          <t>Arcanes share across items like mods (one max-rank copy covers every build).</t>
        </is>
      </c>
      <c r="S1802" t="inlineStr">
        <is>
          <t>melee_influence</t>
        </is>
      </c>
      <c r="T1802" t="n">
        <v>45</v>
      </c>
      <c r="U1802" t="n">
        <v>45</v>
      </c>
      <c r="V1802" t="n">
        <v>63</v>
      </c>
      <c r="W1802" t="n">
        <v>65</v>
      </c>
      <c r="X1802" t="n">
        <v>66.2</v>
      </c>
      <c r="Y1802" t="n">
        <v>12312</v>
      </c>
      <c r="Z1802" t="n">
        <v>323</v>
      </c>
      <c r="AA1802" t="n">
        <v>50</v>
      </c>
      <c r="AB1802" t="n">
        <v>9</v>
      </c>
      <c r="AQ1802" t="n">
        <v>4</v>
      </c>
      <c r="AR1802" t="n">
        <v>84</v>
      </c>
      <c r="AS1802" t="inlineStr">
        <is>
          <t>Yes</t>
        </is>
      </c>
    </row>
    <row r="1803">
      <c r="A1803" t="inlineStr">
        <is>
          <t>Arcane</t>
        </is>
      </c>
      <c r="B1803" t="inlineStr">
        <is>
          <t>Melee Retaliation</t>
        </is>
      </c>
      <c r="E1803" t="inlineStr">
        <is>
          <t>Melee</t>
        </is>
      </c>
      <c r="F1803" t="n">
        <v>5</v>
      </c>
      <c r="G1803" t="n">
        <v>1</v>
      </c>
      <c r="H1803" t="inlineStr">
        <is>
          <t>Player trade (max rank)</t>
        </is>
      </c>
      <c r="I1803" t="inlineStr">
        <is>
          <t>Yes</t>
        </is>
      </c>
      <c r="K1803" t="inlineStr">
        <is>
          <t>Collection (optional)</t>
        </is>
      </c>
      <c r="L1803" t="n">
        <v>19</v>
      </c>
      <c r="M1803" t="n">
        <v>20</v>
      </c>
      <c r="N1803" t="n">
        <v>28</v>
      </c>
      <c r="O1803" t="inlineStr">
        <is>
          <t>2026-10-05 UTC (WFM pull 02:52-04:00)</t>
        </is>
      </c>
      <c r="P1803" t="inlineStr">
        <is>
          <t>OK</t>
        </is>
      </c>
      <c r="R1803" t="inlineStr">
        <is>
          <t>Arcanes share across items like mods (one max-rank copy covers every build).</t>
        </is>
      </c>
      <c r="S1803" t="inlineStr">
        <is>
          <t>melee_retaliation</t>
        </is>
      </c>
      <c r="T1803" t="n">
        <v>17</v>
      </c>
      <c r="U1803" t="n">
        <v>17</v>
      </c>
      <c r="V1803" t="n">
        <v>20</v>
      </c>
      <c r="W1803" t="n">
        <v>23</v>
      </c>
      <c r="X1803" t="n">
        <v>22.5</v>
      </c>
      <c r="Y1803" t="n">
        <v>1375</v>
      </c>
      <c r="Z1803" t="n">
        <v>26</v>
      </c>
      <c r="AA1803" t="n">
        <v>5</v>
      </c>
      <c r="AB1803" t="n">
        <v>14</v>
      </c>
      <c r="AQ1803" t="n">
        <v>2</v>
      </c>
      <c r="AR1803" t="n">
        <v>42</v>
      </c>
      <c r="AS1803" t="inlineStr">
        <is>
          <t>Collection (optional)</t>
        </is>
      </c>
    </row>
    <row r="1804">
      <c r="A1804" t="inlineStr">
        <is>
          <t>Arcane</t>
        </is>
      </c>
      <c r="B1804" t="inlineStr">
        <is>
          <t>Melee Vortex</t>
        </is>
      </c>
      <c r="E1804" t="inlineStr">
        <is>
          <t>Melee</t>
        </is>
      </c>
      <c r="F1804" t="n">
        <v>5</v>
      </c>
      <c r="G1804" t="n">
        <v>1</v>
      </c>
      <c r="H1804" t="inlineStr">
        <is>
          <t>Player trade (max rank)</t>
        </is>
      </c>
      <c r="I1804" t="inlineStr">
        <is>
          <t>Yes</t>
        </is>
      </c>
      <c r="K1804" t="inlineStr">
        <is>
          <t>Required (v4 weapon-arcane baseline)</t>
        </is>
      </c>
      <c r="L1804" t="n">
        <v>60</v>
      </c>
      <c r="M1804" t="n">
        <v>65</v>
      </c>
      <c r="N1804" t="n">
        <v>77</v>
      </c>
      <c r="O1804" t="inlineStr">
        <is>
          <t>2026-10-05 UTC (WFM pull 02:52-04:00)</t>
        </is>
      </c>
      <c r="P1804" t="inlineStr">
        <is>
          <t>OK</t>
        </is>
      </c>
      <c r="R1804" t="inlineStr">
        <is>
          <t>Arcanes share across items like mods (one max-rank copy covers every build).</t>
        </is>
      </c>
      <c r="S1804" t="inlineStr">
        <is>
          <t>melee_vortex</t>
        </is>
      </c>
      <c r="T1804" t="n">
        <v>16</v>
      </c>
      <c r="U1804" t="n">
        <v>16</v>
      </c>
      <c r="V1804" t="n">
        <v>60</v>
      </c>
      <c r="W1804" t="n">
        <v>60</v>
      </c>
      <c r="X1804" t="n">
        <v>58.4</v>
      </c>
      <c r="Y1804" t="n">
        <v>2006</v>
      </c>
      <c r="Z1804" t="n">
        <v>54</v>
      </c>
      <c r="AA1804" t="n">
        <v>50</v>
      </c>
      <c r="AB1804" t="n">
        <v>10</v>
      </c>
      <c r="AQ1804" t="n">
        <v>4</v>
      </c>
      <c r="AR1804" t="n">
        <v>84</v>
      </c>
      <c r="AS1804" t="inlineStr">
        <is>
          <t>Yes</t>
        </is>
      </c>
    </row>
    <row r="1805">
      <c r="A1805" t="inlineStr">
        <is>
          <t>Arcane</t>
        </is>
      </c>
      <c r="B1805" t="inlineStr">
        <is>
          <t>Molt Augmented</t>
        </is>
      </c>
      <c r="E1805" t="inlineStr">
        <is>
          <t>Warframe</t>
        </is>
      </c>
      <c r="F1805" t="n">
        <v>5</v>
      </c>
      <c r="G1805" t="n">
        <v>1</v>
      </c>
      <c r="H1805" t="inlineStr">
        <is>
          <t>Player trade (max rank)</t>
        </is>
      </c>
      <c r="I1805" t="inlineStr">
        <is>
          <t>Yes</t>
        </is>
      </c>
      <c r="K1805" t="inlineStr">
        <is>
          <t>Required (v3 build list)</t>
        </is>
      </c>
      <c r="L1805" t="n">
        <v>35</v>
      </c>
      <c r="M1805" t="n">
        <v>40</v>
      </c>
      <c r="N1805" t="n">
        <v>44</v>
      </c>
      <c r="O1805" t="inlineStr">
        <is>
          <t>2026-10-05 UTC (WFM pull 02:52-04:00)</t>
        </is>
      </c>
      <c r="P1805" t="inlineStr">
        <is>
          <t>OK</t>
        </is>
      </c>
      <c r="R1805" t="inlineStr">
        <is>
          <t>Arcanes share across items like mods (one max-rank copy covers every build).</t>
        </is>
      </c>
      <c r="S1805" t="inlineStr">
        <is>
          <t>molt_augmented</t>
        </is>
      </c>
      <c r="T1805" t="n">
        <v>67</v>
      </c>
      <c r="U1805" t="n">
        <v>67</v>
      </c>
      <c r="V1805" t="n">
        <v>40</v>
      </c>
      <c r="W1805" t="n">
        <v>49</v>
      </c>
      <c r="X1805" t="n">
        <v>45.2</v>
      </c>
      <c r="Y1805" t="n">
        <v>19940</v>
      </c>
      <c r="Z1805" t="n">
        <v>532</v>
      </c>
      <c r="AA1805" t="n">
        <v>21</v>
      </c>
      <c r="AB1805" t="n">
        <v>14</v>
      </c>
      <c r="AQ1805" t="n">
        <v>3</v>
      </c>
      <c r="AR1805" t="n">
        <v>63</v>
      </c>
      <c r="AS1805" t="inlineStr">
        <is>
          <t>Yes</t>
        </is>
      </c>
    </row>
    <row r="1806">
      <c r="A1806" t="inlineStr">
        <is>
          <t>Arcane</t>
        </is>
      </c>
      <c r="B1806" t="inlineStr">
        <is>
          <t>Molt Efficiency</t>
        </is>
      </c>
      <c r="E1806" t="inlineStr">
        <is>
          <t>Warframe</t>
        </is>
      </c>
      <c r="F1806" t="n">
        <v>5</v>
      </c>
      <c r="G1806" t="n">
        <v>1</v>
      </c>
      <c r="H1806" t="inlineStr">
        <is>
          <t>Player trade (max rank)</t>
        </is>
      </c>
      <c r="I1806" t="inlineStr">
        <is>
          <t>Yes</t>
        </is>
      </c>
      <c r="K1806" t="inlineStr">
        <is>
          <t>Required (v3 build list)</t>
        </is>
      </c>
      <c r="L1806" t="n">
        <v>28</v>
      </c>
      <c r="M1806" t="n">
        <v>30</v>
      </c>
      <c r="N1806" t="n">
        <v>33</v>
      </c>
      <c r="O1806" t="inlineStr">
        <is>
          <t>2026-10-05 UTC (WFM pull 02:52-04:00)</t>
        </is>
      </c>
      <c r="P1806" t="inlineStr">
        <is>
          <t>OK</t>
        </is>
      </c>
      <c r="R1806" t="inlineStr">
        <is>
          <t>Arcanes share across items like mods (one max-rank copy covers every build).</t>
        </is>
      </c>
      <c r="S1806" t="inlineStr">
        <is>
          <t>molt_efficiency</t>
        </is>
      </c>
      <c r="T1806" t="n">
        <v>26</v>
      </c>
      <c r="U1806" t="n">
        <v>26</v>
      </c>
      <c r="V1806" t="n">
        <v>30</v>
      </c>
      <c r="W1806" t="n">
        <v>30</v>
      </c>
      <c r="X1806" t="n">
        <v>30.2</v>
      </c>
      <c r="Y1806" t="n">
        <v>6315</v>
      </c>
      <c r="Z1806" t="n">
        <v>174</v>
      </c>
      <c r="AA1806" t="n">
        <v>10</v>
      </c>
      <c r="AB1806" t="n">
        <v>18</v>
      </c>
      <c r="AQ1806" t="n">
        <v>3</v>
      </c>
      <c r="AR1806" t="n">
        <v>63</v>
      </c>
      <c r="AS1806" t="inlineStr">
        <is>
          <t>Yes</t>
        </is>
      </c>
    </row>
    <row r="1807">
      <c r="A1807" t="inlineStr">
        <is>
          <t>Arcane</t>
        </is>
      </c>
      <c r="B1807" t="inlineStr">
        <is>
          <t>Molt Reconstruct</t>
        </is>
      </c>
      <c r="E1807" t="inlineStr">
        <is>
          <t>Warframe</t>
        </is>
      </c>
      <c r="F1807" t="n">
        <v>5</v>
      </c>
      <c r="G1807" t="n">
        <v>1</v>
      </c>
      <c r="H1807" t="inlineStr">
        <is>
          <t>Player trade (max rank)</t>
        </is>
      </c>
      <c r="I1807" t="inlineStr">
        <is>
          <t>Yes</t>
        </is>
      </c>
      <c r="K1807" t="inlineStr">
        <is>
          <t>Required (v3 build list)</t>
        </is>
      </c>
      <c r="L1807" t="n">
        <v>15</v>
      </c>
      <c r="M1807" t="n">
        <v>20</v>
      </c>
      <c r="N1807" t="n">
        <v>22</v>
      </c>
      <c r="O1807" t="inlineStr">
        <is>
          <t>2026-10-05 UTC (WFM pull 02:52-04:00)</t>
        </is>
      </c>
      <c r="P1807" t="inlineStr">
        <is>
          <t>OK</t>
        </is>
      </c>
      <c r="R1807" t="inlineStr">
        <is>
          <t>Arcanes share across items like mods (one max-rank copy covers every build).</t>
        </is>
      </c>
      <c r="S1807" t="inlineStr">
        <is>
          <t>molt_reconstruct</t>
        </is>
      </c>
      <c r="T1807" t="n">
        <v>27</v>
      </c>
      <c r="U1807" t="n">
        <v>27</v>
      </c>
      <c r="V1807" t="n">
        <v>20</v>
      </c>
      <c r="W1807" t="n">
        <v>20</v>
      </c>
      <c r="X1807" t="n">
        <v>21.5</v>
      </c>
      <c r="Y1807" t="n">
        <v>2756</v>
      </c>
      <c r="Z1807" t="n">
        <v>39</v>
      </c>
      <c r="AQ1807" t="n">
        <v>2</v>
      </c>
      <c r="AR1807" t="n">
        <v>42</v>
      </c>
      <c r="AS1807" t="inlineStr">
        <is>
          <t>Yes</t>
        </is>
      </c>
    </row>
    <row r="1808">
      <c r="A1808" t="inlineStr">
        <is>
          <t>Arcane</t>
        </is>
      </c>
      <c r="B1808" t="inlineStr">
        <is>
          <t>Molt Vigor</t>
        </is>
      </c>
      <c r="E1808" t="inlineStr">
        <is>
          <t>Warframe</t>
        </is>
      </c>
      <c r="F1808" t="n">
        <v>5</v>
      </c>
      <c r="G1808" t="n">
        <v>1</v>
      </c>
      <c r="H1808" t="inlineStr">
        <is>
          <t>Player trade (max rank)</t>
        </is>
      </c>
      <c r="I1808" t="inlineStr">
        <is>
          <t>Yes</t>
        </is>
      </c>
      <c r="K1808" t="inlineStr">
        <is>
          <t>Collection (optional)</t>
        </is>
      </c>
      <c r="L1808" t="n">
        <v>19</v>
      </c>
      <c r="M1808" t="n">
        <v>23</v>
      </c>
      <c r="N1808" t="n">
        <v>28</v>
      </c>
      <c r="O1808" t="inlineStr">
        <is>
          <t>2026-10-05 UTC (WFM pull 02:52-04:00)</t>
        </is>
      </c>
      <c r="P1808" t="inlineStr">
        <is>
          <t>OK</t>
        </is>
      </c>
      <c r="R1808" t="inlineStr">
        <is>
          <t>Arcanes share across items like mods (one max-rank copy covers every build).</t>
        </is>
      </c>
      <c r="S1808" t="inlineStr">
        <is>
          <t>molt_vigor</t>
        </is>
      </c>
      <c r="T1808" t="n">
        <v>24</v>
      </c>
      <c r="U1808" t="n">
        <v>24</v>
      </c>
      <c r="V1808" t="n">
        <v>23</v>
      </c>
      <c r="W1808" t="n">
        <v>24</v>
      </c>
      <c r="X1808" t="n">
        <v>23.1</v>
      </c>
      <c r="Y1808" t="n">
        <v>3810</v>
      </c>
      <c r="Z1808" t="n">
        <v>72</v>
      </c>
      <c r="AA1808" t="n">
        <v>18</v>
      </c>
      <c r="AB1808" t="n">
        <v>1</v>
      </c>
      <c r="AQ1808" t="n">
        <v>2</v>
      </c>
      <c r="AR1808" t="n">
        <v>42</v>
      </c>
      <c r="AS1808" t="inlineStr">
        <is>
          <t>Collection (optional)</t>
        </is>
      </c>
    </row>
    <row r="1809">
      <c r="A1809" t="inlineStr">
        <is>
          <t>Arcane</t>
        </is>
      </c>
      <c r="B1809" t="inlineStr">
        <is>
          <t>Pax Bolt</t>
        </is>
      </c>
      <c r="E1809" t="inlineStr">
        <is>
          <t>Kitgun</t>
        </is>
      </c>
      <c r="F1809" t="n">
        <v>3</v>
      </c>
      <c r="G1809" t="n">
        <v>1</v>
      </c>
      <c r="H1809" t="inlineStr">
        <is>
          <t>Player trade (max rank)</t>
        </is>
      </c>
      <c r="I1809" t="inlineStr">
        <is>
          <t>Yes</t>
        </is>
      </c>
      <c r="K1809" t="inlineStr">
        <is>
          <t>Collection (optional)</t>
        </is>
      </c>
      <c r="L1809" t="n">
        <v>35</v>
      </c>
      <c r="M1809" t="n">
        <v>50</v>
      </c>
      <c r="N1809" t="n">
        <v>83</v>
      </c>
      <c r="O1809" t="inlineStr">
        <is>
          <t>2026-10-05 UTC (WFM pull 02:52-04:00)</t>
        </is>
      </c>
      <c r="P1809" t="inlineStr">
        <is>
          <t>OK</t>
        </is>
      </c>
      <c r="Q1809" t="inlineStr">
        <is>
          <t>Cheaper via 10x R0 (40p realistic) than buying max rank</t>
        </is>
      </c>
      <c r="R1809" t="inlineStr">
        <is>
          <t>Arcanes share across items like mods (one max-rank copy covers every build).</t>
        </is>
      </c>
      <c r="S1809" t="inlineStr">
        <is>
          <t>pax_bolt</t>
        </is>
      </c>
      <c r="T1809" t="n">
        <v>7</v>
      </c>
      <c r="U1809" t="n">
        <v>7</v>
      </c>
      <c r="V1809" t="n">
        <v>35</v>
      </c>
      <c r="W1809" t="n">
        <v>37.5</v>
      </c>
      <c r="X1809" t="n">
        <v>36.8</v>
      </c>
      <c r="Y1809" t="n">
        <v>133</v>
      </c>
      <c r="Z1809" t="n">
        <v>6</v>
      </c>
      <c r="AA1809" t="n">
        <v>20</v>
      </c>
      <c r="AB1809" t="n">
        <v>15</v>
      </c>
      <c r="AQ1809" t="n">
        <v>4</v>
      </c>
      <c r="AR1809" t="n">
        <v>40</v>
      </c>
      <c r="AS1809" t="inlineStr">
        <is>
          <t>Collection (optional)</t>
        </is>
      </c>
    </row>
    <row r="1810">
      <c r="A1810" t="inlineStr">
        <is>
          <t>Arcane</t>
        </is>
      </c>
      <c r="B1810" t="inlineStr">
        <is>
          <t>Pax Charge</t>
        </is>
      </c>
      <c r="E1810" t="inlineStr">
        <is>
          <t>Kitgun</t>
        </is>
      </c>
      <c r="F1810" t="n">
        <v>3</v>
      </c>
      <c r="G1810" t="n">
        <v>1</v>
      </c>
      <c r="H1810" t="inlineStr">
        <is>
          <t>Player trade (max rank)</t>
        </is>
      </c>
      <c r="I1810" t="inlineStr">
        <is>
          <t>Yes</t>
        </is>
      </c>
      <c r="K1810" t="inlineStr">
        <is>
          <t>Collection (optional)</t>
        </is>
      </c>
      <c r="L1810" t="n">
        <v>49</v>
      </c>
      <c r="M1810" t="n">
        <v>50</v>
      </c>
      <c r="N1810" t="n">
        <v>66</v>
      </c>
      <c r="O1810" t="inlineStr">
        <is>
          <t>2026-10-05 UTC (WFM pull 02:52-04:00)</t>
        </is>
      </c>
      <c r="P1810" t="inlineStr">
        <is>
          <t>OK</t>
        </is>
      </c>
      <c r="R1810" t="inlineStr">
        <is>
          <t>Arcanes share across items like mods (one max-rank copy covers every build).</t>
        </is>
      </c>
      <c r="S1810" t="inlineStr">
        <is>
          <t>pax_charge</t>
        </is>
      </c>
      <c r="T1810" t="n">
        <v>8</v>
      </c>
      <c r="U1810" t="n">
        <v>8</v>
      </c>
      <c r="V1810" t="n">
        <v>40</v>
      </c>
      <c r="W1810" t="n">
        <v>44</v>
      </c>
      <c r="X1810" t="n">
        <v>43.6</v>
      </c>
      <c r="Y1810" t="n">
        <v>1527</v>
      </c>
      <c r="Z1810" t="n">
        <v>43</v>
      </c>
      <c r="AA1810" t="n">
        <v>30</v>
      </c>
      <c r="AB1810" t="n">
        <v>19</v>
      </c>
      <c r="AQ1810" t="n">
        <v>5</v>
      </c>
      <c r="AR1810" t="n">
        <v>50</v>
      </c>
      <c r="AS1810" t="inlineStr">
        <is>
          <t>Collection (optional)</t>
        </is>
      </c>
    </row>
    <row r="1811">
      <c r="A1811" t="inlineStr">
        <is>
          <t>Arcane</t>
        </is>
      </c>
      <c r="B1811" t="inlineStr">
        <is>
          <t>Pax Seeker</t>
        </is>
      </c>
      <c r="E1811" t="inlineStr">
        <is>
          <t>Kitgun</t>
        </is>
      </c>
      <c r="F1811" t="n">
        <v>3</v>
      </c>
      <c r="G1811" t="n">
        <v>1</v>
      </c>
      <c r="H1811" t="inlineStr">
        <is>
          <t>Player trade (max rank)</t>
        </is>
      </c>
      <c r="I1811" t="inlineStr">
        <is>
          <t>Yes</t>
        </is>
      </c>
      <c r="K1811" t="inlineStr">
        <is>
          <t>Collection (optional)</t>
        </is>
      </c>
      <c r="L1811" t="n">
        <v>49</v>
      </c>
      <c r="M1811" t="n">
        <v>69</v>
      </c>
      <c r="N1811" t="n">
        <v>152</v>
      </c>
      <c r="O1811" t="inlineStr">
        <is>
          <t>2026-10-05 UTC (WFM pull 02:52-04:00)</t>
        </is>
      </c>
      <c r="P1811" t="inlineStr">
        <is>
          <t>OK</t>
        </is>
      </c>
      <c r="Q1811" t="inlineStr">
        <is>
          <t>Cheaper via 10x R0 (30p realistic) than buying max rank</t>
        </is>
      </c>
      <c r="R1811" t="inlineStr">
        <is>
          <t>Arcanes share across items like mods (one max-rank copy covers every build).</t>
        </is>
      </c>
      <c r="S1811" t="inlineStr">
        <is>
          <t>pax_seeker</t>
        </is>
      </c>
      <c r="T1811" t="n">
        <v>5</v>
      </c>
      <c r="U1811" t="n">
        <v>5</v>
      </c>
      <c r="V1811" t="n">
        <v>50</v>
      </c>
      <c r="W1811" t="n">
        <v>50</v>
      </c>
      <c r="X1811" t="n">
        <v>52.8</v>
      </c>
      <c r="Y1811" t="n">
        <v>464</v>
      </c>
      <c r="Z1811" t="n">
        <v>13</v>
      </c>
      <c r="AA1811" t="n">
        <v>15</v>
      </c>
      <c r="AB1811" t="n">
        <v>34</v>
      </c>
      <c r="AQ1811" t="n">
        <v>3</v>
      </c>
      <c r="AR1811" t="n">
        <v>30</v>
      </c>
      <c r="AS1811" t="inlineStr">
        <is>
          <t>Collection (optional)</t>
        </is>
      </c>
    </row>
    <row r="1812">
      <c r="A1812" t="inlineStr">
        <is>
          <t>Arcane</t>
        </is>
      </c>
      <c r="B1812" t="inlineStr">
        <is>
          <t>Pax Soar</t>
        </is>
      </c>
      <c r="E1812" t="inlineStr">
        <is>
          <t>Kitgun</t>
        </is>
      </c>
      <c r="F1812" t="n">
        <v>3</v>
      </c>
      <c r="G1812" t="n">
        <v>1</v>
      </c>
      <c r="H1812" t="inlineStr">
        <is>
          <t>Player trade (max rank)</t>
        </is>
      </c>
      <c r="I1812" t="inlineStr">
        <is>
          <t>Yes</t>
        </is>
      </c>
      <c r="K1812" t="inlineStr">
        <is>
          <t>Collection (optional)</t>
        </is>
      </c>
      <c r="L1812" t="n">
        <v>25</v>
      </c>
      <c r="M1812" t="n">
        <v>40</v>
      </c>
      <c r="N1812" t="n">
        <v>88</v>
      </c>
      <c r="O1812" t="inlineStr">
        <is>
          <t>2026-10-05 UTC (WFM pull 02:52-04:00)</t>
        </is>
      </c>
      <c r="P1812" t="inlineStr">
        <is>
          <t>OK</t>
        </is>
      </c>
      <c r="R1812" t="inlineStr">
        <is>
          <t>Arcanes share across items like mods (one max-rank copy covers every build).</t>
        </is>
      </c>
      <c r="S1812" t="inlineStr">
        <is>
          <t>pax_soar</t>
        </is>
      </c>
      <c r="T1812" t="n">
        <v>6</v>
      </c>
      <c r="U1812" t="n">
        <v>6</v>
      </c>
      <c r="V1812" t="n">
        <v>30</v>
      </c>
      <c r="W1812" t="n">
        <v>30</v>
      </c>
      <c r="X1812" t="n">
        <v>33.4</v>
      </c>
      <c r="Y1812" t="n">
        <v>47</v>
      </c>
      <c r="Z1812" t="n">
        <v>6</v>
      </c>
      <c r="AA1812" t="n">
        <v>15</v>
      </c>
      <c r="AB1812" t="n">
        <v>10</v>
      </c>
      <c r="AQ1812" t="n">
        <v>4</v>
      </c>
      <c r="AR1812" t="n">
        <v>40</v>
      </c>
      <c r="AS1812" t="inlineStr">
        <is>
          <t>Collection (optional)</t>
        </is>
      </c>
    </row>
    <row r="1813">
      <c r="A1813" t="inlineStr">
        <is>
          <t>Arcane</t>
        </is>
      </c>
      <c r="B1813" t="inlineStr">
        <is>
          <t>Peculiar Audience</t>
        </is>
      </c>
      <c r="E1813" t="inlineStr">
        <is>
          <t>mod,peculiar,warframe</t>
        </is>
      </c>
      <c r="F1813" t="n">
        <v>5</v>
      </c>
      <c r="G1813" t="n">
        <v>1</v>
      </c>
      <c r="H1813" t="inlineStr">
        <is>
          <t>Player trade (max rank)</t>
        </is>
      </c>
      <c r="I1813" t="inlineStr">
        <is>
          <t>Yes</t>
        </is>
      </c>
      <c r="K1813" t="inlineStr">
        <is>
          <t>Collection (optional)</t>
        </is>
      </c>
      <c r="L1813" t="n">
        <v>44</v>
      </c>
      <c r="M1813" t="n">
        <v>44</v>
      </c>
      <c r="N1813" t="n">
        <v>56</v>
      </c>
      <c r="O1813" t="inlineStr">
        <is>
          <t>2026-10-05 UTC (WFM pull 02:52-04:00)</t>
        </is>
      </c>
      <c r="P1813" t="inlineStr">
        <is>
          <t>OK</t>
        </is>
      </c>
      <c r="R1813" t="inlineStr">
        <is>
          <t>Arcanes share across items like mods (one max-rank copy covers every build).</t>
        </is>
      </c>
      <c r="S1813" t="inlineStr">
        <is>
          <t>peculiar_audience</t>
        </is>
      </c>
      <c r="T1813" t="n">
        <v>3</v>
      </c>
      <c r="U1813" t="n">
        <v>3</v>
      </c>
      <c r="V1813" t="n">
        <v>18</v>
      </c>
      <c r="W1813" t="n">
        <v>20</v>
      </c>
      <c r="X1813" t="n">
        <v>22.6</v>
      </c>
      <c r="Y1813" t="n">
        <v>98</v>
      </c>
      <c r="Z1813" t="n">
        <v>6</v>
      </c>
      <c r="AQ1813" t="n">
        <v>10</v>
      </c>
      <c r="AR1813" t="n">
        <v>210</v>
      </c>
      <c r="AS1813" t="inlineStr">
        <is>
          <t>Collection (optional)</t>
        </is>
      </c>
    </row>
    <row r="1814">
      <c r="A1814" t="inlineStr">
        <is>
          <t>Arcane</t>
        </is>
      </c>
      <c r="B1814" t="inlineStr">
        <is>
          <t>Peculiar Bloom</t>
        </is>
      </c>
      <c r="E1814" t="inlineStr">
        <is>
          <t>mod,peculiar,warframe</t>
        </is>
      </c>
      <c r="F1814" t="n">
        <v>5</v>
      </c>
      <c r="G1814" t="n">
        <v>1</v>
      </c>
      <c r="H1814" t="inlineStr">
        <is>
          <t>Player trade (max rank)</t>
        </is>
      </c>
      <c r="I1814" t="inlineStr">
        <is>
          <t>Yes</t>
        </is>
      </c>
      <c r="K1814" t="inlineStr">
        <is>
          <t>Collection (optional)</t>
        </is>
      </c>
      <c r="L1814" t="n">
        <v>30</v>
      </c>
      <c r="M1814" t="n">
        <v>39</v>
      </c>
      <c r="N1814" t="n">
        <v>86</v>
      </c>
      <c r="O1814" t="inlineStr">
        <is>
          <t>2026-10-05 UTC (WFM pull 02:52-04:00)</t>
        </is>
      </c>
      <c r="P1814" t="inlineStr">
        <is>
          <t>OK</t>
        </is>
      </c>
      <c r="R1814" t="inlineStr">
        <is>
          <t>Arcanes share across items like mods (one max-rank copy covers every build).</t>
        </is>
      </c>
      <c r="S1814" t="inlineStr">
        <is>
          <t>peculiar_bloom</t>
        </is>
      </c>
      <c r="T1814" t="n">
        <v>4</v>
      </c>
      <c r="U1814" t="n">
        <v>4</v>
      </c>
      <c r="V1814" t="n">
        <v>26</v>
      </c>
      <c r="W1814" t="n">
        <v>30</v>
      </c>
      <c r="X1814" t="n">
        <v>32.7</v>
      </c>
      <c r="Y1814" t="n">
        <v>46</v>
      </c>
      <c r="Z1814" t="n">
        <v>1</v>
      </c>
      <c r="AQ1814" t="n">
        <v>20</v>
      </c>
      <c r="AR1814" t="n">
        <v>420</v>
      </c>
      <c r="AS1814" t="inlineStr">
        <is>
          <t>Collection (optional)</t>
        </is>
      </c>
    </row>
    <row r="1815">
      <c r="A1815" t="inlineStr">
        <is>
          <t>Arcane</t>
        </is>
      </c>
      <c r="B1815" t="inlineStr">
        <is>
          <t>Peculiar End</t>
        </is>
      </c>
      <c r="E1815" t="inlineStr">
        <is>
          <t>mod,peculiar,warframe</t>
        </is>
      </c>
      <c r="F1815" t="n">
        <v>5</v>
      </c>
      <c r="G1815" t="n">
        <v>1</v>
      </c>
      <c r="H1815" t="inlineStr">
        <is>
          <t>Player trade (max rank)</t>
        </is>
      </c>
      <c r="I1815" t="inlineStr">
        <is>
          <t>Yes</t>
        </is>
      </c>
      <c r="K1815" t="inlineStr">
        <is>
          <t>Collection (optional)</t>
        </is>
      </c>
      <c r="L1815" t="n">
        <v>40</v>
      </c>
      <c r="M1815" t="n">
        <v>45</v>
      </c>
      <c r="N1815" t="n">
        <v>56</v>
      </c>
      <c r="O1815" t="inlineStr">
        <is>
          <t>2026-10-05 UTC (WFM pull 02:52-04:00)</t>
        </is>
      </c>
      <c r="P1815" t="inlineStr">
        <is>
          <t>OK</t>
        </is>
      </c>
      <c r="R1815" t="inlineStr">
        <is>
          <t>Arcanes share across items like mods (one max-rank copy covers every build).</t>
        </is>
      </c>
      <c r="S1815" t="inlineStr">
        <is>
          <t>peculiar_end</t>
        </is>
      </c>
      <c r="T1815" t="n">
        <v>27</v>
      </c>
      <c r="U1815" t="n">
        <v>2</v>
      </c>
      <c r="V1815" t="n">
        <v>42.5</v>
      </c>
      <c r="W1815" t="n">
        <v>47.5</v>
      </c>
      <c r="X1815" t="n">
        <v>48</v>
      </c>
      <c r="Y1815" t="n">
        <v>47</v>
      </c>
      <c r="Z1815" t="n">
        <v>2</v>
      </c>
      <c r="AQ1815" t="n">
        <v>45</v>
      </c>
      <c r="AR1815" t="n">
        <v>945</v>
      </c>
      <c r="AS1815" t="inlineStr">
        <is>
          <t>Collection (optional)</t>
        </is>
      </c>
    </row>
    <row r="1816">
      <c r="A1816" t="inlineStr">
        <is>
          <t>Arcane</t>
        </is>
      </c>
      <c r="B1816" t="inlineStr">
        <is>
          <t>Peculiar Growth</t>
        </is>
      </c>
      <c r="E1816" t="inlineStr">
        <is>
          <t>mod,peculiar,warframe</t>
        </is>
      </c>
      <c r="F1816" t="n">
        <v>5</v>
      </c>
      <c r="G1816" t="n">
        <v>1</v>
      </c>
      <c r="H1816" t="inlineStr">
        <is>
          <t>Player trade (max rank)</t>
        </is>
      </c>
      <c r="I1816" t="inlineStr">
        <is>
          <t>Yes</t>
        </is>
      </c>
      <c r="K1816" t="inlineStr">
        <is>
          <t>Collection (optional)</t>
        </is>
      </c>
      <c r="L1816" t="n">
        <v>20</v>
      </c>
      <c r="M1816" t="n">
        <v>25</v>
      </c>
      <c r="N1816" t="n">
        <v>33</v>
      </c>
      <c r="O1816" t="inlineStr">
        <is>
          <t>2026-10-05 UTC (WFM pull 02:52-04:00)</t>
        </is>
      </c>
      <c r="P1816" t="inlineStr">
        <is>
          <t>OK</t>
        </is>
      </c>
      <c r="R1816" t="inlineStr">
        <is>
          <t>Arcanes share across items like mods (one max-rank copy covers every build).</t>
        </is>
      </c>
      <c r="S1816" t="inlineStr">
        <is>
          <t>peculiar_growth</t>
        </is>
      </c>
      <c r="T1816" t="n">
        <v>44</v>
      </c>
      <c r="U1816" t="n">
        <v>1</v>
      </c>
      <c r="V1816" t="n">
        <v>25</v>
      </c>
      <c r="W1816" t="n">
        <v>20</v>
      </c>
      <c r="X1816" t="n">
        <v>22.4</v>
      </c>
      <c r="Y1816" t="n">
        <v>52</v>
      </c>
      <c r="Z1816" t="n">
        <v>0</v>
      </c>
      <c r="AQ1816" t="n">
        <v>30</v>
      </c>
      <c r="AR1816" t="n">
        <v>630</v>
      </c>
      <c r="AS1816" t="inlineStr">
        <is>
          <t>Collection (optional)</t>
        </is>
      </c>
    </row>
    <row r="1817">
      <c r="A1817" t="inlineStr">
        <is>
          <t>Arcane</t>
        </is>
      </c>
      <c r="B1817" t="inlineStr">
        <is>
          <t>Primary Blight</t>
        </is>
      </c>
      <c r="E1817" t="inlineStr">
        <is>
          <t>Primary</t>
        </is>
      </c>
      <c r="F1817" t="n">
        <v>5</v>
      </c>
      <c r="G1817" t="n">
        <v>1</v>
      </c>
      <c r="H1817" t="inlineStr">
        <is>
          <t>Player trade (max rank)</t>
        </is>
      </c>
      <c r="I1817" t="inlineStr">
        <is>
          <t>Yes</t>
        </is>
      </c>
      <c r="K1817" t="inlineStr">
        <is>
          <t>Collection (optional)</t>
        </is>
      </c>
      <c r="L1817" t="n">
        <v>59</v>
      </c>
      <c r="M1817" t="n">
        <v>60</v>
      </c>
      <c r="N1817" t="n">
        <v>77</v>
      </c>
      <c r="O1817" t="inlineStr">
        <is>
          <t>2026-10-05 UTC (WFM pull 02:52-04:00)</t>
        </is>
      </c>
      <c r="P1817" t="inlineStr">
        <is>
          <t>OK</t>
        </is>
      </c>
      <c r="R1817" t="inlineStr">
        <is>
          <t>Arcanes share across items like mods (one max-rank copy covers every build).</t>
        </is>
      </c>
      <c r="S1817" t="inlineStr">
        <is>
          <t>primary_blight</t>
        </is>
      </c>
      <c r="T1817" t="n">
        <v>12</v>
      </c>
      <c r="U1817" t="n">
        <v>12</v>
      </c>
      <c r="V1817" t="n">
        <v>50</v>
      </c>
      <c r="W1817" t="n">
        <v>53</v>
      </c>
      <c r="X1817" t="n">
        <v>52.6</v>
      </c>
      <c r="Y1817" t="n">
        <v>6044</v>
      </c>
      <c r="Z1817" t="n">
        <v>129</v>
      </c>
      <c r="AA1817" t="n">
        <v>45</v>
      </c>
      <c r="AB1817" t="n">
        <v>14</v>
      </c>
      <c r="AQ1817" t="n">
        <v>5</v>
      </c>
      <c r="AR1817" t="n">
        <v>105</v>
      </c>
      <c r="AS1817" t="inlineStr">
        <is>
          <t>Collection (optional)</t>
        </is>
      </c>
    </row>
    <row r="1818">
      <c r="A1818" t="inlineStr">
        <is>
          <t>Arcane</t>
        </is>
      </c>
      <c r="B1818" t="inlineStr">
        <is>
          <t>Primary Bulwark</t>
        </is>
      </c>
      <c r="E1818" t="inlineStr">
        <is>
          <t>Primary</t>
        </is>
      </c>
      <c r="F1818" t="n">
        <v>5</v>
      </c>
      <c r="G1818" t="n">
        <v>1</v>
      </c>
      <c r="H1818" t="inlineStr">
        <is>
          <t>Player trade (max rank)</t>
        </is>
      </c>
      <c r="I1818" t="inlineStr">
        <is>
          <t>Yes</t>
        </is>
      </c>
      <c r="K1818" t="inlineStr">
        <is>
          <t>Collection (optional)</t>
        </is>
      </c>
      <c r="L1818" t="n">
        <v>39</v>
      </c>
      <c r="M1818" t="n">
        <v>40</v>
      </c>
      <c r="N1818" t="n">
        <v>44</v>
      </c>
      <c r="O1818" t="inlineStr">
        <is>
          <t>2026-10-05 UTC (WFM pull 02:52-04:00)</t>
        </is>
      </c>
      <c r="P1818" t="inlineStr">
        <is>
          <t>OK</t>
        </is>
      </c>
      <c r="R1818" t="inlineStr">
        <is>
          <t>Arcanes share across items like mods (one max-rank copy covers every build).</t>
        </is>
      </c>
      <c r="S1818" t="inlineStr">
        <is>
          <t>primary_bulwark</t>
        </is>
      </c>
      <c r="T1818" t="n">
        <v>17</v>
      </c>
      <c r="U1818" t="n">
        <v>17</v>
      </c>
      <c r="V1818" t="n">
        <v>35</v>
      </c>
      <c r="W1818" t="n">
        <v>30</v>
      </c>
      <c r="X1818" t="n">
        <v>32.2</v>
      </c>
      <c r="Y1818" t="n">
        <v>3334</v>
      </c>
      <c r="Z1818" t="n">
        <v>75</v>
      </c>
      <c r="AA1818" t="n">
        <v>20</v>
      </c>
      <c r="AB1818" t="n">
        <v>19</v>
      </c>
      <c r="AQ1818" t="n">
        <v>3</v>
      </c>
      <c r="AR1818" t="n">
        <v>63</v>
      </c>
      <c r="AS1818" t="inlineStr">
        <is>
          <t>Collection (optional)</t>
        </is>
      </c>
    </row>
    <row r="1819">
      <c r="A1819" t="inlineStr">
        <is>
          <t>Arcane</t>
        </is>
      </c>
      <c r="B1819" t="inlineStr">
        <is>
          <t>Primary Compression</t>
        </is>
      </c>
      <c r="E1819" t="inlineStr">
        <is>
          <t>Primary</t>
        </is>
      </c>
      <c r="F1819" t="n">
        <v>5</v>
      </c>
      <c r="G1819" t="n">
        <v>1</v>
      </c>
      <c r="H1819" t="inlineStr">
        <is>
          <t>Player trade (max rank)</t>
        </is>
      </c>
      <c r="I1819" t="inlineStr">
        <is>
          <t>Yes</t>
        </is>
      </c>
      <c r="K1819" t="inlineStr">
        <is>
          <t>Collection (optional)</t>
        </is>
      </c>
      <c r="L1819" t="n">
        <v>180</v>
      </c>
      <c r="M1819" t="n">
        <v>190</v>
      </c>
      <c r="N1819" t="n">
        <v>237</v>
      </c>
      <c r="O1819" t="inlineStr">
        <is>
          <t>2026-10-05 UTC (WFM pull 02:52-04:00)</t>
        </is>
      </c>
      <c r="P1819" t="inlineStr">
        <is>
          <t>OK</t>
        </is>
      </c>
      <c r="R1819" t="inlineStr">
        <is>
          <t>Arcanes share across items like mods (one max-rank copy covers every build).</t>
        </is>
      </c>
      <c r="S1819" t="inlineStr">
        <is>
          <t>primary_compression</t>
        </is>
      </c>
      <c r="T1819" t="n">
        <v>17</v>
      </c>
      <c r="U1819" t="n">
        <v>17</v>
      </c>
      <c r="V1819" t="n">
        <v>215</v>
      </c>
      <c r="W1819" t="n">
        <v>170</v>
      </c>
      <c r="X1819" t="n">
        <v>179.9</v>
      </c>
      <c r="Y1819" t="n">
        <v>8089</v>
      </c>
      <c r="Z1819" t="n">
        <v>177</v>
      </c>
      <c r="AA1819" t="n">
        <v>170</v>
      </c>
      <c r="AB1819" t="n">
        <v>10</v>
      </c>
      <c r="AQ1819" t="n">
        <v>10</v>
      </c>
      <c r="AR1819" t="n">
        <v>210</v>
      </c>
      <c r="AS1819" t="inlineStr">
        <is>
          <t>Collection (optional)</t>
        </is>
      </c>
    </row>
    <row r="1820">
      <c r="A1820" t="inlineStr">
        <is>
          <t>Arcane</t>
        </is>
      </c>
      <c r="B1820" t="inlineStr">
        <is>
          <t>Primary Crux</t>
        </is>
      </c>
      <c r="E1820" t="inlineStr">
        <is>
          <t>Primary</t>
        </is>
      </c>
      <c r="F1820" t="n">
        <v>5</v>
      </c>
      <c r="G1820" t="n">
        <v>1</v>
      </c>
      <c r="H1820" t="inlineStr">
        <is>
          <t>Player trade (max rank)</t>
        </is>
      </c>
      <c r="I1820" t="inlineStr">
        <is>
          <t>Yes</t>
        </is>
      </c>
      <c r="K1820" t="inlineStr">
        <is>
          <t>Collection (optional)</t>
        </is>
      </c>
      <c r="L1820" t="n">
        <v>25</v>
      </c>
      <c r="M1820" t="n">
        <v>29</v>
      </c>
      <c r="N1820" t="n">
        <v>33</v>
      </c>
      <c r="O1820" t="inlineStr">
        <is>
          <t>2026-10-05 UTC (WFM pull 02:52-04:00)</t>
        </is>
      </c>
      <c r="P1820" t="inlineStr">
        <is>
          <t>OK</t>
        </is>
      </c>
      <c r="R1820" t="inlineStr">
        <is>
          <t>Arcanes share across items like mods (one max-rank copy covers every build).</t>
        </is>
      </c>
      <c r="S1820" t="inlineStr">
        <is>
          <t>primary_crux</t>
        </is>
      </c>
      <c r="T1820" t="n">
        <v>28</v>
      </c>
      <c r="U1820" t="n">
        <v>28</v>
      </c>
      <c r="V1820" t="n">
        <v>25</v>
      </c>
      <c r="W1820" t="n">
        <v>25</v>
      </c>
      <c r="X1820" t="n">
        <v>25.8</v>
      </c>
      <c r="Y1820" t="n">
        <v>6246</v>
      </c>
      <c r="Z1820" t="n">
        <v>70</v>
      </c>
      <c r="AA1820" t="n">
        <v>8</v>
      </c>
      <c r="AB1820" t="n">
        <v>17</v>
      </c>
      <c r="AQ1820" t="n">
        <v>2</v>
      </c>
      <c r="AR1820" t="n">
        <v>42</v>
      </c>
      <c r="AS1820" t="inlineStr">
        <is>
          <t>Collection (optional)</t>
        </is>
      </c>
    </row>
    <row r="1821">
      <c r="A1821" t="inlineStr">
        <is>
          <t>Arcane</t>
        </is>
      </c>
      <c r="B1821" t="inlineStr">
        <is>
          <t>Primary Deadhead</t>
        </is>
      </c>
      <c r="E1821" t="inlineStr">
        <is>
          <t>Primary</t>
        </is>
      </c>
      <c r="F1821" t="n">
        <v>5</v>
      </c>
      <c r="G1821" t="n">
        <v>1</v>
      </c>
      <c r="H1821" t="inlineStr">
        <is>
          <t>Player trade (max rank)</t>
        </is>
      </c>
      <c r="I1821" t="inlineStr">
        <is>
          <t>Yes</t>
        </is>
      </c>
      <c r="K1821" t="inlineStr">
        <is>
          <t>Required (v4 weapon-arcane baseline)</t>
        </is>
      </c>
      <c r="L1821" t="n">
        <v>13</v>
      </c>
      <c r="M1821" t="n">
        <v>13</v>
      </c>
      <c r="N1821" t="n">
        <v>17</v>
      </c>
      <c r="O1821" t="inlineStr">
        <is>
          <t>2026-10-05 UTC (WFM pull 02:52-04:00)</t>
        </is>
      </c>
      <c r="P1821" t="inlineStr">
        <is>
          <t>OK</t>
        </is>
      </c>
      <c r="R1821" t="inlineStr">
        <is>
          <t>Arcanes share across items like mods (one max-rank copy covers every build).</t>
        </is>
      </c>
      <c r="S1821" t="inlineStr">
        <is>
          <t>primary_deadhead</t>
        </is>
      </c>
      <c r="T1821" t="n">
        <v>38</v>
      </c>
      <c r="U1821" t="n">
        <v>38</v>
      </c>
      <c r="V1821" t="n">
        <v>15</v>
      </c>
      <c r="W1821" t="n">
        <v>15</v>
      </c>
      <c r="X1821" t="n">
        <v>14.1</v>
      </c>
      <c r="Y1821" t="n">
        <v>7566</v>
      </c>
      <c r="Z1821" t="n">
        <v>174</v>
      </c>
      <c r="AA1821" t="n">
        <v>40</v>
      </c>
      <c r="AB1821" t="n">
        <v>-27</v>
      </c>
      <c r="AQ1821" t="n">
        <v>2</v>
      </c>
      <c r="AR1821" t="n">
        <v>42</v>
      </c>
      <c r="AS1821" t="inlineStr">
        <is>
          <t>Yes</t>
        </is>
      </c>
    </row>
    <row r="1822">
      <c r="A1822" t="inlineStr">
        <is>
          <t>Arcane</t>
        </is>
      </c>
      <c r="B1822" t="inlineStr">
        <is>
          <t>Primary Debilitate</t>
        </is>
      </c>
      <c r="E1822" t="inlineStr">
        <is>
          <t>Primary</t>
        </is>
      </c>
      <c r="F1822" t="n">
        <v>5</v>
      </c>
      <c r="G1822" t="n">
        <v>1</v>
      </c>
      <c r="H1822" t="inlineStr">
        <is>
          <t>Player trade (max rank)</t>
        </is>
      </c>
      <c r="I1822" t="inlineStr">
        <is>
          <t>Yes</t>
        </is>
      </c>
      <c r="K1822" t="inlineStr">
        <is>
          <t>Collection (optional)</t>
        </is>
      </c>
      <c r="L1822" t="n">
        <v>40</v>
      </c>
      <c r="M1822" t="n">
        <v>40</v>
      </c>
      <c r="N1822" t="n">
        <v>54</v>
      </c>
      <c r="O1822" t="inlineStr">
        <is>
          <t>2026-10-05 UTC (WFM pull 02:52-04:00)</t>
        </is>
      </c>
      <c r="P1822" t="inlineStr">
        <is>
          <t>OK</t>
        </is>
      </c>
      <c r="R1822" t="inlineStr">
        <is>
          <t>Arcanes share across items like mods (one max-rank copy covers every build).</t>
        </is>
      </c>
      <c r="S1822" t="inlineStr">
        <is>
          <t>primary_debilitate</t>
        </is>
      </c>
      <c r="T1822" t="n">
        <v>14</v>
      </c>
      <c r="U1822" t="n">
        <v>14</v>
      </c>
      <c r="V1822" t="n">
        <v>34</v>
      </c>
      <c r="W1822" t="n">
        <v>30</v>
      </c>
      <c r="X1822" t="n">
        <v>32.1</v>
      </c>
      <c r="Y1822" t="n">
        <v>3751</v>
      </c>
      <c r="Z1822" t="n">
        <v>99</v>
      </c>
      <c r="AA1822" t="n">
        <v>21</v>
      </c>
      <c r="AB1822" t="n">
        <v>19</v>
      </c>
      <c r="AQ1822" t="n">
        <v>3</v>
      </c>
      <c r="AR1822" t="n">
        <v>63</v>
      </c>
      <c r="AS1822" t="inlineStr">
        <is>
          <t>Collection (optional)</t>
        </is>
      </c>
    </row>
    <row r="1823">
      <c r="A1823" t="inlineStr">
        <is>
          <t>Arcane</t>
        </is>
      </c>
      <c r="B1823" t="inlineStr">
        <is>
          <t>Primary Dexterity</t>
        </is>
      </c>
      <c r="E1823" t="inlineStr">
        <is>
          <t>Primary</t>
        </is>
      </c>
      <c r="F1823" t="n">
        <v>5</v>
      </c>
      <c r="G1823" t="n">
        <v>1</v>
      </c>
      <c r="H1823" t="inlineStr">
        <is>
          <t>Player trade (max rank)</t>
        </is>
      </c>
      <c r="I1823" t="inlineStr">
        <is>
          <t>Yes</t>
        </is>
      </c>
      <c r="K1823" t="inlineStr">
        <is>
          <t>Required (v4 weapon-arcane baseline)</t>
        </is>
      </c>
      <c r="L1823" t="n">
        <v>6</v>
      </c>
      <c r="M1823" t="n">
        <v>7</v>
      </c>
      <c r="N1823" t="n">
        <v>9</v>
      </c>
      <c r="O1823" t="inlineStr">
        <is>
          <t>2026-10-05 UTC (WFM pull 02:52-04:00)</t>
        </is>
      </c>
      <c r="P1823" t="inlineStr">
        <is>
          <t>OK</t>
        </is>
      </c>
      <c r="R1823" t="inlineStr">
        <is>
          <t>Arcanes share across items like mods (one max-rank copy covers every build).</t>
        </is>
      </c>
      <c r="S1823" t="inlineStr">
        <is>
          <t>primary_dexterity</t>
        </is>
      </c>
      <c r="T1823" t="n">
        <v>50</v>
      </c>
      <c r="U1823" t="n">
        <v>50</v>
      </c>
      <c r="V1823" t="n">
        <v>8</v>
      </c>
      <c r="W1823" t="n">
        <v>8</v>
      </c>
      <c r="X1823" t="n">
        <v>7.9</v>
      </c>
      <c r="Y1823" t="n">
        <v>3926</v>
      </c>
      <c r="Z1823" t="n">
        <v>88</v>
      </c>
      <c r="AA1823" t="n">
        <v>36</v>
      </c>
      <c r="AB1823" t="n">
        <v>-30</v>
      </c>
      <c r="AQ1823" t="n">
        <v>1</v>
      </c>
      <c r="AR1823" t="n">
        <v>21</v>
      </c>
      <c r="AS1823" t="inlineStr">
        <is>
          <t>Yes</t>
        </is>
      </c>
    </row>
    <row r="1824">
      <c r="A1824" t="inlineStr">
        <is>
          <t>Arcane</t>
        </is>
      </c>
      <c r="B1824" t="inlineStr">
        <is>
          <t>Primary Exhilarate</t>
        </is>
      </c>
      <c r="E1824" t="inlineStr">
        <is>
          <t>Primary</t>
        </is>
      </c>
      <c r="F1824" t="n">
        <v>5</v>
      </c>
      <c r="G1824" t="n">
        <v>1</v>
      </c>
      <c r="H1824" t="inlineStr">
        <is>
          <t>Player trade (max rank)</t>
        </is>
      </c>
      <c r="I1824" t="inlineStr">
        <is>
          <t>Yes</t>
        </is>
      </c>
      <c r="K1824" t="inlineStr">
        <is>
          <t>Collection (optional)</t>
        </is>
      </c>
      <c r="L1824" t="n">
        <v>30</v>
      </c>
      <c r="M1824" t="n">
        <v>35</v>
      </c>
      <c r="N1824" t="n">
        <v>44</v>
      </c>
      <c r="O1824" t="inlineStr">
        <is>
          <t>2026-10-05 UTC (WFM pull 02:52-04:00)</t>
        </is>
      </c>
      <c r="P1824" t="inlineStr">
        <is>
          <t>OK</t>
        </is>
      </c>
      <c r="R1824" t="inlineStr">
        <is>
          <t>Arcanes share across items like mods (one max-rank copy covers every build).</t>
        </is>
      </c>
      <c r="S1824" t="inlineStr">
        <is>
          <t>primary_exhilarate</t>
        </is>
      </c>
      <c r="T1824" t="n">
        <v>12</v>
      </c>
      <c r="U1824" t="n">
        <v>12</v>
      </c>
      <c r="V1824" t="n">
        <v>35</v>
      </c>
      <c r="W1824" t="n">
        <v>35</v>
      </c>
      <c r="X1824" t="n">
        <v>35.8</v>
      </c>
      <c r="Y1824" t="n">
        <v>505</v>
      </c>
      <c r="Z1824" t="n">
        <v>10</v>
      </c>
      <c r="AA1824" t="n">
        <v>15</v>
      </c>
      <c r="AB1824" t="n">
        <v>15</v>
      </c>
      <c r="AQ1824" t="n">
        <v>4</v>
      </c>
      <c r="AR1824" t="n">
        <v>84</v>
      </c>
      <c r="AS1824" t="inlineStr">
        <is>
          <t>Collection (optional)</t>
        </is>
      </c>
    </row>
    <row r="1825">
      <c r="A1825" t="inlineStr">
        <is>
          <t>Arcane</t>
        </is>
      </c>
      <c r="B1825" t="inlineStr">
        <is>
          <t>Primary Frostbite</t>
        </is>
      </c>
      <c r="E1825" t="inlineStr">
        <is>
          <t>Primary</t>
        </is>
      </c>
      <c r="F1825" t="n">
        <v>5</v>
      </c>
      <c r="G1825" t="n">
        <v>1</v>
      </c>
      <c r="H1825" t="inlineStr">
        <is>
          <t>Player trade (max rank)</t>
        </is>
      </c>
      <c r="I1825" t="inlineStr">
        <is>
          <t>Yes</t>
        </is>
      </c>
      <c r="K1825" t="inlineStr">
        <is>
          <t>Collection (optional)</t>
        </is>
      </c>
      <c r="L1825" t="n">
        <v>35</v>
      </c>
      <c r="M1825" t="n">
        <v>40</v>
      </c>
      <c r="N1825" t="n">
        <v>66</v>
      </c>
      <c r="O1825" t="inlineStr">
        <is>
          <t>2026-10-05 UTC (WFM pull 02:52-04:00)</t>
        </is>
      </c>
      <c r="P1825" t="inlineStr">
        <is>
          <t>OK</t>
        </is>
      </c>
      <c r="R1825" t="inlineStr">
        <is>
          <t>Arcanes share across items like mods (one max-rank copy covers every build).</t>
        </is>
      </c>
      <c r="S1825" t="inlineStr">
        <is>
          <t>primary_frostbite</t>
        </is>
      </c>
      <c r="T1825" t="n">
        <v>7</v>
      </c>
      <c r="U1825" t="n">
        <v>7</v>
      </c>
      <c r="V1825" t="n">
        <v>30</v>
      </c>
      <c r="W1825" t="n">
        <v>25</v>
      </c>
      <c r="X1825" t="n">
        <v>26.9</v>
      </c>
      <c r="Y1825" t="n">
        <v>5192</v>
      </c>
      <c r="Z1825" t="n">
        <v>209</v>
      </c>
      <c r="AA1825" t="n">
        <v>10</v>
      </c>
      <c r="AB1825" t="n">
        <v>25</v>
      </c>
      <c r="AQ1825" t="n">
        <v>3</v>
      </c>
      <c r="AR1825" t="n">
        <v>63</v>
      </c>
      <c r="AS1825" t="inlineStr">
        <is>
          <t>Collection (optional)</t>
        </is>
      </c>
    </row>
    <row r="1826">
      <c r="A1826" t="inlineStr">
        <is>
          <t>Arcane</t>
        </is>
      </c>
      <c r="B1826" t="inlineStr">
        <is>
          <t>Primary Merciless</t>
        </is>
      </c>
      <c r="E1826" t="inlineStr">
        <is>
          <t>Primary</t>
        </is>
      </c>
      <c r="F1826" t="n">
        <v>5</v>
      </c>
      <c r="G1826" t="n">
        <v>1</v>
      </c>
      <c r="H1826" t="inlineStr">
        <is>
          <t>Player trade (max rank)</t>
        </is>
      </c>
      <c r="I1826" t="inlineStr">
        <is>
          <t>Yes</t>
        </is>
      </c>
      <c r="K1826" t="inlineStr">
        <is>
          <t>Required (v4 weapon-arcane baseline)</t>
        </is>
      </c>
      <c r="L1826" t="n">
        <v>12</v>
      </c>
      <c r="M1826" t="n">
        <v>15</v>
      </c>
      <c r="N1826" t="n">
        <v>22</v>
      </c>
      <c r="O1826" t="inlineStr">
        <is>
          <t>2026-10-05 UTC (WFM pull 02:52-04:00)</t>
        </is>
      </c>
      <c r="P1826" t="inlineStr">
        <is>
          <t>OK</t>
        </is>
      </c>
      <c r="R1826" t="inlineStr">
        <is>
          <t>Arcanes share across items like mods (one max-rank copy covers every build).</t>
        </is>
      </c>
      <c r="S1826" t="inlineStr">
        <is>
          <t>primary_merciless</t>
        </is>
      </c>
      <c r="T1826" t="n">
        <v>28</v>
      </c>
      <c r="U1826" t="n">
        <v>28</v>
      </c>
      <c r="V1826" t="n">
        <v>15</v>
      </c>
      <c r="W1826" t="n">
        <v>15</v>
      </c>
      <c r="X1826" t="n">
        <v>15.4</v>
      </c>
      <c r="Y1826" t="n">
        <v>9325</v>
      </c>
      <c r="Z1826" t="n">
        <v>283</v>
      </c>
      <c r="AA1826" t="n">
        <v>40</v>
      </c>
      <c r="AB1826" t="n">
        <v>-28</v>
      </c>
      <c r="AQ1826" t="n">
        <v>2</v>
      </c>
      <c r="AR1826" t="n">
        <v>42</v>
      </c>
      <c r="AS1826" t="inlineStr">
        <is>
          <t>Yes</t>
        </is>
      </c>
    </row>
    <row r="1827">
      <c r="A1827" t="inlineStr">
        <is>
          <t>Arcane</t>
        </is>
      </c>
      <c r="B1827" t="inlineStr">
        <is>
          <t>Primary Obstruct</t>
        </is>
      </c>
      <c r="E1827" t="inlineStr">
        <is>
          <t>Primary</t>
        </is>
      </c>
      <c r="F1827" t="n">
        <v>5</v>
      </c>
      <c r="G1827" t="n">
        <v>1</v>
      </c>
      <c r="H1827" t="inlineStr">
        <is>
          <t>Player trade (max rank)</t>
        </is>
      </c>
      <c r="I1827" t="inlineStr">
        <is>
          <t>Yes</t>
        </is>
      </c>
      <c r="K1827" t="inlineStr">
        <is>
          <t>Collection (optional)</t>
        </is>
      </c>
      <c r="L1827" t="n">
        <v>30</v>
      </c>
      <c r="M1827" t="n">
        <v>35</v>
      </c>
      <c r="N1827" t="n">
        <v>44</v>
      </c>
      <c r="O1827" t="inlineStr">
        <is>
          <t>2026-10-05 UTC (WFM pull 02:52-04:00)</t>
        </is>
      </c>
      <c r="P1827" t="inlineStr">
        <is>
          <t>OK</t>
        </is>
      </c>
      <c r="R1827" t="inlineStr">
        <is>
          <t>Arcanes share across items like mods (one max-rank copy covers every build).</t>
        </is>
      </c>
      <c r="S1827" t="inlineStr">
        <is>
          <t>primary_obstruct</t>
        </is>
      </c>
      <c r="T1827" t="n">
        <v>12</v>
      </c>
      <c r="U1827" t="n">
        <v>12</v>
      </c>
      <c r="V1827" t="n">
        <v>35</v>
      </c>
      <c r="W1827" t="n">
        <v>40</v>
      </c>
      <c r="X1827" t="n">
        <v>38.6</v>
      </c>
      <c r="Y1827" t="n">
        <v>503</v>
      </c>
      <c r="Z1827" t="n">
        <v>26</v>
      </c>
      <c r="AA1827" t="n">
        <v>15</v>
      </c>
      <c r="AB1827" t="n">
        <v>15</v>
      </c>
      <c r="AQ1827" t="n">
        <v>3</v>
      </c>
      <c r="AR1827" t="n">
        <v>63</v>
      </c>
      <c r="AS1827" t="inlineStr">
        <is>
          <t>Collection (optional)</t>
        </is>
      </c>
    </row>
    <row r="1828">
      <c r="A1828" t="inlineStr">
        <is>
          <t>Arcane</t>
        </is>
      </c>
      <c r="B1828" t="inlineStr">
        <is>
          <t>Primary Overcharge</t>
        </is>
      </c>
      <c r="E1828" t="inlineStr">
        <is>
          <t>Primary</t>
        </is>
      </c>
      <c r="F1828" t="n">
        <v>5</v>
      </c>
      <c r="G1828" t="n">
        <v>1</v>
      </c>
      <c r="H1828" t="inlineStr">
        <is>
          <t>Player trade (max rank)</t>
        </is>
      </c>
      <c r="I1828" t="inlineStr">
        <is>
          <t>Yes</t>
        </is>
      </c>
      <c r="K1828" t="inlineStr">
        <is>
          <t>Collection (optional)</t>
        </is>
      </c>
      <c r="L1828" t="n">
        <v>40</v>
      </c>
      <c r="M1828" t="n">
        <v>44</v>
      </c>
      <c r="N1828" t="n">
        <v>54</v>
      </c>
      <c r="O1828" t="inlineStr">
        <is>
          <t>2026-10-05 UTC (WFM pull 02:52-04:00)</t>
        </is>
      </c>
      <c r="P1828" t="inlineStr">
        <is>
          <t>OK</t>
        </is>
      </c>
      <c r="R1828" t="inlineStr">
        <is>
          <t>Arcanes share across items like mods (one max-rank copy covers every build).</t>
        </is>
      </c>
      <c r="S1828" t="inlineStr">
        <is>
          <t>primary_overcharge</t>
        </is>
      </c>
      <c r="T1828" t="n">
        <v>14</v>
      </c>
      <c r="U1828" t="n">
        <v>14</v>
      </c>
      <c r="V1828" t="n">
        <v>38</v>
      </c>
      <c r="W1828" t="n">
        <v>35</v>
      </c>
      <c r="X1828" t="n">
        <v>34</v>
      </c>
      <c r="Y1828" t="n">
        <v>4116</v>
      </c>
      <c r="Z1828" t="n">
        <v>92</v>
      </c>
      <c r="AA1828" t="n">
        <v>30</v>
      </c>
      <c r="AB1828" t="n">
        <v>10</v>
      </c>
      <c r="AQ1828" t="n">
        <v>3</v>
      </c>
      <c r="AR1828" t="n">
        <v>63</v>
      </c>
      <c r="AS1828" t="inlineStr">
        <is>
          <t>Collection (optional)</t>
        </is>
      </c>
    </row>
    <row r="1829">
      <c r="A1829" t="inlineStr">
        <is>
          <t>Arcane</t>
        </is>
      </c>
      <c r="B1829" t="inlineStr">
        <is>
          <t>Primary Plated Round</t>
        </is>
      </c>
      <c r="E1829" t="inlineStr">
        <is>
          <t>Primary</t>
        </is>
      </c>
      <c r="F1829" t="n">
        <v>5</v>
      </c>
      <c r="G1829" t="n">
        <v>1</v>
      </c>
      <c r="H1829" t="inlineStr">
        <is>
          <t>Player trade (max rank)</t>
        </is>
      </c>
      <c r="I1829" t="inlineStr">
        <is>
          <t>Yes</t>
        </is>
      </c>
      <c r="K1829" t="inlineStr">
        <is>
          <t>Collection (optional)</t>
        </is>
      </c>
      <c r="L1829" t="n">
        <v>80</v>
      </c>
      <c r="M1829" t="n">
        <v>85</v>
      </c>
      <c r="N1829" t="n">
        <v>109</v>
      </c>
      <c r="O1829" t="inlineStr">
        <is>
          <t>2026-10-05 UTC (WFM pull 02:52-04:00)</t>
        </is>
      </c>
      <c r="P1829" t="inlineStr">
        <is>
          <t>OK</t>
        </is>
      </c>
      <c r="R1829" t="inlineStr">
        <is>
          <t>Arcanes share across items like mods (one max-rank copy covers every build).</t>
        </is>
      </c>
      <c r="S1829" t="inlineStr">
        <is>
          <t>primary_plated_round</t>
        </is>
      </c>
      <c r="T1829" t="n">
        <v>9</v>
      </c>
      <c r="U1829" t="n">
        <v>9</v>
      </c>
      <c r="V1829" t="n">
        <v>87.5</v>
      </c>
      <c r="W1829" t="n">
        <v>70</v>
      </c>
      <c r="X1829" t="n">
        <v>72.90000000000001</v>
      </c>
      <c r="Y1829" t="n">
        <v>562</v>
      </c>
      <c r="Z1829" t="n">
        <v>7</v>
      </c>
      <c r="AA1829" t="n">
        <v>51</v>
      </c>
      <c r="AB1829" t="n">
        <v>29</v>
      </c>
      <c r="AQ1829" t="n">
        <v>6</v>
      </c>
      <c r="AR1829" t="n">
        <v>126</v>
      </c>
      <c r="AS1829" t="inlineStr">
        <is>
          <t>Collection (optional)</t>
        </is>
      </c>
    </row>
    <row r="1830">
      <c r="A1830" t="inlineStr">
        <is>
          <t>Arcane</t>
        </is>
      </c>
      <c r="B1830" t="inlineStr">
        <is>
          <t>Residual Boils</t>
        </is>
      </c>
      <c r="E1830" t="inlineStr">
        <is>
          <t>Kitgun</t>
        </is>
      </c>
      <c r="F1830" t="n">
        <v>3</v>
      </c>
      <c r="G1830" t="n">
        <v>1</v>
      </c>
      <c r="H1830" t="inlineStr">
        <is>
          <t>Player trade (max rank)</t>
        </is>
      </c>
      <c r="I1830" t="inlineStr">
        <is>
          <t>Yes</t>
        </is>
      </c>
      <c r="K1830" t="inlineStr">
        <is>
          <t>Collection (optional)</t>
        </is>
      </c>
      <c r="L1830" t="n">
        <v>23</v>
      </c>
      <c r="M1830" t="n">
        <v>25</v>
      </c>
      <c r="N1830" t="n">
        <v>33</v>
      </c>
      <c r="O1830" t="inlineStr">
        <is>
          <t>2026-10-05 UTC (WFM pull 02:52-04:00)</t>
        </is>
      </c>
      <c r="P1830" t="inlineStr">
        <is>
          <t>OK</t>
        </is>
      </c>
      <c r="R1830" t="inlineStr">
        <is>
          <t>Arcanes share across items like mods (one max-rank copy covers every build).</t>
        </is>
      </c>
      <c r="S1830" t="inlineStr">
        <is>
          <t>residual_boils</t>
        </is>
      </c>
      <c r="T1830" t="n">
        <v>7</v>
      </c>
      <c r="U1830" t="n">
        <v>7</v>
      </c>
      <c r="V1830" t="n">
        <v>20</v>
      </c>
      <c r="W1830" t="n">
        <v>20</v>
      </c>
      <c r="X1830" t="n">
        <v>20.3</v>
      </c>
      <c r="Y1830" t="n">
        <v>168</v>
      </c>
      <c r="Z1830" t="n">
        <v>6</v>
      </c>
      <c r="AQ1830" t="n">
        <v>3</v>
      </c>
      <c r="AR1830" t="n">
        <v>30</v>
      </c>
      <c r="AS1830" t="inlineStr">
        <is>
          <t>Collection (optional)</t>
        </is>
      </c>
    </row>
    <row r="1831">
      <c r="A1831" t="inlineStr">
        <is>
          <t>Arcane</t>
        </is>
      </c>
      <c r="B1831" t="inlineStr">
        <is>
          <t>Residual Malodor</t>
        </is>
      </c>
      <c r="E1831" t="inlineStr">
        <is>
          <t>Kitgun</t>
        </is>
      </c>
      <c r="F1831" t="n">
        <v>3</v>
      </c>
      <c r="G1831" t="n">
        <v>1</v>
      </c>
      <c r="H1831" t="inlineStr">
        <is>
          <t>Player trade (max rank)</t>
        </is>
      </c>
      <c r="I1831" t="inlineStr">
        <is>
          <t>Yes</t>
        </is>
      </c>
      <c r="K1831" t="inlineStr">
        <is>
          <t>Collection (optional)</t>
        </is>
      </c>
      <c r="L1831" t="n">
        <v>15</v>
      </c>
      <c r="M1831" t="n">
        <v>19</v>
      </c>
      <c r="N1831" t="n">
        <v>22</v>
      </c>
      <c r="O1831" t="inlineStr">
        <is>
          <t>2026-10-05 UTC (WFM pull 02:52-04:00)</t>
        </is>
      </c>
      <c r="P1831" t="inlineStr">
        <is>
          <t>OK</t>
        </is>
      </c>
      <c r="R1831" t="inlineStr">
        <is>
          <t>Arcanes share across items like mods (one max-rank copy covers every build).</t>
        </is>
      </c>
      <c r="S1831" t="inlineStr">
        <is>
          <t>residual_malodor</t>
        </is>
      </c>
      <c r="T1831" t="n">
        <v>9</v>
      </c>
      <c r="U1831" t="n">
        <v>9</v>
      </c>
      <c r="V1831" t="n">
        <v>15</v>
      </c>
      <c r="W1831" t="n">
        <v>15</v>
      </c>
      <c r="X1831" t="n">
        <v>15.9</v>
      </c>
      <c r="Y1831" t="n">
        <v>91</v>
      </c>
      <c r="Z1831" t="n">
        <v>3</v>
      </c>
      <c r="AQ1831" t="n">
        <v>3</v>
      </c>
      <c r="AR1831" t="n">
        <v>30</v>
      </c>
      <c r="AS1831" t="inlineStr">
        <is>
          <t>Collection (optional)</t>
        </is>
      </c>
    </row>
    <row r="1832">
      <c r="A1832" t="inlineStr">
        <is>
          <t>Arcane</t>
        </is>
      </c>
      <c r="B1832" t="inlineStr">
        <is>
          <t>Residual Shock</t>
        </is>
      </c>
      <c r="E1832" t="inlineStr">
        <is>
          <t>Kitgun</t>
        </is>
      </c>
      <c r="F1832" t="n">
        <v>3</v>
      </c>
      <c r="G1832" t="n">
        <v>1</v>
      </c>
      <c r="H1832" t="inlineStr">
        <is>
          <t>Player trade (max rank)</t>
        </is>
      </c>
      <c r="I1832" t="inlineStr">
        <is>
          <t>Yes</t>
        </is>
      </c>
      <c r="K1832" t="inlineStr">
        <is>
          <t>Collection (optional)</t>
        </is>
      </c>
      <c r="L1832" t="n">
        <v>20</v>
      </c>
      <c r="M1832" t="n">
        <v>25</v>
      </c>
      <c r="N1832" t="n">
        <v>33</v>
      </c>
      <c r="O1832" t="inlineStr">
        <is>
          <t>2026-10-05 UTC (WFM pull 02:52-04:00)</t>
        </is>
      </c>
      <c r="P1832" t="inlineStr">
        <is>
          <t>OK</t>
        </is>
      </c>
      <c r="R1832" t="inlineStr">
        <is>
          <t>Arcanes share across items like mods (one max-rank copy covers every build).</t>
        </is>
      </c>
      <c r="S1832" t="inlineStr">
        <is>
          <t>residual_shock</t>
        </is>
      </c>
      <c r="T1832" t="n">
        <v>8</v>
      </c>
      <c r="U1832" t="n">
        <v>8</v>
      </c>
      <c r="V1832" t="n">
        <v>22.5</v>
      </c>
      <c r="W1832" t="n">
        <v>25</v>
      </c>
      <c r="X1832" t="n">
        <v>26</v>
      </c>
      <c r="Y1832" t="n">
        <v>156</v>
      </c>
      <c r="Z1832" t="n">
        <v>7</v>
      </c>
      <c r="AQ1832" t="n">
        <v>3</v>
      </c>
      <c r="AR1832" t="n">
        <v>30</v>
      </c>
      <c r="AS1832" t="inlineStr">
        <is>
          <t>Collection (optional)</t>
        </is>
      </c>
    </row>
    <row r="1833">
      <c r="A1833" t="inlineStr">
        <is>
          <t>Arcane</t>
        </is>
      </c>
      <c r="B1833" t="inlineStr">
        <is>
          <t>Residual Viremia</t>
        </is>
      </c>
      <c r="E1833" t="inlineStr">
        <is>
          <t>Kitgun</t>
        </is>
      </c>
      <c r="F1833" t="n">
        <v>3</v>
      </c>
      <c r="G1833" t="n">
        <v>1</v>
      </c>
      <c r="H1833" t="inlineStr">
        <is>
          <t>Player trade (max rank)</t>
        </is>
      </c>
      <c r="I1833" t="inlineStr">
        <is>
          <t>Yes</t>
        </is>
      </c>
      <c r="K1833" t="inlineStr">
        <is>
          <t>Collection (optional)</t>
        </is>
      </c>
      <c r="L1833" t="n">
        <v>20</v>
      </c>
      <c r="M1833" t="n">
        <v>25</v>
      </c>
      <c r="N1833" t="n">
        <v>56</v>
      </c>
      <c r="O1833" t="inlineStr">
        <is>
          <t>2026-10-05 UTC (WFM pull 02:52-04:00)</t>
        </is>
      </c>
      <c r="P1833" t="inlineStr">
        <is>
          <t>OK</t>
        </is>
      </c>
      <c r="Q1833" t="inlineStr">
        <is>
          <t>Cheaper via 10x R0 (20p realistic) than buying max rank</t>
        </is>
      </c>
      <c r="R1833" t="inlineStr">
        <is>
          <t>Arcanes share across items like mods (one max-rank copy covers every build).</t>
        </is>
      </c>
      <c r="S1833" t="inlineStr">
        <is>
          <t>residual_viremia</t>
        </is>
      </c>
      <c r="T1833" t="n">
        <v>6</v>
      </c>
      <c r="U1833" t="n">
        <v>6</v>
      </c>
      <c r="V1833" t="n">
        <v>24</v>
      </c>
      <c r="W1833" t="n">
        <v>25</v>
      </c>
      <c r="X1833" t="n">
        <v>26.5</v>
      </c>
      <c r="Y1833" t="n">
        <v>187</v>
      </c>
      <c r="Z1833" t="n">
        <v>4</v>
      </c>
      <c r="AQ1833" t="n">
        <v>2</v>
      </c>
      <c r="AR1833" t="n">
        <v>20</v>
      </c>
      <c r="AS1833" t="inlineStr">
        <is>
          <t>Collection (optional)</t>
        </is>
      </c>
    </row>
    <row r="1834">
      <c r="A1834" t="inlineStr">
        <is>
          <t>Arcane</t>
        </is>
      </c>
      <c r="B1834" t="inlineStr">
        <is>
          <t>Secondary Cryogenic</t>
        </is>
      </c>
      <c r="E1834" t="inlineStr">
        <is>
          <t>Secondary</t>
        </is>
      </c>
      <c r="F1834" t="n">
        <v>5</v>
      </c>
      <c r="G1834" t="n">
        <v>1</v>
      </c>
      <c r="H1834" t="inlineStr">
        <is>
          <t>Player trade (max rank)</t>
        </is>
      </c>
      <c r="I1834" t="inlineStr">
        <is>
          <t>Yes</t>
        </is>
      </c>
      <c r="K1834" t="inlineStr">
        <is>
          <t>Collection (optional)</t>
        </is>
      </c>
      <c r="L1834" t="n">
        <v>100</v>
      </c>
      <c r="M1834" t="n">
        <v>102</v>
      </c>
      <c r="N1834" t="n">
        <v>221</v>
      </c>
      <c r="O1834" t="inlineStr">
        <is>
          <t>2026-10-05 UTC (WFM pull 02:52-04:00)</t>
        </is>
      </c>
      <c r="P1834" t="inlineStr">
        <is>
          <t>OK</t>
        </is>
      </c>
      <c r="R1834" t="inlineStr">
        <is>
          <t>Arcanes share across items like mods (one max-rank copy covers every build).</t>
        </is>
      </c>
      <c r="S1834" t="inlineStr">
        <is>
          <t>secondary_cryogenic</t>
        </is>
      </c>
      <c r="T1834" t="n">
        <v>7</v>
      </c>
      <c r="U1834" t="n">
        <v>7</v>
      </c>
      <c r="V1834" t="n">
        <v>70</v>
      </c>
      <c r="W1834" t="n">
        <v>44</v>
      </c>
      <c r="X1834" t="n">
        <v>60</v>
      </c>
      <c r="Y1834" t="n">
        <v>981</v>
      </c>
      <c r="Z1834" t="n">
        <v>44</v>
      </c>
      <c r="AA1834" t="n">
        <v>35</v>
      </c>
      <c r="AB1834" t="n">
        <v>65</v>
      </c>
      <c r="AQ1834" t="n">
        <v>5</v>
      </c>
      <c r="AR1834" t="n">
        <v>105</v>
      </c>
      <c r="AS1834" t="inlineStr">
        <is>
          <t>Collection (optional)</t>
        </is>
      </c>
    </row>
    <row r="1835">
      <c r="A1835" t="inlineStr">
        <is>
          <t>Arcane</t>
        </is>
      </c>
      <c r="B1835" t="inlineStr">
        <is>
          <t>Secondary Deadhead</t>
        </is>
      </c>
      <c r="E1835" t="inlineStr">
        <is>
          <t>Secondary</t>
        </is>
      </c>
      <c r="F1835" t="n">
        <v>5</v>
      </c>
      <c r="G1835" t="n">
        <v>1</v>
      </c>
      <c r="H1835" t="inlineStr">
        <is>
          <t>Player trade (max rank)</t>
        </is>
      </c>
      <c r="I1835" t="inlineStr">
        <is>
          <t>Yes</t>
        </is>
      </c>
      <c r="K1835" t="inlineStr">
        <is>
          <t>Required (v4 weapon-arcane baseline)</t>
        </is>
      </c>
      <c r="L1835" t="n">
        <v>8</v>
      </c>
      <c r="M1835" t="n">
        <v>10</v>
      </c>
      <c r="N1835" t="n">
        <v>11</v>
      </c>
      <c r="O1835" t="inlineStr">
        <is>
          <t>2026-10-05 UTC (WFM pull 02:52-04:00)</t>
        </is>
      </c>
      <c r="P1835" t="inlineStr">
        <is>
          <t>OK</t>
        </is>
      </c>
      <c r="R1835" t="inlineStr">
        <is>
          <t>Arcanes share across items like mods (one max-rank copy covers every build).</t>
        </is>
      </c>
      <c r="S1835" t="inlineStr">
        <is>
          <t>secondary_deadhead</t>
        </is>
      </c>
      <c r="T1835" t="n">
        <v>39</v>
      </c>
      <c r="U1835" t="n">
        <v>39</v>
      </c>
      <c r="V1835" t="n">
        <v>9</v>
      </c>
      <c r="W1835" t="n">
        <v>9</v>
      </c>
      <c r="X1835" t="n">
        <v>8.699999999999999</v>
      </c>
      <c r="Y1835" t="n">
        <v>4517</v>
      </c>
      <c r="Z1835" t="n">
        <v>168</v>
      </c>
      <c r="AA1835" t="n">
        <v>40</v>
      </c>
      <c r="AB1835" t="n">
        <v>-32</v>
      </c>
      <c r="AQ1835" t="n">
        <v>1</v>
      </c>
      <c r="AR1835" t="n">
        <v>21</v>
      </c>
      <c r="AS1835" t="inlineStr">
        <is>
          <t>Yes</t>
        </is>
      </c>
    </row>
    <row r="1836">
      <c r="A1836" t="inlineStr">
        <is>
          <t>Arcane</t>
        </is>
      </c>
      <c r="B1836" t="inlineStr">
        <is>
          <t>Secondary Dexterity</t>
        </is>
      </c>
      <c r="E1836" t="inlineStr">
        <is>
          <t>Secondary</t>
        </is>
      </c>
      <c r="F1836" t="n">
        <v>5</v>
      </c>
      <c r="G1836" t="n">
        <v>1</v>
      </c>
      <c r="H1836" t="inlineStr">
        <is>
          <t>Player trade (max rank)</t>
        </is>
      </c>
      <c r="I1836" t="inlineStr">
        <is>
          <t>Yes</t>
        </is>
      </c>
      <c r="K1836" t="inlineStr">
        <is>
          <t>Required (v4 weapon-arcane baseline)</t>
        </is>
      </c>
      <c r="L1836" t="n">
        <v>8</v>
      </c>
      <c r="M1836" t="n">
        <v>9</v>
      </c>
      <c r="N1836" t="n">
        <v>11</v>
      </c>
      <c r="O1836" t="inlineStr">
        <is>
          <t>2026-10-05 UTC (WFM pull 02:52-04:00)</t>
        </is>
      </c>
      <c r="P1836" t="inlineStr">
        <is>
          <t>OK</t>
        </is>
      </c>
      <c r="R1836" t="inlineStr">
        <is>
          <t>Arcanes share across items like mods (one max-rank copy covers every build).</t>
        </is>
      </c>
      <c r="S1836" t="inlineStr">
        <is>
          <t>secondary_dexterity</t>
        </is>
      </c>
      <c r="T1836" t="n">
        <v>50</v>
      </c>
      <c r="U1836" t="n">
        <v>50</v>
      </c>
      <c r="V1836" t="n">
        <v>8</v>
      </c>
      <c r="W1836" t="n">
        <v>8</v>
      </c>
      <c r="X1836" t="n">
        <v>7.8</v>
      </c>
      <c r="Y1836" t="n">
        <v>3454</v>
      </c>
      <c r="Z1836" t="n">
        <v>71</v>
      </c>
      <c r="AA1836" t="n">
        <v>36</v>
      </c>
      <c r="AB1836" t="n">
        <v>-28</v>
      </c>
      <c r="AQ1836" t="n">
        <v>1</v>
      </c>
      <c r="AR1836" t="n">
        <v>21</v>
      </c>
      <c r="AS1836" t="inlineStr">
        <is>
          <t>Yes</t>
        </is>
      </c>
    </row>
    <row r="1837">
      <c r="A1837" t="inlineStr">
        <is>
          <t>Arcane</t>
        </is>
      </c>
      <c r="B1837" t="inlineStr">
        <is>
          <t>Secondary Encumber</t>
        </is>
      </c>
      <c r="E1837" t="inlineStr">
        <is>
          <t>Secondary</t>
        </is>
      </c>
      <c r="F1837" t="n">
        <v>5</v>
      </c>
      <c r="G1837" t="n">
        <v>1</v>
      </c>
      <c r="H1837" t="inlineStr">
        <is>
          <t>Player trade (max rank)</t>
        </is>
      </c>
      <c r="I1837" t="inlineStr">
        <is>
          <t>Yes</t>
        </is>
      </c>
      <c r="K1837" t="inlineStr">
        <is>
          <t>Collection (optional)</t>
        </is>
      </c>
      <c r="L1837" t="n">
        <v>59</v>
      </c>
      <c r="M1837" t="n">
        <v>60</v>
      </c>
      <c r="N1837" t="n">
        <v>85</v>
      </c>
      <c r="O1837" t="inlineStr">
        <is>
          <t>2026-10-05 UTC (WFM pull 02:52-04:00)</t>
        </is>
      </c>
      <c r="P1837" t="inlineStr">
        <is>
          <t>OK</t>
        </is>
      </c>
      <c r="R1837" t="inlineStr">
        <is>
          <t>Arcanes share across items like mods (one max-rank copy covers every build).</t>
        </is>
      </c>
      <c r="S1837" t="inlineStr">
        <is>
          <t>secondary_encumber</t>
        </is>
      </c>
      <c r="T1837" t="n">
        <v>14</v>
      </c>
      <c r="U1837" t="n">
        <v>14</v>
      </c>
      <c r="V1837" t="n">
        <v>55.5</v>
      </c>
      <c r="W1837" t="n">
        <v>54</v>
      </c>
      <c r="X1837" t="n">
        <v>53.5</v>
      </c>
      <c r="Y1837" t="n">
        <v>6884</v>
      </c>
      <c r="Z1837" t="n">
        <v>184</v>
      </c>
      <c r="AA1837" t="n">
        <v>50</v>
      </c>
      <c r="AB1837" t="n">
        <v>9</v>
      </c>
      <c r="AQ1837" t="n">
        <v>4</v>
      </c>
      <c r="AR1837" t="n">
        <v>84</v>
      </c>
      <c r="AS1837" t="inlineStr">
        <is>
          <t>Collection (optional)</t>
        </is>
      </c>
    </row>
    <row r="1838">
      <c r="A1838" t="inlineStr">
        <is>
          <t>Arcane</t>
        </is>
      </c>
      <c r="B1838" t="inlineStr">
        <is>
          <t>Secondary Enervate</t>
        </is>
      </c>
      <c r="E1838" t="inlineStr">
        <is>
          <t>Secondary</t>
        </is>
      </c>
      <c r="F1838" t="n">
        <v>5</v>
      </c>
      <c r="G1838" t="n">
        <v>1</v>
      </c>
      <c r="H1838" t="inlineStr">
        <is>
          <t>Player trade (max rank)</t>
        </is>
      </c>
      <c r="I1838" t="inlineStr">
        <is>
          <t>Yes</t>
        </is>
      </c>
      <c r="K1838" t="inlineStr">
        <is>
          <t>Collection (optional)</t>
        </is>
      </c>
      <c r="L1838" t="n">
        <v>23</v>
      </c>
      <c r="M1838" t="n">
        <v>24</v>
      </c>
      <c r="N1838" t="n">
        <v>28</v>
      </c>
      <c r="O1838" t="inlineStr">
        <is>
          <t>2026-10-05 UTC (WFM pull 02:52-04:00)</t>
        </is>
      </c>
      <c r="P1838" t="inlineStr">
        <is>
          <t>OK</t>
        </is>
      </c>
      <c r="R1838" t="inlineStr">
        <is>
          <t>Arcanes share across items like mods (one max-rank copy covers every build).</t>
        </is>
      </c>
      <c r="S1838" t="inlineStr">
        <is>
          <t>secondary_enervate</t>
        </is>
      </c>
      <c r="T1838" t="n">
        <v>47</v>
      </c>
      <c r="U1838" t="n">
        <v>47</v>
      </c>
      <c r="V1838" t="n">
        <v>25</v>
      </c>
      <c r="W1838" t="n">
        <v>27</v>
      </c>
      <c r="X1838" t="n">
        <v>26.7</v>
      </c>
      <c r="Y1838" t="n">
        <v>15398</v>
      </c>
      <c r="Z1838" t="n">
        <v>298</v>
      </c>
      <c r="AA1838" t="n">
        <v>12</v>
      </c>
      <c r="AB1838" t="n">
        <v>11</v>
      </c>
      <c r="AQ1838" t="n">
        <v>2</v>
      </c>
      <c r="AR1838" t="n">
        <v>42</v>
      </c>
      <c r="AS1838" t="inlineStr">
        <is>
          <t>Collection (optional)</t>
        </is>
      </c>
    </row>
    <row r="1839">
      <c r="A1839" t="inlineStr">
        <is>
          <t>Arcane</t>
        </is>
      </c>
      <c r="B1839" t="inlineStr">
        <is>
          <t>Secondary Fortifier</t>
        </is>
      </c>
      <c r="E1839" t="inlineStr">
        <is>
          <t>Secondary</t>
        </is>
      </c>
      <c r="F1839" t="n">
        <v>5</v>
      </c>
      <c r="G1839" t="n">
        <v>1</v>
      </c>
      <c r="H1839" t="inlineStr">
        <is>
          <t>Player trade (max rank)</t>
        </is>
      </c>
      <c r="I1839" t="inlineStr">
        <is>
          <t>Yes</t>
        </is>
      </c>
      <c r="K1839" t="inlineStr">
        <is>
          <t>Collection (optional)</t>
        </is>
      </c>
      <c r="L1839" t="n">
        <v>60</v>
      </c>
      <c r="M1839" t="n">
        <v>60</v>
      </c>
      <c r="N1839" t="n">
        <v>73</v>
      </c>
      <c r="O1839" t="inlineStr">
        <is>
          <t>2026-10-05 UTC (WFM pull 02:52-04:00)</t>
        </is>
      </c>
      <c r="P1839" t="inlineStr">
        <is>
          <t>OK</t>
        </is>
      </c>
      <c r="R1839" t="inlineStr">
        <is>
          <t>Arcanes share across items like mods (one max-rank copy covers every build).</t>
        </is>
      </c>
      <c r="S1839" t="inlineStr">
        <is>
          <t>secondary_fortifier</t>
        </is>
      </c>
      <c r="T1839" t="n">
        <v>12</v>
      </c>
      <c r="U1839" t="n">
        <v>12</v>
      </c>
      <c r="V1839" t="n">
        <v>54.5</v>
      </c>
      <c r="W1839" t="n">
        <v>50</v>
      </c>
      <c r="X1839" t="n">
        <v>52.4</v>
      </c>
      <c r="Y1839" t="n">
        <v>6200</v>
      </c>
      <c r="Z1839" t="n">
        <v>142</v>
      </c>
      <c r="AA1839" t="n">
        <v>41</v>
      </c>
      <c r="AB1839" t="n">
        <v>19</v>
      </c>
      <c r="AQ1839" t="n">
        <v>4</v>
      </c>
      <c r="AR1839" t="n">
        <v>84</v>
      </c>
      <c r="AS1839" t="inlineStr">
        <is>
          <t>Collection (optional)</t>
        </is>
      </c>
    </row>
    <row r="1840">
      <c r="A1840" t="inlineStr">
        <is>
          <t>Arcane</t>
        </is>
      </c>
      <c r="B1840" t="inlineStr">
        <is>
          <t>Secondary Irradiate</t>
        </is>
      </c>
      <c r="E1840" t="inlineStr">
        <is>
          <t>Secondary</t>
        </is>
      </c>
      <c r="F1840" t="n">
        <v>5</v>
      </c>
      <c r="G1840" t="n">
        <v>1</v>
      </c>
      <c r="H1840" t="inlineStr">
        <is>
          <t>Player trade (max rank)</t>
        </is>
      </c>
      <c r="I1840" t="inlineStr">
        <is>
          <t>Yes</t>
        </is>
      </c>
      <c r="K1840" t="inlineStr">
        <is>
          <t>Collection (optional)</t>
        </is>
      </c>
      <c r="L1840" t="n">
        <v>33</v>
      </c>
      <c r="M1840" t="n">
        <v>38</v>
      </c>
      <c r="N1840" t="n">
        <v>43</v>
      </c>
      <c r="O1840" t="inlineStr">
        <is>
          <t>2026-10-05 UTC (WFM pull 02:52-04:00)</t>
        </is>
      </c>
      <c r="P1840" t="inlineStr">
        <is>
          <t>OK</t>
        </is>
      </c>
      <c r="R1840" t="inlineStr">
        <is>
          <t>Arcanes share across items like mods (one max-rank copy covers every build).</t>
        </is>
      </c>
      <c r="S1840" t="inlineStr">
        <is>
          <t>secondary_irradiate</t>
        </is>
      </c>
      <c r="T1840" t="n">
        <v>14</v>
      </c>
      <c r="U1840" t="n">
        <v>14</v>
      </c>
      <c r="V1840" t="n">
        <v>30</v>
      </c>
      <c r="W1840" t="n">
        <v>30</v>
      </c>
      <c r="X1840" t="n">
        <v>30.1</v>
      </c>
      <c r="Y1840" t="n">
        <v>2337</v>
      </c>
      <c r="Z1840" t="n">
        <v>28</v>
      </c>
      <c r="AA1840" t="n">
        <v>10</v>
      </c>
      <c r="AB1840" t="n">
        <v>23</v>
      </c>
      <c r="AQ1840" t="n">
        <v>3</v>
      </c>
      <c r="AR1840" t="n">
        <v>63</v>
      </c>
      <c r="AS1840" t="inlineStr">
        <is>
          <t>Collection (optional)</t>
        </is>
      </c>
    </row>
    <row r="1841">
      <c r="A1841" t="inlineStr">
        <is>
          <t>Arcane</t>
        </is>
      </c>
      <c r="B1841" t="inlineStr">
        <is>
          <t>Secondary Kinship</t>
        </is>
      </c>
      <c r="E1841" t="inlineStr">
        <is>
          <t>Secondary</t>
        </is>
      </c>
      <c r="F1841" t="n">
        <v>5</v>
      </c>
      <c r="G1841" t="n">
        <v>1</v>
      </c>
      <c r="H1841" t="inlineStr">
        <is>
          <t>Player trade (max rank)</t>
        </is>
      </c>
      <c r="I1841" t="inlineStr">
        <is>
          <t>Yes</t>
        </is>
      </c>
      <c r="K1841" t="inlineStr">
        <is>
          <t>Collection (optional)</t>
        </is>
      </c>
      <c r="L1841" t="n">
        <v>39</v>
      </c>
      <c r="M1841" t="n">
        <v>40</v>
      </c>
      <c r="N1841" t="n">
        <v>51</v>
      </c>
      <c r="O1841" t="inlineStr">
        <is>
          <t>2026-10-05 UTC (WFM pull 02:52-04:00)</t>
        </is>
      </c>
      <c r="P1841" t="inlineStr">
        <is>
          <t>OK</t>
        </is>
      </c>
      <c r="R1841" t="inlineStr">
        <is>
          <t>Arcanes share across items like mods (one max-rank copy covers every build).</t>
        </is>
      </c>
      <c r="S1841" t="inlineStr">
        <is>
          <t>secondary_kinship</t>
        </is>
      </c>
      <c r="T1841" t="n">
        <v>11</v>
      </c>
      <c r="U1841" t="n">
        <v>11</v>
      </c>
      <c r="V1841" t="n">
        <v>40</v>
      </c>
      <c r="W1841" t="n">
        <v>40</v>
      </c>
      <c r="X1841" t="n">
        <v>39.2</v>
      </c>
      <c r="Y1841" t="n">
        <v>271</v>
      </c>
      <c r="Z1841" t="n">
        <v>4</v>
      </c>
      <c r="AA1841" t="n">
        <v>10</v>
      </c>
      <c r="AB1841" t="n">
        <v>29</v>
      </c>
      <c r="AQ1841" t="n">
        <v>3</v>
      </c>
      <c r="AR1841" t="n">
        <v>63</v>
      </c>
      <c r="AS1841" t="inlineStr">
        <is>
          <t>Collection (optional)</t>
        </is>
      </c>
    </row>
    <row r="1842">
      <c r="A1842" t="inlineStr">
        <is>
          <t>Arcane</t>
        </is>
      </c>
      <c r="B1842" t="inlineStr">
        <is>
          <t>Secondary Merciless</t>
        </is>
      </c>
      <c r="E1842" t="inlineStr">
        <is>
          <t>Secondary</t>
        </is>
      </c>
      <c r="F1842" t="n">
        <v>5</v>
      </c>
      <c r="G1842" t="n">
        <v>1</v>
      </c>
      <c r="H1842" t="inlineStr">
        <is>
          <t>Player trade (max rank)</t>
        </is>
      </c>
      <c r="I1842" t="inlineStr">
        <is>
          <t>Yes</t>
        </is>
      </c>
      <c r="K1842" t="inlineStr">
        <is>
          <t>Required (v4 weapon-arcane baseline)</t>
        </is>
      </c>
      <c r="L1842" t="n">
        <v>7</v>
      </c>
      <c r="M1842" t="n">
        <v>8</v>
      </c>
      <c r="N1842" t="n">
        <v>11</v>
      </c>
      <c r="O1842" t="inlineStr">
        <is>
          <t>2026-10-05 UTC (WFM pull 02:52-04:00)</t>
        </is>
      </c>
      <c r="P1842" t="inlineStr">
        <is>
          <t>OK</t>
        </is>
      </c>
      <c r="R1842" t="inlineStr">
        <is>
          <t>Arcanes share across items like mods (one max-rank copy covers every build).</t>
        </is>
      </c>
      <c r="S1842" t="inlineStr">
        <is>
          <t>secondary_merciless</t>
        </is>
      </c>
      <c r="T1842" t="n">
        <v>46</v>
      </c>
      <c r="U1842" t="n">
        <v>46</v>
      </c>
      <c r="V1842" t="n">
        <v>8</v>
      </c>
      <c r="W1842" t="n">
        <v>8</v>
      </c>
      <c r="X1842" t="n">
        <v>8.4</v>
      </c>
      <c r="Y1842" t="n">
        <v>4166</v>
      </c>
      <c r="Z1842" t="n">
        <v>104</v>
      </c>
      <c r="AA1842" t="n">
        <v>40</v>
      </c>
      <c r="AB1842" t="n">
        <v>-33</v>
      </c>
      <c r="AQ1842" t="n">
        <v>1</v>
      </c>
      <c r="AR1842" t="n">
        <v>21</v>
      </c>
      <c r="AS1842" t="inlineStr">
        <is>
          <t>Yes</t>
        </is>
      </c>
    </row>
    <row r="1843">
      <c r="A1843" t="inlineStr">
        <is>
          <t>Arcane</t>
        </is>
      </c>
      <c r="B1843" t="inlineStr">
        <is>
          <t>Secondary Outburst</t>
        </is>
      </c>
      <c r="E1843" t="inlineStr">
        <is>
          <t>Secondary</t>
        </is>
      </c>
      <c r="F1843" t="n">
        <v>5</v>
      </c>
      <c r="G1843" t="n">
        <v>1</v>
      </c>
      <c r="H1843" t="inlineStr">
        <is>
          <t>Player trade (max rank)</t>
        </is>
      </c>
      <c r="I1843" t="inlineStr">
        <is>
          <t>Yes</t>
        </is>
      </c>
      <c r="K1843" t="inlineStr">
        <is>
          <t>Collection (optional)</t>
        </is>
      </c>
      <c r="L1843" t="n">
        <v>90</v>
      </c>
      <c r="M1843" t="n">
        <v>90</v>
      </c>
      <c r="N1843" t="n">
        <v>111</v>
      </c>
      <c r="O1843" t="inlineStr">
        <is>
          <t>2026-10-05 UTC (WFM pull 02:52-04:00)</t>
        </is>
      </c>
      <c r="P1843" t="inlineStr">
        <is>
          <t>OK</t>
        </is>
      </c>
      <c r="R1843" t="inlineStr">
        <is>
          <t>Arcanes share across items like mods (one max-rank copy covers every build).</t>
        </is>
      </c>
      <c r="S1843" t="inlineStr">
        <is>
          <t>secondary_outburst</t>
        </is>
      </c>
      <c r="T1843" t="n">
        <v>24</v>
      </c>
      <c r="U1843" t="n">
        <v>24</v>
      </c>
      <c r="V1843" t="n">
        <v>100</v>
      </c>
      <c r="W1843" t="n">
        <v>115</v>
      </c>
      <c r="X1843" t="n">
        <v>115.6</v>
      </c>
      <c r="Y1843" t="n">
        <v>2709</v>
      </c>
      <c r="Z1843" t="n">
        <v>57</v>
      </c>
      <c r="AA1843" t="n">
        <v>51</v>
      </c>
      <c r="AB1843" t="n">
        <v>39</v>
      </c>
      <c r="AQ1843" t="n">
        <v>8</v>
      </c>
      <c r="AR1843" t="n">
        <v>168</v>
      </c>
      <c r="AS1843" t="inlineStr">
        <is>
          <t>Collection (optional)</t>
        </is>
      </c>
    </row>
    <row r="1844">
      <c r="A1844" t="inlineStr">
        <is>
          <t>Arcane</t>
        </is>
      </c>
      <c r="B1844" t="inlineStr">
        <is>
          <t>Secondary Shiver</t>
        </is>
      </c>
      <c r="E1844" t="inlineStr">
        <is>
          <t>Secondary</t>
        </is>
      </c>
      <c r="F1844" t="n">
        <v>5</v>
      </c>
      <c r="G1844" t="n">
        <v>1</v>
      </c>
      <c r="H1844" t="inlineStr">
        <is>
          <t>Player trade (max rank)</t>
        </is>
      </c>
      <c r="I1844" t="inlineStr">
        <is>
          <t>Yes</t>
        </is>
      </c>
      <c r="K1844" t="inlineStr">
        <is>
          <t>Collection (optional)</t>
        </is>
      </c>
      <c r="L1844" t="n">
        <v>219</v>
      </c>
      <c r="M1844" t="n">
        <v>240</v>
      </c>
      <c r="N1844" t="n">
        <v>281</v>
      </c>
      <c r="O1844" t="inlineStr">
        <is>
          <t>2026-10-05 UTC (WFM pull 02:52-04:00)</t>
        </is>
      </c>
      <c r="P1844" t="inlineStr">
        <is>
          <t>OK</t>
        </is>
      </c>
      <c r="R1844" t="inlineStr">
        <is>
          <t>Arcanes share across items like mods (one max-rank copy covers every build).</t>
        </is>
      </c>
      <c r="S1844" t="inlineStr">
        <is>
          <t>secondary_shiver</t>
        </is>
      </c>
      <c r="T1844" t="n">
        <v>12</v>
      </c>
      <c r="U1844" t="n">
        <v>12</v>
      </c>
      <c r="V1844" t="n">
        <v>255</v>
      </c>
      <c r="W1844" t="n">
        <v>149</v>
      </c>
      <c r="X1844" t="n">
        <v>206.8</v>
      </c>
      <c r="Y1844" t="n">
        <v>769</v>
      </c>
      <c r="Z1844" t="n">
        <v>36</v>
      </c>
      <c r="AA1844" t="n">
        <v>140</v>
      </c>
      <c r="AB1844" t="n">
        <v>79</v>
      </c>
      <c r="AQ1844" t="n">
        <v>13.5</v>
      </c>
      <c r="AR1844" t="n">
        <v>283.5</v>
      </c>
      <c r="AS1844" t="inlineStr">
        <is>
          <t>Collection (optional)</t>
        </is>
      </c>
    </row>
    <row r="1845">
      <c r="A1845" t="inlineStr">
        <is>
          <t>Arcane</t>
        </is>
      </c>
      <c r="B1845" t="inlineStr">
        <is>
          <t>Secondary Surge</t>
        </is>
      </c>
      <c r="E1845" t="inlineStr">
        <is>
          <t>Secondary</t>
        </is>
      </c>
      <c r="F1845" t="n">
        <v>5</v>
      </c>
      <c r="G1845" t="n">
        <v>1</v>
      </c>
      <c r="H1845" t="inlineStr">
        <is>
          <t>Player trade (max rank)</t>
        </is>
      </c>
      <c r="I1845" t="inlineStr">
        <is>
          <t>Yes</t>
        </is>
      </c>
      <c r="K1845" t="inlineStr">
        <is>
          <t>Collection (optional)</t>
        </is>
      </c>
      <c r="L1845" t="n">
        <v>25</v>
      </c>
      <c r="M1845" t="n">
        <v>30</v>
      </c>
      <c r="N1845" t="n">
        <v>50</v>
      </c>
      <c r="O1845" t="inlineStr">
        <is>
          <t>2026-10-05 UTC (WFM pull 02:52-04:00)</t>
        </is>
      </c>
      <c r="P1845" t="inlineStr">
        <is>
          <t>OK</t>
        </is>
      </c>
      <c r="R1845" t="inlineStr">
        <is>
          <t>Arcanes share across items like mods (one max-rank copy covers every build).</t>
        </is>
      </c>
      <c r="S1845" t="inlineStr">
        <is>
          <t>secondary_surge</t>
        </is>
      </c>
      <c r="T1845" t="n">
        <v>8</v>
      </c>
      <c r="U1845" t="n">
        <v>8</v>
      </c>
      <c r="V1845" t="n">
        <v>25</v>
      </c>
      <c r="W1845" t="n">
        <v>24</v>
      </c>
      <c r="X1845" t="n">
        <v>24.2</v>
      </c>
      <c r="Y1845" t="n">
        <v>429</v>
      </c>
      <c r="Z1845" t="n">
        <v>14</v>
      </c>
      <c r="AA1845" t="n">
        <v>6</v>
      </c>
      <c r="AB1845" t="n">
        <v>19</v>
      </c>
      <c r="AQ1845" t="n">
        <v>3</v>
      </c>
      <c r="AR1845" t="n">
        <v>63</v>
      </c>
      <c r="AS1845" t="inlineStr">
        <is>
          <t>Collection (optional)</t>
        </is>
      </c>
    </row>
    <row r="1846">
      <c r="A1846" t="inlineStr">
        <is>
          <t>Arcane</t>
        </is>
      </c>
      <c r="B1846" t="inlineStr">
        <is>
          <t>Shotgun Vendetta</t>
        </is>
      </c>
      <c r="E1846" t="inlineStr">
        <is>
          <t>Shotgun</t>
        </is>
      </c>
      <c r="F1846" t="n">
        <v>5</v>
      </c>
      <c r="G1846" t="n">
        <v>1</v>
      </c>
      <c r="H1846" t="inlineStr">
        <is>
          <t>Player trade (max rank)</t>
        </is>
      </c>
      <c r="I1846" t="inlineStr">
        <is>
          <t>Yes</t>
        </is>
      </c>
      <c r="K1846" t="inlineStr">
        <is>
          <t>Collection (optional)</t>
        </is>
      </c>
      <c r="L1846" t="n">
        <v>99</v>
      </c>
      <c r="M1846" t="n">
        <v>100</v>
      </c>
      <c r="N1846" t="n">
        <v>176</v>
      </c>
      <c r="O1846" t="inlineStr">
        <is>
          <t>2026-10-05 UTC (WFM pull 02:52-04:00)</t>
        </is>
      </c>
      <c r="P1846" t="inlineStr">
        <is>
          <t>OK</t>
        </is>
      </c>
      <c r="R1846" t="inlineStr">
        <is>
          <t>Arcanes share across items like mods (one max-rank copy covers every build).</t>
        </is>
      </c>
      <c r="S1846" t="inlineStr">
        <is>
          <t>shotgun_vendetta</t>
        </is>
      </c>
      <c r="T1846" t="n">
        <v>19</v>
      </c>
      <c r="U1846" t="n">
        <v>19</v>
      </c>
      <c r="V1846" t="n">
        <v>160</v>
      </c>
      <c r="W1846" t="n">
        <v>110</v>
      </c>
      <c r="X1846" t="n">
        <v>127.4</v>
      </c>
      <c r="Y1846" t="n">
        <v>3374</v>
      </c>
      <c r="Z1846" t="n">
        <v>80</v>
      </c>
      <c r="AA1846" t="n">
        <v>80</v>
      </c>
      <c r="AB1846" t="n">
        <v>19</v>
      </c>
      <c r="AQ1846" t="n">
        <v>7</v>
      </c>
      <c r="AR1846" t="n">
        <v>147</v>
      </c>
      <c r="AS1846" t="inlineStr">
        <is>
          <t>Collection (optional)</t>
        </is>
      </c>
    </row>
    <row r="1847">
      <c r="A1847" t="inlineStr">
        <is>
          <t>Arcane</t>
        </is>
      </c>
      <c r="B1847" t="inlineStr">
        <is>
          <t>Theorem Contagion</t>
        </is>
      </c>
      <c r="E1847" t="inlineStr">
        <is>
          <t>Warframe</t>
        </is>
      </c>
      <c r="F1847" t="n">
        <v>5</v>
      </c>
      <c r="G1847" t="n">
        <v>1</v>
      </c>
      <c r="H1847" t="inlineStr">
        <is>
          <t>Player trade (max rank)</t>
        </is>
      </c>
      <c r="I1847" t="inlineStr">
        <is>
          <t>Yes</t>
        </is>
      </c>
      <c r="K1847" t="inlineStr">
        <is>
          <t>Collection (optional)</t>
        </is>
      </c>
      <c r="L1847" t="n">
        <v>30</v>
      </c>
      <c r="M1847" t="n">
        <v>35</v>
      </c>
      <c r="N1847" t="n">
        <v>44</v>
      </c>
      <c r="O1847" t="inlineStr">
        <is>
          <t>2026-10-05 UTC (WFM pull 02:52-04:00)</t>
        </is>
      </c>
      <c r="P1847" t="inlineStr">
        <is>
          <t>OK</t>
        </is>
      </c>
      <c r="R1847" t="inlineStr">
        <is>
          <t>Arcanes share across items like mods (one max-rank copy covers every build).</t>
        </is>
      </c>
      <c r="S1847" t="inlineStr">
        <is>
          <t>theorem_contagion</t>
        </is>
      </c>
      <c r="T1847" t="n">
        <v>16</v>
      </c>
      <c r="U1847" t="n">
        <v>16</v>
      </c>
      <c r="V1847" t="n">
        <v>30</v>
      </c>
      <c r="W1847" t="n">
        <v>36.5</v>
      </c>
      <c r="X1847" t="n">
        <v>34.9</v>
      </c>
      <c r="Y1847" t="n">
        <v>114</v>
      </c>
      <c r="Z1847" t="n">
        <v>1</v>
      </c>
      <c r="AA1847" t="n">
        <v>15</v>
      </c>
      <c r="AB1847" t="n">
        <v>15</v>
      </c>
      <c r="AQ1847" t="n">
        <v>4.5</v>
      </c>
      <c r="AR1847" t="n">
        <v>94.5</v>
      </c>
      <c r="AS1847" t="inlineStr">
        <is>
          <t>Collection (optional)</t>
        </is>
      </c>
    </row>
    <row r="1848">
      <c r="A1848" t="inlineStr">
        <is>
          <t>Arcane</t>
        </is>
      </c>
      <c r="B1848" t="inlineStr">
        <is>
          <t>Theorem Demulcent</t>
        </is>
      </c>
      <c r="E1848" t="inlineStr">
        <is>
          <t>Warframe</t>
        </is>
      </c>
      <c r="F1848" t="n">
        <v>5</v>
      </c>
      <c r="G1848" t="n">
        <v>1</v>
      </c>
      <c r="H1848" t="inlineStr">
        <is>
          <t>Player trade (max rank)</t>
        </is>
      </c>
      <c r="I1848" t="inlineStr">
        <is>
          <t>Yes</t>
        </is>
      </c>
      <c r="K1848" t="inlineStr">
        <is>
          <t>Collection (optional)</t>
        </is>
      </c>
      <c r="L1848" t="n">
        <v>30</v>
      </c>
      <c r="M1848" t="n">
        <v>35</v>
      </c>
      <c r="N1848" t="n">
        <v>43</v>
      </c>
      <c r="O1848" t="inlineStr">
        <is>
          <t>2026-10-05 UTC (WFM pull 02:52-04:00)</t>
        </is>
      </c>
      <c r="P1848" t="inlineStr">
        <is>
          <t>OK</t>
        </is>
      </c>
      <c r="R1848" t="inlineStr">
        <is>
          <t>Arcanes share across items like mods (one max-rank copy covers every build).</t>
        </is>
      </c>
      <c r="S1848" t="inlineStr">
        <is>
          <t>theorem_demulcent</t>
        </is>
      </c>
      <c r="T1848" t="n">
        <v>16</v>
      </c>
      <c r="U1848" t="n">
        <v>16</v>
      </c>
      <c r="V1848" t="n">
        <v>35</v>
      </c>
      <c r="W1848" t="n">
        <v>37</v>
      </c>
      <c r="X1848" t="n">
        <v>36.7</v>
      </c>
      <c r="Y1848" t="n">
        <v>98</v>
      </c>
      <c r="Z1848" t="n">
        <v>1</v>
      </c>
      <c r="AA1848" t="n">
        <v>5</v>
      </c>
      <c r="AB1848" t="n">
        <v>25</v>
      </c>
      <c r="AQ1848" t="n">
        <v>4</v>
      </c>
      <c r="AR1848" t="n">
        <v>84</v>
      </c>
      <c r="AS1848" t="inlineStr">
        <is>
          <t>Collection (optional)</t>
        </is>
      </c>
    </row>
    <row r="1849">
      <c r="A1849" t="inlineStr">
        <is>
          <t>Arcane</t>
        </is>
      </c>
      <c r="B1849" t="inlineStr">
        <is>
          <t>Theorem Infection</t>
        </is>
      </c>
      <c r="E1849" t="inlineStr">
        <is>
          <t>Warframe</t>
        </is>
      </c>
      <c r="F1849" t="n">
        <v>5</v>
      </c>
      <c r="G1849" t="n">
        <v>1</v>
      </c>
      <c r="H1849" t="inlineStr">
        <is>
          <t>Player trade (max rank)</t>
        </is>
      </c>
      <c r="I1849" t="inlineStr">
        <is>
          <t>Yes</t>
        </is>
      </c>
      <c r="K1849" t="inlineStr">
        <is>
          <t>Collection (optional)</t>
        </is>
      </c>
      <c r="L1849" t="n">
        <v>84</v>
      </c>
      <c r="M1849" t="n">
        <v>96</v>
      </c>
      <c r="N1849" t="n">
        <v>109</v>
      </c>
      <c r="O1849" t="inlineStr">
        <is>
          <t>2026-10-05 UTC (WFM pull 02:52-04:00)</t>
        </is>
      </c>
      <c r="P1849" t="inlineStr">
        <is>
          <t>OK</t>
        </is>
      </c>
      <c r="R1849" t="inlineStr">
        <is>
          <t>Arcanes share across items like mods (one max-rank copy covers every build).</t>
        </is>
      </c>
      <c r="S1849" t="inlineStr">
        <is>
          <t>theorem_infection</t>
        </is>
      </c>
      <c r="T1849" t="n">
        <v>14</v>
      </c>
      <c r="U1849" t="n">
        <v>14</v>
      </c>
      <c r="V1849" t="n">
        <v>89</v>
      </c>
      <c r="W1849" t="n">
        <v>87</v>
      </c>
      <c r="X1849" t="n">
        <v>88.7</v>
      </c>
      <c r="Y1849" t="n">
        <v>412</v>
      </c>
      <c r="Z1849" t="n">
        <v>7</v>
      </c>
      <c r="AA1849" t="n">
        <v>30</v>
      </c>
      <c r="AB1849" t="n">
        <v>54</v>
      </c>
      <c r="AQ1849" t="n">
        <v>6.5</v>
      </c>
      <c r="AR1849" t="n">
        <v>136.5</v>
      </c>
      <c r="AS1849" t="inlineStr">
        <is>
          <t>Collection (optional)</t>
        </is>
      </c>
    </row>
    <row r="1850">
      <c r="A1850" t="inlineStr">
        <is>
          <t>Arcane</t>
        </is>
      </c>
      <c r="B1850" t="inlineStr">
        <is>
          <t>Virtuos Forge</t>
        </is>
      </c>
      <c r="E1850" t="inlineStr">
        <is>
          <t>Amp</t>
        </is>
      </c>
      <c r="F1850" t="n">
        <v>3</v>
      </c>
      <c r="G1850" t="n">
        <v>1</v>
      </c>
      <c r="H1850" t="inlineStr">
        <is>
          <t>Player trade (max rank)</t>
        </is>
      </c>
      <c r="I1850" t="inlineStr">
        <is>
          <t>Yes</t>
        </is>
      </c>
      <c r="K1850" t="inlineStr">
        <is>
          <t>Collection (optional)</t>
        </is>
      </c>
      <c r="L1850" t="n">
        <v>54</v>
      </c>
      <c r="M1850" t="n">
        <v>56.2</v>
      </c>
      <c r="N1850" t="n">
        <v>124</v>
      </c>
      <c r="O1850" t="inlineStr">
        <is>
          <t>2026-10-05 UTC (WFM pull 02:52-04:00)</t>
        </is>
      </c>
      <c r="P1850" t="inlineStr">
        <is>
          <t>OK</t>
        </is>
      </c>
      <c r="Q1850" t="inlineStr">
        <is>
          <t>Cheaper via 10x R0 (40p realistic) than buying max rank</t>
        </is>
      </c>
      <c r="R1850" t="inlineStr">
        <is>
          <t>Arcanes share across items like mods (one max-rank copy covers every build).</t>
        </is>
      </c>
      <c r="S1850" t="inlineStr">
        <is>
          <t>virtuos_forge</t>
        </is>
      </c>
      <c r="T1850" t="n">
        <v>5</v>
      </c>
      <c r="U1850" t="n">
        <v>5</v>
      </c>
      <c r="V1850" t="n">
        <v>37.5</v>
      </c>
      <c r="W1850" t="n">
        <v>38.5</v>
      </c>
      <c r="X1850" t="n">
        <v>38.1</v>
      </c>
      <c r="Y1850" t="n">
        <v>161</v>
      </c>
      <c r="Z1850" t="n">
        <v>7</v>
      </c>
      <c r="AA1850" t="n">
        <v>20</v>
      </c>
      <c r="AB1850" t="n">
        <v>34</v>
      </c>
      <c r="AQ1850" t="n">
        <v>4</v>
      </c>
      <c r="AR1850" t="n">
        <v>40</v>
      </c>
      <c r="AS1850" t="inlineStr">
        <is>
          <t>Collection (optional)</t>
        </is>
      </c>
    </row>
    <row r="1851">
      <c r="A1851" t="inlineStr">
        <is>
          <t>Arcane</t>
        </is>
      </c>
      <c r="B1851" t="inlineStr">
        <is>
          <t>Virtuos Fury</t>
        </is>
      </c>
      <c r="E1851" t="inlineStr">
        <is>
          <t>Amp</t>
        </is>
      </c>
      <c r="F1851" t="n">
        <v>3</v>
      </c>
      <c r="G1851" t="n">
        <v>1</v>
      </c>
      <c r="H1851" t="inlineStr">
        <is>
          <t>Player trade (max rank)</t>
        </is>
      </c>
      <c r="I1851" t="inlineStr">
        <is>
          <t>Yes</t>
        </is>
      </c>
      <c r="K1851" t="inlineStr">
        <is>
          <t>Collection (optional)</t>
        </is>
      </c>
      <c r="L1851" t="n">
        <v>30</v>
      </c>
      <c r="M1851" t="n">
        <v>40</v>
      </c>
      <c r="N1851" t="n">
        <v>88</v>
      </c>
      <c r="O1851" t="inlineStr">
        <is>
          <t>2026-10-05 UTC (WFM pull 02:52-04:00)</t>
        </is>
      </c>
      <c r="P1851" t="inlineStr">
        <is>
          <t>OK</t>
        </is>
      </c>
      <c r="R1851" t="inlineStr">
        <is>
          <t>Arcanes share across items like mods (one max-rank copy covers every build).</t>
        </is>
      </c>
      <c r="S1851" t="inlineStr">
        <is>
          <t>virtuos_fury</t>
        </is>
      </c>
      <c r="T1851" t="n">
        <v>5</v>
      </c>
      <c r="U1851" t="n">
        <v>5</v>
      </c>
      <c r="V1851" t="n">
        <v>30</v>
      </c>
      <c r="W1851" t="n">
        <v>30</v>
      </c>
      <c r="X1851" t="n">
        <v>30.1</v>
      </c>
      <c r="Y1851" t="n">
        <v>96</v>
      </c>
      <c r="Z1851" t="n">
        <v>2</v>
      </c>
      <c r="AQ1851" t="n">
        <v>5</v>
      </c>
      <c r="AR1851" t="n">
        <v>50</v>
      </c>
      <c r="AS1851" t="inlineStr">
        <is>
          <t>Collection (optional)</t>
        </is>
      </c>
    </row>
    <row r="1852">
      <c r="A1852" t="inlineStr">
        <is>
          <t>Arcane</t>
        </is>
      </c>
      <c r="B1852" t="inlineStr">
        <is>
          <t>Virtuos Ghost</t>
        </is>
      </c>
      <c r="E1852" t="inlineStr">
        <is>
          <t>Amp</t>
        </is>
      </c>
      <c r="F1852" t="n">
        <v>3</v>
      </c>
      <c r="G1852" t="n">
        <v>1</v>
      </c>
      <c r="H1852" t="inlineStr">
        <is>
          <t>Player trade (max rank)</t>
        </is>
      </c>
      <c r="I1852" t="inlineStr">
        <is>
          <t>Yes</t>
        </is>
      </c>
      <c r="K1852" t="inlineStr">
        <is>
          <t>Collection (optional)</t>
        </is>
      </c>
      <c r="L1852" t="n">
        <v>30</v>
      </c>
      <c r="M1852" t="n">
        <v>32.5</v>
      </c>
      <c r="N1852" t="n">
        <v>72</v>
      </c>
      <c r="O1852" t="inlineStr">
        <is>
          <t>2026-10-05 UTC (WFM pull 02:52-04:00)</t>
        </is>
      </c>
      <c r="P1852" t="inlineStr">
        <is>
          <t>OK</t>
        </is>
      </c>
      <c r="R1852" t="inlineStr">
        <is>
          <t>Arcanes share across items like mods (one max-rank copy covers every build).</t>
        </is>
      </c>
      <c r="S1852" t="inlineStr">
        <is>
          <t>virtuos_ghost</t>
        </is>
      </c>
      <c r="T1852" t="n">
        <v>4</v>
      </c>
      <c r="U1852" t="n">
        <v>4</v>
      </c>
      <c r="V1852" t="n">
        <v>30</v>
      </c>
      <c r="W1852" t="n">
        <v>30</v>
      </c>
      <c r="X1852" t="n">
        <v>33.4</v>
      </c>
      <c r="Y1852" t="n">
        <v>74</v>
      </c>
      <c r="Z1852" t="n">
        <v>1</v>
      </c>
      <c r="AQ1852" t="n">
        <v>4</v>
      </c>
      <c r="AR1852" t="n">
        <v>40</v>
      </c>
      <c r="AS1852" t="inlineStr">
        <is>
          <t>Collection (optional)</t>
        </is>
      </c>
    </row>
    <row r="1853">
      <c r="A1853" t="inlineStr">
        <is>
          <t>Arcane</t>
        </is>
      </c>
      <c r="B1853" t="inlineStr">
        <is>
          <t>Virtuos Null</t>
        </is>
      </c>
      <c r="E1853" t="inlineStr">
        <is>
          <t>Amp</t>
        </is>
      </c>
      <c r="F1853" t="n">
        <v>3</v>
      </c>
      <c r="G1853" t="n">
        <v>1</v>
      </c>
      <c r="H1853" t="inlineStr">
        <is>
          <t>Player trade (max rank)</t>
        </is>
      </c>
      <c r="I1853" t="inlineStr">
        <is>
          <t>Yes</t>
        </is>
      </c>
      <c r="K1853" t="inlineStr">
        <is>
          <t>Collection (optional)</t>
        </is>
      </c>
      <c r="L1853" t="n">
        <v>14</v>
      </c>
      <c r="M1853" t="n">
        <v>15</v>
      </c>
      <c r="N1853" t="n">
        <v>17</v>
      </c>
      <c r="O1853" t="inlineStr">
        <is>
          <t>2026-10-05 UTC (WFM pull 02:52-04:00)</t>
        </is>
      </c>
      <c r="P1853" t="inlineStr">
        <is>
          <t>OK</t>
        </is>
      </c>
      <c r="R1853" t="inlineStr">
        <is>
          <t>Arcanes share across items like mods (one max-rank copy covers every build).</t>
        </is>
      </c>
      <c r="S1853" t="inlineStr">
        <is>
          <t>virtuos_null</t>
        </is>
      </c>
      <c r="T1853" t="n">
        <v>10</v>
      </c>
      <c r="U1853" t="n">
        <v>10</v>
      </c>
      <c r="V1853" t="n">
        <v>14.5</v>
      </c>
      <c r="W1853" t="n">
        <v>14.5</v>
      </c>
      <c r="X1853" t="n">
        <v>14.5</v>
      </c>
      <c r="Y1853" t="n">
        <v>59</v>
      </c>
      <c r="Z1853" t="n">
        <v>0</v>
      </c>
      <c r="AQ1853" t="n">
        <v>4.5</v>
      </c>
      <c r="AR1853" t="n">
        <v>45</v>
      </c>
      <c r="AS1853" t="inlineStr">
        <is>
          <t>Collection (optional)</t>
        </is>
      </c>
    </row>
    <row r="1854">
      <c r="A1854" t="inlineStr">
        <is>
          <t>Arcane</t>
        </is>
      </c>
      <c r="B1854" t="inlineStr">
        <is>
          <t>Virtuos Shadow</t>
        </is>
      </c>
      <c r="E1854" t="inlineStr">
        <is>
          <t>Amp</t>
        </is>
      </c>
      <c r="F1854" t="n">
        <v>3</v>
      </c>
      <c r="G1854" t="n">
        <v>1</v>
      </c>
      <c r="H1854" t="inlineStr">
        <is>
          <t>Player trade (max rank)</t>
        </is>
      </c>
      <c r="I1854" t="inlineStr">
        <is>
          <t>Yes</t>
        </is>
      </c>
      <c r="K1854" t="inlineStr">
        <is>
          <t>Collection (optional)</t>
        </is>
      </c>
      <c r="L1854" t="n">
        <v>25</v>
      </c>
      <c r="M1854" t="n">
        <v>35</v>
      </c>
      <c r="N1854" t="n">
        <v>77</v>
      </c>
      <c r="O1854" t="inlineStr">
        <is>
          <t>2026-10-05 UTC (WFM pull 02:52-04:00)</t>
        </is>
      </c>
      <c r="P1854" t="inlineStr">
        <is>
          <t>OK</t>
        </is>
      </c>
      <c r="R1854" t="inlineStr">
        <is>
          <t>Arcanes share across items like mods (one max-rank copy covers every build).</t>
        </is>
      </c>
      <c r="S1854" t="inlineStr">
        <is>
          <t>virtuos_shadow</t>
        </is>
      </c>
      <c r="T1854" t="n">
        <v>5</v>
      </c>
      <c r="U1854" t="n">
        <v>5</v>
      </c>
      <c r="V1854" t="n">
        <v>25</v>
      </c>
      <c r="W1854" t="n">
        <v>27.5</v>
      </c>
      <c r="X1854" t="n">
        <v>26.4</v>
      </c>
      <c r="Y1854" t="n">
        <v>333</v>
      </c>
      <c r="Z1854" t="n">
        <v>11</v>
      </c>
      <c r="AQ1854" t="n">
        <v>5</v>
      </c>
      <c r="AR1854" t="n">
        <v>50</v>
      </c>
      <c r="AS1854" t="inlineStr">
        <is>
          <t>Collection (optional)</t>
        </is>
      </c>
    </row>
    <row r="1855">
      <c r="A1855" t="inlineStr">
        <is>
          <t>Arcane</t>
        </is>
      </c>
      <c r="B1855" t="inlineStr">
        <is>
          <t>Virtuos Spike</t>
        </is>
      </c>
      <c r="E1855" t="inlineStr">
        <is>
          <t>Amp</t>
        </is>
      </c>
      <c r="F1855" t="n">
        <v>3</v>
      </c>
      <c r="G1855" t="n">
        <v>1</v>
      </c>
      <c r="H1855" t="inlineStr">
        <is>
          <t>Player trade (max rank)</t>
        </is>
      </c>
      <c r="I1855" t="inlineStr">
        <is>
          <t>Yes</t>
        </is>
      </c>
      <c r="K1855" t="inlineStr">
        <is>
          <t>Collection (optional)</t>
        </is>
      </c>
      <c r="L1855" t="n">
        <v>18</v>
      </c>
      <c r="M1855" t="n">
        <v>19</v>
      </c>
      <c r="N1855" t="n">
        <v>33</v>
      </c>
      <c r="O1855" t="inlineStr">
        <is>
          <t>2026-10-05 UTC (WFM pull 02:52-04:00)</t>
        </is>
      </c>
      <c r="P1855" t="inlineStr">
        <is>
          <t>OK</t>
        </is>
      </c>
      <c r="R1855" t="inlineStr">
        <is>
          <t>Arcanes share across items like mods (one max-rank copy covers every build).</t>
        </is>
      </c>
      <c r="S1855" t="inlineStr">
        <is>
          <t>virtuos_spike</t>
        </is>
      </c>
      <c r="T1855" t="n">
        <v>94</v>
      </c>
      <c r="U1855" t="n">
        <v>2</v>
      </c>
      <c r="V1855" t="n">
        <v>30</v>
      </c>
      <c r="W1855" t="n">
        <v>25</v>
      </c>
      <c r="X1855" t="n">
        <v>27.7</v>
      </c>
      <c r="Y1855" t="n">
        <v>48</v>
      </c>
      <c r="Z1855" t="n">
        <v>1</v>
      </c>
      <c r="AQ1855" t="n">
        <v>5</v>
      </c>
      <c r="AR1855" t="n">
        <v>50</v>
      </c>
      <c r="AS1855" t="inlineStr">
        <is>
          <t>Collection (optional)</t>
        </is>
      </c>
    </row>
    <row r="1856">
      <c r="A1856" t="inlineStr">
        <is>
          <t>Arcane</t>
        </is>
      </c>
      <c r="B1856" t="inlineStr">
        <is>
          <t>Virtuos Strike</t>
        </is>
      </c>
      <c r="E1856" t="inlineStr">
        <is>
          <t>Amp</t>
        </is>
      </c>
      <c r="F1856" t="n">
        <v>3</v>
      </c>
      <c r="G1856" t="n">
        <v>1</v>
      </c>
      <c r="H1856" t="inlineStr">
        <is>
          <t>Player trade (max rank)</t>
        </is>
      </c>
      <c r="I1856" t="inlineStr">
        <is>
          <t>Yes</t>
        </is>
      </c>
      <c r="K1856" t="inlineStr">
        <is>
          <t>Collection (optional)</t>
        </is>
      </c>
      <c r="L1856" t="n">
        <v>28</v>
      </c>
      <c r="M1856" t="n">
        <v>30</v>
      </c>
      <c r="N1856" t="n">
        <v>39</v>
      </c>
      <c r="O1856" t="inlineStr">
        <is>
          <t>2026-10-05 UTC (WFM pull 02:52-04:00)</t>
        </is>
      </c>
      <c r="P1856" t="inlineStr">
        <is>
          <t>OK</t>
        </is>
      </c>
      <c r="R1856" t="inlineStr">
        <is>
          <t>Arcanes share across items like mods (one max-rank copy covers every build).</t>
        </is>
      </c>
      <c r="S1856" t="inlineStr">
        <is>
          <t>virtuos_strike</t>
        </is>
      </c>
      <c r="T1856" t="n">
        <v>7</v>
      </c>
      <c r="U1856" t="n">
        <v>7</v>
      </c>
      <c r="V1856" t="n">
        <v>25</v>
      </c>
      <c r="W1856" t="n">
        <v>28</v>
      </c>
      <c r="X1856" t="n">
        <v>27.8</v>
      </c>
      <c r="Y1856" t="n">
        <v>1080</v>
      </c>
      <c r="Z1856" t="n">
        <v>22</v>
      </c>
      <c r="AQ1856" t="n">
        <v>4</v>
      </c>
      <c r="AR1856" t="n">
        <v>40</v>
      </c>
      <c r="AS1856" t="inlineStr">
        <is>
          <t>Collection (optional)</t>
        </is>
      </c>
    </row>
    <row r="1857">
      <c r="A1857" t="inlineStr">
        <is>
          <t>Arcane</t>
        </is>
      </c>
      <c r="B1857" t="inlineStr">
        <is>
          <t>Virtuos Surge</t>
        </is>
      </c>
      <c r="E1857" t="inlineStr">
        <is>
          <t>Amp</t>
        </is>
      </c>
      <c r="F1857" t="n">
        <v>3</v>
      </c>
      <c r="G1857" t="n">
        <v>1</v>
      </c>
      <c r="H1857" t="inlineStr">
        <is>
          <t>Player trade (max rank)</t>
        </is>
      </c>
      <c r="I1857" t="inlineStr">
        <is>
          <t>Yes</t>
        </is>
      </c>
      <c r="K1857" t="inlineStr">
        <is>
          <t>Collection (optional)</t>
        </is>
      </c>
      <c r="L1857" t="n">
        <v>18</v>
      </c>
      <c r="M1857" t="n">
        <v>20</v>
      </c>
      <c r="N1857" t="n">
        <v>33</v>
      </c>
      <c r="O1857" t="inlineStr">
        <is>
          <t>2026-10-05 UTC (WFM pull 02:52-04:00)</t>
        </is>
      </c>
      <c r="P1857" t="inlineStr">
        <is>
          <t>OK</t>
        </is>
      </c>
      <c r="R1857" t="inlineStr">
        <is>
          <t>Arcanes share across items like mods (one max-rank copy covers every build).</t>
        </is>
      </c>
      <c r="S1857" t="inlineStr">
        <is>
          <t>virtuos_surge</t>
        </is>
      </c>
      <c r="T1857" t="n">
        <v>104</v>
      </c>
      <c r="U1857" t="n">
        <v>2</v>
      </c>
      <c r="V1857" t="n">
        <v>30</v>
      </c>
      <c r="W1857" t="n">
        <v>29</v>
      </c>
      <c r="X1857" t="n">
        <v>28.3</v>
      </c>
      <c r="Y1857" t="n">
        <v>64</v>
      </c>
      <c r="Z1857" t="n">
        <v>0</v>
      </c>
      <c r="AQ1857" t="n">
        <v>3</v>
      </c>
      <c r="AR1857" t="n">
        <v>30</v>
      </c>
      <c r="AS1857" t="inlineStr">
        <is>
          <t>Collection (optional)</t>
        </is>
      </c>
    </row>
    <row r="1858">
      <c r="A1858" t="inlineStr">
        <is>
          <t>Arcane</t>
        </is>
      </c>
      <c r="B1858" t="inlineStr">
        <is>
          <t>Virtuos Tempo</t>
        </is>
      </c>
      <c r="E1858" t="inlineStr">
        <is>
          <t>Amp</t>
        </is>
      </c>
      <c r="F1858" t="n">
        <v>3</v>
      </c>
      <c r="G1858" t="n">
        <v>1</v>
      </c>
      <c r="H1858" t="inlineStr">
        <is>
          <t>Player trade (max rank)</t>
        </is>
      </c>
      <c r="I1858" t="inlineStr">
        <is>
          <t>Yes</t>
        </is>
      </c>
      <c r="K1858" t="inlineStr">
        <is>
          <t>Collection (optional)</t>
        </is>
      </c>
      <c r="L1858" t="n">
        <v>21</v>
      </c>
      <c r="M1858" t="n">
        <v>30</v>
      </c>
      <c r="N1858" t="n">
        <v>66</v>
      </c>
      <c r="O1858" t="inlineStr">
        <is>
          <t>2026-10-05 UTC (WFM pull 02:52-04:00)</t>
        </is>
      </c>
      <c r="P1858" t="inlineStr">
        <is>
          <t>OK</t>
        </is>
      </c>
      <c r="R1858" t="inlineStr">
        <is>
          <t>Arcanes share across items like mods (one max-rank copy covers every build).</t>
        </is>
      </c>
      <c r="S1858" t="inlineStr">
        <is>
          <t>virtuos_tempo</t>
        </is>
      </c>
      <c r="T1858" t="n">
        <v>6</v>
      </c>
      <c r="U1858" t="n">
        <v>6</v>
      </c>
      <c r="V1858" t="n">
        <v>23</v>
      </c>
      <c r="W1858" t="n">
        <v>24</v>
      </c>
      <c r="X1858" t="n">
        <v>23.9</v>
      </c>
      <c r="Y1858" t="n">
        <v>475</v>
      </c>
      <c r="Z1858" t="n">
        <v>13</v>
      </c>
      <c r="AQ1858" t="n">
        <v>3</v>
      </c>
      <c r="AR1858" t="n">
        <v>30</v>
      </c>
      <c r="AS1858" t="inlineStr">
        <is>
          <t>Collection (optional)</t>
        </is>
      </c>
    </row>
    <row r="1859">
      <c r="A1859" t="inlineStr">
        <is>
          <t>Arcane</t>
        </is>
      </c>
      <c r="B1859" t="inlineStr">
        <is>
          <t>Virtuos Trojan</t>
        </is>
      </c>
      <c r="E1859" t="inlineStr">
        <is>
          <t>Amp</t>
        </is>
      </c>
      <c r="F1859" t="n">
        <v>3</v>
      </c>
      <c r="G1859" t="n">
        <v>1</v>
      </c>
      <c r="H1859" t="inlineStr">
        <is>
          <t>Player trade (max rank)</t>
        </is>
      </c>
      <c r="I1859" t="inlineStr">
        <is>
          <t>Yes</t>
        </is>
      </c>
      <c r="K1859" t="inlineStr">
        <is>
          <t>Collection (optional)</t>
        </is>
      </c>
      <c r="L1859" t="n">
        <v>54</v>
      </c>
      <c r="M1859" t="n">
        <v>71.2</v>
      </c>
      <c r="N1859" t="n">
        <v>157</v>
      </c>
      <c r="O1859" t="inlineStr">
        <is>
          <t>2026-10-05 UTC (WFM pull 02:52-04:00)</t>
        </is>
      </c>
      <c r="P1859" t="inlineStr">
        <is>
          <t>OK</t>
        </is>
      </c>
      <c r="R1859" t="inlineStr">
        <is>
          <t>Arcanes share across items like mods (one max-rank copy covers every build).</t>
        </is>
      </c>
      <c r="S1859" t="inlineStr">
        <is>
          <t>virtuos_trojan</t>
        </is>
      </c>
      <c r="T1859" t="n">
        <v>3</v>
      </c>
      <c r="U1859" t="n">
        <v>3</v>
      </c>
      <c r="V1859" t="n">
        <v>47.5</v>
      </c>
      <c r="W1859" t="n">
        <v>50</v>
      </c>
      <c r="X1859" t="n">
        <v>51</v>
      </c>
      <c r="Y1859" t="n">
        <v>269</v>
      </c>
      <c r="Z1859" t="n">
        <v>7</v>
      </c>
      <c r="AA1859" t="n">
        <v>25</v>
      </c>
      <c r="AB1859" t="n">
        <v>29</v>
      </c>
      <c r="AQ1859" t="n">
        <v>8.199999999999999</v>
      </c>
      <c r="AR1859" t="n">
        <v>82</v>
      </c>
      <c r="AS1859" t="inlineStr">
        <is>
          <t>Collection (optional)</t>
        </is>
      </c>
    </row>
    <row r="1860">
      <c r="A1860" t="inlineStr">
        <is>
          <t>Arcane</t>
        </is>
      </c>
      <c r="B1860" t="inlineStr">
        <is>
          <t>Zid-an Asheir</t>
        </is>
      </c>
      <c r="E1860" t="inlineStr">
        <is>
          <t>Tektolyst Artifacts</t>
        </is>
      </c>
      <c r="F1860" t="n">
        <v>5</v>
      </c>
      <c r="G1860" t="n">
        <v>1</v>
      </c>
      <c r="H1860" t="inlineStr">
        <is>
          <t>Player trade (max rank)</t>
        </is>
      </c>
      <c r="I1860" t="inlineStr">
        <is>
          <t>Yes</t>
        </is>
      </c>
      <c r="K1860" t="inlineStr">
        <is>
          <t>Collection (optional)</t>
        </is>
      </c>
      <c r="L1860" t="n">
        <v>28</v>
      </c>
      <c r="M1860" t="n">
        <v>40</v>
      </c>
      <c r="N1860" t="n">
        <v>44</v>
      </c>
      <c r="O1860" t="inlineStr">
        <is>
          <t>2026-10-05 UTC (WFM pull 02:52-04:00)</t>
        </is>
      </c>
      <c r="P1860" t="inlineStr">
        <is>
          <t>OK</t>
        </is>
      </c>
      <c r="R1860" t="inlineStr">
        <is>
          <t>Arcanes share across items like mods (one max-rank copy covers every build).</t>
        </is>
      </c>
      <c r="S1860" t="inlineStr">
        <is>
          <t>zid_an_asheir</t>
        </is>
      </c>
      <c r="T1860" t="n">
        <v>9</v>
      </c>
      <c r="U1860" t="n">
        <v>9</v>
      </c>
      <c r="V1860" t="n">
        <v>30</v>
      </c>
      <c r="W1860" t="n">
        <v>32</v>
      </c>
      <c r="X1860" t="n">
        <v>32.4</v>
      </c>
      <c r="Y1860" t="n">
        <v>419</v>
      </c>
      <c r="Z1860" t="n">
        <v>9</v>
      </c>
      <c r="AQ1860" t="n">
        <v>3</v>
      </c>
      <c r="AR1860" t="n">
        <v>63</v>
      </c>
      <c r="AS1860" t="inlineStr">
        <is>
          <t>Collection (optional)</t>
        </is>
      </c>
    </row>
    <row r="1861">
      <c r="A1861" t="inlineStr">
        <is>
          <t>Arcane</t>
        </is>
      </c>
      <c r="B1861" t="inlineStr">
        <is>
          <t>Zid-an Haras</t>
        </is>
      </c>
      <c r="E1861" t="inlineStr">
        <is>
          <t>Tektolyst Artifacts</t>
        </is>
      </c>
      <c r="F1861" t="n">
        <v>5</v>
      </c>
      <c r="G1861" t="n">
        <v>1</v>
      </c>
      <c r="H1861" t="inlineStr">
        <is>
          <t>Player trade (max rank)</t>
        </is>
      </c>
      <c r="I1861" t="inlineStr">
        <is>
          <t>Yes</t>
        </is>
      </c>
      <c r="K1861" t="inlineStr">
        <is>
          <t>Collection (optional)</t>
        </is>
      </c>
      <c r="L1861" t="n">
        <v>50</v>
      </c>
      <c r="M1861" t="n">
        <v>50</v>
      </c>
      <c r="N1861" t="n">
        <v>111</v>
      </c>
      <c r="O1861" t="inlineStr">
        <is>
          <t>2026-10-05 UTC (WFM pull 02:52-04:00)</t>
        </is>
      </c>
      <c r="P1861" t="inlineStr">
        <is>
          <t>OK</t>
        </is>
      </c>
      <c r="R1861" t="inlineStr">
        <is>
          <t>Arcanes share across items like mods (one max-rank copy covers every build).</t>
        </is>
      </c>
      <c r="S1861" t="inlineStr">
        <is>
          <t>zid_an_haras</t>
        </is>
      </c>
      <c r="T1861" t="n">
        <v>9</v>
      </c>
      <c r="U1861" t="n">
        <v>9</v>
      </c>
      <c r="V1861" t="n">
        <v>25</v>
      </c>
      <c r="W1861" t="n">
        <v>25</v>
      </c>
      <c r="X1861" t="n">
        <v>24.7</v>
      </c>
      <c r="Y1861" t="n">
        <v>339</v>
      </c>
      <c r="Z1861" t="n">
        <v>7</v>
      </c>
      <c r="AQ1861" t="n">
        <v>3</v>
      </c>
      <c r="AR1861" t="n">
        <v>63</v>
      </c>
      <c r="AS1861" t="inlineStr">
        <is>
          <t>Collection (optional)</t>
        </is>
      </c>
    </row>
    <row r="1862">
      <c r="A1862" t="inlineStr">
        <is>
          <t>Arcane</t>
        </is>
      </c>
      <c r="B1862" t="inlineStr">
        <is>
          <t>Zid-an Osbok</t>
        </is>
      </c>
      <c r="E1862" t="inlineStr">
        <is>
          <t>Tektolyst Artifacts</t>
        </is>
      </c>
      <c r="F1862" t="n">
        <v>5</v>
      </c>
      <c r="G1862" t="n">
        <v>1</v>
      </c>
      <c r="H1862" t="inlineStr">
        <is>
          <t>Player trade (max rank)</t>
        </is>
      </c>
      <c r="I1862" t="inlineStr">
        <is>
          <t>Yes</t>
        </is>
      </c>
      <c r="K1862" t="inlineStr">
        <is>
          <t>Collection (optional)</t>
        </is>
      </c>
      <c r="L1862" t="n">
        <v>60</v>
      </c>
      <c r="M1862" t="n">
        <v>70</v>
      </c>
      <c r="N1862" t="n">
        <v>88</v>
      </c>
      <c r="O1862" t="inlineStr">
        <is>
          <t>2026-10-05 UTC (WFM pull 02:52-04:00)</t>
        </is>
      </c>
      <c r="P1862" t="inlineStr">
        <is>
          <t>OK</t>
        </is>
      </c>
      <c r="R1862" t="inlineStr">
        <is>
          <t>Arcanes share across items like mods (one max-rank copy covers every build).</t>
        </is>
      </c>
      <c r="S1862" t="inlineStr">
        <is>
          <t>zid_an_osbok</t>
        </is>
      </c>
      <c r="T1862" t="n">
        <v>8</v>
      </c>
      <c r="U1862" t="n">
        <v>8</v>
      </c>
      <c r="V1862" t="n">
        <v>59.5</v>
      </c>
      <c r="W1862" t="n">
        <v>59.5</v>
      </c>
      <c r="X1862" t="n">
        <v>57.6</v>
      </c>
      <c r="Y1862" t="n">
        <v>771</v>
      </c>
      <c r="Z1862" t="n">
        <v>21</v>
      </c>
      <c r="AA1862" t="n">
        <v>35</v>
      </c>
      <c r="AB1862" t="n">
        <v>25</v>
      </c>
      <c r="AQ1862" t="n">
        <v>4</v>
      </c>
      <c r="AR1862" t="n">
        <v>84</v>
      </c>
      <c r="AS1862" t="inlineStr">
        <is>
          <t>Collection (optional)</t>
        </is>
      </c>
    </row>
    <row r="1863">
      <c r="A1863" t="inlineStr">
        <is>
          <t>Arcane</t>
        </is>
      </c>
      <c r="B1863" t="inlineStr">
        <is>
          <t>Zid-an Sek-eel</t>
        </is>
      </c>
      <c r="E1863" t="inlineStr">
        <is>
          <t>Tektolyst Artifacts</t>
        </is>
      </c>
      <c r="F1863" t="n">
        <v>5</v>
      </c>
      <c r="G1863" t="n">
        <v>1</v>
      </c>
      <c r="H1863" t="inlineStr">
        <is>
          <t>Player trade (max rank)</t>
        </is>
      </c>
      <c r="I1863" t="inlineStr">
        <is>
          <t>Yes</t>
        </is>
      </c>
      <c r="K1863" t="inlineStr">
        <is>
          <t>Collection (optional)</t>
        </is>
      </c>
      <c r="L1863" t="n">
        <v>29</v>
      </c>
      <c r="M1863" t="n">
        <v>37.5</v>
      </c>
      <c r="N1863" t="n">
        <v>83</v>
      </c>
      <c r="O1863" t="inlineStr">
        <is>
          <t>2026-10-05 UTC (WFM pull 02:52-04:00)</t>
        </is>
      </c>
      <c r="P1863" t="inlineStr">
        <is>
          <t>OK</t>
        </is>
      </c>
      <c r="R1863" t="inlineStr">
        <is>
          <t>Arcanes share across items like mods (one max-rank copy covers every build).</t>
        </is>
      </c>
      <c r="S1863" t="inlineStr">
        <is>
          <t>zid_an_sek_eel</t>
        </is>
      </c>
      <c r="T1863" t="n">
        <v>10</v>
      </c>
      <c r="U1863" t="n">
        <v>10</v>
      </c>
      <c r="V1863" t="n">
        <v>25</v>
      </c>
      <c r="W1863" t="n">
        <v>29</v>
      </c>
      <c r="X1863" t="n">
        <v>27.9</v>
      </c>
      <c r="Y1863" t="n">
        <v>331</v>
      </c>
      <c r="Z1863" t="n">
        <v>13</v>
      </c>
      <c r="AQ1863" t="n">
        <v>3</v>
      </c>
      <c r="AR1863" t="n">
        <v>63</v>
      </c>
      <c r="AS1863" t="inlineStr">
        <is>
          <t>Collection (optional)</t>
        </is>
      </c>
    </row>
    <row r="1864">
      <c r="A1864" t="inlineStr">
        <is>
          <t>Arcane</t>
        </is>
      </c>
      <c r="B1864" t="inlineStr">
        <is>
          <t>Zid-an Uskos</t>
        </is>
      </c>
      <c r="E1864" t="inlineStr">
        <is>
          <t>Tektolyst Artifacts</t>
        </is>
      </c>
      <c r="F1864" t="n">
        <v>5</v>
      </c>
      <c r="G1864" t="n">
        <v>1</v>
      </c>
      <c r="H1864" t="inlineStr">
        <is>
          <t>Player trade (max rank)</t>
        </is>
      </c>
      <c r="I1864" t="inlineStr">
        <is>
          <t>Yes</t>
        </is>
      </c>
      <c r="K1864" t="inlineStr">
        <is>
          <t>Collection (optional)</t>
        </is>
      </c>
      <c r="L1864" t="n">
        <v>95</v>
      </c>
      <c r="M1864" t="n">
        <v>105</v>
      </c>
      <c r="N1864" t="n">
        <v>232</v>
      </c>
      <c r="O1864" t="inlineStr">
        <is>
          <t>2026-10-05 UTC (WFM pull 02:52-04:00)</t>
        </is>
      </c>
      <c r="P1864" t="inlineStr">
        <is>
          <t>OK</t>
        </is>
      </c>
      <c r="R1864" t="inlineStr">
        <is>
          <t>Arcanes share across items like mods (one max-rank copy covers every build).</t>
        </is>
      </c>
      <c r="S1864" t="inlineStr">
        <is>
          <t>zid_an_uskos</t>
        </is>
      </c>
      <c r="T1864" t="n">
        <v>5</v>
      </c>
      <c r="U1864" t="n">
        <v>5</v>
      </c>
      <c r="V1864" t="n">
        <v>70</v>
      </c>
      <c r="W1864" t="n">
        <v>70</v>
      </c>
      <c r="X1864" t="n">
        <v>73.40000000000001</v>
      </c>
      <c r="Y1864" t="n">
        <v>1370</v>
      </c>
      <c r="Z1864" t="n">
        <v>25</v>
      </c>
      <c r="AA1864" t="n">
        <v>55</v>
      </c>
      <c r="AB1864" t="n">
        <v>40</v>
      </c>
      <c r="AQ1864" t="n">
        <v>7</v>
      </c>
      <c r="AR1864" t="n">
        <v>147</v>
      </c>
      <c r="AS1864" t="inlineStr">
        <is>
          <t>Collection (optional)</t>
        </is>
      </c>
    </row>
  </sheetData>
  <autoFilter ref="A1:AS18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2026-10-05T04:50:34Z</dcterms:created>
  <dcterms:modified xsi:type="dcterms:W3CDTF">2026-10-05T04:50:35Z</dcterms:modified>
</cp:coreProperties>
</file>